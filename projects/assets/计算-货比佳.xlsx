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<sst xmlns="http://schemas.openxmlformats.org/spreadsheetml/2006/main" count="75" uniqueCount="72">
  <si>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指标名称</t>
  </si>
  <si>
    <t>成立以来</t>
  </si>
  <si>
    <t>近1年</t>
  </si>
  <si>
    <t>近3年</t>
  </si>
  <si>
    <t>截至2025/12/31</t>
  </si>
  <si>
    <t>策略名称：货币佳</t>
  </si>
  <si>
    <t>累计收益率</t>
  </si>
  <si>
    <t>货币佳</t>
  </si>
  <si>
    <t>业绩基准</t>
  </si>
  <si>
    <t>创新高情况</t>
  </si>
  <si>
    <t>滚动持有半年</t>
  </si>
  <si>
    <t>滚动持有1年</t>
  </si>
  <si>
    <t>滚动持有3年</t>
  </si>
  <si>
    <t>累计创新高次数</t>
  </si>
  <si>
    <t>持有半年盈利概率</t>
  </si>
  <si>
    <t>持有1年盈利概率</t>
  </si>
  <si>
    <t>持有3年盈利概率</t>
  </si>
  <si>
    <t>季度超额胜率</t>
  </si>
  <si>
    <t>季度盈利概率</t>
  </si>
  <si>
    <t>年度超额胜率</t>
  </si>
  <si>
    <t>年度盈利概率</t>
  </si>
  <si>
    <t>基准收益率</t>
  </si>
  <si>
    <t>年化收益率</t>
  </si>
  <si>
    <t>基准年化收益率</t>
  </si>
  <si>
    <t>时间</t>
  </si>
  <si>
    <t>超额收益率</t>
  </si>
  <si>
    <t>回撤率</t>
  </si>
  <si>
    <t>过去1个月</t>
  </si>
  <si>
    <t>最大回撤</t>
  </si>
  <si>
    <t>过去3个月</t>
  </si>
  <si>
    <t>区间最大涨幅</t>
  </si>
  <si>
    <t>过去6个月</t>
  </si>
  <si>
    <t>回撤最长修复时间</t>
  </si>
  <si>
    <t>过去1年</t>
  </si>
  <si>
    <t>最大回撤修复时间</t>
  </si>
  <si>
    <t>过去2年</t>
  </si>
  <si>
    <t>基准回撤率</t>
  </si>
  <si>
    <t>过去3年</t>
  </si>
  <si>
    <t>基准最大回撤</t>
  </si>
  <si>
    <t>波动率</t>
  </si>
  <si>
    <t>分年度</t>
  </si>
  <si>
    <t>2025年度</t>
  </si>
  <si>
    <t>基准波动率</t>
  </si>
  <si>
    <t>2024年度</t>
  </si>
  <si>
    <t>年化波动率</t>
  </si>
  <si>
    <t>2023年度</t>
  </si>
  <si>
    <t>基准年化波动率</t>
  </si>
  <si>
    <t>2022年度</t>
  </si>
  <si>
    <t>夏普比率</t>
  </si>
  <si>
    <t>基准夏普比率</t>
  </si>
  <si>
    <t>分季度</t>
  </si>
  <si>
    <t>2022Q2</t>
  </si>
  <si>
    <t>卡玛比率</t>
  </si>
  <si>
    <t>2022Q3</t>
  </si>
  <si>
    <t>赫斯特指数</t>
  </si>
  <si>
    <t>2022Q4</t>
  </si>
  <si>
    <t>索提诺比率</t>
  </si>
  <si>
    <t>2023Q1</t>
  </si>
  <si>
    <t>信息比率</t>
  </si>
  <si>
    <t>2023Q2</t>
  </si>
  <si>
    <t>周转换手率</t>
  </si>
  <si>
    <t>2023Q3</t>
  </si>
  <si>
    <t>季度正收益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</si>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</sst>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0"/>
    <numFmt numFmtId="178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EBE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vertical="center"/>
    </xf>
    <xf numFmtId="10" fontId="1" fillId="0" borderId="1" xfId="3" applyNumberFormat="1" applyFont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14" fontId="1" fillId="0" borderId="1" xfId="0" applyNumberFormat="1" applyFont="1" applyFill="1" applyBorder="1" applyAlignment="1">
      <alignment vertical="center"/>
    </xf>
    <xf numFmtId="10" fontId="1" fillId="0" borderId="1" xfId="3" applyNumberFormat="1" applyFont="1" applyBorder="1">
      <alignment vertical="center"/>
    </xf>
    <xf numFmtId="0" fontId="1" fillId="2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vertical="center"/>
    </xf>
    <xf numFmtId="10" fontId="1" fillId="0" borderId="0" xfId="3" applyNumberFormat="1" applyFont="1" applyBorder="1">
      <alignment vertical="center"/>
    </xf>
    <xf numFmtId="10" fontId="1" fillId="0" borderId="0" xfId="3" applyNumberFormat="1" applyFont="1">
      <alignment vertical="center"/>
    </xf>
    <xf numFmtId="10" fontId="1" fillId="3" borderId="0" xfId="3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iFinD\Ths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 refersTo="=#REF!"/>
    </defined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97"/>
  <sheetViews>
    <sheetView tabSelected="1" workbookViewId="0">
      <selection activeCell="F2" sqref="F2"/>
    </sheetView>
  </sheetViews>
  <sheetFormatPr defaultColWidth="10.1946902654867" defaultRowHeight="13.5"/>
  <cols>
    <col min="1" max="1" width="20.8141592920354" style="1" customWidth="1"/>
    <col min="2" max="2" width="11.0442477876106" style="1" customWidth="1"/>
    <col min="3" max="4" width="10.1946902654867" style="1"/>
    <col min="5" max="5" width="17.2743362831858" style="1" customWidth="1"/>
    <col min="6" max="6" width="13.1681415929204" style="1" customWidth="1"/>
    <col min="7" max="7" width="14.7256637168142" style="2" customWidth="1"/>
    <col min="8" max="8" width="10.1946902654867" style="2" customWidth="1"/>
    <col min="9" max="9" width="12.4601769911504" style="3" customWidth="1"/>
    <col min="10" max="10" width="14.7256637168142" style="1" customWidth="1"/>
    <col min="11" max="12" width="13.7345132743363" style="1" customWidth="1"/>
    <col min="13" max="13" width="0.991150442477876" style="4" customWidth="1"/>
    <col min="14" max="14" width="10.1946902654867" style="1"/>
    <col min="15" max="15" width="17.1327433628319" style="1" customWidth="1"/>
    <col min="16" max="16" width="19.5398230088496" style="1" customWidth="1"/>
    <col min="17" max="18" width="18.4070796460177" style="1" customWidth="1"/>
    <col min="19" max="22" width="14.7256637168142" style="1" customWidth="1"/>
    <col min="23" max="16384" width="10.1946902654867" style="1"/>
  </cols>
  <sheetData>
    <row r="1" s="1" customFormat="1" ht="13.85" spans="1:2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"/>
      <c r="H1" s="2"/>
      <c r="I1" s="3"/>
      <c r="M1" s="4"/>
      <c r="O1" s="8"/>
      <c r="P1" s="9"/>
      <c r="Q1" s="9"/>
      <c r="R1" s="9"/>
    </row>
    <row r="2" s="1" customFormat="1" spans="1:22">
      <c r="A2" s="10" t="s">
        <v>6</v>
      </c>
      <c r="B2" s="11">
        <v>0.06938448</v>
      </c>
      <c r="C2" s="11">
        <v>0.01289372</v>
      </c>
      <c r="D2" s="11">
        <v>0.0567677</v>
      </c>
      <c r="F2" s="3" t="e">
        <f>[1]!HX_AutoDate(1,"2022-4-27","2025-12-31",-1,-1,0,0,0,0,0,"SSE",895,0)</f>
        <v>#NAME?</v>
      </c>
      <c r="G2" s="2" t="s">
        <v>7</v>
      </c>
      <c r="H2" s="2" t="s">
        <v>8</v>
      </c>
      <c r="I2" s="3" t="s">
        <v>9</v>
      </c>
      <c r="J2" s="1" t="s">
        <v>10</v>
      </c>
      <c r="K2" s="1" t="s">
        <v>11</v>
      </c>
      <c r="L2" s="1" t="s">
        <v>12</v>
      </c>
      <c r="M2" s="4"/>
      <c r="N2" s="1" t="s">
        <v>1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</row>
    <row r="3" s="1" customFormat="1" spans="1:22">
      <c r="A3" s="10" t="s">
        <v>21</v>
      </c>
      <c r="B3" s="11">
        <v>0.07241559</v>
      </c>
      <c r="C3" s="11">
        <v>0.0138393</v>
      </c>
      <c r="D3" s="11">
        <v>0.05866205</v>
      </c>
      <c r="F3" s="13">
        <v>44678</v>
      </c>
      <c r="G3" s="14">
        <v>1</v>
      </c>
      <c r="H3" s="14">
        <v>1</v>
      </c>
      <c r="I3" s="3"/>
      <c r="M3" s="4"/>
      <c r="O3" s="12">
        <f>COUNTIF(I:I,"新高")</f>
        <v>667</v>
      </c>
      <c r="P3" s="15">
        <f t="shared" ref="P3:R3" si="0">COUNTIF(J:J,"&gt;=0")/COUNT(J:J)</f>
        <v>1</v>
      </c>
      <c r="Q3" s="15">
        <f t="shared" si="0"/>
        <v>1</v>
      </c>
      <c r="R3" s="15">
        <f t="shared" si="0"/>
        <v>1</v>
      </c>
      <c r="S3" s="16">
        <f>COUNTIF(T18:T32,"&gt;=0")/COUNT(T18:T32)</f>
        <v>0.4</v>
      </c>
      <c r="T3" s="15">
        <f>COUNTIF(R18:R32,"&gt;=0")/COUNT(R18:R32)</f>
        <v>1</v>
      </c>
      <c r="U3" s="16">
        <f>COUNTIF(T13:T16,"&gt;=0")/COUNT(T13:T16)</f>
        <v>0.25</v>
      </c>
      <c r="V3" s="16">
        <f>COUNTIF(R13:R16,"&gt;=0")/COUNT(R13:R16)</f>
        <v>1</v>
      </c>
    </row>
    <row r="4" s="1" customFormat="1" spans="1:22">
      <c r="A4" s="10" t="s">
        <v>22</v>
      </c>
      <c r="B4" s="11">
        <v>0.01837146</v>
      </c>
      <c r="C4" s="11">
        <v>0.01289372</v>
      </c>
      <c r="D4" s="11">
        <v>0.01855828</v>
      </c>
      <c r="F4" s="13">
        <v>44679</v>
      </c>
      <c r="G4" s="14">
        <v>1.0000778</v>
      </c>
      <c r="H4" s="14">
        <v>1.00004899</v>
      </c>
      <c r="I4" s="3" t="str">
        <f>IF(G4&gt;MAX($G$3:G3),"新高","/")</f>
        <v>新高</v>
      </c>
      <c r="M4" s="4"/>
      <c r="O4" s="8"/>
      <c r="P4" s="8"/>
      <c r="Q4" s="8"/>
      <c r="R4" s="8"/>
    </row>
    <row r="5" s="1" customFormat="1" spans="1:22">
      <c r="A5" s="10" t="s">
        <v>23</v>
      </c>
      <c r="B5" s="11">
        <v>0.01915398</v>
      </c>
      <c r="C5" s="11">
        <v>0.0138393</v>
      </c>
      <c r="D5" s="11">
        <v>0.01916598</v>
      </c>
      <c r="F5" s="13">
        <v>44680</v>
      </c>
      <c r="G5" s="14">
        <v>1.00013447</v>
      </c>
      <c r="H5" s="14">
        <v>1.0001347</v>
      </c>
      <c r="I5" s="3" t="str">
        <f>IF(G5&gt;MAX($G$3:G4),"新高","/")</f>
        <v>新高</v>
      </c>
      <c r="M5" s="4"/>
      <c r="O5" s="17" t="s">
        <v>24</v>
      </c>
      <c r="P5" s="18"/>
      <c r="Q5" s="19"/>
      <c r="R5" s="12" t="s">
        <v>6</v>
      </c>
      <c r="S5" s="12" t="s">
        <v>21</v>
      </c>
      <c r="T5" s="12" t="s">
        <v>25</v>
      </c>
    </row>
    <row r="6" s="1" customFormat="1" spans="1:22">
      <c r="A6" s="10" t="s">
        <v>26</v>
      </c>
      <c r="B6" s="11">
        <v>0</v>
      </c>
      <c r="C6" s="11">
        <v>0</v>
      </c>
      <c r="D6" s="11">
        <v>0</v>
      </c>
      <c r="F6" s="13">
        <v>44686</v>
      </c>
      <c r="G6" s="14">
        <v>1.00051711</v>
      </c>
      <c r="H6" s="14">
        <v>1.00049517</v>
      </c>
      <c r="I6" s="3" t="str">
        <f>IF(G6&gt;MAX($G$3:G5),"新高","/")</f>
        <v>新高</v>
      </c>
      <c r="M6" s="4"/>
      <c r="O6" s="20" t="s">
        <v>27</v>
      </c>
      <c r="P6" s="21">
        <v>45989</v>
      </c>
      <c r="Q6" s="21">
        <v>46022</v>
      </c>
      <c r="R6" s="22">
        <f t="shared" ref="R6:R11" si="1">VLOOKUP($Q6,$F:$H,2,0)/VLOOKUP($P6,$F:$H,2,0)-1</f>
        <v>0.00108834129957791</v>
      </c>
      <c r="S6" s="22">
        <f t="shared" ref="S6:S11" si="2">VLOOKUP($Q6,$F:$H,3,0)/VLOOKUP($P6,$F:$H,3,0)-1</f>
        <v>0.00122770915474901</v>
      </c>
      <c r="T6" s="22">
        <f t="shared" ref="T6:T11" si="3">R6-S6</f>
        <v>-0.000139367855171102</v>
      </c>
    </row>
    <row r="7" s="1" customFormat="1" spans="1:22">
      <c r="A7" s="10" t="s">
        <v>28</v>
      </c>
      <c r="B7" s="11">
        <v>-0.00127376</v>
      </c>
      <c r="C7" s="11">
        <v>-0.00049265</v>
      </c>
      <c r="D7" s="11">
        <v>-0.00082671</v>
      </c>
      <c r="F7" s="13">
        <v>44687</v>
      </c>
      <c r="G7" s="14">
        <v>1.0005485</v>
      </c>
      <c r="H7" s="14">
        <v>1.00055423</v>
      </c>
      <c r="I7" s="3" t="str">
        <f>IF(G7&gt;MAX($G$3:G6),"新高","/")</f>
        <v>新高</v>
      </c>
      <c r="M7" s="4"/>
      <c r="O7" s="20" t="s">
        <v>29</v>
      </c>
      <c r="P7" s="21">
        <f>EDATE(Q7,-3)</f>
        <v>45930</v>
      </c>
      <c r="Q7" s="21">
        <f t="shared" ref="Q7:Q11" si="4">Q6</f>
        <v>46022</v>
      </c>
      <c r="R7" s="22">
        <f t="shared" si="1"/>
        <v>0.00346272857411534</v>
      </c>
      <c r="S7" s="22">
        <f t="shared" si="2"/>
        <v>0.00323473951202513</v>
      </c>
      <c r="T7" s="22">
        <f t="shared" si="3"/>
        <v>0.000227989062090206</v>
      </c>
    </row>
    <row r="8" s="1" customFormat="1" spans="1:22">
      <c r="A8" s="10" t="s">
        <v>30</v>
      </c>
      <c r="B8" s="11">
        <v>0.06938448</v>
      </c>
      <c r="C8" s="11">
        <v>0.01289372</v>
      </c>
      <c r="D8" s="11">
        <v>0.0567677</v>
      </c>
      <c r="F8" s="13">
        <v>44690</v>
      </c>
      <c r="G8" s="14">
        <v>1.00082307</v>
      </c>
      <c r="H8" s="14">
        <v>1.00073739</v>
      </c>
      <c r="I8" s="3" t="str">
        <f>IF(G8&gt;MAX($G$3:G7),"新高","/")</f>
        <v>新高</v>
      </c>
      <c r="M8" s="4"/>
      <c r="O8" s="20" t="s">
        <v>31</v>
      </c>
      <c r="P8" s="21">
        <f>EDATE(Q8,-6)</f>
        <v>45838</v>
      </c>
      <c r="Q8" s="21">
        <f t="shared" si="4"/>
        <v>46022</v>
      </c>
      <c r="R8" s="22">
        <f t="shared" si="1"/>
        <v>0.00578221242981636</v>
      </c>
      <c r="S8" s="22">
        <f t="shared" si="2"/>
        <v>0.00670008116377963</v>
      </c>
      <c r="T8" s="22">
        <f t="shared" si="3"/>
        <v>-0.000917868733963267</v>
      </c>
    </row>
    <row r="9" s="1" customFormat="1" spans="1:22">
      <c r="A9" s="10" t="s">
        <v>32</v>
      </c>
      <c r="B9" s="23">
        <v>51</v>
      </c>
      <c r="C9" s="23">
        <v>30</v>
      </c>
      <c r="D9" s="23">
        <v>30</v>
      </c>
      <c r="F9" s="13">
        <v>44691</v>
      </c>
      <c r="G9" s="14">
        <v>1.00100457</v>
      </c>
      <c r="H9" s="14">
        <v>1.00083991</v>
      </c>
      <c r="I9" s="3" t="str">
        <f>IF(G9&gt;MAX($G$3:G8),"新高","/")</f>
        <v>新高</v>
      </c>
      <c r="M9" s="4"/>
      <c r="O9" s="20" t="s">
        <v>33</v>
      </c>
      <c r="P9" s="21">
        <f>EDATE(Q9,-12)</f>
        <v>45657</v>
      </c>
      <c r="Q9" s="21">
        <f t="shared" si="4"/>
        <v>46022</v>
      </c>
      <c r="R9" s="22">
        <f t="shared" si="1"/>
        <v>0.0128937160522002</v>
      </c>
      <c r="S9" s="22">
        <f t="shared" si="2"/>
        <v>0.0138393104502994</v>
      </c>
      <c r="T9" s="22">
        <f t="shared" si="3"/>
        <v>-0.000945594398099159</v>
      </c>
    </row>
    <row r="10" s="1" customFormat="1" spans="1:22">
      <c r="A10" s="10" t="s">
        <v>34</v>
      </c>
      <c r="B10" s="23">
        <v>15</v>
      </c>
      <c r="C10" s="23">
        <v>8</v>
      </c>
      <c r="D10" s="23">
        <v>5</v>
      </c>
      <c r="F10" s="13">
        <v>44692</v>
      </c>
      <c r="G10" s="14">
        <v>1.00111762</v>
      </c>
      <c r="H10" s="14">
        <v>1.00090964</v>
      </c>
      <c r="I10" s="3" t="str">
        <f>IF(G10&gt;MAX($G$3:G9),"新高","/")</f>
        <v>新高</v>
      </c>
      <c r="M10" s="4"/>
      <c r="O10" s="20" t="s">
        <v>35</v>
      </c>
      <c r="P10" s="21">
        <f>EDATE(Q10,-24)-2</f>
        <v>45289</v>
      </c>
      <c r="Q10" s="21">
        <f t="shared" si="4"/>
        <v>46022</v>
      </c>
      <c r="R10" s="22">
        <f t="shared" si="1"/>
        <v>0.0341170953563601</v>
      </c>
      <c r="S10" s="22">
        <f t="shared" si="2"/>
        <v>0.0349442135154996</v>
      </c>
      <c r="T10" s="22">
        <f t="shared" si="3"/>
        <v>-0.000827118159139495</v>
      </c>
    </row>
    <row r="11" s="1" customFormat="1" spans="1:22">
      <c r="A11" s="10" t="s">
        <v>36</v>
      </c>
      <c r="B11" s="11">
        <v>0</v>
      </c>
      <c r="C11" s="11">
        <v>0</v>
      </c>
      <c r="D11" s="11">
        <v>0</v>
      </c>
      <c r="F11" s="13">
        <v>44693</v>
      </c>
      <c r="G11" s="14">
        <v>1.00126403</v>
      </c>
      <c r="H11" s="14">
        <v>1.00100168</v>
      </c>
      <c r="I11" s="3" t="str">
        <f>IF(G11&gt;MAX($G$3:G10),"新高","/")</f>
        <v>新高</v>
      </c>
      <c r="M11" s="4"/>
      <c r="O11" s="20" t="s">
        <v>37</v>
      </c>
      <c r="P11" s="21">
        <f>EDATE(Q11,-36)-1</f>
        <v>44925</v>
      </c>
      <c r="Q11" s="21">
        <f t="shared" si="4"/>
        <v>46022</v>
      </c>
      <c r="R11" s="22">
        <f t="shared" si="1"/>
        <v>0.0567676987416921</v>
      </c>
      <c r="S11" s="22">
        <f t="shared" si="2"/>
        <v>0.0586620560057454</v>
      </c>
      <c r="T11" s="22">
        <f t="shared" si="3"/>
        <v>-0.00189435726405329</v>
      </c>
    </row>
    <row r="12" s="1" customFormat="1" spans="1:22">
      <c r="A12" s="10" t="s">
        <v>38</v>
      </c>
      <c r="B12" s="11">
        <v>-0.0006121</v>
      </c>
      <c r="C12" s="11">
        <v>-0.00012721</v>
      </c>
      <c r="D12" s="11">
        <v>-0.00018959</v>
      </c>
      <c r="F12" s="13">
        <v>44694</v>
      </c>
      <c r="G12" s="14">
        <v>1.00142147</v>
      </c>
      <c r="H12" s="14">
        <v>1.00111243</v>
      </c>
      <c r="I12" s="3" t="str">
        <f>IF(G12&gt;MAX($G$3:G11),"新高","/")</f>
        <v>新高</v>
      </c>
      <c r="M12" s="4"/>
    </row>
    <row r="13" s="1" customFormat="1" spans="1:22">
      <c r="A13" s="10" t="s">
        <v>39</v>
      </c>
      <c r="B13" s="11">
        <v>0.00010054</v>
      </c>
      <c r="C13" s="11">
        <v>8.725e-5</v>
      </c>
      <c r="D13" s="11">
        <v>9.298e-5</v>
      </c>
      <c r="F13" s="13">
        <v>44697</v>
      </c>
      <c r="G13" s="14">
        <v>1.00162711</v>
      </c>
      <c r="H13" s="14">
        <v>1.00132295</v>
      </c>
      <c r="I13" s="3" t="str">
        <f>IF(G13&gt;MAX($G$3:G12),"新高","/")</f>
        <v>新高</v>
      </c>
      <c r="M13" s="4"/>
      <c r="N13" s="1" t="s">
        <v>40</v>
      </c>
      <c r="O13" s="20" t="s">
        <v>41</v>
      </c>
      <c r="P13" s="21">
        <v>45657</v>
      </c>
      <c r="Q13" s="21">
        <v>46022</v>
      </c>
      <c r="R13" s="22">
        <f t="shared" ref="R13:R16" si="5">VLOOKUP($Q13,$F:$H,2,0)/VLOOKUP($P13,$F:$H,2,0)-1</f>
        <v>0.0128937160522002</v>
      </c>
      <c r="S13" s="22">
        <f t="shared" ref="S13:S16" si="6">VLOOKUP($Q13,$F:$H,3,0)/VLOOKUP($P13,$F:$H,3,0)-1</f>
        <v>0.0138393104502994</v>
      </c>
      <c r="T13" s="22">
        <f t="shared" ref="T13:T16" si="7">R13-S13</f>
        <v>-0.000945594398099159</v>
      </c>
    </row>
    <row r="14" s="1" customFormat="1" spans="1:22">
      <c r="A14" s="10" t="s">
        <v>42</v>
      </c>
      <c r="B14" s="11">
        <v>8.022e-5</v>
      </c>
      <c r="C14" s="11">
        <v>5.752e-5</v>
      </c>
      <c r="D14" s="11">
        <v>7.843e-5</v>
      </c>
      <c r="F14" s="13">
        <v>44698</v>
      </c>
      <c r="G14" s="14">
        <v>1.0018089</v>
      </c>
      <c r="H14" s="14">
        <v>1.00143591</v>
      </c>
      <c r="I14" s="3" t="str">
        <f>IF(G14&gt;MAX($G$3:G13),"新高","/")</f>
        <v>新高</v>
      </c>
      <c r="M14" s="4"/>
      <c r="O14" s="20" t="s">
        <v>43</v>
      </c>
      <c r="P14" s="21">
        <v>45289</v>
      </c>
      <c r="Q14" s="21">
        <v>45657</v>
      </c>
      <c r="R14" s="22">
        <f t="shared" si="5"/>
        <v>0.0209532145059395</v>
      </c>
      <c r="S14" s="22">
        <f t="shared" si="6"/>
        <v>0.0208168127312269</v>
      </c>
      <c r="T14" s="22">
        <f t="shared" si="7"/>
        <v>0.000136401774712525</v>
      </c>
    </row>
    <row r="15" s="1" customFormat="1" spans="1:22">
      <c r="A15" s="10" t="s">
        <v>44</v>
      </c>
      <c r="B15" s="11">
        <v>0.00159595</v>
      </c>
      <c r="C15" s="11">
        <v>0.00138508</v>
      </c>
      <c r="D15" s="11">
        <v>0.001476</v>
      </c>
      <c r="F15" s="13">
        <v>44699</v>
      </c>
      <c r="G15" s="14">
        <v>1.00197876</v>
      </c>
      <c r="H15" s="14">
        <v>1.00153731</v>
      </c>
      <c r="I15" s="3" t="str">
        <f>IF(G15&gt;MAX($G$3:G14),"新高","/")</f>
        <v>新高</v>
      </c>
      <c r="M15" s="4"/>
      <c r="O15" s="20" t="s">
        <v>45</v>
      </c>
      <c r="P15" s="21">
        <v>44925</v>
      </c>
      <c r="Q15" s="21">
        <v>45289</v>
      </c>
      <c r="R15" s="22">
        <f t="shared" si="5"/>
        <v>0.0219033255392869</v>
      </c>
      <c r="S15" s="22">
        <f t="shared" si="6"/>
        <v>0.0229170250729565</v>
      </c>
      <c r="T15" s="22">
        <f t="shared" si="7"/>
        <v>-0.00101369953366959</v>
      </c>
    </row>
    <row r="16" s="1" customFormat="1" spans="1:22">
      <c r="A16" s="10" t="s">
        <v>46</v>
      </c>
      <c r="B16" s="11">
        <v>0.00127341</v>
      </c>
      <c r="C16" s="11">
        <v>0.00091305</v>
      </c>
      <c r="D16" s="11">
        <v>0.001245</v>
      </c>
      <c r="F16" s="13">
        <v>44700</v>
      </c>
      <c r="G16" s="14">
        <v>1.00214235</v>
      </c>
      <c r="H16" s="14">
        <v>1.00164623</v>
      </c>
      <c r="I16" s="3" t="str">
        <f>IF(G16&gt;MAX($G$3:G15),"新高","/")</f>
        <v>新高</v>
      </c>
      <c r="M16" s="4"/>
      <c r="O16" s="20" t="s">
        <v>47</v>
      </c>
      <c r="P16" s="21">
        <v>44678</v>
      </c>
      <c r="Q16" s="21">
        <v>44925</v>
      </c>
      <c r="R16" s="22">
        <f t="shared" si="5"/>
        <v>0.01193903</v>
      </c>
      <c r="S16" s="22">
        <f t="shared" si="6"/>
        <v>0.01299143</v>
      </c>
      <c r="T16" s="22">
        <f t="shared" si="7"/>
        <v>-0.00105240000000006</v>
      </c>
    </row>
    <row r="17" s="1" customFormat="1" spans="1:20">
      <c r="A17" s="10" t="s">
        <v>48</v>
      </c>
      <c r="B17" s="24">
        <v>2.11251136</v>
      </c>
      <c r="C17" s="24">
        <v>-1.51589062</v>
      </c>
      <c r="D17" s="24">
        <v>2.40991981</v>
      </c>
      <c r="F17" s="13">
        <v>44701</v>
      </c>
      <c r="G17" s="14">
        <v>1.0021949</v>
      </c>
      <c r="H17" s="14">
        <v>1.00170803</v>
      </c>
      <c r="I17" s="3" t="str">
        <f>IF(G17&gt;MAX($G$3:G16),"新高","/")</f>
        <v>新高</v>
      </c>
      <c r="M17" s="4"/>
      <c r="R17" s="25"/>
      <c r="S17" s="25"/>
      <c r="T17" s="25"/>
    </row>
    <row r="18" s="1" customFormat="1" spans="1:20">
      <c r="A18" s="10" t="s">
        <v>49</v>
      </c>
      <c r="B18" s="24">
        <v>3.2620983</v>
      </c>
      <c r="C18" s="24">
        <v>-1.27379493</v>
      </c>
      <c r="D18" s="24">
        <v>3.33984552</v>
      </c>
      <c r="F18" s="13">
        <v>44704</v>
      </c>
      <c r="G18" s="14">
        <v>1.00243255</v>
      </c>
      <c r="H18" s="14">
        <v>1.00190395</v>
      </c>
      <c r="I18" s="3" t="str">
        <f>IF(G18&gt;MAX($G$3:G17),"新高","/")</f>
        <v>新高</v>
      </c>
      <c r="M18" s="4"/>
      <c r="N18" s="1" t="s">
        <v>50</v>
      </c>
      <c r="O18" s="12" t="s">
        <v>51</v>
      </c>
      <c r="P18" s="21">
        <v>44678</v>
      </c>
      <c r="Q18" s="21">
        <v>44742</v>
      </c>
      <c r="R18" s="22">
        <f t="shared" ref="R18:R32" si="8">VLOOKUP($Q18,$F:$H,2,0)/VLOOKUP($P18,$F:$H,2,0)-1</f>
        <v>0.00384911999999993</v>
      </c>
      <c r="S18" s="22">
        <f t="shared" ref="S18:S32" si="9">VLOOKUP($Q18,$F:$H,3,0)/VLOOKUP($P18,$F:$H,3,0)-1</f>
        <v>0.00390784000000011</v>
      </c>
      <c r="T18" s="22">
        <f t="shared" ref="T18:T32" si="10">R18-S18</f>
        <v>-5.87200000001786e-5</v>
      </c>
    </row>
    <row r="19" s="1" customFormat="1" spans="1:20">
      <c r="A19" s="10" t="s">
        <v>52</v>
      </c>
      <c r="B19" s="24">
        <v>14.42302267</v>
      </c>
      <c r="C19" s="24">
        <v>26.17239232</v>
      </c>
      <c r="D19" s="24">
        <v>22.44849053</v>
      </c>
      <c r="F19" s="13">
        <v>44705</v>
      </c>
      <c r="G19" s="14">
        <v>1.00246802</v>
      </c>
      <c r="H19" s="14">
        <v>1.00197371</v>
      </c>
      <c r="I19" s="3" t="str">
        <f>IF(G19&gt;MAX($G$3:G18),"新高","/")</f>
        <v>新高</v>
      </c>
      <c r="M19" s="4"/>
      <c r="O19" s="12" t="s">
        <v>53</v>
      </c>
      <c r="P19" s="21">
        <v>44742</v>
      </c>
      <c r="Q19" s="21">
        <v>44834</v>
      </c>
      <c r="R19" s="22">
        <f t="shared" si="8"/>
        <v>0.00589993045966919</v>
      </c>
      <c r="S19" s="22">
        <f t="shared" si="9"/>
        <v>0.00501344824640459</v>
      </c>
      <c r="T19" s="22">
        <f t="shared" si="10"/>
        <v>0.000886482213264594</v>
      </c>
    </row>
    <row r="20" s="1" customFormat="1" spans="1:20">
      <c r="A20" s="10" t="s">
        <v>54</v>
      </c>
      <c r="B20" s="24">
        <v>-1.59459661</v>
      </c>
      <c r="C20" s="24">
        <v>-1.59459661</v>
      </c>
      <c r="D20" s="24">
        <v>-1.59459661</v>
      </c>
      <c r="F20" s="13">
        <v>44706</v>
      </c>
      <c r="G20" s="14">
        <v>1.00249812</v>
      </c>
      <c r="H20" s="14">
        <v>1.00202086</v>
      </c>
      <c r="I20" s="3" t="str">
        <f>IF(G20&gt;MAX($G$3:G19),"新高","/")</f>
        <v>新高</v>
      </c>
      <c r="M20" s="4"/>
      <c r="O20" s="12" t="s">
        <v>55</v>
      </c>
      <c r="P20" s="21">
        <v>44834</v>
      </c>
      <c r="Q20" s="21">
        <v>44925</v>
      </c>
      <c r="R20" s="22">
        <f t="shared" si="8"/>
        <v>0.00214629690178691</v>
      </c>
      <c r="S20" s="22">
        <f t="shared" si="9"/>
        <v>0.00401465544740343</v>
      </c>
      <c r="T20" s="22">
        <f t="shared" si="10"/>
        <v>-0.00186835854561651</v>
      </c>
    </row>
    <row r="21" s="1" customFormat="1" spans="1:20">
      <c r="A21" s="10" t="s">
        <v>56</v>
      </c>
      <c r="B21" s="24">
        <v>0.26191524</v>
      </c>
      <c r="C21" s="24">
        <v>-0.11435832</v>
      </c>
      <c r="D21" s="24">
        <v>0.27727267</v>
      </c>
      <c r="F21" s="13">
        <v>44707</v>
      </c>
      <c r="G21" s="14">
        <v>1.00269352</v>
      </c>
      <c r="H21" s="14">
        <v>1.00209326</v>
      </c>
      <c r="I21" s="3" t="str">
        <f>IF(G21&gt;MAX($G$3:G20),"新高","/")</f>
        <v>新高</v>
      </c>
      <c r="M21" s="4"/>
      <c r="O21" s="12" t="s">
        <v>57</v>
      </c>
      <c r="P21" s="21">
        <v>44925</v>
      </c>
      <c r="Q21" s="21">
        <v>45016</v>
      </c>
      <c r="R21" s="22">
        <f t="shared" si="8"/>
        <v>0.00622365558921079</v>
      </c>
      <c r="S21" s="22">
        <f t="shared" si="9"/>
        <v>0.00592984286155307</v>
      </c>
      <c r="T21" s="22">
        <f t="shared" si="10"/>
        <v>0.000293812727657716</v>
      </c>
    </row>
    <row r="22" s="1" customFormat="1" spans="1:20">
      <c r="A22" s="10" t="s">
        <v>58</v>
      </c>
      <c r="B22" s="24">
        <v>-0.88319785</v>
      </c>
      <c r="C22" s="24">
        <v>-0.88563066</v>
      </c>
      <c r="D22" s="24">
        <v>-0.78285458</v>
      </c>
      <c r="F22" s="13">
        <v>44708</v>
      </c>
      <c r="G22" s="14">
        <v>1.00278481</v>
      </c>
      <c r="H22" s="14">
        <v>1.00216621</v>
      </c>
      <c r="I22" s="3" t="str">
        <f>IF(G22&gt;MAX($G$3:G21),"新高","/")</f>
        <v>新高</v>
      </c>
      <c r="M22" s="4"/>
      <c r="O22" s="12" t="s">
        <v>59</v>
      </c>
      <c r="P22" s="21">
        <v>45016</v>
      </c>
      <c r="Q22" s="21">
        <v>45107</v>
      </c>
      <c r="R22" s="22">
        <f t="shared" si="8"/>
        <v>0.00589466898074509</v>
      </c>
      <c r="S22" s="22">
        <f t="shared" si="9"/>
        <v>0.0062750643816083</v>
      </c>
      <c r="T22" s="22">
        <f t="shared" si="10"/>
        <v>-0.000380395400863209</v>
      </c>
    </row>
    <row r="23" s="1" customFormat="1" spans="1:20">
      <c r="A23" s="10" t="s">
        <v>60</v>
      </c>
      <c r="B23" s="11">
        <v>1.143554</v>
      </c>
      <c r="C23" s="11">
        <v>0.080501</v>
      </c>
      <c r="D23" s="11">
        <v>0.971721</v>
      </c>
      <c r="F23" s="13">
        <v>44711</v>
      </c>
      <c r="G23" s="14">
        <v>1.00283768</v>
      </c>
      <c r="H23" s="14">
        <v>1.00231265</v>
      </c>
      <c r="I23" s="3" t="str">
        <f>IF(G23&gt;MAX($G$3:G22),"新高","/")</f>
        <v>新高</v>
      </c>
      <c r="M23" s="4"/>
      <c r="O23" s="12" t="s">
        <v>61</v>
      </c>
      <c r="P23" s="21">
        <v>45107</v>
      </c>
      <c r="Q23" s="21">
        <v>45197</v>
      </c>
      <c r="R23" s="22">
        <f t="shared" si="8"/>
        <v>0.00414489131620388</v>
      </c>
      <c r="S23" s="22">
        <f t="shared" si="9"/>
        <v>0.00455553321289348</v>
      </c>
      <c r="T23" s="22">
        <f t="shared" si="10"/>
        <v>-0.000410641896689601</v>
      </c>
    </row>
    <row r="24" s="1" customFormat="1" spans="1:20">
      <c r="A24" s="10" t="s">
        <v>62</v>
      </c>
      <c r="B24" s="11">
        <v>1</v>
      </c>
      <c r="C24" s="11">
        <v>1</v>
      </c>
      <c r="D24" s="11">
        <v>1</v>
      </c>
      <c r="F24" s="13">
        <v>44712</v>
      </c>
      <c r="G24" s="14">
        <v>1.00271967</v>
      </c>
      <c r="H24" s="14">
        <v>1.00236896</v>
      </c>
      <c r="I24" s="3" t="str">
        <f>IF(G24&gt;MAX($G$3:G23),"新高","/")</f>
        <v>/</v>
      </c>
      <c r="M24" s="4"/>
      <c r="O24" s="12" t="s">
        <v>63</v>
      </c>
      <c r="P24" s="21">
        <v>45197</v>
      </c>
      <c r="Q24" s="21">
        <v>45289</v>
      </c>
      <c r="R24" s="22">
        <f t="shared" si="8"/>
        <v>0.00546370887526848</v>
      </c>
      <c r="S24" s="22">
        <f t="shared" si="9"/>
        <v>0.00596310636292618</v>
      </c>
      <c r="T24" s="22">
        <f t="shared" si="10"/>
        <v>-0.000499397487657705</v>
      </c>
    </row>
    <row r="25" s="1" customFormat="1" spans="1:20">
      <c r="F25" s="13">
        <v>44713</v>
      </c>
      <c r="G25" s="14">
        <v>1.00269027</v>
      </c>
      <c r="H25" s="14">
        <v>1.00239553</v>
      </c>
      <c r="I25" s="3" t="str">
        <f>IF(G25&gt;MAX($G$3:G24),"新高","/")</f>
        <v>/</v>
      </c>
      <c r="M25" s="4"/>
      <c r="O25" s="12" t="s">
        <v>64</v>
      </c>
      <c r="P25" s="21">
        <v>45289</v>
      </c>
      <c r="Q25" s="21">
        <v>45380</v>
      </c>
      <c r="R25" s="22">
        <f t="shared" si="8"/>
        <v>0.00621801179622317</v>
      </c>
      <c r="S25" s="22">
        <f t="shared" si="9"/>
        <v>0.00592374386340744</v>
      </c>
      <c r="T25" s="22">
        <f t="shared" si="10"/>
        <v>0.000294267932815728</v>
      </c>
    </row>
    <row r="26" s="1" customFormat="1" spans="1:20">
      <c r="F26" s="13">
        <v>44714</v>
      </c>
      <c r="G26" s="14">
        <v>1.00257238</v>
      </c>
      <c r="H26" s="14">
        <v>1.00244539</v>
      </c>
      <c r="I26" s="3" t="str">
        <f>IF(G26&gt;MAX($G$3:G25),"新高","/")</f>
        <v>/</v>
      </c>
      <c r="M26" s="4"/>
      <c r="O26" s="12" t="s">
        <v>65</v>
      </c>
      <c r="P26" s="21">
        <v>45380</v>
      </c>
      <c r="Q26" s="21">
        <v>45471</v>
      </c>
      <c r="R26" s="22">
        <f t="shared" si="8"/>
        <v>0.00524334655766578</v>
      </c>
      <c r="S26" s="22">
        <f t="shared" si="9"/>
        <v>0.00529414270369744</v>
      </c>
      <c r="T26" s="22">
        <f t="shared" si="10"/>
        <v>-5.07961460316508e-5</v>
      </c>
    </row>
    <row r="27" s="1" customFormat="1" spans="1:20">
      <c r="F27" s="13">
        <v>44718</v>
      </c>
      <c r="G27" s="14">
        <v>1.00246133</v>
      </c>
      <c r="H27" s="14">
        <v>1.00261033</v>
      </c>
      <c r="I27" s="3" t="str">
        <f>IF(G27&gt;MAX($G$3:G26),"新高","/")</f>
        <v>/</v>
      </c>
      <c r="M27" s="4"/>
      <c r="O27" s="12" t="s">
        <v>66</v>
      </c>
      <c r="P27" s="21">
        <v>45471</v>
      </c>
      <c r="Q27" s="21">
        <v>45565</v>
      </c>
      <c r="R27" s="22">
        <f t="shared" si="8"/>
        <v>0.00343453632688817</v>
      </c>
      <c r="S27" s="22">
        <f t="shared" si="9"/>
        <v>0.00424527938163499</v>
      </c>
      <c r="T27" s="22">
        <f t="shared" si="10"/>
        <v>-0.000810743054746821</v>
      </c>
    </row>
    <row r="28" s="1" customFormat="1" spans="1:20">
      <c r="F28" s="13">
        <v>44719</v>
      </c>
      <c r="G28" s="14">
        <v>1.00236587</v>
      </c>
      <c r="H28" s="14">
        <v>1.00259175</v>
      </c>
      <c r="I28" s="3" t="str">
        <f>IF(G28&gt;MAX($G$3:G27),"新高","/")</f>
        <v>/</v>
      </c>
      <c r="M28" s="4"/>
      <c r="O28" s="12" t="s">
        <v>67</v>
      </c>
      <c r="P28" s="21">
        <v>45565</v>
      </c>
      <c r="Q28" s="21">
        <v>45657</v>
      </c>
      <c r="R28" s="22">
        <f t="shared" si="8"/>
        <v>0.00589697444402404</v>
      </c>
      <c r="S28" s="22">
        <f t="shared" si="9"/>
        <v>0.00519380583608564</v>
      </c>
      <c r="T28" s="22">
        <f t="shared" si="10"/>
        <v>0.000703168607938398</v>
      </c>
    </row>
    <row r="29" s="1" customFormat="1" spans="1:20">
      <c r="F29" s="13">
        <v>44720</v>
      </c>
      <c r="G29" s="14">
        <v>1.00244145</v>
      </c>
      <c r="H29" s="14">
        <v>1.00261357</v>
      </c>
      <c r="I29" s="3" t="str">
        <f>IF(G29&gt;MAX($G$3:G28),"新高","/")</f>
        <v>/</v>
      </c>
      <c r="M29" s="4"/>
      <c r="O29" s="12" t="s">
        <v>68</v>
      </c>
      <c r="P29" s="21">
        <v>45657</v>
      </c>
      <c r="Q29" s="21">
        <v>45747</v>
      </c>
      <c r="R29" s="22">
        <f t="shared" si="8"/>
        <v>0.00258108841451565</v>
      </c>
      <c r="S29" s="22">
        <f t="shared" si="9"/>
        <v>0.00291356392056619</v>
      </c>
      <c r="T29" s="22">
        <f t="shared" si="10"/>
        <v>-0.000332475506050534</v>
      </c>
    </row>
    <row r="30" s="1" customFormat="1" spans="1:20">
      <c r="F30" s="13">
        <v>44721</v>
      </c>
      <c r="G30" s="14">
        <v>1.00255386</v>
      </c>
      <c r="H30" s="14">
        <v>1.00266533</v>
      </c>
      <c r="I30" s="3" t="str">
        <f>IF(G30&gt;MAX($G$3:G29),"新高","/")</f>
        <v>/</v>
      </c>
      <c r="M30" s="4"/>
      <c r="O30" s="12" t="s">
        <v>69</v>
      </c>
      <c r="P30" s="21">
        <v>45747</v>
      </c>
      <c r="Q30" s="21">
        <v>45838</v>
      </c>
      <c r="R30" s="22">
        <f t="shared" si="8"/>
        <v>0.0044779733370921</v>
      </c>
      <c r="S30" s="22">
        <f t="shared" si="9"/>
        <v>0.00416601236174174</v>
      </c>
      <c r="T30" s="22">
        <f t="shared" si="10"/>
        <v>0.000311960975350356</v>
      </c>
    </row>
    <row r="31" s="1" customFormat="1" spans="1:20">
      <c r="F31" s="13">
        <v>44722</v>
      </c>
      <c r="G31" s="14">
        <v>1.00266722</v>
      </c>
      <c r="H31" s="14">
        <v>1.00273807</v>
      </c>
      <c r="I31" s="3" t="str">
        <f>IF(G31&gt;MAX($G$3:G30),"新高","/")</f>
        <v>/</v>
      </c>
      <c r="M31" s="4"/>
      <c r="O31" s="12" t="s">
        <v>70</v>
      </c>
      <c r="P31" s="21">
        <v>45838</v>
      </c>
      <c r="Q31" s="21">
        <v>45930</v>
      </c>
      <c r="R31" s="22">
        <f t="shared" si="8"/>
        <v>0.00231147982845048</v>
      </c>
      <c r="S31" s="22">
        <f t="shared" si="9"/>
        <v>0.00345416831701817</v>
      </c>
      <c r="T31" s="22">
        <f t="shared" si="10"/>
        <v>-0.00114268848856769</v>
      </c>
    </row>
    <row r="32" s="1" customFormat="1" spans="1:20">
      <c r="F32" s="13">
        <v>44725</v>
      </c>
      <c r="G32" s="14">
        <v>1.00277244</v>
      </c>
      <c r="H32" s="14">
        <v>1.00289559</v>
      </c>
      <c r="I32" s="3" t="str">
        <f>IF(G32&gt;MAX($G$3:G31),"新高","/")</f>
        <v>/</v>
      </c>
      <c r="M32" s="4"/>
      <c r="O32" s="12" t="s">
        <v>71</v>
      </c>
      <c r="P32" s="21">
        <v>45930</v>
      </c>
      <c r="Q32" s="21">
        <v>46022</v>
      </c>
      <c r="R32" s="22">
        <f t="shared" si="8"/>
        <v>0.00346272857411534</v>
      </c>
      <c r="S32" s="22">
        <f t="shared" si="9"/>
        <v>0.00323473951202513</v>
      </c>
      <c r="T32" s="22">
        <f t="shared" si="10"/>
        <v>0.000227989062090206</v>
      </c>
    </row>
    <row r="33" s="1" customFormat="1" spans="6:13">
      <c r="F33" s="13">
        <v>44726</v>
      </c>
      <c r="G33" s="14">
        <v>1.00278854</v>
      </c>
      <c r="H33" s="14">
        <v>1.002928</v>
      </c>
      <c r="I33" s="3" t="str">
        <f>IF(G33&gt;MAX($G$3:G32),"新高","/")</f>
        <v>/</v>
      </c>
      <c r="M33" s="4"/>
    </row>
    <row r="34" s="1" customFormat="1" spans="6:13">
      <c r="F34" s="13">
        <v>44727</v>
      </c>
      <c r="G34" s="14">
        <v>1.0028614</v>
      </c>
      <c r="H34" s="14">
        <v>1.00297998</v>
      </c>
      <c r="I34" s="3" t="str">
        <f>IF(G34&gt;MAX($G$3:G33),"新高","/")</f>
        <v>新高</v>
      </c>
      <c r="M34" s="4"/>
    </row>
    <row r="35" s="1" customFormat="1" spans="6:13">
      <c r="F35" s="13">
        <v>44728</v>
      </c>
      <c r="G35" s="14">
        <v>1.00298387</v>
      </c>
      <c r="H35" s="14">
        <v>1.00303795</v>
      </c>
      <c r="I35" s="3" t="str">
        <f>IF(G35&gt;MAX($G$3:G34),"新高","/")</f>
        <v>新高</v>
      </c>
      <c r="M35" s="4"/>
    </row>
    <row r="36" s="1" customFormat="1" spans="6:13">
      <c r="F36" s="13">
        <v>44729</v>
      </c>
      <c r="G36" s="14">
        <v>1.00318213</v>
      </c>
      <c r="H36" s="14">
        <v>1.00313197</v>
      </c>
      <c r="I36" s="3" t="str">
        <f>IF(G36&gt;MAX($G$3:G35),"新高","/")</f>
        <v>新高</v>
      </c>
      <c r="M36" s="4"/>
    </row>
    <row r="37" s="1" customFormat="1" spans="6:13">
      <c r="F37" s="13">
        <v>44732</v>
      </c>
      <c r="G37" s="14">
        <v>1.00331155</v>
      </c>
      <c r="H37" s="14">
        <v>1.00330365</v>
      </c>
      <c r="I37" s="3" t="str">
        <f>IF(G37&gt;MAX($G$3:G36),"新高","/")</f>
        <v>新高</v>
      </c>
      <c r="M37" s="4"/>
    </row>
    <row r="38" s="1" customFormat="1" spans="6:13">
      <c r="F38" s="13">
        <v>44733</v>
      </c>
      <c r="G38" s="14">
        <v>1.00334119</v>
      </c>
      <c r="H38" s="14">
        <v>1.00336159</v>
      </c>
      <c r="I38" s="3" t="str">
        <f>IF(G38&gt;MAX($G$3:G37),"新高","/")</f>
        <v>新高</v>
      </c>
      <c r="M38" s="4"/>
    </row>
    <row r="39" s="1" customFormat="1" spans="6:13">
      <c r="F39" s="13">
        <v>44734</v>
      </c>
      <c r="G39" s="14">
        <v>1.00343881</v>
      </c>
      <c r="H39" s="14">
        <v>1.00341989</v>
      </c>
      <c r="I39" s="3" t="str">
        <f>IF(G39&gt;MAX($G$3:G38),"新高","/")</f>
        <v>新高</v>
      </c>
      <c r="M39" s="4"/>
    </row>
    <row r="40" s="1" customFormat="1" spans="6:13">
      <c r="F40" s="13">
        <v>44735</v>
      </c>
      <c r="G40" s="14">
        <v>1.00358727</v>
      </c>
      <c r="H40" s="14">
        <v>1.00350454</v>
      </c>
      <c r="I40" s="3" t="str">
        <f>IF(G40&gt;MAX($G$3:G39),"新高","/")</f>
        <v>新高</v>
      </c>
      <c r="M40" s="4"/>
    </row>
    <row r="41" s="1" customFormat="1" spans="6:13">
      <c r="F41" s="13">
        <v>44736</v>
      </c>
      <c r="G41" s="14">
        <v>1.00370349</v>
      </c>
      <c r="H41" s="14">
        <v>1.00358981</v>
      </c>
      <c r="I41" s="3" t="str">
        <f>IF(G41&gt;MAX($G$3:G40),"新高","/")</f>
        <v>新高</v>
      </c>
      <c r="M41" s="4"/>
    </row>
    <row r="42" s="1" customFormat="1" spans="6:13">
      <c r="F42" s="13">
        <v>44739</v>
      </c>
      <c r="G42" s="14">
        <v>1.00365934</v>
      </c>
      <c r="H42" s="14">
        <v>1.00371982</v>
      </c>
      <c r="I42" s="3" t="str">
        <f>IF(G42&gt;MAX($G$3:G41),"新高","/")</f>
        <v>/</v>
      </c>
      <c r="M42" s="4"/>
    </row>
    <row r="43" s="1" customFormat="1" spans="6:13">
      <c r="F43" s="13">
        <v>44740</v>
      </c>
      <c r="G43" s="14">
        <v>1.00366169</v>
      </c>
      <c r="H43" s="14">
        <v>1.00374937</v>
      </c>
      <c r="I43" s="3" t="str">
        <f>IF(G43&gt;MAX($G$3:G42),"新高","/")</f>
        <v>/</v>
      </c>
      <c r="M43" s="4"/>
    </row>
    <row r="44" s="1" customFormat="1" spans="6:13">
      <c r="F44" s="13">
        <v>44741</v>
      </c>
      <c r="G44" s="14">
        <v>1.00369107</v>
      </c>
      <c r="H44" s="14">
        <v>1.00381114</v>
      </c>
      <c r="I44" s="3" t="str">
        <f>IF(G44&gt;MAX($G$3:G43),"新高","/")</f>
        <v>/</v>
      </c>
      <c r="M44" s="4"/>
    </row>
    <row r="45" s="1" customFormat="1" spans="6:13">
      <c r="F45" s="13">
        <v>44742</v>
      </c>
      <c r="G45" s="14">
        <v>1.00384912</v>
      </c>
      <c r="H45" s="14">
        <v>1.00390784</v>
      </c>
      <c r="I45" s="3" t="str">
        <f>IF(G45&gt;MAX($G$3:G44),"新高","/")</f>
        <v>新高</v>
      </c>
      <c r="M45" s="4"/>
    </row>
    <row r="46" s="1" customFormat="1" spans="6:13">
      <c r="F46" s="13">
        <v>44743</v>
      </c>
      <c r="G46" s="14">
        <v>1.00401218</v>
      </c>
      <c r="H46" s="14">
        <v>1.00399854</v>
      </c>
      <c r="I46" s="3" t="str">
        <f>IF(G46&gt;MAX($G$3:G45),"新高","/")</f>
        <v>新高</v>
      </c>
      <c r="M46" s="4"/>
    </row>
    <row r="47" s="1" customFormat="1" spans="6:13">
      <c r="F47" s="13">
        <v>44746</v>
      </c>
      <c r="G47" s="14">
        <v>1.00400156</v>
      </c>
      <c r="H47" s="14">
        <v>1.0041333</v>
      </c>
      <c r="I47" s="3" t="str">
        <f>IF(G47&gt;MAX($G$3:G46),"新高","/")</f>
        <v>/</v>
      </c>
      <c r="M47" s="4"/>
    </row>
    <row r="48" s="1" customFormat="1" spans="6:13">
      <c r="F48" s="13">
        <v>44747</v>
      </c>
      <c r="G48" s="14">
        <v>1.00393584</v>
      </c>
      <c r="H48" s="14">
        <v>1.00415678</v>
      </c>
      <c r="I48" s="3" t="str">
        <f>IF(G48&gt;MAX($G$3:G47),"新高","/")</f>
        <v>/</v>
      </c>
      <c r="M48" s="4"/>
    </row>
    <row r="49" s="1" customFormat="1" spans="6:13">
      <c r="F49" s="13">
        <v>44748</v>
      </c>
      <c r="G49" s="14">
        <v>1.00405114</v>
      </c>
      <c r="H49" s="14">
        <v>1.00422042</v>
      </c>
      <c r="I49" s="3" t="str">
        <f>IF(G49&gt;MAX($G$3:G48),"新高","/")</f>
        <v>新高</v>
      </c>
      <c r="M49" s="4"/>
    </row>
    <row r="50" s="1" customFormat="1" spans="6:13">
      <c r="F50" s="13">
        <v>44749</v>
      </c>
      <c r="G50" s="14">
        <v>1.00415881</v>
      </c>
      <c r="H50" s="14">
        <v>1.00430428</v>
      </c>
      <c r="I50" s="3" t="str">
        <f>IF(G50&gt;MAX($G$3:G49),"新高","/")</f>
        <v>新高</v>
      </c>
      <c r="M50" s="4"/>
    </row>
    <row r="51" s="1" customFormat="1" spans="6:13">
      <c r="F51" s="13">
        <v>44750</v>
      </c>
      <c r="G51" s="14">
        <v>1.00427984</v>
      </c>
      <c r="H51" s="14">
        <v>1.00439501</v>
      </c>
      <c r="I51" s="3" t="str">
        <f>IF(G51&gt;MAX($G$3:G50),"新高","/")</f>
        <v>新高</v>
      </c>
      <c r="M51" s="4"/>
    </row>
    <row r="52" s="1" customFormat="1" spans="6:13">
      <c r="F52" s="13">
        <v>44753</v>
      </c>
      <c r="G52" s="14">
        <v>1.00455358</v>
      </c>
      <c r="H52" s="14">
        <v>1.00457965</v>
      </c>
      <c r="I52" s="3" t="str">
        <f>IF(G52&gt;MAX($G$3:G51),"新高","/")</f>
        <v>新高</v>
      </c>
      <c r="M52" s="4"/>
    </row>
    <row r="53" s="1" customFormat="1" spans="6:13">
      <c r="F53" s="13">
        <v>44754</v>
      </c>
      <c r="G53" s="14">
        <v>1.00478836</v>
      </c>
      <c r="H53" s="14">
        <v>1.00466887</v>
      </c>
      <c r="I53" s="3" t="str">
        <f>IF(G53&gt;MAX($G$3:G52),"新高","/")</f>
        <v>新高</v>
      </c>
      <c r="M53" s="4"/>
    </row>
    <row r="54" s="1" customFormat="1" spans="6:13">
      <c r="F54" s="13">
        <v>44755</v>
      </c>
      <c r="G54" s="14">
        <v>1.00494183</v>
      </c>
      <c r="H54" s="14">
        <v>1.00475309</v>
      </c>
      <c r="I54" s="3" t="str">
        <f>IF(G54&gt;MAX($G$3:G53),"新高","/")</f>
        <v>新高</v>
      </c>
      <c r="M54" s="4"/>
    </row>
    <row r="55" s="1" customFormat="1" spans="6:13">
      <c r="F55" s="13">
        <v>44756</v>
      </c>
      <c r="G55" s="14">
        <v>1.00514223</v>
      </c>
      <c r="H55" s="14">
        <v>1.00483789</v>
      </c>
      <c r="I55" s="3" t="str">
        <f>IF(G55&gt;MAX($G$3:G54),"新高","/")</f>
        <v>新高</v>
      </c>
      <c r="M55" s="4"/>
    </row>
    <row r="56" s="1" customFormat="1" spans="6:13">
      <c r="F56" s="13">
        <v>44757</v>
      </c>
      <c r="G56" s="14">
        <v>1.00530986</v>
      </c>
      <c r="H56" s="14">
        <v>1.00493641</v>
      </c>
      <c r="I56" s="3" t="str">
        <f>IF(G56&gt;MAX($G$3:G55),"新高","/")</f>
        <v>新高</v>
      </c>
      <c r="M56" s="4"/>
    </row>
    <row r="57" s="1" customFormat="1" spans="6:13">
      <c r="F57" s="13">
        <v>44760</v>
      </c>
      <c r="G57" s="14">
        <v>1.00564221</v>
      </c>
      <c r="H57" s="14">
        <v>1.00515816</v>
      </c>
      <c r="I57" s="3" t="str">
        <f>IF(G57&gt;MAX($G$3:G56),"新高","/")</f>
        <v>新高</v>
      </c>
      <c r="M57" s="4"/>
    </row>
    <row r="58" s="1" customFormat="1" spans="6:13">
      <c r="F58" s="13">
        <v>44761</v>
      </c>
      <c r="G58" s="14">
        <v>1.00575764</v>
      </c>
      <c r="H58" s="14">
        <v>1.0052506</v>
      </c>
      <c r="I58" s="3" t="str">
        <f>IF(G58&gt;MAX($G$3:G57),"新高","/")</f>
        <v>新高</v>
      </c>
      <c r="M58" s="4"/>
    </row>
    <row r="59" s="1" customFormat="1" spans="6:13">
      <c r="F59" s="13">
        <v>44762</v>
      </c>
      <c r="G59" s="14">
        <v>1.00592046</v>
      </c>
      <c r="H59" s="14">
        <v>1.00531786</v>
      </c>
      <c r="I59" s="3" t="str">
        <f>IF(G59&gt;MAX($G$3:G58),"新高","/")</f>
        <v>新高</v>
      </c>
      <c r="M59" s="4"/>
    </row>
    <row r="60" s="1" customFormat="1" spans="6:13">
      <c r="F60" s="13">
        <v>44763</v>
      </c>
      <c r="G60" s="14">
        <v>1.00615221</v>
      </c>
      <c r="H60" s="14">
        <v>1.00538337</v>
      </c>
      <c r="I60" s="3" t="str">
        <f>IF(G60&gt;MAX($G$3:G59),"新高","/")</f>
        <v>新高</v>
      </c>
      <c r="M60" s="4"/>
    </row>
    <row r="61" s="1" customFormat="1" spans="6:13">
      <c r="F61" s="13">
        <v>44764</v>
      </c>
      <c r="G61" s="14">
        <v>1.00621563</v>
      </c>
      <c r="H61" s="14">
        <v>1.00544649</v>
      </c>
      <c r="I61" s="3" t="str">
        <f>IF(G61&gt;MAX($G$3:G60),"新高","/")</f>
        <v>新高</v>
      </c>
      <c r="M61" s="4"/>
    </row>
    <row r="62" s="1" customFormat="1" spans="6:13">
      <c r="F62" s="13">
        <v>44767</v>
      </c>
      <c r="G62" s="14">
        <v>1.00643674</v>
      </c>
      <c r="H62" s="14">
        <v>1.005627</v>
      </c>
      <c r="I62" s="3" t="str">
        <f>IF(G62&gt;MAX($G$3:G61),"新高","/")</f>
        <v>新高</v>
      </c>
      <c r="M62" s="4"/>
    </row>
    <row r="63" s="1" customFormat="1" spans="6:13">
      <c r="F63" s="13">
        <v>44768</v>
      </c>
      <c r="G63" s="14">
        <v>1.00670795</v>
      </c>
      <c r="H63" s="14">
        <v>1.00571013</v>
      </c>
      <c r="I63" s="3" t="str">
        <f>IF(G63&gt;MAX($G$3:G62),"新高","/")</f>
        <v>新高</v>
      </c>
      <c r="M63" s="4"/>
    </row>
    <row r="64" s="1" customFormat="1" spans="6:13">
      <c r="F64" s="13">
        <v>44769</v>
      </c>
      <c r="G64" s="14">
        <v>1.00681351</v>
      </c>
      <c r="H64" s="14">
        <v>1.00578844</v>
      </c>
      <c r="I64" s="3" t="str">
        <f>IF(G64&gt;MAX($G$3:G63),"新高","/")</f>
        <v>新高</v>
      </c>
      <c r="M64" s="4"/>
    </row>
    <row r="65" s="1" customFormat="1" spans="6:13">
      <c r="F65" s="13">
        <v>44770</v>
      </c>
      <c r="G65" s="14">
        <v>1.0068281</v>
      </c>
      <c r="H65" s="14">
        <v>1.00586036</v>
      </c>
      <c r="I65" s="3" t="str">
        <f>IF(G65&gt;MAX($G$3:G64),"新高","/")</f>
        <v>新高</v>
      </c>
      <c r="M65" s="4"/>
    </row>
    <row r="66" s="1" customFormat="1" spans="6:13">
      <c r="F66" s="13">
        <v>44771</v>
      </c>
      <c r="G66" s="14">
        <v>1.00710834</v>
      </c>
      <c r="H66" s="14">
        <v>1.00595217</v>
      </c>
      <c r="I66" s="3" t="str">
        <f>IF(G66&gt;MAX($G$3:G65),"新高","/")</f>
        <v>新高</v>
      </c>
      <c r="M66" s="4"/>
    </row>
    <row r="67" s="1" customFormat="1" spans="6:13">
      <c r="F67" s="13">
        <v>44774</v>
      </c>
      <c r="G67" s="14">
        <v>1.00748286</v>
      </c>
      <c r="H67" s="14">
        <v>1.00620953</v>
      </c>
      <c r="I67" s="3" t="str">
        <f>IF(G67&gt;MAX($G$3:G66),"新高","/")</f>
        <v>新高</v>
      </c>
      <c r="M67" s="4"/>
    </row>
    <row r="68" s="1" customFormat="1" spans="6:13">
      <c r="F68" s="13">
        <v>44775</v>
      </c>
      <c r="G68" s="14">
        <v>1.00772161</v>
      </c>
      <c r="H68" s="14">
        <v>1.00636476</v>
      </c>
      <c r="I68" s="3" t="str">
        <f>IF(G68&gt;MAX($G$3:G67),"新高","/")</f>
        <v>新高</v>
      </c>
      <c r="M68" s="4"/>
    </row>
    <row r="69" s="1" customFormat="1" spans="6:13">
      <c r="F69" s="13">
        <v>44776</v>
      </c>
      <c r="G69" s="14">
        <v>1.00788351</v>
      </c>
      <c r="H69" s="14">
        <v>1.00643837</v>
      </c>
      <c r="I69" s="3" t="str">
        <f>IF(G69&gt;MAX($G$3:G68),"新高","/")</f>
        <v>新高</v>
      </c>
      <c r="M69" s="4"/>
    </row>
    <row r="70" s="1" customFormat="1" spans="6:13">
      <c r="F70" s="13">
        <v>44777</v>
      </c>
      <c r="G70" s="14">
        <v>1.00809594</v>
      </c>
      <c r="H70" s="14">
        <v>1.0065294</v>
      </c>
      <c r="I70" s="3" t="str">
        <f>IF(G70&gt;MAX($G$3:G69),"新高","/")</f>
        <v>新高</v>
      </c>
      <c r="M70" s="4"/>
    </row>
    <row r="71" s="1" customFormat="1" spans="6:13">
      <c r="F71" s="13">
        <v>44778</v>
      </c>
      <c r="G71" s="14">
        <v>1.00810846</v>
      </c>
      <c r="H71" s="14">
        <v>1.00659432</v>
      </c>
      <c r="I71" s="3" t="str">
        <f>IF(G71&gt;MAX($G$3:G70),"新高","/")</f>
        <v>新高</v>
      </c>
      <c r="M71" s="4"/>
    </row>
    <row r="72" s="1" customFormat="1" spans="6:13">
      <c r="F72" s="13">
        <v>44781</v>
      </c>
      <c r="G72" s="14">
        <v>1.00816044</v>
      </c>
      <c r="H72" s="14">
        <v>1.00671467</v>
      </c>
      <c r="I72" s="3" t="str">
        <f>IF(G72&gt;MAX($G$3:G71),"新高","/")</f>
        <v>新高</v>
      </c>
      <c r="M72" s="4"/>
    </row>
    <row r="73" s="1" customFormat="1" spans="6:13">
      <c r="F73" s="13">
        <v>44782</v>
      </c>
      <c r="G73" s="14">
        <v>1.00807303</v>
      </c>
      <c r="H73" s="14">
        <v>1.00670467</v>
      </c>
      <c r="I73" s="3" t="str">
        <f>IF(G73&gt;MAX($G$3:G72),"新高","/")</f>
        <v>/</v>
      </c>
      <c r="M73" s="4"/>
    </row>
    <row r="74" s="1" customFormat="1" spans="6:13">
      <c r="F74" s="13">
        <v>44783</v>
      </c>
      <c r="G74" s="14">
        <v>1.00804611</v>
      </c>
      <c r="H74" s="14">
        <v>1.00672736</v>
      </c>
      <c r="I74" s="3" t="str">
        <f>IF(G74&gt;MAX($G$3:G73),"新高","/")</f>
        <v>/</v>
      </c>
      <c r="M74" s="4"/>
    </row>
    <row r="75" s="1" customFormat="1" spans="6:13">
      <c r="F75" s="13">
        <v>44784</v>
      </c>
      <c r="G75" s="14">
        <v>1.00800036</v>
      </c>
      <c r="H75" s="14">
        <v>1.00672978</v>
      </c>
      <c r="I75" s="3" t="str">
        <f>IF(G75&gt;MAX($G$3:G74),"新高","/")</f>
        <v>/</v>
      </c>
      <c r="M75" s="4"/>
    </row>
    <row r="76" s="1" customFormat="1" spans="6:13">
      <c r="F76" s="13">
        <v>44785</v>
      </c>
      <c r="G76" s="14">
        <v>1.00802537</v>
      </c>
      <c r="H76" s="14">
        <v>1.00677411</v>
      </c>
      <c r="I76" s="3" t="str">
        <f>IF(G76&gt;MAX($G$3:G75),"新高","/")</f>
        <v>/</v>
      </c>
      <c r="M76" s="4"/>
    </row>
    <row r="77" s="1" customFormat="1" spans="6:13">
      <c r="F77" s="13">
        <v>44788</v>
      </c>
      <c r="G77" s="14">
        <v>1.00831639</v>
      </c>
      <c r="H77" s="14">
        <v>1.00703893</v>
      </c>
      <c r="I77" s="3" t="str">
        <f>IF(G77&gt;MAX($G$3:G76),"新高","/")</f>
        <v>新高</v>
      </c>
      <c r="M77" s="4"/>
    </row>
    <row r="78" s="1" customFormat="1" spans="6:13">
      <c r="F78" s="13">
        <v>44789</v>
      </c>
      <c r="G78" s="14">
        <v>1.00846855</v>
      </c>
      <c r="H78" s="14">
        <v>1.00714561</v>
      </c>
      <c r="I78" s="3" t="str">
        <f>IF(G78&gt;MAX($G$3:G77),"新高","/")</f>
        <v>新高</v>
      </c>
      <c r="M78" s="4"/>
    </row>
    <row r="79" s="1" customFormat="1" spans="6:13">
      <c r="F79" s="13">
        <v>44790</v>
      </c>
      <c r="G79" s="14">
        <v>1.00848497</v>
      </c>
      <c r="H79" s="14">
        <v>1.00716917</v>
      </c>
      <c r="I79" s="3" t="str">
        <f>IF(G79&gt;MAX($G$3:G78),"新高","/")</f>
        <v>新高</v>
      </c>
      <c r="M79" s="4"/>
    </row>
    <row r="80" s="1" customFormat="1" spans="6:13">
      <c r="F80" s="13">
        <v>44791</v>
      </c>
      <c r="G80" s="14">
        <v>1.00855549</v>
      </c>
      <c r="H80" s="14">
        <v>1.00721071</v>
      </c>
      <c r="I80" s="3" t="str">
        <f>IF(G80&gt;MAX($G$3:G79),"新高","/")</f>
        <v>新高</v>
      </c>
      <c r="M80" s="4"/>
    </row>
    <row r="81" s="1" customFormat="1" spans="6:13">
      <c r="F81" s="13">
        <v>44792</v>
      </c>
      <c r="G81" s="14">
        <v>1.00858457</v>
      </c>
      <c r="H81" s="14">
        <v>1.00725375</v>
      </c>
      <c r="I81" s="3" t="str">
        <f>IF(G81&gt;MAX($G$3:G80),"新高","/")</f>
        <v>新高</v>
      </c>
      <c r="M81" s="4"/>
    </row>
    <row r="82" s="1" customFormat="1" spans="6:13">
      <c r="F82" s="13">
        <v>44795</v>
      </c>
      <c r="G82" s="14">
        <v>1.00868778</v>
      </c>
      <c r="H82" s="14">
        <v>1.0073822</v>
      </c>
      <c r="I82" s="3" t="str">
        <f>IF(G82&gt;MAX($G$3:G81),"新高","/")</f>
        <v>新高</v>
      </c>
      <c r="M82" s="4"/>
    </row>
    <row r="83" s="1" customFormat="1" spans="6:13">
      <c r="F83" s="13">
        <v>44796</v>
      </c>
      <c r="G83" s="14">
        <v>1.00865675</v>
      </c>
      <c r="H83" s="14">
        <v>1.00740232</v>
      </c>
      <c r="I83" s="3" t="str">
        <f>IF(G83&gt;MAX($G$3:G82),"新高","/")</f>
        <v>/</v>
      </c>
      <c r="M83" s="4"/>
    </row>
    <row r="84" s="1" customFormat="1" spans="6:13">
      <c r="F84" s="13">
        <v>44797</v>
      </c>
      <c r="G84" s="14">
        <v>1.00865144</v>
      </c>
      <c r="H84" s="14">
        <v>1.00742487</v>
      </c>
      <c r="I84" s="3" t="str">
        <f>IF(G84&gt;MAX($G$3:G83),"新高","/")</f>
        <v>/</v>
      </c>
      <c r="M84" s="4"/>
    </row>
    <row r="85" s="1" customFormat="1" spans="6:13">
      <c r="F85" s="13">
        <v>44798</v>
      </c>
      <c r="G85" s="14">
        <v>1.00862582</v>
      </c>
      <c r="H85" s="14">
        <v>1.00744631</v>
      </c>
      <c r="I85" s="3" t="str">
        <f>IF(G85&gt;MAX($G$3:G84),"新高","/")</f>
        <v>/</v>
      </c>
      <c r="M85" s="4"/>
    </row>
    <row r="86" s="1" customFormat="1" spans="6:13">
      <c r="F86" s="13">
        <v>44799</v>
      </c>
      <c r="G86" s="14">
        <v>1.00859176</v>
      </c>
      <c r="H86" s="14">
        <v>1.00744931</v>
      </c>
      <c r="I86" s="3" t="str">
        <f>IF(G86&gt;MAX($G$3:G85),"新高","/")</f>
        <v>/</v>
      </c>
      <c r="M86" s="4"/>
    </row>
    <row r="87" s="1" customFormat="1" spans="6:13">
      <c r="F87" s="13">
        <v>44802</v>
      </c>
      <c r="G87" s="14">
        <v>1.0087279</v>
      </c>
      <c r="H87" s="14">
        <v>1.00758507</v>
      </c>
      <c r="I87" s="3" t="str">
        <f>IF(G87&gt;MAX($G$3:G86),"新高","/")</f>
        <v>新高</v>
      </c>
      <c r="M87" s="4"/>
    </row>
    <row r="88" s="1" customFormat="1" spans="6:13">
      <c r="F88" s="13">
        <v>44803</v>
      </c>
      <c r="G88" s="14">
        <v>1.00882278</v>
      </c>
      <c r="H88" s="14">
        <v>1.00765416</v>
      </c>
      <c r="I88" s="3" t="str">
        <f>IF(G88&gt;MAX($G$3:G87),"新高","/")</f>
        <v>新高</v>
      </c>
      <c r="M88" s="4"/>
    </row>
    <row r="89" s="1" customFormat="1" spans="6:13">
      <c r="F89" s="13">
        <v>44804</v>
      </c>
      <c r="G89" s="14">
        <v>1.00891598</v>
      </c>
      <c r="H89" s="14">
        <v>1.00770672</v>
      </c>
      <c r="I89" s="3" t="str">
        <f>IF(G89&gt;MAX($G$3:G88),"新高","/")</f>
        <v>新高</v>
      </c>
      <c r="M89" s="4"/>
    </row>
    <row r="90" s="1" customFormat="1" spans="6:13">
      <c r="F90" s="13">
        <v>44805</v>
      </c>
      <c r="G90" s="14">
        <v>1.00897877</v>
      </c>
      <c r="H90" s="14">
        <v>1.00775829</v>
      </c>
      <c r="I90" s="3" t="str">
        <f>IF(G90&gt;MAX($G$3:G89),"新高","/")</f>
        <v>新高</v>
      </c>
      <c r="M90" s="4"/>
    </row>
    <row r="91" s="1" customFormat="1" spans="6:13">
      <c r="F91" s="13">
        <v>44806</v>
      </c>
      <c r="G91" s="14">
        <v>1.00903497</v>
      </c>
      <c r="H91" s="14">
        <v>1.0078299</v>
      </c>
      <c r="I91" s="3" t="str">
        <f>IF(G91&gt;MAX($G$3:G90),"新高","/")</f>
        <v>新高</v>
      </c>
      <c r="M91" s="4"/>
    </row>
    <row r="92" s="1" customFormat="1" spans="6:13">
      <c r="F92" s="13">
        <v>44809</v>
      </c>
      <c r="G92" s="14">
        <v>1.00917667</v>
      </c>
      <c r="H92" s="14">
        <v>1.00800189</v>
      </c>
      <c r="I92" s="3" t="str">
        <f>IF(G92&gt;MAX($G$3:G91),"新高","/")</f>
        <v>新高</v>
      </c>
      <c r="M92" s="4"/>
    </row>
    <row r="93" s="1" customFormat="1" spans="6:13">
      <c r="F93" s="13">
        <v>44810</v>
      </c>
      <c r="G93" s="14">
        <v>1.00925317</v>
      </c>
      <c r="H93" s="14">
        <v>1.00806312</v>
      </c>
      <c r="I93" s="3" t="str">
        <f>IF(G93&gt;MAX($G$3:G92),"新高","/")</f>
        <v>新高</v>
      </c>
      <c r="M93" s="4"/>
    </row>
    <row r="94" s="1" customFormat="1" spans="6:13">
      <c r="F94" s="13">
        <v>44811</v>
      </c>
      <c r="G94" s="14">
        <v>1.00926941</v>
      </c>
      <c r="H94" s="14">
        <v>1.00812252</v>
      </c>
      <c r="I94" s="3" t="str">
        <f>IF(G94&gt;MAX($G$3:G93),"新高","/")</f>
        <v>新高</v>
      </c>
      <c r="M94" s="4"/>
    </row>
    <row r="95" s="1" customFormat="1" spans="6:13">
      <c r="F95" s="13">
        <v>44812</v>
      </c>
      <c r="G95" s="14">
        <v>1.00933207</v>
      </c>
      <c r="H95" s="14">
        <v>1.00816182</v>
      </c>
      <c r="I95" s="3" t="str">
        <f>IF(G95&gt;MAX($G$3:G94),"新高","/")</f>
        <v>新高</v>
      </c>
      <c r="M95" s="4"/>
    </row>
    <row r="96" s="1" customFormat="1" spans="6:13">
      <c r="F96" s="13">
        <v>44813</v>
      </c>
      <c r="G96" s="14">
        <v>1.00936895</v>
      </c>
      <c r="H96" s="14">
        <v>1.00820471</v>
      </c>
      <c r="I96" s="3" t="str">
        <f>IF(G96&gt;MAX($G$3:G95),"新高","/")</f>
        <v>新高</v>
      </c>
      <c r="M96" s="4"/>
    </row>
    <row r="97" s="1" customFormat="1" spans="6:13">
      <c r="F97" s="13">
        <v>44817</v>
      </c>
      <c r="G97" s="14">
        <v>1.00950513</v>
      </c>
      <c r="H97" s="14">
        <v>1.00839859</v>
      </c>
      <c r="I97" s="3" t="str">
        <f>IF(G97&gt;MAX($G$3:G96),"新高","/")</f>
        <v>新高</v>
      </c>
      <c r="M97" s="4"/>
    </row>
    <row r="98" s="1" customFormat="1" spans="6:13">
      <c r="F98" s="13">
        <v>44818</v>
      </c>
      <c r="G98" s="14">
        <v>1.00951251</v>
      </c>
      <c r="H98" s="14">
        <v>1.00841246</v>
      </c>
      <c r="I98" s="3" t="str">
        <f>IF(G98&gt;MAX($G$3:G97),"新高","/")</f>
        <v>新高</v>
      </c>
      <c r="M98" s="4"/>
    </row>
    <row r="99" s="1" customFormat="1" spans="6:13">
      <c r="F99" s="13">
        <v>44819</v>
      </c>
      <c r="G99" s="14">
        <v>1.00955746</v>
      </c>
      <c r="H99" s="14">
        <v>1.00844317</v>
      </c>
      <c r="I99" s="3" t="str">
        <f>IF(G99&gt;MAX($G$3:G98),"新高","/")</f>
        <v>新高</v>
      </c>
      <c r="M99" s="4"/>
    </row>
    <row r="100" s="1" customFormat="1" spans="6:13">
      <c r="F100" s="13">
        <v>44820</v>
      </c>
      <c r="G100" s="14">
        <v>1.00955293</v>
      </c>
      <c r="H100" s="14">
        <v>1.00846262</v>
      </c>
      <c r="I100" s="3" t="str">
        <f>IF(G100&gt;MAX($G$3:G99),"新高","/")</f>
        <v>/</v>
      </c>
      <c r="M100" s="4"/>
    </row>
    <row r="101" s="1" customFormat="1" spans="6:13">
      <c r="F101" s="13">
        <v>44823</v>
      </c>
      <c r="G101" s="14">
        <v>1.00961062</v>
      </c>
      <c r="H101" s="14">
        <v>1.00857849</v>
      </c>
      <c r="I101" s="3" t="str">
        <f>IF(G101&gt;MAX($G$3:G100),"新高","/")</f>
        <v>新高</v>
      </c>
      <c r="M101" s="4"/>
    </row>
    <row r="102" s="1" customFormat="1" spans="6:13">
      <c r="F102" s="13">
        <v>44824</v>
      </c>
      <c r="G102" s="14">
        <v>1.00964538</v>
      </c>
      <c r="H102" s="14">
        <v>1.00861959</v>
      </c>
      <c r="I102" s="3" t="str">
        <f>IF(G102&gt;MAX($G$3:G101),"新高","/")</f>
        <v>新高</v>
      </c>
      <c r="M102" s="4"/>
    </row>
    <row r="103" s="1" customFormat="1" spans="6:13">
      <c r="F103" s="13">
        <v>44825</v>
      </c>
      <c r="G103" s="14">
        <v>1.00969131</v>
      </c>
      <c r="H103" s="14">
        <v>1.00865638</v>
      </c>
      <c r="I103" s="3" t="str">
        <f>IF(G103&gt;MAX($G$3:G102),"新高","/")</f>
        <v>新高</v>
      </c>
      <c r="M103" s="4"/>
    </row>
    <row r="104" s="1" customFormat="1" spans="6:13">
      <c r="F104" s="13">
        <v>44826</v>
      </c>
      <c r="G104" s="14">
        <v>1.00975905</v>
      </c>
      <c r="H104" s="14">
        <v>1.00870998</v>
      </c>
      <c r="I104" s="3" t="str">
        <f>IF(G104&gt;MAX($G$3:G103),"新高","/")</f>
        <v>新高</v>
      </c>
      <c r="M104" s="4"/>
    </row>
    <row r="105" s="1" customFormat="1" spans="6:13">
      <c r="F105" s="13">
        <v>44827</v>
      </c>
      <c r="G105" s="14">
        <v>1.00978398</v>
      </c>
      <c r="H105" s="14">
        <v>1.00876262</v>
      </c>
      <c r="I105" s="3" t="str">
        <f>IF(G105&gt;MAX($G$3:G104),"新高","/")</f>
        <v>新高</v>
      </c>
      <c r="M105" s="4"/>
    </row>
    <row r="106" s="1" customFormat="1" spans="6:13">
      <c r="F106" s="13">
        <v>44830</v>
      </c>
      <c r="G106" s="14">
        <v>1.00979188</v>
      </c>
      <c r="H106" s="14">
        <v>1.00885244</v>
      </c>
      <c r="I106" s="3" t="str">
        <f>IF(G106&gt;MAX($G$3:G105),"新高","/")</f>
        <v>新高</v>
      </c>
      <c r="M106" s="4"/>
    </row>
    <row r="107" s="1" customFormat="1" spans="6:13">
      <c r="F107" s="13">
        <v>44831</v>
      </c>
      <c r="G107" s="14">
        <v>1.00972087</v>
      </c>
      <c r="H107" s="14">
        <v>1.00886517</v>
      </c>
      <c r="I107" s="3" t="str">
        <f>IF(G107&gt;MAX($G$3:G106),"新高","/")</f>
        <v>/</v>
      </c>
      <c r="M107" s="4"/>
    </row>
    <row r="108" s="1" customFormat="1" spans="6:13">
      <c r="F108" s="13">
        <v>44832</v>
      </c>
      <c r="G108" s="14">
        <v>1.00968791</v>
      </c>
      <c r="H108" s="14">
        <v>1.00887299</v>
      </c>
      <c r="I108" s="3" t="str">
        <f>IF(G108&gt;MAX($G$3:G107),"新高","/")</f>
        <v>/</v>
      </c>
      <c r="M108" s="4"/>
    </row>
    <row r="109" s="1" customFormat="1" spans="6:13">
      <c r="F109" s="13">
        <v>44833</v>
      </c>
      <c r="G109" s="14">
        <v>1.00971689</v>
      </c>
      <c r="H109" s="14">
        <v>1.00889287</v>
      </c>
      <c r="I109" s="3" t="str">
        <f>IF(G109&gt;MAX($G$3:G108),"新高","/")</f>
        <v>/</v>
      </c>
      <c r="M109" s="4"/>
    </row>
    <row r="110" s="1" customFormat="1" spans="6:13">
      <c r="F110" s="13">
        <v>44834</v>
      </c>
      <c r="G110" s="14">
        <v>1.00977176</v>
      </c>
      <c r="H110" s="14">
        <v>1.00894088</v>
      </c>
      <c r="I110" s="3" t="str">
        <f>IF(G110&gt;MAX($G$3:G109),"新高","/")</f>
        <v>/</v>
      </c>
      <c r="M110" s="4"/>
    </row>
    <row r="111" s="1" customFormat="1" spans="6:13">
      <c r="F111" s="13">
        <v>44844</v>
      </c>
      <c r="G111" s="14">
        <v>1.01047224</v>
      </c>
      <c r="H111" s="14">
        <v>1.00964341</v>
      </c>
      <c r="I111" s="3" t="str">
        <f>IF(G111&gt;MAX($G$3:G110),"新高","/")</f>
        <v>新高</v>
      </c>
      <c r="M111" s="4"/>
    </row>
    <row r="112" s="1" customFormat="1" spans="6:13">
      <c r="F112" s="13">
        <v>44845</v>
      </c>
      <c r="G112" s="14">
        <v>1.01051159</v>
      </c>
      <c r="H112" s="14">
        <v>1.00970901</v>
      </c>
      <c r="I112" s="3" t="str">
        <f>IF(G112&gt;MAX($G$3:G111),"新高","/")</f>
        <v>新高</v>
      </c>
      <c r="M112" s="4"/>
    </row>
    <row r="113" s="1" customFormat="1" spans="6:13">
      <c r="F113" s="13">
        <v>44846</v>
      </c>
      <c r="G113" s="14">
        <v>1.0105751</v>
      </c>
      <c r="H113" s="14">
        <v>1.0097469</v>
      </c>
      <c r="I113" s="3" t="str">
        <f>IF(G113&gt;MAX($G$3:G112),"新高","/")</f>
        <v>新高</v>
      </c>
      <c r="M113" s="4"/>
    </row>
    <row r="114" s="1" customFormat="1" spans="6:13">
      <c r="F114" s="13">
        <v>44847</v>
      </c>
      <c r="G114" s="14">
        <v>1.01061098</v>
      </c>
      <c r="H114" s="14">
        <v>1.00980804</v>
      </c>
      <c r="I114" s="3" t="str">
        <f>IF(G114&gt;MAX($G$3:G113),"新高","/")</f>
        <v>新高</v>
      </c>
      <c r="M114" s="4"/>
    </row>
    <row r="115" s="1" customFormat="1" spans="6:13">
      <c r="F115" s="13">
        <v>44848</v>
      </c>
      <c r="G115" s="14">
        <v>1.01069371</v>
      </c>
      <c r="H115" s="14">
        <v>1.00987308</v>
      </c>
      <c r="I115" s="3" t="str">
        <f>IF(G115&gt;MAX($G$3:G114),"新高","/")</f>
        <v>新高</v>
      </c>
      <c r="M115" s="4"/>
    </row>
    <row r="116" s="1" customFormat="1" spans="6:13">
      <c r="F116" s="13">
        <v>44851</v>
      </c>
      <c r="G116" s="14">
        <v>1.01081728</v>
      </c>
      <c r="H116" s="14">
        <v>1.0100284</v>
      </c>
      <c r="I116" s="3" t="str">
        <f>IF(G116&gt;MAX($G$3:G115),"新高","/")</f>
        <v>新高</v>
      </c>
      <c r="M116" s="4"/>
    </row>
    <row r="117" s="1" customFormat="1" spans="6:13">
      <c r="F117" s="13">
        <v>44852</v>
      </c>
      <c r="G117" s="14">
        <v>1.01085627</v>
      </c>
      <c r="H117" s="14">
        <v>1.01007783</v>
      </c>
      <c r="I117" s="3" t="str">
        <f>IF(G117&gt;MAX($G$3:G116),"新高","/")</f>
        <v>新高</v>
      </c>
      <c r="M117" s="4"/>
    </row>
    <row r="118" s="1" customFormat="1" spans="6:13">
      <c r="F118" s="13">
        <v>44853</v>
      </c>
      <c r="G118" s="14">
        <v>1.01093499</v>
      </c>
      <c r="H118" s="14">
        <v>1.0101347</v>
      </c>
      <c r="I118" s="3" t="str">
        <f>IF(G118&gt;MAX($G$3:G117),"新高","/")</f>
        <v>新高</v>
      </c>
      <c r="M118" s="4"/>
    </row>
    <row r="119" s="1" customFormat="1" spans="6:13">
      <c r="F119" s="13">
        <v>44854</v>
      </c>
      <c r="G119" s="14">
        <v>1.01094983</v>
      </c>
      <c r="H119" s="14">
        <v>1.01018063</v>
      </c>
      <c r="I119" s="3" t="str">
        <f>IF(G119&gt;MAX($G$3:G118),"新高","/")</f>
        <v>新高</v>
      </c>
      <c r="M119" s="4"/>
    </row>
    <row r="120" s="1" customFormat="1" spans="6:13">
      <c r="F120" s="13">
        <v>44855</v>
      </c>
      <c r="G120" s="14">
        <v>1.01097978</v>
      </c>
      <c r="H120" s="14">
        <v>1.01022027</v>
      </c>
      <c r="I120" s="3" t="str">
        <f>IF(G120&gt;MAX($G$3:G119),"新高","/")</f>
        <v>新高</v>
      </c>
      <c r="M120" s="4"/>
    </row>
    <row r="121" s="1" customFormat="1" spans="6:13">
      <c r="F121" s="13">
        <v>44858</v>
      </c>
      <c r="G121" s="14">
        <v>1.01107156</v>
      </c>
      <c r="H121" s="14">
        <v>1.01034478</v>
      </c>
      <c r="I121" s="3" t="str">
        <f>IF(G121&gt;MAX($G$3:G120),"新高","/")</f>
        <v>新高</v>
      </c>
      <c r="M121" s="4"/>
    </row>
    <row r="122" s="1" customFormat="1" spans="6:13">
      <c r="F122" s="13">
        <v>44859</v>
      </c>
      <c r="G122" s="14">
        <v>1.0110577</v>
      </c>
      <c r="H122" s="14">
        <v>1.01035212</v>
      </c>
      <c r="I122" s="3" t="str">
        <f>IF(G122&gt;MAX($G$3:G121),"新高","/")</f>
        <v>/</v>
      </c>
      <c r="M122" s="4"/>
    </row>
    <row r="123" s="1" customFormat="1" spans="6:13">
      <c r="F123" s="13">
        <v>44860</v>
      </c>
      <c r="G123" s="14">
        <v>1.01108585</v>
      </c>
      <c r="H123" s="14">
        <v>1.01039436</v>
      </c>
      <c r="I123" s="3" t="str">
        <f>IF(G123&gt;MAX($G$3:G122),"新高","/")</f>
        <v>新高</v>
      </c>
      <c r="M123" s="4"/>
    </row>
    <row r="124" s="1" customFormat="1" spans="6:13">
      <c r="F124" s="13">
        <v>44861</v>
      </c>
      <c r="G124" s="14">
        <v>1.0111258</v>
      </c>
      <c r="H124" s="14">
        <v>1.01047634</v>
      </c>
      <c r="I124" s="3" t="str">
        <f>IF(G124&gt;MAX($G$3:G123),"新高","/")</f>
        <v>新高</v>
      </c>
      <c r="J124" s="26">
        <f t="shared" ref="J124:J187" si="11">G124/G3-1</f>
        <v>0.0111258000000001</v>
      </c>
      <c r="M124" s="4"/>
    </row>
    <row r="125" s="1" customFormat="1" spans="6:13">
      <c r="F125" s="13">
        <v>44862</v>
      </c>
      <c r="G125" s="14">
        <v>1.01120392</v>
      </c>
      <c r="H125" s="14">
        <v>1.01054807</v>
      </c>
      <c r="I125" s="3" t="str">
        <f>IF(G125&gt;MAX($G$3:G124),"新高","/")</f>
        <v>新高</v>
      </c>
      <c r="J125" s="26">
        <f t="shared" si="11"/>
        <v>0.0111252544552034</v>
      </c>
      <c r="M125" s="4"/>
    </row>
    <row r="126" s="1" customFormat="1" spans="6:13">
      <c r="F126" s="13">
        <v>44865</v>
      </c>
      <c r="G126" s="14">
        <v>1.01134869</v>
      </c>
      <c r="H126" s="14">
        <v>1.01071677</v>
      </c>
      <c r="I126" s="3" t="str">
        <f>IF(G126&gt;MAX($G$3:G125),"新高","/")</f>
        <v>新高</v>
      </c>
      <c r="J126" s="26">
        <f t="shared" si="11"/>
        <v>0.0112127122265868</v>
      </c>
      <c r="M126" s="4"/>
    </row>
    <row r="127" s="1" customFormat="1" spans="6:13">
      <c r="F127" s="13">
        <v>44866</v>
      </c>
      <c r="G127" s="14">
        <v>1.01135768</v>
      </c>
      <c r="H127" s="14">
        <v>1.01074714</v>
      </c>
      <c r="I127" s="3" t="str">
        <f>IF(G127&gt;MAX($G$3:G126),"新高","/")</f>
        <v>新高</v>
      </c>
      <c r="J127" s="26">
        <f t="shared" si="11"/>
        <v>0.0108349671301471</v>
      </c>
      <c r="M127" s="4"/>
    </row>
    <row r="128" s="1" customFormat="1" spans="6:13">
      <c r="F128" s="13">
        <v>44867</v>
      </c>
      <c r="G128" s="14">
        <v>1.01137411</v>
      </c>
      <c r="H128" s="14">
        <v>1.01074407</v>
      </c>
      <c r="I128" s="3" t="str">
        <f>IF(G128&gt;MAX($G$3:G127),"新高","/")</f>
        <v>新高</v>
      </c>
      <c r="J128" s="26">
        <f t="shared" si="11"/>
        <v>0.0108196754080385</v>
      </c>
      <c r="M128" s="4"/>
    </row>
    <row r="129" s="1" customFormat="1" spans="6:13">
      <c r="F129" s="13">
        <v>44868</v>
      </c>
      <c r="G129" s="14">
        <v>1.01139939</v>
      </c>
      <c r="H129" s="14">
        <v>1.01078279</v>
      </c>
      <c r="I129" s="3" t="str">
        <f>IF(G129&gt;MAX($G$3:G128),"新高","/")</f>
        <v>新高</v>
      </c>
      <c r="J129" s="26">
        <f t="shared" si="11"/>
        <v>0.0105676221072721</v>
      </c>
      <c r="M129" s="4"/>
    </row>
    <row r="130" s="1" customFormat="1" spans="6:13">
      <c r="F130" s="13">
        <v>44869</v>
      </c>
      <c r="G130" s="14">
        <v>1.01139761</v>
      </c>
      <c r="H130" s="14">
        <v>1.0108262</v>
      </c>
      <c r="I130" s="3" t="str">
        <f>IF(G130&gt;MAX($G$3:G129),"新高","/")</f>
        <v>/</v>
      </c>
      <c r="J130" s="26">
        <f t="shared" si="11"/>
        <v>0.010382609941531</v>
      </c>
      <c r="M130" s="4"/>
    </row>
    <row r="131" s="1" customFormat="1" spans="6:13">
      <c r="F131" s="13">
        <v>44872</v>
      </c>
      <c r="G131" s="14">
        <v>1.0114904</v>
      </c>
      <c r="H131" s="14">
        <v>1.01092369</v>
      </c>
      <c r="I131" s="3" t="str">
        <f>IF(G131&gt;MAX($G$3:G130),"新高","/")</f>
        <v>新高</v>
      </c>
      <c r="J131" s="26">
        <f t="shared" si="11"/>
        <v>0.0103612001155269</v>
      </c>
      <c r="M131" s="4"/>
    </row>
    <row r="132" s="1" customFormat="1" spans="6:13">
      <c r="F132" s="13">
        <v>44873</v>
      </c>
      <c r="G132" s="14">
        <v>1.01143646</v>
      </c>
      <c r="H132" s="14">
        <v>1.01090053</v>
      </c>
      <c r="I132" s="3" t="str">
        <f>IF(G132&gt;MAX($G$3:G131),"新高","/")</f>
        <v>/</v>
      </c>
      <c r="J132" s="26">
        <f t="shared" si="11"/>
        <v>0.0101595879760108</v>
      </c>
      <c r="M132" s="4"/>
    </row>
    <row r="133" s="1" customFormat="1" spans="6:13">
      <c r="F133" s="13">
        <v>44874</v>
      </c>
      <c r="G133" s="14">
        <v>1.01142975</v>
      </c>
      <c r="H133" s="14">
        <v>1.01090927</v>
      </c>
      <c r="I133" s="3" t="str">
        <f>IF(G133&gt;MAX($G$3:G132),"新高","/")</f>
        <v>/</v>
      </c>
      <c r="J133" s="26">
        <f t="shared" si="11"/>
        <v>0.00999407372402361</v>
      </c>
      <c r="M133" s="4"/>
    </row>
    <row r="134" s="1" customFormat="1" spans="6:13">
      <c r="F134" s="13">
        <v>44875</v>
      </c>
      <c r="G134" s="14">
        <v>1.01134701</v>
      </c>
      <c r="H134" s="14">
        <v>1.01088849</v>
      </c>
      <c r="I134" s="3" t="str">
        <f>IF(G134&gt;MAX($G$3:G133),"新高","/")</f>
        <v>/</v>
      </c>
      <c r="J134" s="26">
        <f t="shared" si="11"/>
        <v>0.00970411034501639</v>
      </c>
      <c r="M134" s="4"/>
    </row>
    <row r="135" s="1" customFormat="1" spans="6:13">
      <c r="F135" s="13">
        <v>44876</v>
      </c>
      <c r="G135" s="14">
        <v>1.01124565</v>
      </c>
      <c r="H135" s="14">
        <v>1.01083107</v>
      </c>
      <c r="I135" s="3" t="str">
        <f>IF(G135&gt;MAX($G$3:G134),"新高","/")</f>
        <v>/</v>
      </c>
      <c r="J135" s="26">
        <f t="shared" si="11"/>
        <v>0.00941971068534131</v>
      </c>
      <c r="M135" s="4"/>
    </row>
    <row r="136" s="1" customFormat="1" spans="6:13">
      <c r="F136" s="13">
        <v>44879</v>
      </c>
      <c r="G136" s="14">
        <v>1.0108309</v>
      </c>
      <c r="H136" s="14">
        <v>1.01075923</v>
      </c>
      <c r="I136" s="3" t="str">
        <f>IF(G136&gt;MAX($G$3:G135),"新高","/")</f>
        <v>/</v>
      </c>
      <c r="J136" s="26">
        <f t="shared" si="11"/>
        <v>0.00883465833148001</v>
      </c>
      <c r="M136" s="4"/>
    </row>
    <row r="137" s="1" customFormat="1" spans="6:13">
      <c r="F137" s="13">
        <v>44880</v>
      </c>
      <c r="G137" s="14">
        <v>1.01063217</v>
      </c>
      <c r="H137" s="14">
        <v>1.01054544</v>
      </c>
      <c r="I137" s="3" t="str">
        <f>IF(G137&gt;MAX($G$3:G136),"新高","/")</f>
        <v>/</v>
      </c>
      <c r="J137" s="26">
        <f t="shared" si="11"/>
        <v>0.00847167071624111</v>
      </c>
      <c r="M137" s="4"/>
    </row>
    <row r="138" s="1" customFormat="1" spans="6:13">
      <c r="F138" s="13">
        <v>44881</v>
      </c>
      <c r="G138" s="14">
        <v>1.01034343</v>
      </c>
      <c r="H138" s="14">
        <v>1.01038853</v>
      </c>
      <c r="I138" s="3" t="str">
        <f>IF(G138&gt;MAX($G$3:G137),"新高","/")</f>
        <v>/</v>
      </c>
      <c r="J138" s="26">
        <f t="shared" si="11"/>
        <v>0.0081306839617723</v>
      </c>
      <c r="M138" s="4"/>
    </row>
    <row r="139" s="1" customFormat="1" spans="6:13">
      <c r="F139" s="13">
        <v>44882</v>
      </c>
      <c r="G139" s="14">
        <v>1.01027667</v>
      </c>
      <c r="H139" s="14">
        <v>1.01030491</v>
      </c>
      <c r="I139" s="3" t="str">
        <f>IF(G139&gt;MAX($G$3:G138),"新高","/")</f>
        <v>/</v>
      </c>
      <c r="J139" s="26">
        <f t="shared" si="11"/>
        <v>0.00782508508926627</v>
      </c>
      <c r="M139" s="4"/>
    </row>
    <row r="140" s="1" customFormat="1" spans="6:13">
      <c r="F140" s="13">
        <v>44883</v>
      </c>
      <c r="G140" s="14">
        <v>1.01037975</v>
      </c>
      <c r="H140" s="14">
        <v>1.01037986</v>
      </c>
      <c r="I140" s="3" t="str">
        <f>IF(G140&gt;MAX($G$3:G139),"新高","/")</f>
        <v>/</v>
      </c>
      <c r="J140" s="26">
        <f t="shared" si="11"/>
        <v>0.00789225176479946</v>
      </c>
      <c r="M140" s="4"/>
    </row>
    <row r="141" s="1" customFormat="1" spans="6:13">
      <c r="F141" s="13">
        <v>44886</v>
      </c>
      <c r="G141" s="14">
        <v>1.01056178</v>
      </c>
      <c r="H141" s="14">
        <v>1.01060525</v>
      </c>
      <c r="I141" s="3" t="str">
        <f>IF(G141&gt;MAX($G$3:G140),"新高","/")</f>
        <v>/</v>
      </c>
      <c r="J141" s="26">
        <f t="shared" si="11"/>
        <v>0.00804356620638846</v>
      </c>
      <c r="M141" s="4"/>
    </row>
    <row r="142" s="1" customFormat="1" spans="6:13">
      <c r="F142" s="13">
        <v>44887</v>
      </c>
      <c r="G142" s="14">
        <v>1.01064426</v>
      </c>
      <c r="H142" s="14">
        <v>1.01066346</v>
      </c>
      <c r="I142" s="3" t="str">
        <f>IF(G142&gt;MAX($G$3:G141),"新高","/")</f>
        <v>/</v>
      </c>
      <c r="J142" s="26">
        <f t="shared" si="11"/>
        <v>0.00792938205085836</v>
      </c>
      <c r="M142" s="4"/>
    </row>
    <row r="143" s="1" customFormat="1" spans="6:13">
      <c r="F143" s="13">
        <v>44888</v>
      </c>
      <c r="G143" s="14">
        <v>1.0107823</v>
      </c>
      <c r="H143" s="14">
        <v>1.01076579</v>
      </c>
      <c r="I143" s="3" t="str">
        <f>IF(G143&gt;MAX($G$3:G142),"新高","/")</f>
        <v>/</v>
      </c>
      <c r="J143" s="26">
        <f t="shared" si="11"/>
        <v>0.0079752803595019</v>
      </c>
      <c r="M143" s="4"/>
    </row>
    <row r="144" s="1" customFormat="1" spans="6:13">
      <c r="F144" s="13">
        <v>44889</v>
      </c>
      <c r="G144" s="14">
        <v>1.01105694</v>
      </c>
      <c r="H144" s="14">
        <v>1.01096254</v>
      </c>
      <c r="I144" s="3" t="str">
        <f>IF(G144&gt;MAX($G$3:G143),"新高","/")</f>
        <v>/</v>
      </c>
      <c r="J144" s="26">
        <f t="shared" si="11"/>
        <v>0.00819600236800033</v>
      </c>
      <c r="M144" s="4"/>
    </row>
    <row r="145" s="1" customFormat="1" spans="6:13">
      <c r="F145" s="13">
        <v>44890</v>
      </c>
      <c r="G145" s="14">
        <v>1.01111143</v>
      </c>
      <c r="H145" s="14">
        <v>1.01102977</v>
      </c>
      <c r="I145" s="3" t="str">
        <f>IF(G145&gt;MAX($G$3:G144),"新高","/")</f>
        <v>/</v>
      </c>
      <c r="J145" s="26">
        <f t="shared" si="11"/>
        <v>0.00836899908426036</v>
      </c>
      <c r="M145" s="4"/>
    </row>
    <row r="146" s="1" customFormat="1" spans="6:13">
      <c r="F146" s="13">
        <v>44893</v>
      </c>
      <c r="G146" s="14">
        <v>1.01122531</v>
      </c>
      <c r="H146" s="14">
        <v>1.01118214</v>
      </c>
      <c r="I146" s="3" t="str">
        <f>IF(G146&gt;MAX($G$3:G145),"新高","/")</f>
        <v>/</v>
      </c>
      <c r="J146" s="26">
        <f t="shared" si="11"/>
        <v>0.008512140045001</v>
      </c>
      <c r="M146" s="4"/>
    </row>
    <row r="147" s="1" customFormat="1" spans="6:13">
      <c r="F147" s="13">
        <v>44894</v>
      </c>
      <c r="G147" s="14">
        <v>1.01109805</v>
      </c>
      <c r="H147" s="14">
        <v>1.01118423</v>
      </c>
      <c r="I147" s="3" t="str">
        <f>IF(G147&gt;MAX($G$3:G146),"新高","/")</f>
        <v>/</v>
      </c>
      <c r="J147" s="26">
        <f t="shared" si="11"/>
        <v>0.00850379500779797</v>
      </c>
      <c r="M147" s="4"/>
    </row>
    <row r="148" s="1" customFormat="1" spans="6:13">
      <c r="F148" s="13">
        <v>44895</v>
      </c>
      <c r="G148" s="14">
        <v>1.01106368</v>
      </c>
      <c r="H148" s="14">
        <v>1.01124418</v>
      </c>
      <c r="I148" s="3" t="str">
        <f>IF(G148&gt;MAX($G$3:G147),"新高","/")</f>
        <v>/</v>
      </c>
      <c r="J148" s="26">
        <f t="shared" si="11"/>
        <v>0.00858122876420575</v>
      </c>
      <c r="M148" s="4"/>
    </row>
    <row r="149" s="1" customFormat="1" spans="6:13">
      <c r="F149" s="13">
        <v>44896</v>
      </c>
      <c r="G149" s="14">
        <v>1.011026</v>
      </c>
      <c r="H149" s="14">
        <v>1.01128578</v>
      </c>
      <c r="I149" s="3" t="str">
        <f>IF(G149&gt;MAX($G$3:G148),"新高","/")</f>
        <v>/</v>
      </c>
      <c r="J149" s="26">
        <f t="shared" si="11"/>
        <v>0.00863968961752448</v>
      </c>
      <c r="M149" s="4"/>
    </row>
    <row r="150" s="1" customFormat="1" spans="6:13">
      <c r="F150" s="13">
        <v>44897</v>
      </c>
      <c r="G150" s="14">
        <v>1.01103278</v>
      </c>
      <c r="H150" s="14">
        <v>1.01137266</v>
      </c>
      <c r="I150" s="3" t="str">
        <f>IF(G150&gt;MAX($G$3:G149),"新高","/")</f>
        <v>/</v>
      </c>
      <c r="J150" s="26">
        <f t="shared" si="11"/>
        <v>0.00857040578280155</v>
      </c>
      <c r="M150" s="4"/>
    </row>
    <row r="151" s="1" customFormat="1" spans="6:13">
      <c r="F151" s="13">
        <v>44900</v>
      </c>
      <c r="G151" s="14">
        <v>1.01114874</v>
      </c>
      <c r="H151" s="14">
        <v>1.01152564</v>
      </c>
      <c r="I151" s="3" t="str">
        <f>IF(G151&gt;MAX($G$3:G150),"新高","/")</f>
        <v>/</v>
      </c>
      <c r="J151" s="26">
        <f t="shared" si="11"/>
        <v>0.00857298579449894</v>
      </c>
      <c r="M151" s="4"/>
    </row>
    <row r="152" s="1" customFormat="1" spans="6:13">
      <c r="F152" s="13">
        <v>44901</v>
      </c>
      <c r="G152" s="14">
        <v>1.01103683</v>
      </c>
      <c r="H152" s="14">
        <v>1.01156665</v>
      </c>
      <c r="I152" s="3" t="str">
        <f>IF(G152&gt;MAX($G$3:G151),"新高","/")</f>
        <v>/</v>
      </c>
      <c r="J152" s="26">
        <f t="shared" si="11"/>
        <v>0.00834734579235574</v>
      </c>
      <c r="M152" s="4"/>
    </row>
    <row r="153" s="1" customFormat="1" spans="6:13">
      <c r="F153" s="13">
        <v>44902</v>
      </c>
      <c r="G153" s="14">
        <v>1.01079212</v>
      </c>
      <c r="H153" s="14">
        <v>1.01153237</v>
      </c>
      <c r="I153" s="3" t="str">
        <f>IF(G153&gt;MAX($G$3:G152),"新高","/")</f>
        <v>/</v>
      </c>
      <c r="J153" s="26">
        <f t="shared" si="11"/>
        <v>0.00799750739061</v>
      </c>
      <c r="M153" s="4"/>
    </row>
    <row r="154" s="1" customFormat="1" spans="6:13">
      <c r="F154" s="13">
        <v>44903</v>
      </c>
      <c r="G154" s="14">
        <v>1.01070183</v>
      </c>
      <c r="H154" s="14">
        <v>1.01152758</v>
      </c>
      <c r="I154" s="3" t="str">
        <f>IF(G154&gt;MAX($G$3:G153),"新高","/")</f>
        <v>/</v>
      </c>
      <c r="J154" s="26">
        <f t="shared" si="11"/>
        <v>0.00789128483658175</v>
      </c>
      <c r="M154" s="4"/>
    </row>
    <row r="155" s="1" customFormat="1" spans="6:13">
      <c r="F155" s="13">
        <v>44904</v>
      </c>
      <c r="G155" s="14">
        <v>1.01061948</v>
      </c>
      <c r="H155" s="14">
        <v>1.01152822</v>
      </c>
      <c r="I155" s="3" t="str">
        <f>IF(G155&gt;MAX($G$3:G154),"新高","/")</f>
        <v>/</v>
      </c>
      <c r="J155" s="26">
        <f t="shared" si="11"/>
        <v>0.007735944368783</v>
      </c>
      <c r="M155" s="4"/>
    </row>
    <row r="156" s="1" customFormat="1" spans="6:13">
      <c r="F156" s="13">
        <v>44907</v>
      </c>
      <c r="G156" s="14">
        <v>1.01054493</v>
      </c>
      <c r="H156" s="14">
        <v>1.01164887</v>
      </c>
      <c r="I156" s="3" t="str">
        <f>IF(G156&gt;MAX($G$3:G155),"新高","/")</f>
        <v>/</v>
      </c>
      <c r="J156" s="26">
        <f t="shared" si="11"/>
        <v>0.00753856589936985</v>
      </c>
      <c r="M156" s="4"/>
    </row>
    <row r="157" s="1" customFormat="1" spans="6:13">
      <c r="F157" s="13">
        <v>44908</v>
      </c>
      <c r="G157" s="14">
        <v>1.01020201</v>
      </c>
      <c r="H157" s="14">
        <v>1.01150339</v>
      </c>
      <c r="I157" s="3" t="str">
        <f>IF(G157&gt;MAX($G$3:G156),"新高","/")</f>
        <v>/</v>
      </c>
      <c r="J157" s="26">
        <f t="shared" si="11"/>
        <v>0.00699761268674126</v>
      </c>
      <c r="M157" s="4"/>
    </row>
    <row r="158" s="1" customFormat="1" spans="6:13">
      <c r="F158" s="13">
        <v>44909</v>
      </c>
      <c r="G158" s="14">
        <v>1.01022968</v>
      </c>
      <c r="H158" s="14">
        <v>1.01150288</v>
      </c>
      <c r="I158" s="3" t="str">
        <f>IF(G158&gt;MAX($G$3:G157),"新高","/")</f>
        <v>/</v>
      </c>
      <c r="J158" s="26">
        <f t="shared" si="11"/>
        <v>0.00689529588291871</v>
      </c>
      <c r="M158" s="4"/>
    </row>
    <row r="159" s="1" customFormat="1" spans="6:13">
      <c r="F159" s="13">
        <v>44910</v>
      </c>
      <c r="G159" s="14">
        <v>1.01030575</v>
      </c>
      <c r="H159" s="14">
        <v>1.0116317</v>
      </c>
      <c r="I159" s="3" t="str">
        <f>IF(G159&gt;MAX($G$3:G158),"新高","/")</f>
        <v>/</v>
      </c>
      <c r="J159" s="26">
        <f t="shared" si="11"/>
        <v>0.00694136757208175</v>
      </c>
      <c r="M159" s="4"/>
    </row>
    <row r="160" s="1" customFormat="1" spans="6:13">
      <c r="F160" s="13">
        <v>44911</v>
      </c>
      <c r="G160" s="14">
        <v>1.01032053</v>
      </c>
      <c r="H160" s="14">
        <v>1.01165302</v>
      </c>
      <c r="I160" s="3" t="str">
        <f>IF(G160&gt;MAX($G$3:G159),"新高","/")</f>
        <v>/</v>
      </c>
      <c r="J160" s="26">
        <f t="shared" si="11"/>
        <v>0.00685813617274778</v>
      </c>
      <c r="M160" s="4"/>
    </row>
    <row r="161" s="1" customFormat="1" spans="6:13">
      <c r="F161" s="13">
        <v>44914</v>
      </c>
      <c r="G161" s="14">
        <v>1.01055195</v>
      </c>
      <c r="H161" s="14">
        <v>1.0118587</v>
      </c>
      <c r="I161" s="3" t="str">
        <f>IF(G161&gt;MAX($G$3:G160),"新高","/")</f>
        <v>/</v>
      </c>
      <c r="J161" s="26">
        <f t="shared" si="11"/>
        <v>0.00693978511704318</v>
      </c>
      <c r="M161" s="4"/>
    </row>
    <row r="162" s="1" customFormat="1" spans="6:13">
      <c r="F162" s="13">
        <v>44915</v>
      </c>
      <c r="G162" s="14">
        <v>1.01064676</v>
      </c>
      <c r="H162" s="14">
        <v>1.01189563</v>
      </c>
      <c r="I162" s="3" t="str">
        <f>IF(G162&gt;MAX($G$3:G161),"新高","/")</f>
        <v>/</v>
      </c>
      <c r="J162" s="26">
        <f t="shared" si="11"/>
        <v>0.0069176505503632</v>
      </c>
      <c r="M162" s="4"/>
    </row>
    <row r="163" s="1" customFormat="1" spans="6:13">
      <c r="F163" s="13">
        <v>44916</v>
      </c>
      <c r="G163" s="14">
        <v>1.01074739</v>
      </c>
      <c r="H163" s="14">
        <v>1.01194432</v>
      </c>
      <c r="I163" s="3" t="str">
        <f>IF(G163&gt;MAX($G$3:G162),"新高","/")</f>
        <v>/</v>
      </c>
      <c r="J163" s="26">
        <f t="shared" si="11"/>
        <v>0.00706220698349691</v>
      </c>
      <c r="M163" s="4"/>
    </row>
    <row r="164" s="1" customFormat="1" spans="6:13">
      <c r="F164" s="13">
        <v>44917</v>
      </c>
      <c r="G164" s="14">
        <v>1.01089409</v>
      </c>
      <c r="H164" s="14">
        <v>1.01206468</v>
      </c>
      <c r="I164" s="3" t="str">
        <f>IF(G164&gt;MAX($G$3:G163),"新高","/")</f>
        <v>/</v>
      </c>
      <c r="J164" s="26">
        <f t="shared" si="11"/>
        <v>0.00720601381128749</v>
      </c>
      <c r="M164" s="4"/>
    </row>
    <row r="165" s="1" customFormat="1" spans="6:13">
      <c r="F165" s="13">
        <v>44918</v>
      </c>
      <c r="G165" s="14">
        <v>1.01108479</v>
      </c>
      <c r="H165" s="14">
        <v>1.01220828</v>
      </c>
      <c r="I165" s="3" t="str">
        <f>IF(G165&gt;MAX($G$3:G164),"新高","/")</f>
        <v>/</v>
      </c>
      <c r="J165" s="26">
        <f t="shared" si="11"/>
        <v>0.00736652962350259</v>
      </c>
      <c r="M165" s="4"/>
    </row>
    <row r="166" s="1" customFormat="1" spans="6:13">
      <c r="F166" s="13">
        <v>44921</v>
      </c>
      <c r="G166" s="14">
        <v>1.01132939</v>
      </c>
      <c r="H166" s="14">
        <v>1.01242343</v>
      </c>
      <c r="I166" s="3" t="str">
        <f>IF(G166&gt;MAX($G$3:G165),"新高","/")</f>
        <v>/</v>
      </c>
      <c r="J166" s="26">
        <f t="shared" si="11"/>
        <v>0.00745158794381373</v>
      </c>
      <c r="M166" s="4"/>
    </row>
    <row r="167" s="1" customFormat="1" spans="6:13">
      <c r="F167" s="13">
        <v>44922</v>
      </c>
      <c r="G167" s="14">
        <v>1.01148626</v>
      </c>
      <c r="H167" s="14">
        <v>1.01250789</v>
      </c>
      <c r="I167" s="3" t="str">
        <f>IF(G167&gt;MAX($G$3:G166),"新高","/")</f>
        <v>/</v>
      </c>
      <c r="J167" s="26">
        <f t="shared" si="11"/>
        <v>0.00744421247957394</v>
      </c>
      <c r="M167" s="4"/>
    </row>
    <row r="168" s="1" customFormat="1" spans="6:13">
      <c r="F168" s="13">
        <v>44923</v>
      </c>
      <c r="G168" s="14">
        <v>1.01156234</v>
      </c>
      <c r="H168" s="14">
        <v>1.01256923</v>
      </c>
      <c r="I168" s="3" t="str">
        <f>IF(G168&gt;MAX($G$3:G167),"新高","/")</f>
        <v>新高</v>
      </c>
      <c r="J168" s="26">
        <f t="shared" si="11"/>
        <v>0.00753064566951456</v>
      </c>
      <c r="M168" s="4"/>
    </row>
    <row r="169" s="1" customFormat="1" spans="6:13">
      <c r="F169" s="13">
        <v>44924</v>
      </c>
      <c r="G169" s="14">
        <v>1.01174662</v>
      </c>
      <c r="H169" s="14">
        <v>1.01275797</v>
      </c>
      <c r="I169" s="3" t="str">
        <f>IF(G169&gt;MAX($G$3:G168),"新高","/")</f>
        <v>新高</v>
      </c>
      <c r="J169" s="26">
        <f t="shared" si="11"/>
        <v>0.00778015854080882</v>
      </c>
      <c r="M169" s="4"/>
    </row>
    <row r="170" s="1" customFormat="1" spans="6:13">
      <c r="F170" s="13">
        <v>44925</v>
      </c>
      <c r="G170" s="14">
        <v>1.01193903</v>
      </c>
      <c r="H170" s="14">
        <v>1.01299143</v>
      </c>
      <c r="I170" s="3" t="str">
        <f>IF(G170&gt;MAX($G$3:G169),"新高","/")</f>
        <v>新高</v>
      </c>
      <c r="J170" s="26">
        <f t="shared" si="11"/>
        <v>0.00785606398494787</v>
      </c>
      <c r="M170" s="4"/>
    </row>
    <row r="171" s="1" customFormat="1" spans="6:13">
      <c r="F171" s="13">
        <v>44929</v>
      </c>
      <c r="G171" s="14">
        <v>1.01229659</v>
      </c>
      <c r="H171" s="14">
        <v>1.01337394</v>
      </c>
      <c r="I171" s="3" t="str">
        <f>IF(G171&gt;MAX($G$3:G170),"新高","/")</f>
        <v>新高</v>
      </c>
      <c r="J171" s="26">
        <f t="shared" si="11"/>
        <v>0.00810407668484237</v>
      </c>
      <c r="M171" s="4"/>
    </row>
    <row r="172" s="1" customFormat="1" spans="6:13">
      <c r="F172" s="13">
        <v>44930</v>
      </c>
      <c r="G172" s="14">
        <v>1.01256853</v>
      </c>
      <c r="H172" s="14">
        <v>1.01350279</v>
      </c>
      <c r="I172" s="3" t="str">
        <f>IF(G172&gt;MAX($G$3:G171),"新高","/")</f>
        <v>新高</v>
      </c>
      <c r="J172" s="26">
        <f t="shared" si="11"/>
        <v>0.00825336691016321</v>
      </c>
      <c r="M172" s="4"/>
    </row>
    <row r="173" s="1" customFormat="1" spans="6:13">
      <c r="F173" s="13">
        <v>44931</v>
      </c>
      <c r="G173" s="14">
        <v>1.01276338</v>
      </c>
      <c r="H173" s="14">
        <v>1.01362212</v>
      </c>
      <c r="I173" s="3" t="str">
        <f>IF(G173&gt;MAX($G$3:G172),"新高","/")</f>
        <v>新高</v>
      </c>
      <c r="J173" s="26">
        <f t="shared" si="11"/>
        <v>0.00817258547821798</v>
      </c>
      <c r="M173" s="4"/>
    </row>
    <row r="174" s="1" customFormat="1" spans="6:13">
      <c r="F174" s="13">
        <v>44932</v>
      </c>
      <c r="G174" s="14">
        <v>1.01279904</v>
      </c>
      <c r="H174" s="14">
        <v>1.01365959</v>
      </c>
      <c r="I174" s="3" t="str">
        <f>IF(G174&gt;MAX($G$3:G173),"新高","/")</f>
        <v>新高</v>
      </c>
      <c r="J174" s="26">
        <f t="shared" si="11"/>
        <v>0.00797250477702582</v>
      </c>
      <c r="M174" s="4"/>
    </row>
    <row r="175" s="1" customFormat="1" spans="6:13">
      <c r="F175" s="13">
        <v>44935</v>
      </c>
      <c r="G175" s="14">
        <v>1.01295612</v>
      </c>
      <c r="H175" s="14">
        <v>1.01380493</v>
      </c>
      <c r="I175" s="3" t="str">
        <f>IF(G175&gt;MAX($G$3:G174),"新高","/")</f>
        <v>新高</v>
      </c>
      <c r="J175" s="26">
        <f t="shared" si="11"/>
        <v>0.00797487950123443</v>
      </c>
      <c r="M175" s="4"/>
    </row>
    <row r="176" s="1" customFormat="1" spans="6:13">
      <c r="F176" s="13">
        <v>44936</v>
      </c>
      <c r="G176" s="14">
        <v>1.01289708</v>
      </c>
      <c r="H176" s="14">
        <v>1.01379676</v>
      </c>
      <c r="I176" s="3" t="str">
        <f>IF(G176&gt;MAX($G$3:G175),"新高","/")</f>
        <v>/</v>
      </c>
      <c r="J176" s="26">
        <f t="shared" si="11"/>
        <v>0.00771517678647338</v>
      </c>
      <c r="M176" s="4"/>
    </row>
    <row r="177" s="1" customFormat="1" spans="6:13">
      <c r="F177" s="13">
        <v>44937</v>
      </c>
      <c r="G177" s="14">
        <v>1.0128467</v>
      </c>
      <c r="H177" s="14">
        <v>1.01382698</v>
      </c>
      <c r="I177" s="3" t="str">
        <f>IF(G177&gt;MAX($G$3:G176),"新高","/")</f>
        <v>/</v>
      </c>
      <c r="J177" s="26">
        <f t="shared" si="11"/>
        <v>0.00749703181066974</v>
      </c>
      <c r="M177" s="4"/>
    </row>
    <row r="178" s="1" customFormat="1" spans="6:13">
      <c r="F178" s="13">
        <v>44938</v>
      </c>
      <c r="G178" s="14">
        <v>1.01293679</v>
      </c>
      <c r="H178" s="14">
        <v>1.0139287</v>
      </c>
      <c r="I178" s="3" t="str">
        <f>IF(G178&gt;MAX($G$3:G177),"新高","/")</f>
        <v>/</v>
      </c>
      <c r="J178" s="26">
        <f t="shared" si="11"/>
        <v>0.0072536533644505</v>
      </c>
      <c r="M178" s="4"/>
    </row>
    <row r="179" s="1" customFormat="1" spans="6:13">
      <c r="F179" s="13">
        <v>44939</v>
      </c>
      <c r="G179" s="14">
        <v>1.01301197</v>
      </c>
      <c r="H179" s="14">
        <v>1.01401774</v>
      </c>
      <c r="I179" s="3" t="str">
        <f>IF(G179&gt;MAX($G$3:G178),"新高","/")</f>
        <v>新高</v>
      </c>
      <c r="J179" s="26">
        <f t="shared" si="11"/>
        <v>0.00721280128679913</v>
      </c>
      <c r="M179" s="4"/>
    </row>
    <row r="180" s="1" customFormat="1" spans="6:13">
      <c r="F180" s="13">
        <v>44942</v>
      </c>
      <c r="G180" s="14">
        <v>1.01311114</v>
      </c>
      <c r="H180" s="14">
        <v>1.01414971</v>
      </c>
      <c r="I180" s="3" t="str">
        <f>IF(G180&gt;MAX($G$3:G179),"新高","/")</f>
        <v>新高</v>
      </c>
      <c r="J180" s="26">
        <f t="shared" si="11"/>
        <v>0.0071483584298504</v>
      </c>
      <c r="M180" s="4"/>
    </row>
    <row r="181" s="1" customFormat="1" spans="6:13">
      <c r="F181" s="13">
        <v>44943</v>
      </c>
      <c r="G181" s="14">
        <v>1.0131531</v>
      </c>
      <c r="H181" s="14">
        <v>1.01420091</v>
      </c>
      <c r="I181" s="3" t="str">
        <f>IF(G181&gt;MAX($G$3:G180),"新高","/")</f>
        <v>新高</v>
      </c>
      <c r="J181" s="26">
        <f t="shared" si="11"/>
        <v>0.00695808241578089</v>
      </c>
      <c r="M181" s="4"/>
    </row>
    <row r="182" s="1" customFormat="1" spans="6:13">
      <c r="F182" s="13">
        <v>44944</v>
      </c>
      <c r="G182" s="14">
        <v>1.01320652</v>
      </c>
      <c r="H182" s="14">
        <v>1.01425866</v>
      </c>
      <c r="I182" s="3" t="str">
        <f>IF(G182&gt;MAX($G$3:G181),"新高","/")</f>
        <v>新高</v>
      </c>
      <c r="J182" s="26">
        <f t="shared" si="11"/>
        <v>0.00694770563243985</v>
      </c>
      <c r="M182" s="4"/>
    </row>
    <row r="183" s="1" customFormat="1" spans="6:13">
      <c r="F183" s="13">
        <v>44945</v>
      </c>
      <c r="G183" s="14">
        <v>1.01330458</v>
      </c>
      <c r="H183" s="14">
        <v>1.01435007</v>
      </c>
      <c r="I183" s="3" t="str">
        <f>IF(G183&gt;MAX($G$3:G182),"新高","/")</f>
        <v>新高</v>
      </c>
      <c r="J183" s="26">
        <f t="shared" si="11"/>
        <v>0.00682391622547485</v>
      </c>
      <c r="M183" s="4"/>
    </row>
    <row r="184" s="1" customFormat="1" spans="6:13">
      <c r="F184" s="13">
        <v>44946</v>
      </c>
      <c r="G184" s="14">
        <v>1.01344003</v>
      </c>
      <c r="H184" s="14">
        <v>1.01445341</v>
      </c>
      <c r="I184" s="3" t="str">
        <f>IF(G184&gt;MAX($G$3:G183),"新高","/")</f>
        <v>新高</v>
      </c>
      <c r="J184" s="26">
        <f t="shared" si="11"/>
        <v>0.00668722244619202</v>
      </c>
      <c r="M184" s="4"/>
    </row>
    <row r="185" s="1" customFormat="1" spans="6:13">
      <c r="F185" s="13">
        <v>44956</v>
      </c>
      <c r="G185" s="14">
        <v>1.01404185</v>
      </c>
      <c r="H185" s="14">
        <v>1.01520394</v>
      </c>
      <c r="I185" s="3" t="str">
        <f>IF(G185&gt;MAX($G$3:G184),"新高","/")</f>
        <v>新高</v>
      </c>
      <c r="J185" s="26">
        <f t="shared" si="11"/>
        <v>0.00717942293007168</v>
      </c>
      <c r="M185" s="4"/>
    </row>
    <row r="186" s="1" customFormat="1" spans="6:13">
      <c r="F186" s="13">
        <v>44957</v>
      </c>
      <c r="G186" s="14">
        <v>1.0140927</v>
      </c>
      <c r="H186" s="14">
        <v>1.01526359</v>
      </c>
      <c r="I186" s="3" t="str">
        <f>IF(G186&gt;MAX($G$3:G185),"新高","/")</f>
        <v>新高</v>
      </c>
      <c r="J186" s="26">
        <f t="shared" si="11"/>
        <v>0.00721533298484633</v>
      </c>
      <c r="M186" s="4"/>
    </row>
    <row r="187" s="1" customFormat="1" spans="6:13">
      <c r="F187" s="13">
        <v>44958</v>
      </c>
      <c r="G187" s="14">
        <v>1.01416125</v>
      </c>
      <c r="H187" s="14">
        <v>1.01531817</v>
      </c>
      <c r="I187" s="3" t="str">
        <f>IF(G187&gt;MAX($G$3:G186),"新高","/")</f>
        <v>新高</v>
      </c>
      <c r="J187" s="26">
        <f t="shared" si="11"/>
        <v>0.00700312937533587</v>
      </c>
      <c r="M187" s="4"/>
    </row>
    <row r="188" s="1" customFormat="1" spans="6:13">
      <c r="F188" s="13">
        <v>44959</v>
      </c>
      <c r="G188" s="14">
        <v>1.01425096</v>
      </c>
      <c r="H188" s="14">
        <v>1.01537797</v>
      </c>
      <c r="I188" s="3" t="str">
        <f>IF(G188&gt;MAX($G$3:G187),"新高","/")</f>
        <v>新高</v>
      </c>
      <c r="J188" s="26">
        <f t="shared" ref="J188:J251" si="12">G188/G67-1</f>
        <v>0.00671783140806981</v>
      </c>
      <c r="M188" s="4"/>
    </row>
    <row r="189" s="1" customFormat="1" spans="6:13">
      <c r="F189" s="13">
        <v>44960</v>
      </c>
      <c r="G189" s="14">
        <v>1.01436205</v>
      </c>
      <c r="H189" s="14">
        <v>1.01546078</v>
      </c>
      <c r="I189" s="3" t="str">
        <f>IF(G189&gt;MAX($G$3:G188),"新高","/")</f>
        <v>新高</v>
      </c>
      <c r="J189" s="26">
        <f t="shared" si="12"/>
        <v>0.00658955800302818</v>
      </c>
      <c r="M189" s="4"/>
    </row>
    <row r="190" s="1" customFormat="1" spans="6:13">
      <c r="F190" s="13">
        <v>44963</v>
      </c>
      <c r="G190" s="14">
        <v>1.01454027</v>
      </c>
      <c r="H190" s="14">
        <v>1.01563078</v>
      </c>
      <c r="I190" s="3" t="str">
        <f>IF(G190&gt;MAX($G$3:G189),"新高","/")</f>
        <v>新高</v>
      </c>
      <c r="J190" s="26">
        <f t="shared" si="12"/>
        <v>0.00660469184578671</v>
      </c>
      <c r="M190" s="4"/>
    </row>
    <row r="191" s="1" customFormat="1" spans="6:13">
      <c r="F191" s="13">
        <v>44964</v>
      </c>
      <c r="G191" s="14">
        <v>1.01459489</v>
      </c>
      <c r="H191" s="14">
        <v>1.0156788</v>
      </c>
      <c r="I191" s="3" t="str">
        <f>IF(G191&gt;MAX($G$3:G190),"新高","/")</f>
        <v>新高</v>
      </c>
      <c r="J191" s="26">
        <f t="shared" si="12"/>
        <v>0.00644675743858247</v>
      </c>
      <c r="M191" s="4"/>
    </row>
    <row r="192" s="1" customFormat="1" spans="6:13">
      <c r="F192" s="13">
        <v>44965</v>
      </c>
      <c r="G192" s="14">
        <v>1.01465221</v>
      </c>
      <c r="H192" s="14">
        <v>1.01571209</v>
      </c>
      <c r="I192" s="3" t="str">
        <f>IF(G192&gt;MAX($G$3:G191),"新高","/")</f>
        <v>新高</v>
      </c>
      <c r="J192" s="26">
        <f t="shared" si="12"/>
        <v>0.00649111703714889</v>
      </c>
      <c r="M192" s="4"/>
    </row>
    <row r="193" s="1" customFormat="1" spans="6:13">
      <c r="F193" s="13">
        <v>44966</v>
      </c>
      <c r="G193" s="14">
        <v>1.01472839</v>
      </c>
      <c r="H193" s="14">
        <v>1.01575775</v>
      </c>
      <c r="I193" s="3" t="str">
        <f>IF(G193&gt;MAX($G$3:G192),"新高","/")</f>
        <v>新高</v>
      </c>
      <c r="J193" s="26">
        <f t="shared" si="12"/>
        <v>0.00651478647585102</v>
      </c>
      <c r="M193" s="4"/>
    </row>
    <row r="194" s="1" customFormat="1" spans="6:13">
      <c r="F194" s="13">
        <v>44967</v>
      </c>
      <c r="G194" s="14">
        <v>1.01481796</v>
      </c>
      <c r="H194" s="14">
        <v>1.01583399</v>
      </c>
      <c r="I194" s="3" t="str">
        <f>IF(G194&gt;MAX($G$3:G193),"新高","/")</f>
        <v>新高</v>
      </c>
      <c r="J194" s="26">
        <f t="shared" si="12"/>
        <v>0.00669091405014566</v>
      </c>
      <c r="M194" s="4"/>
    </row>
    <row r="195" s="1" customFormat="1" spans="6:13">
      <c r="F195" s="13">
        <v>44970</v>
      </c>
      <c r="G195" s="14">
        <v>1.01500147</v>
      </c>
      <c r="H195" s="14">
        <v>1.01603688</v>
      </c>
      <c r="I195" s="3" t="str">
        <f>IF(G195&gt;MAX($G$3:G194),"新高","/")</f>
        <v>新高</v>
      </c>
      <c r="J195" s="26">
        <f t="shared" si="12"/>
        <v>0.0068998431034073</v>
      </c>
      <c r="M195" s="4"/>
    </row>
    <row r="196" s="1" customFormat="1" spans="6:13">
      <c r="F196" s="13">
        <v>44971</v>
      </c>
      <c r="G196" s="14">
        <v>1.01510926</v>
      </c>
      <c r="H196" s="14">
        <v>1.01608661</v>
      </c>
      <c r="I196" s="3" t="str">
        <f>IF(G196&gt;MAX($G$3:G195),"新高","/")</f>
        <v>新高</v>
      </c>
      <c r="J196" s="26">
        <f t="shared" si="12"/>
        <v>0.00705247763998806</v>
      </c>
      <c r="M196" s="4"/>
    </row>
    <row r="197" s="1" customFormat="1" spans="6:13">
      <c r="F197" s="13">
        <v>44972</v>
      </c>
      <c r="G197" s="14">
        <v>1.01517154</v>
      </c>
      <c r="H197" s="14">
        <v>1.01613255</v>
      </c>
      <c r="I197" s="3" t="str">
        <f>IF(G197&gt;MAX($G$3:G196),"新高","/")</f>
        <v>新高</v>
      </c>
      <c r="J197" s="26">
        <f t="shared" si="12"/>
        <v>0.00708927593756914</v>
      </c>
      <c r="M197" s="4"/>
    </row>
    <row r="198" s="1" customFormat="1" spans="6:13">
      <c r="F198" s="13">
        <v>44973</v>
      </c>
      <c r="G198" s="14">
        <v>1.01528177</v>
      </c>
      <c r="H198" s="14">
        <v>1.01619514</v>
      </c>
      <c r="I198" s="3" t="str">
        <f>IF(G198&gt;MAX($G$3:G197),"新高","/")</f>
        <v>新高</v>
      </c>
      <c r="J198" s="26">
        <f t="shared" si="12"/>
        <v>0.00690793095210918</v>
      </c>
      <c r="M198" s="4"/>
    </row>
    <row r="199" s="1" customFormat="1" spans="6:13">
      <c r="F199" s="13">
        <v>44974</v>
      </c>
      <c r="G199" s="14">
        <v>1.01537219</v>
      </c>
      <c r="H199" s="14">
        <v>1.01624303</v>
      </c>
      <c r="I199" s="3" t="str">
        <f>IF(G199&gt;MAX($G$3:G198),"新高","/")</f>
        <v>新高</v>
      </c>
      <c r="J199" s="26">
        <f t="shared" si="12"/>
        <v>0.00684566712566292</v>
      </c>
      <c r="M199" s="4"/>
    </row>
    <row r="200" s="1" customFormat="1" spans="6:13">
      <c r="F200" s="13">
        <v>44977</v>
      </c>
      <c r="G200" s="14">
        <v>1.01548491</v>
      </c>
      <c r="H200" s="14">
        <v>1.01638825</v>
      </c>
      <c r="I200" s="3" t="str">
        <f>IF(G200&gt;MAX($G$3:G199),"新高","/")</f>
        <v>新高</v>
      </c>
      <c r="J200" s="26">
        <f t="shared" si="12"/>
        <v>0.00694104543769258</v>
      </c>
      <c r="M200" s="4"/>
    </row>
    <row r="201" s="1" customFormat="1" spans="6:13">
      <c r="F201" s="13">
        <v>44978</v>
      </c>
      <c r="G201" s="14">
        <v>1.0154589</v>
      </c>
      <c r="H201" s="14">
        <v>1.01638075</v>
      </c>
      <c r="I201" s="3" t="str">
        <f>IF(G201&gt;MAX($G$3:G200),"新高","/")</f>
        <v>/</v>
      </c>
      <c r="J201" s="26">
        <f t="shared" si="12"/>
        <v>0.0068448489631443</v>
      </c>
      <c r="M201" s="4"/>
    </row>
    <row r="202" s="1" customFormat="1" spans="6:13">
      <c r="F202" s="13">
        <v>44979</v>
      </c>
      <c r="G202" s="14">
        <v>1.01550216</v>
      </c>
      <c r="H202" s="14">
        <v>1.01641947</v>
      </c>
      <c r="I202" s="3" t="str">
        <f>IF(G202&gt;MAX($G$3:G201),"新高","/")</f>
        <v>新高</v>
      </c>
      <c r="J202" s="26">
        <f t="shared" si="12"/>
        <v>0.00685871091603163</v>
      </c>
      <c r="M202" s="4"/>
    </row>
    <row r="203" s="1" customFormat="1" spans="6:13">
      <c r="F203" s="13">
        <v>44980</v>
      </c>
      <c r="G203" s="14">
        <v>1.01554789</v>
      </c>
      <c r="H203" s="14">
        <v>1.016497</v>
      </c>
      <c r="I203" s="3" t="str">
        <f>IF(G203&gt;MAX($G$3:G202),"新高","/")</f>
        <v>新高</v>
      </c>
      <c r="J203" s="26">
        <f t="shared" si="12"/>
        <v>0.006801024197993</v>
      </c>
      <c r="M203" s="4"/>
    </row>
    <row r="204" s="1" customFormat="1" spans="6:13">
      <c r="F204" s="13">
        <v>44981</v>
      </c>
      <c r="G204" s="14">
        <v>1.01559008</v>
      </c>
      <c r="H204" s="14">
        <v>1.01653377</v>
      </c>
      <c r="I204" s="3" t="str">
        <f>IF(G204&gt;MAX($G$3:G203),"新高","/")</f>
        <v>新高</v>
      </c>
      <c r="J204" s="26">
        <f t="shared" si="12"/>
        <v>0.00687382501529865</v>
      </c>
      <c r="M204" s="4"/>
    </row>
    <row r="205" s="1" customFormat="1" spans="6:13">
      <c r="F205" s="13">
        <v>44984</v>
      </c>
      <c r="G205" s="14">
        <v>1.01573827</v>
      </c>
      <c r="H205" s="14">
        <v>1.0167219</v>
      </c>
      <c r="I205" s="3" t="str">
        <f>IF(G205&gt;MAX($G$3:G204),"新高","/")</f>
        <v>新高</v>
      </c>
      <c r="J205" s="26">
        <f t="shared" si="12"/>
        <v>0.00702604459673406</v>
      </c>
      <c r="M205" s="4"/>
    </row>
    <row r="206" s="1" customFormat="1" spans="6:13">
      <c r="F206" s="13">
        <v>44985</v>
      </c>
      <c r="G206" s="14">
        <v>1.0157733</v>
      </c>
      <c r="H206" s="14">
        <v>1.01677493</v>
      </c>
      <c r="I206" s="3" t="str">
        <f>IF(G206&gt;MAX($G$3:G205),"新高","/")</f>
        <v>新高</v>
      </c>
      <c r="J206" s="26">
        <f t="shared" si="12"/>
        <v>0.00708635438263916</v>
      </c>
      <c r="M206" s="4"/>
    </row>
    <row r="207" s="1" customFormat="1" spans="6:13">
      <c r="F207" s="13">
        <v>44986</v>
      </c>
      <c r="G207" s="14">
        <v>1.01582029</v>
      </c>
      <c r="H207" s="14">
        <v>1.01686574</v>
      </c>
      <c r="I207" s="3" t="str">
        <f>IF(G207&gt;MAX($G$3:G206),"新高","/")</f>
        <v>新高</v>
      </c>
      <c r="J207" s="26">
        <f t="shared" si="12"/>
        <v>0.0071669532576788</v>
      </c>
      <c r="M207" s="4"/>
    </row>
    <row r="208" s="1" customFormat="1" spans="6:13">
      <c r="F208" s="13">
        <v>44987</v>
      </c>
      <c r="G208" s="14">
        <v>1.01589199</v>
      </c>
      <c r="H208" s="14">
        <v>1.01694311</v>
      </c>
      <c r="I208" s="3" t="str">
        <f>IF(G208&gt;MAX($G$3:G207),"新高","/")</f>
        <v>新高</v>
      </c>
      <c r="J208" s="26">
        <f t="shared" si="12"/>
        <v>0.0071021035504224</v>
      </c>
      <c r="M208" s="4"/>
    </row>
    <row r="209" s="1" customFormat="1" spans="6:13">
      <c r="F209" s="13">
        <v>44988</v>
      </c>
      <c r="G209" s="14">
        <v>1.01596828</v>
      </c>
      <c r="H209" s="14">
        <v>1.01698497</v>
      </c>
      <c r="I209" s="3" t="str">
        <f>IF(G209&gt;MAX($G$3:G208),"新高","/")</f>
        <v>新高</v>
      </c>
      <c r="J209" s="26">
        <f t="shared" si="12"/>
        <v>0.00708300817711516</v>
      </c>
      <c r="M209" s="4"/>
    </row>
    <row r="210" s="1" customFormat="1" spans="6:13">
      <c r="F210" s="13">
        <v>44991</v>
      </c>
      <c r="G210" s="14">
        <v>1.0161751</v>
      </c>
      <c r="H210" s="14">
        <v>1.01720737</v>
      </c>
      <c r="I210" s="3" t="str">
        <f>IF(G210&gt;MAX($G$3:G209),"新高","/")</f>
        <v>新高</v>
      </c>
      <c r="J210" s="26">
        <f t="shared" si="12"/>
        <v>0.00719496979322298</v>
      </c>
      <c r="M210" s="4"/>
    </row>
    <row r="211" s="1" customFormat="1" spans="6:13">
      <c r="F211" s="13">
        <v>44992</v>
      </c>
      <c r="G211" s="14">
        <v>1.0162648</v>
      </c>
      <c r="H211" s="14">
        <v>1.0172925</v>
      </c>
      <c r="I211" s="3" t="str">
        <f>IF(G211&gt;MAX($G$3:G210),"新高","/")</f>
        <v>新高</v>
      </c>
      <c r="J211" s="26">
        <f t="shared" si="12"/>
        <v>0.00722119257276366</v>
      </c>
      <c r="M211" s="4"/>
    </row>
    <row r="212" s="1" customFormat="1" spans="6:13">
      <c r="F212" s="13">
        <v>44993</v>
      </c>
      <c r="G212" s="14">
        <v>1.01640429</v>
      </c>
      <c r="H212" s="14">
        <v>1.01737291</v>
      </c>
      <c r="I212" s="3" t="str">
        <f>IF(G212&gt;MAX($G$3:G211),"新高","/")</f>
        <v>新高</v>
      </c>
      <c r="J212" s="26">
        <f t="shared" si="12"/>
        <v>0.0073033345910698</v>
      </c>
      <c r="M212" s="4"/>
    </row>
    <row r="213" s="1" customFormat="1" spans="6:13">
      <c r="F213" s="13">
        <v>44994</v>
      </c>
      <c r="G213" s="14">
        <v>1.01649949</v>
      </c>
      <c r="H213" s="14">
        <v>1.0174347</v>
      </c>
      <c r="I213" s="3" t="str">
        <f>IF(G213&gt;MAX($G$3:G212),"新高","/")</f>
        <v>新高</v>
      </c>
      <c r="J213" s="26">
        <f t="shared" si="12"/>
        <v>0.00725623195391534</v>
      </c>
      <c r="M213" s="4"/>
    </row>
    <row r="214" s="1" customFormat="1" spans="6:13">
      <c r="F214" s="13">
        <v>44995</v>
      </c>
      <c r="G214" s="14">
        <v>1.01658164</v>
      </c>
      <c r="H214" s="14">
        <v>1.01749374</v>
      </c>
      <c r="I214" s="3" t="str">
        <f>IF(G214&gt;MAX($G$3:G213),"新高","/")</f>
        <v>新高</v>
      </c>
      <c r="J214" s="26">
        <f t="shared" si="12"/>
        <v>0.00726128014044281</v>
      </c>
      <c r="M214" s="4"/>
    </row>
    <row r="215" s="1" customFormat="1" spans="6:13">
      <c r="F215" s="13">
        <v>44998</v>
      </c>
      <c r="G215" s="14">
        <v>1.01679015</v>
      </c>
      <c r="H215" s="14">
        <v>1.0176846</v>
      </c>
      <c r="I215" s="3" t="str">
        <f>IF(G215&gt;MAX($G$3:G214),"新高","/")</f>
        <v>新高</v>
      </c>
      <c r="J215" s="26">
        <f t="shared" si="12"/>
        <v>0.00745166743932146</v>
      </c>
      <c r="M215" s="4"/>
    </row>
    <row r="216" s="1" customFormat="1" spans="6:13">
      <c r="F216" s="13">
        <v>44999</v>
      </c>
      <c r="G216" s="14">
        <v>1.01684511</v>
      </c>
      <c r="H216" s="14">
        <v>1.0177305</v>
      </c>
      <c r="I216" s="3" t="str">
        <f>IF(G216&gt;MAX($G$3:G215),"新高","/")</f>
        <v>新高</v>
      </c>
      <c r="J216" s="26">
        <f t="shared" si="12"/>
        <v>0.0074435760274616</v>
      </c>
      <c r="M216" s="4"/>
    </row>
    <row r="217" s="1" customFormat="1" spans="6:13">
      <c r="F217" s="13">
        <v>45000</v>
      </c>
      <c r="G217" s="14">
        <v>1.01695026</v>
      </c>
      <c r="H217" s="14">
        <v>1.01778858</v>
      </c>
      <c r="I217" s="3" t="str">
        <f>IF(G217&gt;MAX($G$3:G216),"新高","/")</f>
        <v>新高</v>
      </c>
      <c r="J217" s="26">
        <f t="shared" si="12"/>
        <v>0.00751094037517208</v>
      </c>
      <c r="M217" s="4"/>
    </row>
    <row r="218" s="1" customFormat="1" spans="6:13">
      <c r="F218" s="13">
        <v>45001</v>
      </c>
      <c r="G218" s="14">
        <v>1.01706459</v>
      </c>
      <c r="H218" s="14">
        <v>1.01786381</v>
      </c>
      <c r="I218" s="3" t="str">
        <f>IF(G218&gt;MAX($G$3:G217),"新高","/")</f>
        <v>新高</v>
      </c>
      <c r="J218" s="26">
        <f t="shared" si="12"/>
        <v>0.00748828289758174</v>
      </c>
      <c r="M218" s="4"/>
    </row>
    <row r="219" s="1" customFormat="1" spans="6:13">
      <c r="F219" s="13">
        <v>45002</v>
      </c>
      <c r="G219" s="14">
        <v>1.01719636</v>
      </c>
      <c r="H219" s="14">
        <v>1.01795044</v>
      </c>
      <c r="I219" s="3" t="str">
        <f>IF(G219&gt;MAX($G$3:G218),"新高","/")</f>
        <v>新高</v>
      </c>
      <c r="J219" s="26">
        <f t="shared" si="12"/>
        <v>0.00761144604339781</v>
      </c>
      <c r="M219" s="4"/>
    </row>
    <row r="220" s="1" customFormat="1" spans="6:13">
      <c r="F220" s="13">
        <v>45005</v>
      </c>
      <c r="G220" s="14">
        <v>1.01746288</v>
      </c>
      <c r="H220" s="14">
        <v>1.01819746</v>
      </c>
      <c r="I220" s="3" t="str">
        <f>IF(G220&gt;MAX($G$3:G219),"新高","/")</f>
        <v>新高</v>
      </c>
      <c r="J220" s="26">
        <f t="shared" si="12"/>
        <v>0.00783057954918198</v>
      </c>
      <c r="M220" s="4"/>
    </row>
    <row r="221" s="1" customFormat="1" spans="6:13">
      <c r="F221" s="13">
        <v>45006</v>
      </c>
      <c r="G221" s="14">
        <v>1.01754518</v>
      </c>
      <c r="H221" s="14">
        <v>1.01827529</v>
      </c>
      <c r="I221" s="3" t="str">
        <f>IF(G221&gt;MAX($G$3:G220),"新高","/")</f>
        <v>新高</v>
      </c>
      <c r="J221" s="26">
        <f t="shared" si="12"/>
        <v>0.00791662305412766</v>
      </c>
      <c r="M221" s="4"/>
    </row>
    <row r="222" s="1" customFormat="1" spans="6:13">
      <c r="F222" s="13">
        <v>45007</v>
      </c>
      <c r="G222" s="14">
        <v>1.01760426</v>
      </c>
      <c r="H222" s="14">
        <v>1.01832755</v>
      </c>
      <c r="I222" s="3" t="str">
        <f>IF(G222&gt;MAX($G$3:G221),"新高","/")</f>
        <v>新高</v>
      </c>
      <c r="J222" s="26">
        <f t="shared" si="12"/>
        <v>0.00791754746002971</v>
      </c>
      <c r="M222" s="4"/>
    </row>
    <row r="223" s="1" customFormat="1" spans="6:13">
      <c r="F223" s="13">
        <v>45008</v>
      </c>
      <c r="G223" s="14">
        <v>1.0176823</v>
      </c>
      <c r="H223" s="14">
        <v>1.01842985</v>
      </c>
      <c r="I223" s="3" t="str">
        <f>IF(G223&gt;MAX($G$3:G222),"新高","/")</f>
        <v>新高</v>
      </c>
      <c r="J223" s="26">
        <f t="shared" si="12"/>
        <v>0.00796014141123469</v>
      </c>
      <c r="M223" s="4"/>
    </row>
    <row r="224" s="1" customFormat="1" spans="6:13">
      <c r="F224" s="13">
        <v>45009</v>
      </c>
      <c r="G224" s="14">
        <v>1.01772166</v>
      </c>
      <c r="H224" s="14">
        <v>1.01850477</v>
      </c>
      <c r="I224" s="3" t="str">
        <f>IF(G224&gt;MAX($G$3:G223),"新高","/")</f>
        <v>新高</v>
      </c>
      <c r="J224" s="26">
        <f t="shared" si="12"/>
        <v>0.00795327237192933</v>
      </c>
      <c r="M224" s="4"/>
    </row>
    <row r="225" s="1" customFormat="1" spans="6:13">
      <c r="F225" s="13">
        <v>45012</v>
      </c>
      <c r="G225" s="14">
        <v>1.01792037</v>
      </c>
      <c r="H225" s="14">
        <v>1.01872075</v>
      </c>
      <c r="I225" s="3" t="str">
        <f>IF(G225&gt;MAX($G$3:G224),"新高","/")</f>
        <v>新高</v>
      </c>
      <c r="J225" s="26">
        <f t="shared" si="12"/>
        <v>0.00808244303430605</v>
      </c>
      <c r="M225" s="4"/>
    </row>
    <row r="226" s="1" customFormat="1" spans="6:13">
      <c r="F226" s="13">
        <v>45013</v>
      </c>
      <c r="G226" s="14">
        <v>1.01798744</v>
      </c>
      <c r="H226" s="14">
        <v>1.01877384</v>
      </c>
      <c r="I226" s="3" t="str">
        <f>IF(G226&gt;MAX($G$3:G225),"新高","/")</f>
        <v>新高</v>
      </c>
      <c r="J226" s="26">
        <f t="shared" si="12"/>
        <v>0.00812397518922814</v>
      </c>
      <c r="M226" s="4"/>
    </row>
    <row r="227" s="1" customFormat="1" spans="6:13">
      <c r="F227" s="13">
        <v>45014</v>
      </c>
      <c r="G227" s="14">
        <v>1.0180568</v>
      </c>
      <c r="H227" s="14">
        <v>1.01881366</v>
      </c>
      <c r="I227" s="3" t="str">
        <f>IF(G227&gt;MAX($G$3:G226),"新高","/")</f>
        <v>新高</v>
      </c>
      <c r="J227" s="26">
        <f t="shared" si="12"/>
        <v>0.00818477565892084</v>
      </c>
      <c r="M227" s="4"/>
    </row>
    <row r="228" s="1" customFormat="1" spans="6:13">
      <c r="F228" s="13">
        <v>45015</v>
      </c>
      <c r="G228" s="14">
        <v>1.01809883</v>
      </c>
      <c r="H228" s="14">
        <v>1.01889606</v>
      </c>
      <c r="I228" s="3" t="str">
        <f>IF(G228&gt;MAX($G$3:G227),"新高","/")</f>
        <v>新高</v>
      </c>
      <c r="J228" s="26">
        <f t="shared" si="12"/>
        <v>0.00829730299622322</v>
      </c>
      <c r="M228" s="4"/>
    </row>
    <row r="229" s="1" customFormat="1" spans="6:13">
      <c r="F229" s="13">
        <v>45016</v>
      </c>
      <c r="G229" s="14">
        <v>1.01823699</v>
      </c>
      <c r="H229" s="14">
        <v>1.01899831</v>
      </c>
      <c r="I229" s="3" t="str">
        <f>IF(G229&gt;MAX($G$3:G228),"新高","/")</f>
        <v>新高</v>
      </c>
      <c r="J229" s="26">
        <f t="shared" si="12"/>
        <v>0.00846705196262065</v>
      </c>
      <c r="M229" s="4"/>
    </row>
    <row r="230" s="1" customFormat="1" spans="6:13">
      <c r="F230" s="13">
        <v>45019</v>
      </c>
      <c r="G230" s="14">
        <v>1.01844851</v>
      </c>
      <c r="H230" s="14">
        <v>1.01926576</v>
      </c>
      <c r="I230" s="3" t="str">
        <f>IF(G230&gt;MAX($G$3:G229),"新高","/")</f>
        <v>新高</v>
      </c>
      <c r="J230" s="26">
        <f t="shared" si="12"/>
        <v>0.00864759229688628</v>
      </c>
      <c r="M230" s="4"/>
    </row>
    <row r="231" s="1" customFormat="1" spans="6:13">
      <c r="F231" s="13">
        <v>45020</v>
      </c>
      <c r="G231" s="14">
        <v>1.01853926</v>
      </c>
      <c r="H231" s="14">
        <v>1.01934338</v>
      </c>
      <c r="I231" s="3" t="str">
        <f>IF(G231&gt;MAX($G$3:G230),"新高","/")</f>
        <v>新高</v>
      </c>
      <c r="J231" s="26">
        <f t="shared" si="12"/>
        <v>0.00868265517744327</v>
      </c>
      <c r="M231" s="4"/>
    </row>
    <row r="232" s="1" customFormat="1" spans="6:13">
      <c r="F232" s="13">
        <v>45022</v>
      </c>
      <c r="G232" s="14">
        <v>1.01863878</v>
      </c>
      <c r="H232" s="14">
        <v>1.01948166</v>
      </c>
      <c r="I232" s="3" t="str">
        <f>IF(G232&gt;MAX($G$3:G231),"新高","/")</f>
        <v>新高</v>
      </c>
      <c r="J232" s="26">
        <f t="shared" si="12"/>
        <v>0.00808190435790701</v>
      </c>
      <c r="M232" s="4"/>
    </row>
    <row r="233" s="1" customFormat="1" spans="6:13">
      <c r="F233" s="13">
        <v>45023</v>
      </c>
      <c r="G233" s="14">
        <v>1.01871502</v>
      </c>
      <c r="H233" s="14">
        <v>1.01953383</v>
      </c>
      <c r="I233" s="3" t="str">
        <f>IF(G233&gt;MAX($G$3:G232),"新高","/")</f>
        <v>新高</v>
      </c>
      <c r="J233" s="26">
        <f t="shared" si="12"/>
        <v>0.0081180959042737</v>
      </c>
      <c r="M233" s="4"/>
    </row>
    <row r="234" s="1" customFormat="1" spans="6:13">
      <c r="F234" s="13">
        <v>45026</v>
      </c>
      <c r="G234" s="14">
        <v>1.01890282</v>
      </c>
      <c r="H234" s="14">
        <v>1.01973411</v>
      </c>
      <c r="I234" s="3" t="str">
        <f>IF(G234&gt;MAX($G$3:G233),"新高","/")</f>
        <v>新高</v>
      </c>
      <c r="J234" s="26">
        <f t="shared" si="12"/>
        <v>0.00824057509432019</v>
      </c>
      <c r="M234" s="4"/>
    </row>
    <row r="235" s="1" customFormat="1" spans="6:13">
      <c r="F235" s="13">
        <v>45027</v>
      </c>
      <c r="G235" s="14">
        <v>1.01899516</v>
      </c>
      <c r="H235" s="14">
        <v>1.01982634</v>
      </c>
      <c r="I235" s="3" t="str">
        <f>IF(G235&gt;MAX($G$3:G234),"新高","/")</f>
        <v>新高</v>
      </c>
      <c r="J235" s="26">
        <f t="shared" si="12"/>
        <v>0.00829614972123105</v>
      </c>
      <c r="M235" s="4"/>
    </row>
    <row r="236" s="1" customFormat="1" spans="6:13">
      <c r="F236" s="13">
        <v>45028</v>
      </c>
      <c r="G236" s="14">
        <v>1.01908539</v>
      </c>
      <c r="H236" s="14">
        <v>1.01989914</v>
      </c>
      <c r="I236" s="3" t="str">
        <f>IF(G236&gt;MAX($G$3:G235),"新高","/")</f>
        <v>新高</v>
      </c>
      <c r="J236" s="26">
        <f t="shared" si="12"/>
        <v>0.00830289128840045</v>
      </c>
      <c r="M236" s="4"/>
    </row>
    <row r="237" s="1" customFormat="1" spans="6:13">
      <c r="F237" s="13">
        <v>45029</v>
      </c>
      <c r="G237" s="14">
        <v>1.01914205</v>
      </c>
      <c r="H237" s="14">
        <v>1.01996688</v>
      </c>
      <c r="I237" s="3" t="str">
        <f>IF(G237&gt;MAX($G$3:G236),"新高","/")</f>
        <v>新高</v>
      </c>
      <c r="J237" s="26">
        <f t="shared" si="12"/>
        <v>0.00823568231837113</v>
      </c>
      <c r="M237" s="4"/>
    </row>
    <row r="238" s="1" customFormat="1" spans="6:13">
      <c r="F238" s="13">
        <v>45030</v>
      </c>
      <c r="G238" s="14">
        <v>1.01919932</v>
      </c>
      <c r="H238" s="14">
        <v>1.0200306</v>
      </c>
      <c r="I238" s="3" t="str">
        <f>IF(G238&gt;MAX($G$3:G237),"新高","/")</f>
        <v>新高</v>
      </c>
      <c r="J238" s="26">
        <f t="shared" si="12"/>
        <v>0.00825344833642871</v>
      </c>
      <c r="M238" s="4"/>
    </row>
    <row r="239" s="1" customFormat="1" spans="6:13">
      <c r="F239" s="13">
        <v>45033</v>
      </c>
      <c r="G239" s="14">
        <v>1.01936946</v>
      </c>
      <c r="H239" s="14">
        <v>1.02021324</v>
      </c>
      <c r="I239" s="3" t="str">
        <f>IF(G239&gt;MAX($G$3:G238),"新高","/")</f>
        <v>新高</v>
      </c>
      <c r="J239" s="26">
        <f t="shared" si="12"/>
        <v>0.00834323678914317</v>
      </c>
      <c r="M239" s="4"/>
    </row>
    <row r="240" s="1" customFormat="1" spans="6:13">
      <c r="F240" s="13">
        <v>45034</v>
      </c>
      <c r="G240" s="14">
        <v>1.01943541</v>
      </c>
      <c r="H240" s="14">
        <v>1.02028521</v>
      </c>
      <c r="I240" s="3" t="str">
        <f>IF(G240&gt;MAX($G$3:G239),"新高","/")</f>
        <v>新高</v>
      </c>
      <c r="J240" s="26">
        <f t="shared" si="12"/>
        <v>0.00839367073240438</v>
      </c>
      <c r="M240" s="4"/>
    </row>
    <row r="241" s="1" customFormat="1" spans="6:13">
      <c r="F241" s="13">
        <v>45035</v>
      </c>
      <c r="G241" s="14">
        <v>1.01951672</v>
      </c>
      <c r="H241" s="14">
        <v>1.02036787</v>
      </c>
      <c r="I241" s="3" t="str">
        <f>IF(G241&gt;MAX($G$3:G240),"新高","/")</f>
        <v>新高</v>
      </c>
      <c r="J241" s="26">
        <f t="shared" si="12"/>
        <v>0.00844422427518765</v>
      </c>
      <c r="M241" s="4"/>
    </row>
    <row r="242" s="1" customFormat="1" spans="6:13">
      <c r="F242" s="13">
        <v>45036</v>
      </c>
      <c r="G242" s="14">
        <v>1.01959013</v>
      </c>
      <c r="H242" s="14">
        <v>1.02043959</v>
      </c>
      <c r="I242" s="3" t="str">
        <f>IF(G242&gt;MAX($G$3:G241),"新高","/")</f>
        <v>新高</v>
      </c>
      <c r="J242" s="26">
        <f t="shared" si="12"/>
        <v>0.00842528890833405</v>
      </c>
      <c r="M242" s="4"/>
    </row>
    <row r="243" s="1" customFormat="1" spans="6:13">
      <c r="F243" s="13">
        <v>45037</v>
      </c>
      <c r="G243" s="14">
        <v>1.01965148</v>
      </c>
      <c r="H243" s="14">
        <v>1.02051481</v>
      </c>
      <c r="I243" s="3" t="str">
        <f>IF(G243&gt;MAX($G$3:G242),"新高","/")</f>
        <v>新高</v>
      </c>
      <c r="J243" s="26">
        <f t="shared" si="12"/>
        <v>0.00849979185164207</v>
      </c>
      <c r="M243" s="4"/>
    </row>
    <row r="244" s="1" customFormat="1" spans="6:13">
      <c r="F244" s="13">
        <v>45040</v>
      </c>
      <c r="G244" s="14">
        <v>1.01982614</v>
      </c>
      <c r="H244" s="14">
        <v>1.02069248</v>
      </c>
      <c r="I244" s="3" t="str">
        <f>IF(G244&gt;MAX($G$3:G243),"新高","/")</f>
        <v>新高</v>
      </c>
      <c r="J244" s="26">
        <f t="shared" si="12"/>
        <v>0.00864445882612253</v>
      </c>
      <c r="M244" s="4"/>
    </row>
    <row r="245" s="1" customFormat="1" spans="6:13">
      <c r="F245" s="13">
        <v>45041</v>
      </c>
      <c r="G245" s="14">
        <v>1.01990061</v>
      </c>
      <c r="H245" s="14">
        <v>1.02076001</v>
      </c>
      <c r="I245" s="3" t="str">
        <f>IF(G245&gt;MAX($G$3:G244),"新高","/")</f>
        <v>新高</v>
      </c>
      <c r="J245" s="26">
        <f t="shared" si="12"/>
        <v>0.00867825744333683</v>
      </c>
      <c r="M245" s="4"/>
    </row>
    <row r="246" s="1" customFormat="1" spans="6:13">
      <c r="F246" s="13">
        <v>45042</v>
      </c>
      <c r="G246" s="14">
        <v>1.01997661</v>
      </c>
      <c r="H246" s="14">
        <v>1.02083195</v>
      </c>
      <c r="I246" s="3" t="str">
        <f>IF(G246&gt;MAX($G$3:G245),"新高","/")</f>
        <v>新高</v>
      </c>
      <c r="J246" s="26">
        <f t="shared" si="12"/>
        <v>0.00867549049849403</v>
      </c>
      <c r="M246" s="4"/>
    </row>
    <row r="247" s="1" customFormat="1" spans="6:13">
      <c r="F247" s="13">
        <v>45043</v>
      </c>
      <c r="G247" s="14">
        <v>1.02009405</v>
      </c>
      <c r="H247" s="14">
        <v>1.02092651</v>
      </c>
      <c r="I247" s="3" t="str">
        <f>IF(G247&gt;MAX($G$3:G246),"新高","/")</f>
        <v>新高</v>
      </c>
      <c r="J247" s="26">
        <f t="shared" si="12"/>
        <v>0.00864722532047768</v>
      </c>
      <c r="K247" s="26">
        <f t="shared" ref="K247:K310" si="13">G247/G3-1</f>
        <v>0.02009405</v>
      </c>
      <c r="M247" s="4"/>
    </row>
    <row r="248" s="1" customFormat="1" spans="6:13">
      <c r="F248" s="13">
        <v>45044</v>
      </c>
      <c r="G248" s="14">
        <v>1.02021215</v>
      </c>
      <c r="H248" s="14">
        <v>1.02100081</v>
      </c>
      <c r="I248" s="3" t="str">
        <f>IF(G248&gt;MAX($G$3:G247),"新高","/")</f>
        <v>新高</v>
      </c>
      <c r="J248" s="26">
        <f t="shared" si="12"/>
        <v>0.00875503313526038</v>
      </c>
      <c r="K248" s="26">
        <f t="shared" si="13"/>
        <v>0.0201327836694307</v>
      </c>
      <c r="M248" s="4"/>
    </row>
    <row r="249" s="1" customFormat="1" spans="6:13">
      <c r="F249" s="13">
        <v>45050</v>
      </c>
      <c r="G249" s="14">
        <v>1.02062488</v>
      </c>
      <c r="H249" s="14">
        <v>1.02145571</v>
      </c>
      <c r="I249" s="3" t="str">
        <f>IF(G249&gt;MAX($G$3:G248),"新高","/")</f>
        <v>新高</v>
      </c>
      <c r="J249" s="26">
        <f t="shared" si="12"/>
        <v>0.00914673404087818</v>
      </c>
      <c r="K249" s="26">
        <f t="shared" si="13"/>
        <v>0.0204876550250286</v>
      </c>
      <c r="M249" s="4"/>
    </row>
    <row r="250" s="1" customFormat="1" spans="6:13">
      <c r="F250" s="13">
        <v>45051</v>
      </c>
      <c r="G250" s="14">
        <v>1.02076224</v>
      </c>
      <c r="H250" s="14">
        <v>1.02158048</v>
      </c>
      <c r="I250" s="3" t="str">
        <f>IF(G250&gt;MAX($G$3:G249),"新高","/")</f>
        <v>新高</v>
      </c>
      <c r="J250" s="26">
        <f t="shared" si="12"/>
        <v>0.00925732217418096</v>
      </c>
      <c r="K250" s="26">
        <f t="shared" si="13"/>
        <v>0.0202346664516311</v>
      </c>
      <c r="M250" s="4"/>
    </row>
    <row r="251" s="1" customFormat="1" spans="6:13">
      <c r="F251" s="13">
        <v>45054</v>
      </c>
      <c r="G251" s="14">
        <v>1.02095621</v>
      </c>
      <c r="H251" s="14">
        <v>1.02177515</v>
      </c>
      <c r="I251" s="3" t="str">
        <f>IF(G251&gt;MAX($G$3:G250),"新高","/")</f>
        <v>新高</v>
      </c>
      <c r="J251" s="26">
        <f t="shared" si="12"/>
        <v>0.00945088252680382</v>
      </c>
      <c r="K251" s="26">
        <f t="shared" si="13"/>
        <v>0.0203965225074048</v>
      </c>
      <c r="M251" s="4"/>
    </row>
    <row r="252" s="1" customFormat="1" spans="6:13">
      <c r="F252" s="13">
        <v>45055</v>
      </c>
      <c r="G252" s="14">
        <v>1.02106174</v>
      </c>
      <c r="H252" s="14">
        <v>1.02185428</v>
      </c>
      <c r="I252" s="3" t="str">
        <f>IF(G252&gt;MAX($G$3:G251),"新高","/")</f>
        <v>新高</v>
      </c>
      <c r="J252" s="26">
        <f t="shared" ref="J252:J315" si="14">G252/G131-1</f>
        <v>0.00946261081667199</v>
      </c>
      <c r="K252" s="26">
        <f t="shared" si="13"/>
        <v>0.0202220258571777</v>
      </c>
      <c r="M252" s="4"/>
    </row>
    <row r="253" s="1" customFormat="1" spans="6:13">
      <c r="F253" s="13">
        <v>45056</v>
      </c>
      <c r="G253" s="14">
        <v>1.02118999</v>
      </c>
      <c r="H253" s="14">
        <v>1.02196936</v>
      </c>
      <c r="I253" s="3" t="str">
        <f>IF(G253&gt;MAX($G$3:G252),"新高","/")</f>
        <v>新高</v>
      </c>
      <c r="J253" s="26">
        <f t="shared" si="14"/>
        <v>0.00964324540960293</v>
      </c>
      <c r="K253" s="26">
        <f t="shared" si="13"/>
        <v>0.0201651626825241</v>
      </c>
      <c r="M253" s="4"/>
    </row>
    <row r="254" s="1" customFormat="1" spans="6:13">
      <c r="F254" s="13">
        <v>45057</v>
      </c>
      <c r="G254" s="14">
        <v>1.0213773</v>
      </c>
      <c r="H254" s="14">
        <v>1.02209472</v>
      </c>
      <c r="I254" s="3" t="str">
        <f>IF(G254&gt;MAX($G$3:G253),"新高","/")</f>
        <v>新高</v>
      </c>
      <c r="J254" s="26">
        <f t="shared" si="14"/>
        <v>0.00983513684464987</v>
      </c>
      <c r="K254" s="26">
        <f t="shared" si="13"/>
        <v>0.0202370626540365</v>
      </c>
      <c r="M254" s="4"/>
    </row>
    <row r="255" s="1" customFormat="1" spans="6:13">
      <c r="F255" s="13">
        <v>45058</v>
      </c>
      <c r="G255" s="14">
        <v>1.02146926</v>
      </c>
      <c r="H255" s="14">
        <v>1.02217695</v>
      </c>
      <c r="I255" s="3" t="str">
        <f>IF(G255&gt;MAX($G$3:G254),"新高","/")</f>
        <v>新高</v>
      </c>
      <c r="J255" s="26">
        <f t="shared" si="14"/>
        <v>0.0100086813921565</v>
      </c>
      <c r="K255" s="26">
        <f t="shared" si="13"/>
        <v>0.020179722225715</v>
      </c>
      <c r="M255" s="4"/>
    </row>
    <row r="256" s="1" customFormat="1" spans="6:13">
      <c r="F256" s="13">
        <v>45061</v>
      </c>
      <c r="G256" s="14">
        <v>1.02162003</v>
      </c>
      <c r="H256" s="14">
        <v>1.02237565</v>
      </c>
      <c r="I256" s="3" t="str">
        <f>IF(G256&gt;MAX($G$3:G255),"新高","/")</f>
        <v>新高</v>
      </c>
      <c r="J256" s="26">
        <f t="shared" si="14"/>
        <v>0.0102590107556952</v>
      </c>
      <c r="K256" s="26">
        <f t="shared" si="13"/>
        <v>0.0201698891077302</v>
      </c>
      <c r="M256" s="4"/>
    </row>
    <row r="257" s="1" customFormat="1" spans="6:13">
      <c r="F257" s="13">
        <v>45062</v>
      </c>
      <c r="G257" s="14">
        <v>1.02169441</v>
      </c>
      <c r="H257" s="14">
        <v>1.02243547</v>
      </c>
      <c r="I257" s="3" t="str">
        <f>IF(G257&gt;MAX($G$3:G256),"新高","/")</f>
        <v>新高</v>
      </c>
      <c r="J257" s="26">
        <f t="shared" si="14"/>
        <v>0.0107471091356626</v>
      </c>
      <c r="K257" s="26">
        <f t="shared" si="13"/>
        <v>0.0200347013371074</v>
      </c>
      <c r="M257" s="4"/>
    </row>
    <row r="258" s="1" customFormat="1" spans="6:13">
      <c r="F258" s="13">
        <v>45063</v>
      </c>
      <c r="G258" s="14">
        <v>1.0217542</v>
      </c>
      <c r="H258" s="14">
        <v>1.0224851</v>
      </c>
      <c r="I258" s="3" t="str">
        <f>IF(G258&gt;MAX($G$3:G257),"新高","/")</f>
        <v>新高</v>
      </c>
      <c r="J258" s="26">
        <f t="shared" si="14"/>
        <v>0.0110050227275071</v>
      </c>
      <c r="K258" s="26">
        <f t="shared" si="13"/>
        <v>0.0199092860923875</v>
      </c>
      <c r="M258" s="4"/>
    </row>
    <row r="259" s="1" customFormat="1" spans="6:13">
      <c r="F259" s="13">
        <v>45064</v>
      </c>
      <c r="G259" s="14">
        <v>1.02179261</v>
      </c>
      <c r="H259" s="14">
        <v>1.02254262</v>
      </c>
      <c r="I259" s="3" t="str">
        <f>IF(G259&gt;MAX($G$3:G258),"新高","/")</f>
        <v>新高</v>
      </c>
      <c r="J259" s="26">
        <f t="shared" si="14"/>
        <v>0.0113319685762692</v>
      </c>
      <c r="K259" s="26">
        <f t="shared" si="13"/>
        <v>0.0197747205739172</v>
      </c>
      <c r="M259" s="4"/>
    </row>
    <row r="260" s="1" customFormat="1" spans="6:13">
      <c r="F260" s="13">
        <v>45065</v>
      </c>
      <c r="G260" s="14">
        <v>1.0218667</v>
      </c>
      <c r="H260" s="14">
        <v>1.02261991</v>
      </c>
      <c r="I260" s="3" t="str">
        <f>IF(G260&gt;MAX($G$3:G259),"新高","/")</f>
        <v>新高</v>
      </c>
      <c r="J260" s="26">
        <f t="shared" si="14"/>
        <v>0.0114721346579247</v>
      </c>
      <c r="K260" s="26">
        <f t="shared" si="13"/>
        <v>0.0196821838733787</v>
      </c>
      <c r="M260" s="4"/>
    </row>
    <row r="261" s="1" customFormat="1" spans="6:13">
      <c r="F261" s="13">
        <v>45068</v>
      </c>
      <c r="G261" s="14">
        <v>1.02208408</v>
      </c>
      <c r="H261" s="14">
        <v>1.02287388</v>
      </c>
      <c r="I261" s="3" t="str">
        <f>IF(G261&gt;MAX($G$3:G260),"新高","/")</f>
        <v>新高</v>
      </c>
      <c r="J261" s="26">
        <f t="shared" si="14"/>
        <v>0.0115840900413928</v>
      </c>
      <c r="K261" s="26">
        <f t="shared" si="13"/>
        <v>0.0198456208468032</v>
      </c>
      <c r="M261" s="4"/>
    </row>
    <row r="262" s="1" customFormat="1" spans="6:13">
      <c r="F262" s="13">
        <v>45069</v>
      </c>
      <c r="G262" s="14">
        <v>1.02220817</v>
      </c>
      <c r="H262" s="14">
        <v>1.02302389</v>
      </c>
      <c r="I262" s="3" t="str">
        <f>IF(G262&gt;MAX($G$3:G261),"新高","/")</f>
        <v>新高</v>
      </c>
      <c r="J262" s="26">
        <f t="shared" si="14"/>
        <v>0.0115246689816433</v>
      </c>
      <c r="K262" s="26">
        <f t="shared" si="13"/>
        <v>0.0197276315498736</v>
      </c>
      <c r="M262" s="4"/>
    </row>
    <row r="263" s="1" customFormat="1" spans="6:13">
      <c r="F263" s="13">
        <v>45070</v>
      </c>
      <c r="G263" s="14">
        <v>1.02226493</v>
      </c>
      <c r="H263" s="14">
        <v>1.02309973</v>
      </c>
      <c r="I263" s="3" t="str">
        <f>IF(G263&gt;MAX($G$3:G262),"新高","/")</f>
        <v>新高</v>
      </c>
      <c r="J263" s="26">
        <f t="shared" si="14"/>
        <v>0.0114982793253087</v>
      </c>
      <c r="K263" s="26">
        <f t="shared" si="13"/>
        <v>0.0197481711187155</v>
      </c>
      <c r="M263" s="4"/>
    </row>
    <row r="264" s="1" customFormat="1" spans="6:13">
      <c r="F264" s="13">
        <v>45071</v>
      </c>
      <c r="G264" s="14">
        <v>1.02232222</v>
      </c>
      <c r="H264" s="14">
        <v>1.02315043</v>
      </c>
      <c r="I264" s="3" t="str">
        <f>IF(G264&gt;MAX($G$3:G263),"新高","/")</f>
        <v>新高</v>
      </c>
      <c r="J264" s="26">
        <f t="shared" si="14"/>
        <v>0.0114168204172154</v>
      </c>
      <c r="K264" s="26">
        <f t="shared" si="13"/>
        <v>0.0197747004253732</v>
      </c>
      <c r="M264" s="4"/>
    </row>
    <row r="265" s="1" customFormat="1" spans="6:13">
      <c r="F265" s="13">
        <v>45072</v>
      </c>
      <c r="G265" s="14">
        <v>1.02237733</v>
      </c>
      <c r="H265" s="14">
        <v>1.02322236</v>
      </c>
      <c r="I265" s="3" t="str">
        <f>IF(G265&gt;MAX($G$3:G264),"新高","/")</f>
        <v>新高</v>
      </c>
      <c r="J265" s="26">
        <f t="shared" si="14"/>
        <v>0.0111965899764261</v>
      </c>
      <c r="K265" s="26">
        <f t="shared" si="13"/>
        <v>0.0196309336874942</v>
      </c>
      <c r="M265" s="4"/>
    </row>
    <row r="266" s="1" customFormat="1" spans="6:13">
      <c r="F266" s="13">
        <v>45075</v>
      </c>
      <c r="G266" s="14">
        <v>1.02253558</v>
      </c>
      <c r="H266" s="14">
        <v>1.02340513</v>
      </c>
      <c r="I266" s="3" t="str">
        <f>IF(G266&gt;MAX($G$3:G265),"新高","/")</f>
        <v>新高</v>
      </c>
      <c r="J266" s="26">
        <f t="shared" si="14"/>
        <v>0.0112986063267033</v>
      </c>
      <c r="K266" s="26">
        <f t="shared" si="13"/>
        <v>0.0196959206033445</v>
      </c>
      <c r="M266" s="4"/>
    </row>
    <row r="267" s="1" customFormat="1" spans="6:13">
      <c r="F267" s="13">
        <v>45076</v>
      </c>
      <c r="G267" s="14">
        <v>1.02259451</v>
      </c>
      <c r="H267" s="14">
        <v>1.02348835</v>
      </c>
      <c r="I267" s="3" t="str">
        <f>IF(G267&gt;MAX($G$3:G266),"新高","/")</f>
        <v>新高</v>
      </c>
      <c r="J267" s="26">
        <f t="shared" si="14"/>
        <v>0.0112429939080541</v>
      </c>
      <c r="K267" s="26">
        <f t="shared" si="13"/>
        <v>0.019700925078922</v>
      </c>
      <c r="M267" s="4"/>
    </row>
    <row r="268" s="1" customFormat="1" spans="6:13">
      <c r="F268" s="13">
        <v>45077</v>
      </c>
      <c r="G268" s="14">
        <v>1.02268012</v>
      </c>
      <c r="H268" s="14">
        <v>1.02355212</v>
      </c>
      <c r="I268" s="3" t="str">
        <f>IF(G268&gt;MAX($G$3:G267),"新高","/")</f>
        <v>新高</v>
      </c>
      <c r="J268" s="26">
        <f t="shared" si="14"/>
        <v>0.011454942475658</v>
      </c>
      <c r="K268" s="26">
        <f t="shared" si="13"/>
        <v>0.019906311402069</v>
      </c>
      <c r="M268" s="4"/>
    </row>
    <row r="269" s="1" customFormat="1" spans="6:13">
      <c r="F269" s="13">
        <v>45078</v>
      </c>
      <c r="G269" s="14">
        <v>1.02279804</v>
      </c>
      <c r="H269" s="14">
        <v>1.02364809</v>
      </c>
      <c r="I269" s="3" t="str">
        <f>IF(G269&gt;MAX($G$3:G268),"新高","/")</f>
        <v>新高</v>
      </c>
      <c r="J269" s="26">
        <f t="shared" si="14"/>
        <v>0.0116059554231047</v>
      </c>
      <c r="K269" s="26">
        <f t="shared" si="13"/>
        <v>0.0200538198101794</v>
      </c>
      <c r="M269" s="4"/>
    </row>
    <row r="270" s="1" customFormat="1" spans="6:13">
      <c r="F270" s="13">
        <v>45079</v>
      </c>
      <c r="G270" s="14">
        <v>1.02282953</v>
      </c>
      <c r="H270" s="14">
        <v>1.02372479</v>
      </c>
      <c r="I270" s="3" t="str">
        <f>IF(G270&gt;MAX($G$3:G269),"新高","/")</f>
        <v>新高</v>
      </c>
      <c r="J270" s="26">
        <f t="shared" si="14"/>
        <v>0.0116748036153373</v>
      </c>
      <c r="K270" s="26">
        <f t="shared" si="13"/>
        <v>0.0202051746129293</v>
      </c>
      <c r="M270" s="4"/>
    </row>
    <row r="271" s="1" customFormat="1" spans="6:13">
      <c r="F271" s="13">
        <v>45082</v>
      </c>
      <c r="G271" s="14">
        <v>1.02300539</v>
      </c>
      <c r="H271" s="14">
        <v>1.02391601</v>
      </c>
      <c r="I271" s="3" t="str">
        <f>IF(G271&gt;MAX($G$3:G270),"新高","/")</f>
        <v>新高</v>
      </c>
      <c r="J271" s="26">
        <f t="shared" si="14"/>
        <v>0.011841960257708</v>
      </c>
      <c r="K271" s="26">
        <f t="shared" si="13"/>
        <v>0.0204936184421198</v>
      </c>
      <c r="M271" s="4"/>
    </row>
    <row r="272" s="1" customFormat="1" spans="6:13">
      <c r="F272" s="13">
        <v>45083</v>
      </c>
      <c r="G272" s="14">
        <v>1.02311434</v>
      </c>
      <c r="H272" s="14">
        <v>1.02400597</v>
      </c>
      <c r="I272" s="3" t="str">
        <f>IF(G272&gt;MAX($G$3:G271),"新高","/")</f>
        <v>新高</v>
      </c>
      <c r="J272" s="26">
        <f t="shared" si="14"/>
        <v>0.0118336694955481</v>
      </c>
      <c r="K272" s="26">
        <f t="shared" si="13"/>
        <v>0.0206994976794252</v>
      </c>
      <c r="M272" s="4"/>
    </row>
    <row r="273" s="1" customFormat="1" spans="6:13">
      <c r="F273" s="13">
        <v>45084</v>
      </c>
      <c r="G273" s="14">
        <v>1.02322149</v>
      </c>
      <c r="H273" s="14">
        <v>1.024092</v>
      </c>
      <c r="I273" s="3" t="str">
        <f>IF(G273&gt;MAX($G$3:G272),"新高","/")</f>
        <v>新高</v>
      </c>
      <c r="J273" s="26">
        <f t="shared" si="14"/>
        <v>0.012051648009697</v>
      </c>
      <c r="K273" s="26">
        <f t="shared" si="13"/>
        <v>0.0207294301328023</v>
      </c>
      <c r="M273" s="4"/>
    </row>
    <row r="274" s="1" customFormat="1" spans="6:13">
      <c r="F274" s="13">
        <v>45085</v>
      </c>
      <c r="G274" s="14">
        <v>1.02326115</v>
      </c>
      <c r="H274" s="14">
        <v>1.02416946</v>
      </c>
      <c r="I274" s="3" t="str">
        <f>IF(G274&gt;MAX($G$3:G273),"新高","/")</f>
        <v>新高</v>
      </c>
      <c r="J274" s="26">
        <f t="shared" si="14"/>
        <v>0.0123358994923704</v>
      </c>
      <c r="K274" s="26">
        <f t="shared" si="13"/>
        <v>0.0206545411934278</v>
      </c>
      <c r="M274" s="4"/>
    </row>
    <row r="275" s="1" customFormat="1" spans="6:13">
      <c r="F275" s="13">
        <v>45086</v>
      </c>
      <c r="G275" s="14">
        <v>1.0233298</v>
      </c>
      <c r="H275" s="14">
        <v>1.02423024</v>
      </c>
      <c r="I275" s="3" t="str">
        <f>IF(G275&gt;MAX($G$3:G274),"新高","/")</f>
        <v>新高</v>
      </c>
      <c r="J275" s="26">
        <f t="shared" si="14"/>
        <v>0.0124942585688206</v>
      </c>
      <c r="K275" s="26">
        <f t="shared" si="13"/>
        <v>0.0206076149572338</v>
      </c>
      <c r="M275" s="4"/>
    </row>
    <row r="276" s="1" customFormat="1" spans="6:13">
      <c r="F276" s="13">
        <v>45089</v>
      </c>
      <c r="G276" s="14">
        <v>1.0235225</v>
      </c>
      <c r="H276" s="14">
        <v>1.02441976</v>
      </c>
      <c r="I276" s="3" t="str">
        <f>IF(G276&gt;MAX($G$3:G275),"新高","/")</f>
        <v>新高</v>
      </c>
      <c r="J276" s="26">
        <f t="shared" si="14"/>
        <v>0.0127674364638211</v>
      </c>
      <c r="K276" s="26">
        <f t="shared" si="13"/>
        <v>0.0206926907564391</v>
      </c>
      <c r="M276" s="4"/>
    </row>
    <row r="277" s="1" customFormat="1" spans="6:13">
      <c r="F277" s="13">
        <v>45090</v>
      </c>
      <c r="G277" s="14">
        <v>1.02364308</v>
      </c>
      <c r="H277" s="14">
        <v>1.02449061</v>
      </c>
      <c r="I277" s="3" t="str">
        <f>IF(G277&gt;MAX($G$3:G276),"新高","/")</f>
        <v>新高</v>
      </c>
      <c r="J277" s="26">
        <f t="shared" si="14"/>
        <v>0.0129614721831319</v>
      </c>
      <c r="K277" s="26">
        <f t="shared" si="13"/>
        <v>0.0207965479940566</v>
      </c>
      <c r="M277" s="4"/>
    </row>
    <row r="278" s="1" customFormat="1" spans="6:13">
      <c r="F278" s="13">
        <v>45091</v>
      </c>
      <c r="G278" s="14">
        <v>1.02375047</v>
      </c>
      <c r="H278" s="14">
        <v>1.024568</v>
      </c>
      <c r="I278" s="3" t="str">
        <f>IF(G278&gt;MAX($G$3:G277),"新高","/")</f>
        <v>新高</v>
      </c>
      <c r="J278" s="26">
        <f t="shared" si="14"/>
        <v>0.0134116343720203</v>
      </c>
      <c r="K278" s="26">
        <f t="shared" si="13"/>
        <v>0.0208294685586661</v>
      </c>
      <c r="M278" s="4"/>
    </row>
    <row r="279" s="1" customFormat="1" spans="6:13">
      <c r="F279" s="13">
        <v>45092</v>
      </c>
      <c r="G279" s="14">
        <v>1.02374551</v>
      </c>
      <c r="H279" s="14">
        <v>1.02459182</v>
      </c>
      <c r="I279" s="3" t="str">
        <f>IF(G279&gt;MAX($G$3:G278),"新高","/")</f>
        <v>/</v>
      </c>
      <c r="J279" s="26">
        <f t="shared" si="14"/>
        <v>0.0133789674443143</v>
      </c>
      <c r="K279" s="26">
        <f t="shared" si="13"/>
        <v>0.0206998742661733</v>
      </c>
      <c r="M279" s="4"/>
    </row>
    <row r="280" s="1" customFormat="1" spans="6:13">
      <c r="F280" s="13">
        <v>45093</v>
      </c>
      <c r="G280" s="14">
        <v>1.02364727</v>
      </c>
      <c r="H280" s="14">
        <v>1.02459921</v>
      </c>
      <c r="I280" s="3" t="str">
        <f>IF(G280&gt;MAX($G$3:G279),"新高","/")</f>
        <v>/</v>
      </c>
      <c r="J280" s="26">
        <f t="shared" si="14"/>
        <v>0.0132054281587533</v>
      </c>
      <c r="K280" s="26">
        <f t="shared" si="13"/>
        <v>0.0204002238357259</v>
      </c>
      <c r="M280" s="4"/>
    </row>
    <row r="281" s="1" customFormat="1" spans="6:13">
      <c r="F281" s="13">
        <v>45096</v>
      </c>
      <c r="G281" s="14">
        <v>1.02363653</v>
      </c>
      <c r="H281" s="14">
        <v>1.02470994</v>
      </c>
      <c r="I281" s="3" t="str">
        <f>IF(G281&gt;MAX($G$3:G280),"新高","/")</f>
        <v>/</v>
      </c>
      <c r="J281" s="26">
        <f t="shared" si="14"/>
        <v>0.0131799756657425</v>
      </c>
      <c r="K281" s="26">
        <f t="shared" si="13"/>
        <v>0.0202578949679191</v>
      </c>
      <c r="M281" s="4"/>
    </row>
    <row r="282" s="1" customFormat="1" spans="6:13">
      <c r="F282" s="13">
        <v>45097</v>
      </c>
      <c r="G282" s="14">
        <v>1.02365689</v>
      </c>
      <c r="H282" s="14">
        <v>1.02474961</v>
      </c>
      <c r="I282" s="3" t="str">
        <f>IF(G282&gt;MAX($G$3:G281),"新高","/")</f>
        <v>/</v>
      </c>
      <c r="J282" s="26">
        <f t="shared" si="14"/>
        <v>0.0129681012440777</v>
      </c>
      <c r="K282" s="26">
        <f t="shared" si="13"/>
        <v>0.0202480474264193</v>
      </c>
      <c r="M282" s="4"/>
    </row>
    <row r="283" s="1" customFormat="1" spans="6:13">
      <c r="F283" s="13">
        <v>45098</v>
      </c>
      <c r="G283" s="14">
        <v>1.02373333</v>
      </c>
      <c r="H283" s="14">
        <v>1.0247997</v>
      </c>
      <c r="I283" s="3" t="str">
        <f>IF(G283&gt;MAX($G$3:G282),"新高","/")</f>
        <v>/</v>
      </c>
      <c r="J283" s="26">
        <f t="shared" si="14"/>
        <v>0.0129487082113635</v>
      </c>
      <c r="K283" s="26">
        <f t="shared" si="13"/>
        <v>0.0202249701703285</v>
      </c>
      <c r="M283" s="4"/>
    </row>
    <row r="284" s="1" customFormat="1" spans="6:13">
      <c r="F284" s="13">
        <v>45103</v>
      </c>
      <c r="G284" s="14">
        <v>1.02396578</v>
      </c>
      <c r="H284" s="14">
        <v>1.02508312</v>
      </c>
      <c r="I284" s="3" t="str">
        <f>IF(G284&gt;MAX($G$3:G283),"新高","/")</f>
        <v>新高</v>
      </c>
      <c r="J284" s="26">
        <f t="shared" si="14"/>
        <v>0.0130778373813065</v>
      </c>
      <c r="K284" s="26">
        <f t="shared" si="13"/>
        <v>0.0203056680860449</v>
      </c>
      <c r="M284" s="4"/>
    </row>
    <row r="285" s="1" customFormat="1" spans="6:13">
      <c r="F285" s="13">
        <v>45104</v>
      </c>
      <c r="G285" s="14">
        <v>1.02394031</v>
      </c>
      <c r="H285" s="14">
        <v>1.02511064</v>
      </c>
      <c r="I285" s="3" t="str">
        <f>IF(G285&gt;MAX($G$3:G284),"新高","/")</f>
        <v>/</v>
      </c>
      <c r="J285" s="26">
        <f t="shared" si="14"/>
        <v>0.0129056249601776</v>
      </c>
      <c r="K285" s="26">
        <f t="shared" si="13"/>
        <v>0.0201621496802806</v>
      </c>
      <c r="M285" s="4"/>
    </row>
    <row r="286" s="1" customFormat="1" spans="6:13">
      <c r="F286" s="13">
        <v>45105</v>
      </c>
      <c r="G286" s="14">
        <v>1.0239902</v>
      </c>
      <c r="H286" s="14">
        <v>1.02516615</v>
      </c>
      <c r="I286" s="3" t="str">
        <f>IF(G286&gt;MAX($G$3:G285),"新高","/")</f>
        <v>新高</v>
      </c>
      <c r="J286" s="26">
        <f t="shared" si="14"/>
        <v>0.0127639245764939</v>
      </c>
      <c r="K286" s="26">
        <f t="shared" si="13"/>
        <v>0.0202567337240145</v>
      </c>
      <c r="M286" s="4"/>
    </row>
    <row r="287" s="1" customFormat="1" spans="6:13">
      <c r="F287" s="13">
        <v>45106</v>
      </c>
      <c r="G287" s="14">
        <v>1.02405598</v>
      </c>
      <c r="H287" s="14">
        <v>1.025233</v>
      </c>
      <c r="I287" s="3" t="str">
        <f>IF(G287&gt;MAX($G$3:G286),"新高","/")</f>
        <v>新高</v>
      </c>
      <c r="J287" s="26">
        <f t="shared" si="14"/>
        <v>0.0125840207214782</v>
      </c>
      <c r="K287" s="26">
        <f t="shared" si="13"/>
        <v>0.0203198848807311</v>
      </c>
      <c r="M287" s="4"/>
    </row>
    <row r="288" s="1" customFormat="1" spans="6:13">
      <c r="F288" s="13">
        <v>45107</v>
      </c>
      <c r="G288" s="14">
        <v>1.02423916</v>
      </c>
      <c r="H288" s="14">
        <v>1.02539259</v>
      </c>
      <c r="I288" s="3" t="str">
        <f>IF(G288&gt;MAX($G$3:G287),"新高","/")</f>
        <v>新高</v>
      </c>
      <c r="J288" s="26">
        <f t="shared" si="14"/>
        <v>0.0126080803114419</v>
      </c>
      <c r="K288" s="26">
        <f t="shared" si="13"/>
        <v>0.0204725244790711</v>
      </c>
      <c r="M288" s="4"/>
    </row>
    <row r="289" s="1" customFormat="1" spans="6:13">
      <c r="F289" s="13">
        <v>45110</v>
      </c>
      <c r="G289" s="14">
        <v>1.02445225</v>
      </c>
      <c r="H289" s="14">
        <v>1.02564411</v>
      </c>
      <c r="I289" s="3" t="str">
        <f>IF(G289&gt;MAX($G$3:G288),"新高","/")</f>
        <v>新高</v>
      </c>
      <c r="J289" s="26">
        <f t="shared" si="14"/>
        <v>0.0127425760037685</v>
      </c>
      <c r="K289" s="26">
        <f t="shared" si="13"/>
        <v>0.020524130160118</v>
      </c>
      <c r="M289" s="4"/>
    </row>
    <row r="290" s="1" customFormat="1" spans="6:13">
      <c r="F290" s="13">
        <v>45111</v>
      </c>
      <c r="G290" s="14">
        <v>1.02457626</v>
      </c>
      <c r="H290" s="14">
        <v>1.02575309</v>
      </c>
      <c r="I290" s="3" t="str">
        <f>IF(G290&gt;MAX($G$3:G289),"新高","/")</f>
        <v>新高</v>
      </c>
      <c r="J290" s="26">
        <f t="shared" si="14"/>
        <v>0.0126806848141483</v>
      </c>
      <c r="K290" s="26">
        <f t="shared" si="13"/>
        <v>0.0204819029187475</v>
      </c>
      <c r="M290" s="4"/>
    </row>
    <row r="291" s="1" customFormat="1" spans="6:13">
      <c r="F291" s="13">
        <v>45112</v>
      </c>
      <c r="G291" s="14">
        <v>1.02466897</v>
      </c>
      <c r="H291" s="14">
        <v>1.0258337</v>
      </c>
      <c r="I291" s="3" t="str">
        <f>IF(G291&gt;MAX($G$3:G290),"新高","/")</f>
        <v>新高</v>
      </c>
      <c r="J291" s="26">
        <f t="shared" si="14"/>
        <v>0.0125797499875067</v>
      </c>
      <c r="K291" s="26">
        <f t="shared" si="13"/>
        <v>0.0205850377363954</v>
      </c>
      <c r="M291" s="4"/>
    </row>
    <row r="292" s="1" customFormat="1" spans="6:13">
      <c r="F292" s="13">
        <v>45113</v>
      </c>
      <c r="G292" s="14">
        <v>1.02477496</v>
      </c>
      <c r="H292" s="14">
        <v>1.0259119</v>
      </c>
      <c r="I292" s="3" t="str">
        <f>IF(G292&gt;MAX($G$3:G291),"新高","/")</f>
        <v>新高</v>
      </c>
      <c r="J292" s="26">
        <f t="shared" si="14"/>
        <v>0.0123267924867749</v>
      </c>
      <c r="K292" s="26">
        <f t="shared" si="13"/>
        <v>0.0207574221077713</v>
      </c>
      <c r="M292" s="4"/>
    </row>
    <row r="293" s="1" customFormat="1" spans="6:13">
      <c r="F293" s="13">
        <v>45114</v>
      </c>
      <c r="G293" s="14">
        <v>1.02489627</v>
      </c>
      <c r="H293" s="14">
        <v>1.02599407</v>
      </c>
      <c r="I293" s="3" t="str">
        <f>IF(G293&gt;MAX($G$3:G292),"新高","/")</f>
        <v>新高</v>
      </c>
      <c r="J293" s="26">
        <f t="shared" si="14"/>
        <v>0.0121747216457535</v>
      </c>
      <c r="K293" s="26">
        <f t="shared" si="13"/>
        <v>0.0207610241844851</v>
      </c>
      <c r="M293" s="4"/>
    </row>
    <row r="294" s="1" customFormat="1" spans="6:13">
      <c r="F294" s="13">
        <v>45117</v>
      </c>
      <c r="G294" s="14">
        <v>1.02505192</v>
      </c>
      <c r="H294" s="14">
        <v>1.02615732</v>
      </c>
      <c r="I294" s="3" t="str">
        <f>IF(G294&gt;MAX($G$3:G293),"新高","/")</f>
        <v>新高</v>
      </c>
      <c r="J294" s="26">
        <f t="shared" si="14"/>
        <v>0.0121336733166635</v>
      </c>
      <c r="K294" s="26">
        <f t="shared" si="13"/>
        <v>0.0208065793895686</v>
      </c>
      <c r="M294" s="4"/>
    </row>
    <row r="295" s="1" customFormat="1" spans="6:13">
      <c r="F295" s="13">
        <v>45118</v>
      </c>
      <c r="G295" s="14">
        <v>1.02515154</v>
      </c>
      <c r="H295" s="14">
        <v>1.02622014</v>
      </c>
      <c r="I295" s="3" t="str">
        <f>IF(G295&gt;MAX($G$3:G294),"新高","/")</f>
        <v>新高</v>
      </c>
      <c r="J295" s="26">
        <f t="shared" si="14"/>
        <v>0.0121963978164907</v>
      </c>
      <c r="K295" s="26">
        <f t="shared" si="13"/>
        <v>0.0207827531417937</v>
      </c>
      <c r="M295" s="4"/>
    </row>
    <row r="296" s="1" customFormat="1" spans="6:13">
      <c r="F296" s="13">
        <v>45119</v>
      </c>
      <c r="G296" s="14">
        <v>1.02519925</v>
      </c>
      <c r="H296" s="14">
        <v>1.02627212</v>
      </c>
      <c r="I296" s="3" t="str">
        <f>IF(G296&gt;MAX($G$3:G295),"新高","/")</f>
        <v>新高</v>
      </c>
      <c r="J296" s="26">
        <f t="shared" si="14"/>
        <v>0.0120865353970121</v>
      </c>
      <c r="K296" s="26">
        <f t="shared" si="13"/>
        <v>0.0205520844393388</v>
      </c>
      <c r="M296" s="4"/>
    </row>
    <row r="297" s="1" customFormat="1" spans="6:13">
      <c r="F297" s="13">
        <v>45120</v>
      </c>
      <c r="G297" s="14">
        <v>1.02523957</v>
      </c>
      <c r="H297" s="14">
        <v>1.02631418</v>
      </c>
      <c r="I297" s="3" t="str">
        <f>IF(G297&gt;MAX($G$3:G296),"新高","/")</f>
        <v>新高</v>
      </c>
      <c r="J297" s="26">
        <f t="shared" si="14"/>
        <v>0.0121853347627383</v>
      </c>
      <c r="K297" s="26">
        <f t="shared" si="13"/>
        <v>0.0203537489228081</v>
      </c>
      <c r="M297" s="4"/>
    </row>
    <row r="298" s="1" customFormat="1" spans="6:13">
      <c r="F298" s="13">
        <v>45121</v>
      </c>
      <c r="G298" s="14">
        <v>1.02527229</v>
      </c>
      <c r="H298" s="14">
        <v>1.02637017</v>
      </c>
      <c r="I298" s="3" t="str">
        <f>IF(G298&gt;MAX($G$3:G297),"新高","/")</f>
        <v>新高</v>
      </c>
      <c r="J298" s="26">
        <f t="shared" si="14"/>
        <v>0.0122679868532918</v>
      </c>
      <c r="K298" s="26">
        <f t="shared" si="13"/>
        <v>0.02023048438535</v>
      </c>
      <c r="M298" s="4"/>
    </row>
    <row r="299" s="1" customFormat="1" spans="6:13">
      <c r="F299" s="13">
        <v>45124</v>
      </c>
      <c r="G299" s="14">
        <v>1.02546131</v>
      </c>
      <c r="H299" s="14">
        <v>1.02655545</v>
      </c>
      <c r="I299" s="3" t="str">
        <f>IF(G299&gt;MAX($G$3:G298),"新高","/")</f>
        <v>新高</v>
      </c>
      <c r="J299" s="26">
        <f t="shared" si="14"/>
        <v>0.0123645622546695</v>
      </c>
      <c r="K299" s="26">
        <f t="shared" si="13"/>
        <v>0.0202151291563983</v>
      </c>
      <c r="M299" s="4"/>
    </row>
    <row r="300" s="1" customFormat="1" spans="6:13">
      <c r="F300" s="13">
        <v>45125</v>
      </c>
      <c r="G300" s="14">
        <v>1.02555376</v>
      </c>
      <c r="H300" s="14">
        <v>1.02664036</v>
      </c>
      <c r="I300" s="3" t="str">
        <f>IF(G300&gt;MAX($G$3:G299),"新高","/")</f>
        <v>新高</v>
      </c>
      <c r="J300" s="26">
        <f t="shared" si="14"/>
        <v>0.0123806927967496</v>
      </c>
      <c r="K300" s="26">
        <f t="shared" si="13"/>
        <v>0.020136975479381</v>
      </c>
      <c r="M300" s="4"/>
    </row>
    <row r="301" s="1" customFormat="1" spans="6:13">
      <c r="F301" s="13">
        <v>45126</v>
      </c>
      <c r="G301" s="14">
        <v>1.02565968</v>
      </c>
      <c r="H301" s="14">
        <v>1.02670691</v>
      </c>
      <c r="I301" s="3" t="str">
        <f>IF(G301&gt;MAX($G$3:G300),"新高","/")</f>
        <v>新高</v>
      </c>
      <c r="J301" s="26">
        <f t="shared" si="14"/>
        <v>0.012386143538013</v>
      </c>
      <c r="K301" s="26">
        <f t="shared" si="13"/>
        <v>0.0199051609021066</v>
      </c>
      <c r="M301" s="4"/>
    </row>
    <row r="302" s="1" customFormat="1" spans="6:13">
      <c r="F302" s="13">
        <v>45127</v>
      </c>
      <c r="G302" s="14">
        <v>1.02572394</v>
      </c>
      <c r="H302" s="14">
        <v>1.02676115</v>
      </c>
      <c r="I302" s="3" t="str">
        <f>IF(G302&gt;MAX($G$3:G301),"新高","/")</f>
        <v>新高</v>
      </c>
      <c r="J302" s="26">
        <f t="shared" si="14"/>
        <v>0.0124076410564207</v>
      </c>
      <c r="K302" s="26">
        <f t="shared" si="13"/>
        <v>0.0198519993345516</v>
      </c>
      <c r="M302" s="4"/>
    </row>
    <row r="303" s="1" customFormat="1" spans="6:13">
      <c r="F303" s="13">
        <v>45128</v>
      </c>
      <c r="G303" s="14">
        <v>1.02582628</v>
      </c>
      <c r="H303" s="14">
        <v>1.02683058</v>
      </c>
      <c r="I303" s="3" t="str">
        <f>IF(G303&gt;MAX($G$3:G302),"新高","/")</f>
        <v>新高</v>
      </c>
      <c r="J303" s="26">
        <f t="shared" si="14"/>
        <v>0.0124552692377069</v>
      </c>
      <c r="K303" s="26">
        <f t="shared" si="13"/>
        <v>0.0197886620180685</v>
      </c>
      <c r="M303" s="4"/>
    </row>
    <row r="304" s="1" customFormat="1" spans="6:13">
      <c r="F304" s="13">
        <v>45131</v>
      </c>
      <c r="G304" s="14">
        <v>1.0259718</v>
      </c>
      <c r="H304" s="14">
        <v>1.02700571</v>
      </c>
      <c r="I304" s="3" t="str">
        <f>IF(G304&gt;MAX($G$3:G303),"新高","/")</f>
        <v>新高</v>
      </c>
      <c r="J304" s="26">
        <f t="shared" si="14"/>
        <v>0.0125009007656909</v>
      </c>
      <c r="K304" s="26">
        <f t="shared" si="13"/>
        <v>0.0196984012985471</v>
      </c>
      <c r="M304" s="4"/>
    </row>
    <row r="305" s="1" customFormat="1" spans="6:13">
      <c r="F305" s="13">
        <v>45132</v>
      </c>
      <c r="G305" s="14">
        <v>1.02580907</v>
      </c>
      <c r="H305" s="14">
        <v>1.02698789</v>
      </c>
      <c r="I305" s="3" t="str">
        <f>IF(G305&gt;MAX($G$3:G304),"新高","/")</f>
        <v>/</v>
      </c>
      <c r="J305" s="26">
        <f t="shared" si="14"/>
        <v>0.0122050043750492</v>
      </c>
      <c r="K305" s="26">
        <f t="shared" si="13"/>
        <v>0.0194724067245904</v>
      </c>
      <c r="M305" s="4"/>
    </row>
    <row r="306" s="1" customFormat="1" spans="6:13">
      <c r="F306" s="13">
        <v>45133</v>
      </c>
      <c r="G306" s="14">
        <v>1.02584783</v>
      </c>
      <c r="H306" s="14">
        <v>1.02703126</v>
      </c>
      <c r="I306" s="3" t="str">
        <f>IF(G306&gt;MAX($G$3:G305),"新高","/")</f>
        <v>/</v>
      </c>
      <c r="J306" s="26">
        <f t="shared" si="14"/>
        <v>0.0116424977923744</v>
      </c>
      <c r="K306" s="26">
        <f t="shared" si="13"/>
        <v>0.0192869449499626</v>
      </c>
      <c r="M306" s="4"/>
    </row>
    <row r="307" s="1" customFormat="1" spans="6:13">
      <c r="F307" s="13">
        <v>45134</v>
      </c>
      <c r="G307" s="14">
        <v>1.02596834</v>
      </c>
      <c r="H307" s="14">
        <v>1.02713115</v>
      </c>
      <c r="I307" s="3" t="str">
        <f>IF(G307&gt;MAX($G$3:G306),"新高","/")</f>
        <v>/</v>
      </c>
      <c r="J307" s="26">
        <f t="shared" si="14"/>
        <v>0.0117106059436183</v>
      </c>
      <c r="K307" s="26">
        <f t="shared" si="13"/>
        <v>0.0191320531441119</v>
      </c>
      <c r="M307" s="4"/>
    </row>
    <row r="308" s="1" customFormat="1" spans="6:13">
      <c r="F308" s="13">
        <v>45135</v>
      </c>
      <c r="G308" s="14">
        <v>1.02598559</v>
      </c>
      <c r="H308" s="14">
        <v>1.02720129</v>
      </c>
      <c r="I308" s="3" t="str">
        <f>IF(G308&gt;MAX($G$3:G307),"新高","/")</f>
        <v>新高</v>
      </c>
      <c r="J308" s="26">
        <f t="shared" si="14"/>
        <v>0.0116592307189809</v>
      </c>
      <c r="K308" s="26">
        <f t="shared" si="13"/>
        <v>0.0190423348610012</v>
      </c>
      <c r="M308" s="4"/>
    </row>
    <row r="309" s="1" customFormat="1" spans="6:13">
      <c r="F309" s="13">
        <v>45138</v>
      </c>
      <c r="G309" s="14">
        <v>1.02605131</v>
      </c>
      <c r="H309" s="14">
        <v>1.0273753</v>
      </c>
      <c r="I309" s="3" t="str">
        <f>IF(G309&gt;MAX($G$3:G308),"新高","/")</f>
        <v>新高</v>
      </c>
      <c r="J309" s="26">
        <f t="shared" si="14"/>
        <v>0.0116345465426031</v>
      </c>
      <c r="K309" s="26">
        <f t="shared" si="13"/>
        <v>0.0190928421644172</v>
      </c>
      <c r="M309" s="4"/>
    </row>
    <row r="310" s="1" customFormat="1" spans="6:13">
      <c r="F310" s="13">
        <v>45139</v>
      </c>
      <c r="G310" s="14">
        <v>1.02614163</v>
      </c>
      <c r="H310" s="14">
        <v>1.02744552</v>
      </c>
      <c r="I310" s="3" t="str">
        <f>IF(G310&gt;MAX($G$3:G309),"新高","/")</f>
        <v>新高</v>
      </c>
      <c r="J310" s="26">
        <f t="shared" si="14"/>
        <v>0.011612796436933</v>
      </c>
      <c r="K310" s="26">
        <f t="shared" si="13"/>
        <v>0.0188989498389021</v>
      </c>
      <c r="M310" s="4"/>
    </row>
    <row r="311" s="1" customFormat="1" spans="6:13">
      <c r="F311" s="13">
        <v>45140</v>
      </c>
      <c r="G311" s="14">
        <v>1.02623179</v>
      </c>
      <c r="H311" s="14">
        <v>1.02753255</v>
      </c>
      <c r="I311" s="3" t="str">
        <f>IF(G311&gt;MAX($G$3:G310),"新高","/")</f>
        <v>新高</v>
      </c>
      <c r="J311" s="26">
        <f t="shared" si="14"/>
        <v>0.0115239585314835</v>
      </c>
      <c r="K311" s="26">
        <f t="shared" ref="K311:K374" si="15">G311/G67-1</f>
        <v>0.0186096763968768</v>
      </c>
      <c r="M311" s="4"/>
    </row>
    <row r="312" s="1" customFormat="1" spans="6:13">
      <c r="F312" s="13">
        <v>45141</v>
      </c>
      <c r="G312" s="14">
        <v>1.02632796</v>
      </c>
      <c r="H312" s="14">
        <v>1.02761375</v>
      </c>
      <c r="I312" s="3" t="str">
        <f>IF(G312&gt;MAX($G$3:G311),"新高","/")</f>
        <v>新高</v>
      </c>
      <c r="J312" s="26">
        <f t="shared" si="14"/>
        <v>0.0115642904529116</v>
      </c>
      <c r="K312" s="26">
        <f t="shared" si="15"/>
        <v>0.018463779892544</v>
      </c>
      <c r="M312" s="4"/>
    </row>
    <row r="313" s="1" customFormat="1" spans="6:13">
      <c r="F313" s="13">
        <v>45142</v>
      </c>
      <c r="G313" s="14">
        <v>1.02643136</v>
      </c>
      <c r="H313" s="14">
        <v>1.02769395</v>
      </c>
      <c r="I313" s="3" t="str">
        <f>IF(G313&gt;MAX($G$3:G312),"新高","/")</f>
        <v>新高</v>
      </c>
      <c r="J313" s="26">
        <f t="shared" si="14"/>
        <v>0.0116090517360623</v>
      </c>
      <c r="K313" s="26">
        <f t="shared" si="15"/>
        <v>0.0184027715663289</v>
      </c>
      <c r="M313" s="4"/>
    </row>
    <row r="314" s="1" customFormat="1" spans="6:13">
      <c r="F314" s="13">
        <v>45145</v>
      </c>
      <c r="G314" s="14">
        <v>1.02662861</v>
      </c>
      <c r="H314" s="14">
        <v>1.02787505</v>
      </c>
      <c r="I314" s="3" t="str">
        <f>IF(G314&gt;MAX($G$3:G313),"新高","/")</f>
        <v>新高</v>
      </c>
      <c r="J314" s="26">
        <f t="shared" si="14"/>
        <v>0.0117274929106892</v>
      </c>
      <c r="K314" s="26">
        <f t="shared" si="15"/>
        <v>0.0183838355702532</v>
      </c>
      <c r="M314" s="4"/>
    </row>
    <row r="315" s="1" customFormat="1" spans="6:13">
      <c r="F315" s="13">
        <v>45146</v>
      </c>
      <c r="G315" s="14">
        <v>1.02671695</v>
      </c>
      <c r="H315" s="14">
        <v>1.02794477</v>
      </c>
      <c r="I315" s="3" t="str">
        <f>IF(G315&gt;MAX($G$3:G314),"新高","/")</f>
        <v>新高</v>
      </c>
      <c r="J315" s="26">
        <f t="shared" si="14"/>
        <v>0.0117252457770849</v>
      </c>
      <c r="K315" s="26">
        <f t="shared" si="15"/>
        <v>0.0184588174173241</v>
      </c>
      <c r="M315" s="4"/>
    </row>
    <row r="316" s="1" customFormat="1" spans="6:13">
      <c r="F316" s="13">
        <v>45147</v>
      </c>
      <c r="G316" s="14">
        <v>1.02679278</v>
      </c>
      <c r="H316" s="14">
        <v>1.02800161</v>
      </c>
      <c r="I316" s="3" t="str">
        <f>IF(G316&gt;MAX($G$3:G315),"新高","/")</f>
        <v>新高</v>
      </c>
      <c r="J316" s="26">
        <f t="shared" ref="J316:J379" si="16">G316/G195-1</f>
        <v>0.0116170373625173</v>
      </c>
      <c r="K316" s="26">
        <f t="shared" si="15"/>
        <v>0.0184815226433603</v>
      </c>
      <c r="M316" s="4"/>
    </row>
    <row r="317" s="1" customFormat="1" spans="6:13">
      <c r="F317" s="13">
        <v>45148</v>
      </c>
      <c r="G317" s="14">
        <v>1.02683617</v>
      </c>
      <c r="H317" s="14">
        <v>1.02804437</v>
      </c>
      <c r="I317" s="3" t="str">
        <f>IF(G317&gt;MAX($G$3:G316),"新高","/")</f>
        <v>新高</v>
      </c>
      <c r="J317" s="26">
        <f t="shared" si="16"/>
        <v>0.0115523623535854</v>
      </c>
      <c r="K317" s="26">
        <f t="shared" si="15"/>
        <v>0.018612877680102</v>
      </c>
      <c r="M317" s="4"/>
    </row>
    <row r="318" s="1" customFormat="1" spans="6:13">
      <c r="F318" s="13">
        <v>45149</v>
      </c>
      <c r="G318" s="14">
        <v>1.02692572</v>
      </c>
      <c r="H318" s="14">
        <v>1.0280953</v>
      </c>
      <c r="I318" s="3" t="str">
        <f>IF(G318&gt;MAX($G$3:G317),"新高","/")</f>
        <v>新高</v>
      </c>
      <c r="J318" s="26">
        <f t="shared" si="16"/>
        <v>0.0115785160801491</v>
      </c>
      <c r="K318" s="26">
        <f t="shared" si="15"/>
        <v>0.0187289150890131</v>
      </c>
      <c r="M318" s="4"/>
    </row>
    <row r="319" s="1" customFormat="1" spans="6:13">
      <c r="F319" s="13">
        <v>45152</v>
      </c>
      <c r="G319" s="14">
        <v>1.02711901</v>
      </c>
      <c r="H319" s="14">
        <v>1.02828043</v>
      </c>
      <c r="I319" s="3" t="str">
        <f>IF(G319&gt;MAX($G$3:G318),"新高","/")</f>
        <v>新高</v>
      </c>
      <c r="J319" s="26">
        <f t="shared" si="16"/>
        <v>0.0116590687923019</v>
      </c>
      <c r="K319" s="26">
        <f t="shared" si="15"/>
        <v>0.0189669079086441</v>
      </c>
      <c r="M319" s="4"/>
    </row>
    <row r="320" s="1" customFormat="1" spans="6:13">
      <c r="F320" s="13">
        <v>45153</v>
      </c>
      <c r="G320" s="14">
        <v>1.02727124</v>
      </c>
      <c r="H320" s="14">
        <v>1.0283739</v>
      </c>
      <c r="I320" s="3" t="str">
        <f>IF(G320&gt;MAX($G$3:G319),"新高","/")</f>
        <v>新高</v>
      </c>
      <c r="J320" s="26">
        <f t="shared" si="16"/>
        <v>0.0117189047692945</v>
      </c>
      <c r="K320" s="26">
        <f t="shared" si="15"/>
        <v>0.0190926444638988</v>
      </c>
      <c r="M320" s="4"/>
    </row>
    <row r="321" s="1" customFormat="1" spans="6:13">
      <c r="F321" s="13">
        <v>45154</v>
      </c>
      <c r="G321" s="14">
        <v>1.02738177</v>
      </c>
      <c r="H321" s="14">
        <v>1.02843514</v>
      </c>
      <c r="I321" s="3" t="str">
        <f>IF(G321&gt;MAX($G$3:G320),"新高","/")</f>
        <v>新高</v>
      </c>
      <c r="J321" s="26">
        <f t="shared" si="16"/>
        <v>0.0117154473521424</v>
      </c>
      <c r="K321" s="26">
        <f t="shared" si="15"/>
        <v>0.018908132595167</v>
      </c>
      <c r="M321" s="4"/>
    </row>
    <row r="322" s="1" customFormat="1" spans="6:13">
      <c r="F322" s="13">
        <v>45155</v>
      </c>
      <c r="G322" s="14">
        <v>1.02742207</v>
      </c>
      <c r="H322" s="14">
        <v>1.02847809</v>
      </c>
      <c r="I322" s="3" t="str">
        <f>IF(G322&gt;MAX($G$3:G321),"新高","/")</f>
        <v>新高</v>
      </c>
      <c r="J322" s="26">
        <f t="shared" si="16"/>
        <v>0.0117810479577263</v>
      </c>
      <c r="K322" s="26">
        <f t="shared" si="15"/>
        <v>0.0187943590308297</v>
      </c>
      <c r="M322" s="4"/>
    </row>
    <row r="323" s="1" customFormat="1" spans="6:13">
      <c r="F323" s="13">
        <v>45156</v>
      </c>
      <c r="G323" s="14">
        <v>1.02748156</v>
      </c>
      <c r="H323" s="14">
        <v>1.02852294</v>
      </c>
      <c r="I323" s="3" t="str">
        <f>IF(G323&gt;MAX($G$3:G322),"新高","/")</f>
        <v>新高</v>
      </c>
      <c r="J323" s="26">
        <f t="shared" si="16"/>
        <v>0.011796528330378</v>
      </c>
      <c r="K323" s="26">
        <f t="shared" si="15"/>
        <v>0.0188367606509792</v>
      </c>
      <c r="M323" s="4"/>
    </row>
    <row r="324" s="1" customFormat="1" spans="6:13">
      <c r="F324" s="13">
        <v>45159</v>
      </c>
      <c r="G324" s="14">
        <v>1.02764716</v>
      </c>
      <c r="H324" s="14">
        <v>1.02866451</v>
      </c>
      <c r="I324" s="3" t="str">
        <f>IF(G324&gt;MAX($G$3:G323),"新高","/")</f>
        <v>新高</v>
      </c>
      <c r="J324" s="26">
        <f t="shared" si="16"/>
        <v>0.0119140319419107</v>
      </c>
      <c r="K324" s="26">
        <f t="shared" si="15"/>
        <v>0.0189297169955418</v>
      </c>
      <c r="M324" s="4"/>
    </row>
    <row r="325" s="1" customFormat="1" spans="6:13">
      <c r="F325" s="13">
        <v>45160</v>
      </c>
      <c r="G325" s="14">
        <v>1.02768182</v>
      </c>
      <c r="H325" s="14">
        <v>1.0286979</v>
      </c>
      <c r="I325" s="3" t="str">
        <f>IF(G325&gt;MAX($G$3:G324),"新高","/")</f>
        <v>新高</v>
      </c>
      <c r="J325" s="26">
        <f t="shared" si="16"/>
        <v>0.0119061225962349</v>
      </c>
      <c r="K325" s="26">
        <f t="shared" si="15"/>
        <v>0.0189347037105674</v>
      </c>
      <c r="M325" s="4"/>
    </row>
    <row r="326" s="1" customFormat="1" spans="6:13">
      <c r="F326" s="13">
        <v>45161</v>
      </c>
      <c r="G326" s="14">
        <v>1.02771038</v>
      </c>
      <c r="H326" s="14">
        <v>1.02872891</v>
      </c>
      <c r="I326" s="3" t="str">
        <f>IF(G326&gt;MAX($G$3:G325),"新高","/")</f>
        <v>新高</v>
      </c>
      <c r="J326" s="26">
        <f t="shared" si="16"/>
        <v>0.0117866091626144</v>
      </c>
      <c r="K326" s="26">
        <f t="shared" si="15"/>
        <v>0.0188587592485754</v>
      </c>
      <c r="M326" s="4"/>
    </row>
    <row r="327" s="1" customFormat="1" spans="6:13">
      <c r="F327" s="13">
        <v>45162</v>
      </c>
      <c r="G327" s="14">
        <v>1.02775198</v>
      </c>
      <c r="H327" s="14">
        <v>1.02878459</v>
      </c>
      <c r="I327" s="3" t="str">
        <f>IF(G327&gt;MAX($G$3:G326),"新高","/")</f>
        <v>新高</v>
      </c>
      <c r="J327" s="26">
        <f t="shared" si="16"/>
        <v>0.0117926706677562</v>
      </c>
      <c r="K327" s="26">
        <f t="shared" si="15"/>
        <v>0.0189313460699092</v>
      </c>
      <c r="M327" s="4"/>
    </row>
    <row r="328" s="1" customFormat="1" spans="6:13">
      <c r="F328" s="13">
        <v>45163</v>
      </c>
      <c r="G328" s="14">
        <v>1.02776975</v>
      </c>
      <c r="H328" s="14">
        <v>1.0288043</v>
      </c>
      <c r="I328" s="3" t="str">
        <f>IF(G328&gt;MAX($G$3:G327),"新高","/")</f>
        <v>新高</v>
      </c>
      <c r="J328" s="26">
        <f t="shared" si="16"/>
        <v>0.0117633602297904</v>
      </c>
      <c r="K328" s="26">
        <f t="shared" si="15"/>
        <v>0.0189543277705528</v>
      </c>
      <c r="M328" s="4"/>
    </row>
    <row r="329" s="1" customFormat="1" spans="6:13">
      <c r="F329" s="13">
        <v>45166</v>
      </c>
      <c r="G329" s="14">
        <v>1.0277887</v>
      </c>
      <c r="H329" s="14">
        <v>1.02888047</v>
      </c>
      <c r="I329" s="3" t="str">
        <f>IF(G329&gt;MAX($G$3:G328),"新高","/")</f>
        <v>新高</v>
      </c>
      <c r="J329" s="26">
        <f t="shared" si="16"/>
        <v>0.0117106051795921</v>
      </c>
      <c r="K329" s="26">
        <f t="shared" si="15"/>
        <v>0.0189989980625322</v>
      </c>
      <c r="M329" s="4"/>
    </row>
    <row r="330" s="1" customFormat="1" spans="6:13">
      <c r="F330" s="13">
        <v>45167</v>
      </c>
      <c r="G330" s="14">
        <v>1.02773704</v>
      </c>
      <c r="H330" s="14">
        <v>1.02882665</v>
      </c>
      <c r="I330" s="3" t="str">
        <f>IF(G330&gt;MAX($G$3:G329),"新高","/")</f>
        <v>/</v>
      </c>
      <c r="J330" s="26">
        <f t="shared" si="16"/>
        <v>0.0115837868481485</v>
      </c>
      <c r="K330" s="26">
        <f t="shared" si="15"/>
        <v>0.0189821895828299</v>
      </c>
      <c r="M330" s="4"/>
    </row>
    <row r="331" s="1" customFormat="1" spans="6:13">
      <c r="F331" s="13">
        <v>45168</v>
      </c>
      <c r="G331" s="14">
        <v>1.02777409</v>
      </c>
      <c r="H331" s="14">
        <v>1.02890045</v>
      </c>
      <c r="I331" s="3" t="str">
        <f>IF(G331&gt;MAX($G$3:G330),"新高","/")</f>
        <v>/</v>
      </c>
      <c r="J331" s="26">
        <f t="shared" si="16"/>
        <v>0.0114143615603255</v>
      </c>
      <c r="K331" s="26">
        <f t="shared" si="15"/>
        <v>0.0188813950719515</v>
      </c>
      <c r="M331" s="4"/>
    </row>
    <row r="332" s="1" customFormat="1" spans="6:13">
      <c r="F332" s="13">
        <v>45169</v>
      </c>
      <c r="G332" s="14">
        <v>1.02784728</v>
      </c>
      <c r="H332" s="14">
        <v>1.02898791</v>
      </c>
      <c r="I332" s="3" t="str">
        <f>IF(G332&gt;MAX($G$3:G331),"新高","/")</f>
        <v>新高</v>
      </c>
      <c r="J332" s="26">
        <f t="shared" si="16"/>
        <v>0.0113971083127153</v>
      </c>
      <c r="K332" s="26">
        <f t="shared" si="15"/>
        <v>0.0188581189651567</v>
      </c>
      <c r="M332" s="4"/>
    </row>
    <row r="333" s="1" customFormat="1" spans="6:13">
      <c r="F333" s="13">
        <v>45170</v>
      </c>
      <c r="G333" s="14">
        <v>1.02785028</v>
      </c>
      <c r="H333" s="14">
        <v>1.0290293</v>
      </c>
      <c r="I333" s="3" t="str">
        <f>IF(G333&gt;MAX($G$3:G332),"新高","/")</f>
        <v>新高</v>
      </c>
      <c r="J333" s="26">
        <f t="shared" si="16"/>
        <v>0.0112612570732065</v>
      </c>
      <c r="K333" s="26">
        <f t="shared" si="15"/>
        <v>0.0187669740348448</v>
      </c>
      <c r="M333" s="4"/>
    </row>
    <row r="334" s="1" customFormat="1" spans="6:13">
      <c r="F334" s="13">
        <v>45173</v>
      </c>
      <c r="G334" s="14">
        <v>1.02785985</v>
      </c>
      <c r="H334" s="14">
        <v>1.02915454</v>
      </c>
      <c r="I334" s="3" t="str">
        <f>IF(G334&gt;MAX($G$3:G333),"新高","/")</f>
        <v>新高</v>
      </c>
      <c r="J334" s="26">
        <f t="shared" si="16"/>
        <v>0.0111759623214371</v>
      </c>
      <c r="K334" s="26">
        <f t="shared" si="15"/>
        <v>0.0187130597405931</v>
      </c>
      <c r="M334" s="4"/>
    </row>
    <row r="335" s="1" customFormat="1" spans="6:13">
      <c r="F335" s="13">
        <v>45174</v>
      </c>
      <c r="G335" s="14">
        <v>1.0278777</v>
      </c>
      <c r="H335" s="14">
        <v>1.02918836</v>
      </c>
      <c r="I335" s="3" t="str">
        <f>IF(G335&gt;MAX($G$3:G334),"新高","/")</f>
        <v>新高</v>
      </c>
      <c r="J335" s="26">
        <f t="shared" si="16"/>
        <v>0.0111118079999948</v>
      </c>
      <c r="K335" s="26">
        <f t="shared" si="15"/>
        <v>0.0186740108719916</v>
      </c>
      <c r="M335" s="4"/>
    </row>
    <row r="336" s="1" customFormat="1" spans="6:13">
      <c r="F336" s="13">
        <v>45175</v>
      </c>
      <c r="G336" s="14">
        <v>1.02781847</v>
      </c>
      <c r="H336" s="14">
        <v>1.02917681</v>
      </c>
      <c r="I336" s="3" t="str">
        <f>IF(G336&gt;MAX($G$3:G335),"新高","/")</f>
        <v>/</v>
      </c>
      <c r="J336" s="26">
        <f t="shared" si="16"/>
        <v>0.0108462104987936</v>
      </c>
      <c r="K336" s="26">
        <f t="shared" si="15"/>
        <v>0.0184722859278941</v>
      </c>
      <c r="M336" s="4"/>
    </row>
    <row r="337" s="1" customFormat="1" spans="6:13">
      <c r="F337" s="13">
        <v>45176</v>
      </c>
      <c r="G337" s="14">
        <v>1.02763399</v>
      </c>
      <c r="H337" s="14">
        <v>1.02913326</v>
      </c>
      <c r="I337" s="3" t="str">
        <f>IF(G337&gt;MAX($G$3:G336),"新高","/")</f>
        <v>/</v>
      </c>
      <c r="J337" s="26">
        <f t="shared" si="16"/>
        <v>0.0106101508419507</v>
      </c>
      <c r="K337" s="26">
        <f t="shared" si="15"/>
        <v>0.0182122985058348</v>
      </c>
      <c r="M337" s="4"/>
    </row>
    <row r="338" s="1" customFormat="1" spans="6:13">
      <c r="F338" s="13">
        <v>45177</v>
      </c>
      <c r="G338" s="14">
        <v>1.02748754</v>
      </c>
      <c r="H338" s="14">
        <v>1.02911419</v>
      </c>
      <c r="I338" s="3" t="str">
        <f>IF(G338&gt;MAX($G$3:G337),"新高","/")</f>
        <v>/</v>
      </c>
      <c r="J338" s="26">
        <f t="shared" si="16"/>
        <v>0.0103616473828327</v>
      </c>
      <c r="K338" s="26">
        <f t="shared" si="15"/>
        <v>0.0180508096445726</v>
      </c>
      <c r="M338" s="4"/>
    </row>
    <row r="339" s="1" customFormat="1" spans="6:13">
      <c r="F339" s="13">
        <v>45180</v>
      </c>
      <c r="G339" s="14">
        <v>1.02742415</v>
      </c>
      <c r="H339" s="14">
        <v>1.029179</v>
      </c>
      <c r="I339" s="3" t="str">
        <f>IF(G339&gt;MAX($G$3:G338),"新高","/")</f>
        <v>/</v>
      </c>
      <c r="J339" s="26">
        <f t="shared" si="16"/>
        <v>0.0101857444471645</v>
      </c>
      <c r="K339" s="26">
        <f t="shared" si="15"/>
        <v>0.0179248044699503</v>
      </c>
      <c r="M339" s="4"/>
    </row>
    <row r="340" s="1" customFormat="1" spans="6:13">
      <c r="F340" s="13">
        <v>45181</v>
      </c>
      <c r="G340" s="14">
        <v>1.02749659</v>
      </c>
      <c r="H340" s="14">
        <v>1.02920218</v>
      </c>
      <c r="I340" s="3" t="str">
        <f>IF(G340&gt;MAX($G$3:G339),"新高","/")</f>
        <v>/</v>
      </c>
      <c r="J340" s="26">
        <f t="shared" si="16"/>
        <v>0.0101260979738464</v>
      </c>
      <c r="K340" s="26">
        <f t="shared" si="15"/>
        <v>0.0179593794716986</v>
      </c>
      <c r="M340" s="4"/>
    </row>
    <row r="341" s="1" customFormat="1" spans="6:13">
      <c r="F341" s="13">
        <v>45182</v>
      </c>
      <c r="G341" s="14">
        <v>1.02763468</v>
      </c>
      <c r="H341" s="14">
        <v>1.02927908</v>
      </c>
      <c r="I341" s="3" t="str">
        <f>IF(G341&gt;MAX($G$3:G340),"新高","/")</f>
        <v>/</v>
      </c>
      <c r="J341" s="26">
        <f t="shared" si="16"/>
        <v>0.00999721975115198</v>
      </c>
      <c r="K341" s="26">
        <f t="shared" si="15"/>
        <v>0.0179588488074351</v>
      </c>
      <c r="M341" s="4"/>
    </row>
    <row r="342" s="1" customFormat="1" spans="6:13">
      <c r="F342" s="13">
        <v>45183</v>
      </c>
      <c r="G342" s="14">
        <v>1.02776627</v>
      </c>
      <c r="H342" s="14">
        <v>1.02934382</v>
      </c>
      <c r="I342" s="3" t="str">
        <f>IF(G342&gt;MAX($G$3:G341),"新高","/")</f>
        <v>/</v>
      </c>
      <c r="J342" s="26">
        <f t="shared" si="16"/>
        <v>0.0100448512762845</v>
      </c>
      <c r="K342" s="26">
        <f t="shared" si="15"/>
        <v>0.0180817571047238</v>
      </c>
      <c r="M342" s="4"/>
    </row>
    <row r="343" s="1" customFormat="1" spans="6:13">
      <c r="F343" s="13">
        <v>45184</v>
      </c>
      <c r="G343" s="14">
        <v>1.02785789</v>
      </c>
      <c r="H343" s="14">
        <v>1.02942486</v>
      </c>
      <c r="I343" s="3" t="str">
        <f>IF(G343&gt;MAX($G$3:G342),"新高","/")</f>
        <v>/</v>
      </c>
      <c r="J343" s="26">
        <f t="shared" si="16"/>
        <v>0.0100762451603731</v>
      </c>
      <c r="K343" s="26">
        <f t="shared" si="15"/>
        <v>0.0181271802003227</v>
      </c>
      <c r="M343" s="4"/>
    </row>
    <row r="344" s="1" customFormat="1" spans="6:13">
      <c r="F344" s="13">
        <v>45187</v>
      </c>
      <c r="G344" s="14">
        <v>1.02792846</v>
      </c>
      <c r="H344" s="14">
        <v>1.02954825</v>
      </c>
      <c r="I344" s="3" t="str">
        <f>IF(G344&gt;MAX($G$3:G343),"新高","/")</f>
        <v>新高</v>
      </c>
      <c r="J344" s="26">
        <f t="shared" si="16"/>
        <v>0.0100681322648533</v>
      </c>
      <c r="K344" s="26">
        <f t="shared" si="15"/>
        <v>0.0182016509030389</v>
      </c>
      <c r="M344" s="4"/>
    </row>
    <row r="345" s="1" customFormat="1" spans="6:13">
      <c r="F345" s="13">
        <v>45188</v>
      </c>
      <c r="G345" s="14">
        <v>1.02795391</v>
      </c>
      <c r="H345" s="14">
        <v>1.02957506</v>
      </c>
      <c r="I345" s="3" t="str">
        <f>IF(G345&gt;MAX($G$3:G344),"新高","/")</f>
        <v>新高</v>
      </c>
      <c r="J345" s="26">
        <f t="shared" si="16"/>
        <v>0.0100540750994724</v>
      </c>
      <c r="K345" s="26">
        <f t="shared" si="15"/>
        <v>0.0181686777423162</v>
      </c>
      <c r="M345" s="4"/>
    </row>
    <row r="346" s="1" customFormat="1" spans="6:13">
      <c r="F346" s="13">
        <v>45189</v>
      </c>
      <c r="G346" s="14">
        <v>1.02802433</v>
      </c>
      <c r="H346" s="14">
        <v>1.02960964</v>
      </c>
      <c r="I346" s="3" t="str">
        <f>IF(G346&gt;MAX($G$3:G345),"新高","/")</f>
        <v>新高</v>
      </c>
      <c r="J346" s="26">
        <f t="shared" si="16"/>
        <v>0.00992608095660774</v>
      </c>
      <c r="K346" s="26">
        <f t="shared" si="15"/>
        <v>0.0182033715639842</v>
      </c>
      <c r="M346" s="4"/>
    </row>
    <row r="347" s="1" customFormat="1" spans="6:13">
      <c r="F347" s="13">
        <v>45190</v>
      </c>
      <c r="G347" s="14">
        <v>1.02813543</v>
      </c>
      <c r="H347" s="14">
        <v>1.02967632</v>
      </c>
      <c r="I347" s="3" t="str">
        <f>IF(G347&gt;MAX($G$3:G346),"新高","/")</f>
        <v>新高</v>
      </c>
      <c r="J347" s="26">
        <f t="shared" si="16"/>
        <v>0.0099686789848803</v>
      </c>
      <c r="K347" s="26">
        <f t="shared" si="15"/>
        <v>0.0182670879875158</v>
      </c>
      <c r="M347" s="4"/>
    </row>
    <row r="348" s="1" customFormat="1" spans="6:13">
      <c r="F348" s="13">
        <v>45191</v>
      </c>
      <c r="G348" s="14">
        <v>1.02818948</v>
      </c>
      <c r="H348" s="14">
        <v>1.02971945</v>
      </c>
      <c r="I348" s="3" t="str">
        <f>IF(G348&gt;MAX($G$3:G347),"新高","/")</f>
        <v>新高</v>
      </c>
      <c r="J348" s="26">
        <f t="shared" si="16"/>
        <v>0.00995296136718493</v>
      </c>
      <c r="K348" s="26">
        <f t="shared" si="15"/>
        <v>0.0182523048444081</v>
      </c>
      <c r="M348" s="4"/>
    </row>
    <row r="349" s="1" customFormat="1" spans="6:13">
      <c r="F349" s="13">
        <v>45194</v>
      </c>
      <c r="G349" s="14">
        <v>1.02830672</v>
      </c>
      <c r="H349" s="14">
        <v>1.02990154</v>
      </c>
      <c r="I349" s="3" t="str">
        <f>IF(G349&gt;MAX($G$3:G348),"新高","/")</f>
        <v>新高</v>
      </c>
      <c r="J349" s="26">
        <f t="shared" si="16"/>
        <v>0.0100264234661775</v>
      </c>
      <c r="K349" s="26">
        <f t="shared" si="15"/>
        <v>0.0183432698149957</v>
      </c>
      <c r="M349" s="4"/>
    </row>
    <row r="350" s="1" customFormat="1" spans="6:13">
      <c r="F350" s="13">
        <v>45195</v>
      </c>
      <c r="G350" s="14">
        <v>1.02824715</v>
      </c>
      <c r="H350" s="14">
        <v>1.02989577</v>
      </c>
      <c r="I350" s="3" t="str">
        <f>IF(G350&gt;MAX($G$3:G349),"新高","/")</f>
        <v>/</v>
      </c>
      <c r="J350" s="26">
        <f t="shared" si="16"/>
        <v>0.00983087444112618</v>
      </c>
      <c r="K350" s="26">
        <f t="shared" si="15"/>
        <v>0.0182763105601522</v>
      </c>
      <c r="M350" s="4"/>
    </row>
    <row r="351" s="1" customFormat="1" spans="6:13">
      <c r="F351" s="13">
        <v>45196</v>
      </c>
      <c r="G351" s="14">
        <v>1.02825693</v>
      </c>
      <c r="H351" s="14">
        <v>1.02990948</v>
      </c>
      <c r="I351" s="3" t="str">
        <f>IF(G351&gt;MAX($G$3:G350),"新高","/")</f>
        <v>/</v>
      </c>
      <c r="J351" s="26">
        <f t="shared" si="16"/>
        <v>0.00963074706643718</v>
      </c>
      <c r="K351" s="26">
        <f t="shared" si="15"/>
        <v>0.0183576080783592</v>
      </c>
      <c r="M351" s="4"/>
    </row>
    <row r="352" s="1" customFormat="1" spans="6:13">
      <c r="F352" s="13">
        <v>45197</v>
      </c>
      <c r="G352" s="14">
        <v>1.02848452</v>
      </c>
      <c r="H352" s="14">
        <v>1.0300638</v>
      </c>
      <c r="I352" s="3" t="str">
        <f>IF(G352&gt;MAX($G$3:G351),"新高","/")</f>
        <v>新高</v>
      </c>
      <c r="J352" s="26">
        <f t="shared" si="16"/>
        <v>0.00976423824841066</v>
      </c>
      <c r="K352" s="26">
        <f t="shared" si="15"/>
        <v>0.0186162573740236</v>
      </c>
      <c r="M352" s="4"/>
    </row>
    <row r="353" s="1" customFormat="1" spans="6:13">
      <c r="F353" s="13">
        <v>45208</v>
      </c>
      <c r="G353" s="14">
        <v>1.02922443</v>
      </c>
      <c r="H353" s="14">
        <v>1.03094601</v>
      </c>
      <c r="I353" s="3" t="str">
        <f>IF(G353&gt;MAX($G$3:G352),"新高","/")</f>
        <v>新高</v>
      </c>
      <c r="J353" s="26">
        <f t="shared" si="16"/>
        <v>0.0103919566070318</v>
      </c>
      <c r="K353" s="26">
        <f t="shared" si="15"/>
        <v>0.0193198115166717</v>
      </c>
      <c r="M353" s="4"/>
    </row>
    <row r="354" s="1" customFormat="1" spans="6:13">
      <c r="F354" s="13">
        <v>45209</v>
      </c>
      <c r="G354" s="14">
        <v>1.0292466</v>
      </c>
      <c r="H354" s="14">
        <v>1.03094607</v>
      </c>
      <c r="I354" s="3" t="str">
        <f>IF(G354&gt;MAX($G$3:G353),"新高","/")</f>
        <v>新高</v>
      </c>
      <c r="J354" s="26">
        <f t="shared" si="16"/>
        <v>0.010338102210371</v>
      </c>
      <c r="K354" s="26">
        <f t="shared" si="15"/>
        <v>0.0192863781415318</v>
      </c>
      <c r="M354" s="4"/>
    </row>
    <row r="355" s="1" customFormat="1" spans="6:13">
      <c r="F355" s="13">
        <v>45210</v>
      </c>
      <c r="G355" s="14">
        <v>1.02923838</v>
      </c>
      <c r="H355" s="14">
        <v>1.03092647</v>
      </c>
      <c r="I355" s="3" t="str">
        <f>IF(G355&gt;MAX($G$3:G354),"新高","/")</f>
        <v>/</v>
      </c>
      <c r="J355" s="26">
        <f t="shared" si="16"/>
        <v>0.0101438133226484</v>
      </c>
      <c r="K355" s="26">
        <f t="shared" si="15"/>
        <v>0.0185716531905915</v>
      </c>
      <c r="M355" s="4"/>
    </row>
    <row r="356" s="1" customFormat="1" spans="6:13">
      <c r="F356" s="13">
        <v>45211</v>
      </c>
      <c r="G356" s="14">
        <v>1.02921985</v>
      </c>
      <c r="H356" s="14">
        <v>1.03096855</v>
      </c>
      <c r="I356" s="3" t="str">
        <f>IF(G356&gt;MAX($G$3:G355),"新高","/")</f>
        <v>/</v>
      </c>
      <c r="J356" s="26">
        <f t="shared" si="16"/>
        <v>0.0100340908390577</v>
      </c>
      <c r="K356" s="26">
        <f t="shared" si="15"/>
        <v>0.0185136520799332</v>
      </c>
      <c r="M356" s="4"/>
    </row>
    <row r="357" s="1" customFormat="1" spans="6:13">
      <c r="F357" s="13">
        <v>45212</v>
      </c>
      <c r="G357" s="14">
        <v>1.02928802</v>
      </c>
      <c r="H357" s="14">
        <v>1.03104646</v>
      </c>
      <c r="I357" s="3" t="str">
        <f>IF(G357&gt;MAX($G$3:G356),"新高","/")</f>
        <v>新高</v>
      </c>
      <c r="J357" s="26">
        <f t="shared" si="16"/>
        <v>0.0100115555576752</v>
      </c>
      <c r="K357" s="26">
        <f t="shared" si="15"/>
        <v>0.0185170998177178</v>
      </c>
      <c r="M357" s="4"/>
    </row>
    <row r="358" s="1" customFormat="1" spans="6:13">
      <c r="F358" s="13">
        <v>45215</v>
      </c>
      <c r="G358" s="14">
        <v>1.02943612</v>
      </c>
      <c r="H358" s="14">
        <v>1.03122185</v>
      </c>
      <c r="I358" s="3" t="str">
        <f>IF(G358&gt;MAX($G$3:G357),"新高","/")</f>
        <v>新高</v>
      </c>
      <c r="J358" s="26">
        <f t="shared" si="16"/>
        <v>0.0101007214843112</v>
      </c>
      <c r="K358" s="26">
        <f t="shared" si="15"/>
        <v>0.0186274841383576</v>
      </c>
      <c r="M358" s="4"/>
    </row>
    <row r="359" s="1" customFormat="1" spans="6:13">
      <c r="F359" s="13">
        <v>45216</v>
      </c>
      <c r="G359" s="14">
        <v>1.02944107</v>
      </c>
      <c r="H359" s="14">
        <v>1.03123053</v>
      </c>
      <c r="I359" s="3" t="str">
        <f>IF(G359&gt;MAX($G$3:G358),"新高","/")</f>
        <v>新高</v>
      </c>
      <c r="J359" s="26">
        <f t="shared" si="16"/>
        <v>0.01004881949882</v>
      </c>
      <c r="K359" s="26">
        <f t="shared" si="15"/>
        <v>0.0185490023481003</v>
      </c>
      <c r="M359" s="4"/>
    </row>
    <row r="360" s="1" customFormat="1" spans="6:13">
      <c r="F360" s="13">
        <v>45217</v>
      </c>
      <c r="G360" s="14">
        <v>1.0294703</v>
      </c>
      <c r="H360" s="14">
        <v>1.03122969</v>
      </c>
      <c r="I360" s="3" t="str">
        <f>IF(G360&gt;MAX($G$3:G359),"新高","/")</f>
        <v>新高</v>
      </c>
      <c r="J360" s="26">
        <f t="shared" si="16"/>
        <v>0.0099089097685936</v>
      </c>
      <c r="K360" s="26">
        <f t="shared" si="15"/>
        <v>0.0184534043581053</v>
      </c>
      <c r="M360" s="4"/>
    </row>
    <row r="361" s="1" customFormat="1" spans="6:13">
      <c r="F361" s="13">
        <v>45218</v>
      </c>
      <c r="G361" s="14">
        <v>1.02936187</v>
      </c>
      <c r="H361" s="14">
        <v>1.03119032</v>
      </c>
      <c r="I361" s="3" t="str">
        <f>IF(G361&gt;MAX($G$3:G360),"新高","/")</f>
        <v>/</v>
      </c>
      <c r="J361" s="26">
        <f t="shared" si="16"/>
        <v>0.00973721326788124</v>
      </c>
      <c r="K361" s="26">
        <f t="shared" si="15"/>
        <v>0.0183068558302557</v>
      </c>
      <c r="M361" s="4"/>
    </row>
    <row r="362" s="1" customFormat="1" spans="6:13">
      <c r="F362" s="13">
        <v>45219</v>
      </c>
      <c r="G362" s="14">
        <v>1.02932635</v>
      </c>
      <c r="H362" s="14">
        <v>1.03117036</v>
      </c>
      <c r="I362" s="3" t="str">
        <f>IF(G362&gt;MAX($G$3:G361),"新高","/")</f>
        <v>/</v>
      </c>
      <c r="J362" s="26">
        <f t="shared" si="16"/>
        <v>0.00962184318075732</v>
      </c>
      <c r="K362" s="26">
        <f t="shared" si="15"/>
        <v>0.0181924260035753</v>
      </c>
      <c r="M362" s="4"/>
    </row>
    <row r="363" s="1" customFormat="1" spans="6:13">
      <c r="F363" s="13">
        <v>45222</v>
      </c>
      <c r="G363" s="14">
        <v>1.02948729</v>
      </c>
      <c r="H363" s="14">
        <v>1.03133116</v>
      </c>
      <c r="I363" s="3" t="str">
        <f>IF(G363&gt;MAX($G$3:G362),"新高","/")</f>
        <v>新高</v>
      </c>
      <c r="J363" s="26">
        <f t="shared" si="16"/>
        <v>0.00970699863483371</v>
      </c>
      <c r="K363" s="26">
        <f t="shared" si="15"/>
        <v>0.0183366765094566</v>
      </c>
      <c r="M363" s="4"/>
    </row>
    <row r="364" s="1" customFormat="1" spans="6:13">
      <c r="F364" s="13">
        <v>45223</v>
      </c>
      <c r="G364" s="14">
        <v>1.02942857</v>
      </c>
      <c r="H364" s="14">
        <v>1.0313146</v>
      </c>
      <c r="I364" s="3" t="str">
        <f>IF(G364&gt;MAX($G$3:G363),"新高","/")</f>
        <v>/</v>
      </c>
      <c r="J364" s="26">
        <f t="shared" si="16"/>
        <v>0.00958865866599834</v>
      </c>
      <c r="K364" s="26">
        <f t="shared" si="15"/>
        <v>0.0182484262939464</v>
      </c>
      <c r="M364" s="4"/>
    </row>
    <row r="365" s="1" customFormat="1" spans="6:13">
      <c r="F365" s="13">
        <v>45224</v>
      </c>
      <c r="G365" s="14">
        <v>1.02949284</v>
      </c>
      <c r="H365" s="14">
        <v>1.03135513</v>
      </c>
      <c r="I365" s="3" t="str">
        <f>IF(G365&gt;MAX($G$3:G364),"新高","/")</f>
        <v>新高</v>
      </c>
      <c r="J365" s="26">
        <f t="shared" si="16"/>
        <v>0.00947877252881568</v>
      </c>
      <c r="K365" s="26">
        <f t="shared" si="15"/>
        <v>0.0182195610368074</v>
      </c>
      <c r="M365" s="4"/>
    </row>
    <row r="366" s="1" customFormat="1" spans="6:13">
      <c r="F366" s="13">
        <v>45225</v>
      </c>
      <c r="G366" s="14">
        <v>1.02960262</v>
      </c>
      <c r="H366" s="14">
        <v>1.03143624</v>
      </c>
      <c r="I366" s="3" t="str">
        <f>IF(G366&gt;MAX($G$3:G365),"新高","/")</f>
        <v>新高</v>
      </c>
      <c r="J366" s="26">
        <f t="shared" si="16"/>
        <v>0.00951270143862337</v>
      </c>
      <c r="K366" s="26">
        <f t="shared" si="15"/>
        <v>0.0183420985765697</v>
      </c>
      <c r="M366" s="4"/>
    </row>
    <row r="367" s="1" customFormat="1" spans="6:13">
      <c r="F367" s="13">
        <v>45226</v>
      </c>
      <c r="G367" s="14">
        <v>1.02967299</v>
      </c>
      <c r="H367" s="14">
        <v>1.03150001</v>
      </c>
      <c r="I367" s="3" t="str">
        <f>IF(G367&gt;MAX($G$3:G366),"新高","/")</f>
        <v>新高</v>
      </c>
      <c r="J367" s="26">
        <f t="shared" si="16"/>
        <v>0.00950647289843221</v>
      </c>
      <c r="K367" s="26">
        <f t="shared" si="15"/>
        <v>0.0183833449948885</v>
      </c>
      <c r="M367" s="4"/>
    </row>
    <row r="368" s="1" customFormat="1" spans="6:13">
      <c r="F368" s="13">
        <v>45229</v>
      </c>
      <c r="G368" s="14">
        <v>1.02986961</v>
      </c>
      <c r="H368" s="14">
        <v>1.0317374</v>
      </c>
      <c r="I368" s="3" t="str">
        <f>IF(G368&gt;MAX($G$3:G367),"新高","/")</f>
        <v>新高</v>
      </c>
      <c r="J368" s="26">
        <f t="shared" si="16"/>
        <v>0.0095829987440863</v>
      </c>
      <c r="K368" s="26">
        <f t="shared" si="15"/>
        <v>0.0185375647619712</v>
      </c>
      <c r="M368" s="4"/>
    </row>
    <row r="369" s="1" customFormat="1" spans="6:13">
      <c r="F369" s="13">
        <v>45230</v>
      </c>
      <c r="G369" s="14">
        <v>1.02997887</v>
      </c>
      <c r="H369" s="14">
        <v>1.03182457</v>
      </c>
      <c r="I369" s="3" t="str">
        <f>IF(G369&gt;MAX($G$3:G368),"新高","/")</f>
        <v>新高</v>
      </c>
      <c r="J369" s="26">
        <f t="shared" si="16"/>
        <v>0.00957322454942333</v>
      </c>
      <c r="K369" s="26">
        <f t="shared" si="15"/>
        <v>0.0185669276282079</v>
      </c>
      <c r="M369" s="4"/>
    </row>
    <row r="370" s="1" customFormat="1" spans="6:13">
      <c r="F370" s="13">
        <v>45231</v>
      </c>
      <c r="G370" s="14">
        <v>1.03005021</v>
      </c>
      <c r="H370" s="14">
        <v>1.03185208</v>
      </c>
      <c r="I370" s="3" t="str">
        <f>IF(G370&gt;MAX($G$3:G369),"新高","/")</f>
        <v>新高</v>
      </c>
      <c r="J370" s="26">
        <f t="shared" si="16"/>
        <v>0.0092348620778282</v>
      </c>
      <c r="K370" s="26">
        <f t="shared" si="15"/>
        <v>0.0184916638395014</v>
      </c>
      <c r="M370" s="4"/>
    </row>
    <row r="371" s="1" customFormat="1" spans="6:13">
      <c r="F371" s="13">
        <v>45232</v>
      </c>
      <c r="G371" s="14">
        <v>1.03016923</v>
      </c>
      <c r="H371" s="14">
        <v>1.03196914</v>
      </c>
      <c r="I371" s="3" t="str">
        <f>IF(G371&gt;MAX($G$3:G370),"新高","/")</f>
        <v>新高</v>
      </c>
      <c r="J371" s="26">
        <f t="shared" si="16"/>
        <v>0.00921565241284794</v>
      </c>
      <c r="K371" s="26">
        <f t="shared" si="15"/>
        <v>0.0186002938149441</v>
      </c>
      <c r="M371" s="4"/>
    </row>
    <row r="372" s="1" customFormat="1" spans="6:13">
      <c r="F372" s="13">
        <v>45233</v>
      </c>
      <c r="G372" s="14">
        <v>1.03024941</v>
      </c>
      <c r="H372" s="14">
        <v>1.03204295</v>
      </c>
      <c r="I372" s="3" t="str">
        <f>IF(G372&gt;MAX($G$3:G371),"新高","/")</f>
        <v>新高</v>
      </c>
      <c r="J372" s="26">
        <f t="shared" si="16"/>
        <v>0.00910244720486086</v>
      </c>
      <c r="K372" s="26">
        <f t="shared" si="15"/>
        <v>0.0186630247040829</v>
      </c>
      <c r="M372" s="4"/>
    </row>
    <row r="373" s="1" customFormat="1" spans="6:13">
      <c r="F373" s="13">
        <v>45236</v>
      </c>
      <c r="G373" s="14">
        <v>1.03044292</v>
      </c>
      <c r="H373" s="14">
        <v>1.03221025</v>
      </c>
      <c r="I373" s="3" t="str">
        <f>IF(G373&gt;MAX($G$3:G372),"新高","/")</f>
        <v>新高</v>
      </c>
      <c r="J373" s="26">
        <f t="shared" si="16"/>
        <v>0.00918767164853329</v>
      </c>
      <c r="K373" s="26">
        <f t="shared" si="15"/>
        <v>0.0188288921155075</v>
      </c>
      <c r="M373" s="4"/>
    </row>
    <row r="374" s="1" customFormat="1" spans="6:13">
      <c r="F374" s="13">
        <v>45237</v>
      </c>
      <c r="G374" s="14">
        <v>1.03048201</v>
      </c>
      <c r="H374" s="14">
        <v>1.03225374</v>
      </c>
      <c r="I374" s="3" t="str">
        <f>IF(G374&gt;MAX($G$3:G373),"新高","/")</f>
        <v>新高</v>
      </c>
      <c r="J374" s="26">
        <f t="shared" si="16"/>
        <v>0.00909920787609764</v>
      </c>
      <c r="K374" s="26">
        <f t="shared" si="15"/>
        <v>0.0188693346823314</v>
      </c>
      <c r="M374" s="4"/>
    </row>
    <row r="375" s="1" customFormat="1" spans="6:13">
      <c r="F375" s="13">
        <v>45238</v>
      </c>
      <c r="G375" s="14">
        <v>1.03053077</v>
      </c>
      <c r="H375" s="14">
        <v>1.03230829</v>
      </c>
      <c r="I375" s="3" t="str">
        <f>IF(G375&gt;MAX($G$3:G374),"新高","/")</f>
        <v>新高</v>
      </c>
      <c r="J375" s="26">
        <f t="shared" si="16"/>
        <v>0.00896188901006512</v>
      </c>
      <c r="K375" s="26">
        <f t="shared" ref="K375:K438" si="17">G375/G131-1</f>
        <v>0.0188240738616994</v>
      </c>
      <c r="M375" s="4"/>
    </row>
    <row r="376" s="1" customFormat="1" spans="6:13">
      <c r="F376" s="13">
        <v>45239</v>
      </c>
      <c r="G376" s="14">
        <v>1.03061246</v>
      </c>
      <c r="H376" s="14">
        <v>1.03234382</v>
      </c>
      <c r="I376" s="3" t="str">
        <f>IF(G376&gt;MAX($G$3:G375),"新高","/")</f>
        <v>新高</v>
      </c>
      <c r="J376" s="26">
        <f t="shared" si="16"/>
        <v>0.00895102805149528</v>
      </c>
      <c r="K376" s="26">
        <f t="shared" si="17"/>
        <v>0.018959174163051</v>
      </c>
      <c r="M376" s="4"/>
    </row>
    <row r="377" s="1" customFormat="1" spans="6:13">
      <c r="F377" s="13">
        <v>45240</v>
      </c>
      <c r="G377" s="14">
        <v>1.03068198</v>
      </c>
      <c r="H377" s="14">
        <v>1.03242862</v>
      </c>
      <c r="I377" s="3" t="str">
        <f>IF(G377&gt;MAX($G$3:G376),"新高","/")</f>
        <v>新高</v>
      </c>
      <c r="J377" s="26">
        <f t="shared" si="16"/>
        <v>0.00887017651758448</v>
      </c>
      <c r="K377" s="26">
        <f t="shared" si="17"/>
        <v>0.019034668497738</v>
      </c>
      <c r="M377" s="4"/>
    </row>
    <row r="378" s="1" customFormat="1" spans="6:13">
      <c r="F378" s="13">
        <v>45243</v>
      </c>
      <c r="G378" s="14">
        <v>1.03086747</v>
      </c>
      <c r="H378" s="14">
        <v>1.03263954</v>
      </c>
      <c r="I378" s="3" t="str">
        <f>IF(G378&gt;MAX($G$3:G377),"新高","/")</f>
        <v>新高</v>
      </c>
      <c r="J378" s="26">
        <f t="shared" si="16"/>
        <v>0.00897828148046731</v>
      </c>
      <c r="K378" s="26">
        <f t="shared" si="17"/>
        <v>0.0193014462958665</v>
      </c>
      <c r="M378" s="4"/>
    </row>
    <row r="379" s="1" customFormat="1" spans="6:13">
      <c r="F379" s="13">
        <v>45244</v>
      </c>
      <c r="G379" s="14">
        <v>1.03093296</v>
      </c>
      <c r="H379" s="14">
        <v>1.03270915</v>
      </c>
      <c r="I379" s="3" t="str">
        <f>IF(G379&gt;MAX($G$3:G378),"新高","/")</f>
        <v>新高</v>
      </c>
      <c r="J379" s="26">
        <f t="shared" si="16"/>
        <v>0.00898333473941193</v>
      </c>
      <c r="K379" s="26">
        <f t="shared" si="17"/>
        <v>0.0194683754634692</v>
      </c>
      <c r="M379" s="4"/>
    </row>
    <row r="380" s="1" customFormat="1" spans="6:13">
      <c r="F380" s="13">
        <v>45245</v>
      </c>
      <c r="G380" s="14">
        <v>1.03100679</v>
      </c>
      <c r="H380" s="14">
        <v>1.03278997</v>
      </c>
      <c r="I380" s="3" t="str">
        <f>IF(G380&gt;MAX($G$3:G379),"新高","/")</f>
        <v>新高</v>
      </c>
      <c r="J380" s="26">
        <f t="shared" ref="J380:J443" si="18">G380/G259-1</f>
        <v>0.00901766161726281</v>
      </c>
      <c r="K380" s="26">
        <f t="shared" si="17"/>
        <v>0.0199597083943517</v>
      </c>
      <c r="M380" s="4"/>
    </row>
    <row r="381" s="1" customFormat="1" spans="6:13">
      <c r="F381" s="13">
        <v>45246</v>
      </c>
      <c r="G381" s="14">
        <v>1.03107257</v>
      </c>
      <c r="H381" s="14">
        <v>1.03287067</v>
      </c>
      <c r="I381" s="3" t="str">
        <f>IF(G381&gt;MAX($G$3:G380),"新高","/")</f>
        <v>新高</v>
      </c>
      <c r="J381" s="26">
        <f t="shared" si="18"/>
        <v>0.00900887561949149</v>
      </c>
      <c r="K381" s="26">
        <f t="shared" si="17"/>
        <v>0.0202253605285492</v>
      </c>
      <c r="M381" s="4"/>
    </row>
    <row r="382" s="1" customFormat="1" spans="6:13">
      <c r="F382" s="13">
        <v>45247</v>
      </c>
      <c r="G382" s="14">
        <v>1.0311773</v>
      </c>
      <c r="H382" s="14">
        <v>1.03295116</v>
      </c>
      <c r="I382" s="3" t="str">
        <f>IF(G382&gt;MAX($G$3:G381),"新高","/")</f>
        <v>新高</v>
      </c>
      <c r="J382" s="26">
        <f t="shared" si="18"/>
        <v>0.008896743602542</v>
      </c>
      <c r="K382" s="26">
        <f t="shared" si="17"/>
        <v>0.0206205824488808</v>
      </c>
      <c r="M382" s="4"/>
    </row>
    <row r="383" s="1" customFormat="1" spans="6:13">
      <c r="F383" s="13">
        <v>45250</v>
      </c>
      <c r="G383" s="14">
        <v>1.03135102</v>
      </c>
      <c r="H383" s="14">
        <v>1.03313437</v>
      </c>
      <c r="I383" s="3" t="str">
        <f>IF(G383&gt;MAX($G$3:G382),"新高","/")</f>
        <v>新高</v>
      </c>
      <c r="J383" s="26">
        <f t="shared" si="18"/>
        <v>0.00894421534509937</v>
      </c>
      <c r="K383" s="26">
        <f t="shared" si="17"/>
        <v>0.0208599788808346</v>
      </c>
      <c r="M383" s="4"/>
    </row>
    <row r="384" s="1" customFormat="1" spans="6:13">
      <c r="F384" s="13">
        <v>45251</v>
      </c>
      <c r="G384" s="14">
        <v>1.03139843</v>
      </c>
      <c r="H384" s="14">
        <v>1.03315889</v>
      </c>
      <c r="I384" s="3" t="str">
        <f>IF(G384&gt;MAX($G$3:G383),"新高","/")</f>
        <v>新高</v>
      </c>
      <c r="J384" s="26">
        <f t="shared" si="18"/>
        <v>0.00893457237156725</v>
      </c>
      <c r="K384" s="26">
        <f t="shared" si="17"/>
        <v>0.0208027526284054</v>
      </c>
      <c r="M384" s="4"/>
    </row>
    <row r="385" s="1" customFormat="1" spans="6:13">
      <c r="F385" s="13">
        <v>45252</v>
      </c>
      <c r="G385" s="14">
        <v>1.03141966</v>
      </c>
      <c r="H385" s="14">
        <v>1.03315462</v>
      </c>
      <c r="I385" s="3" t="str">
        <f>IF(G385&gt;MAX($G$3:G384),"新高","/")</f>
        <v>新高</v>
      </c>
      <c r="J385" s="26">
        <f t="shared" si="18"/>
        <v>0.00889879904987301</v>
      </c>
      <c r="K385" s="26">
        <f t="shared" si="17"/>
        <v>0.0206398860641652</v>
      </c>
      <c r="M385" s="4"/>
    </row>
    <row r="386" s="1" customFormat="1" spans="6:13">
      <c r="F386" s="13">
        <v>45253</v>
      </c>
      <c r="G386" s="14">
        <v>1.03138363</v>
      </c>
      <c r="H386" s="14">
        <v>1.03319179</v>
      </c>
      <c r="I386" s="3" t="str">
        <f>IF(G386&gt;MAX($G$3:G385),"新高","/")</f>
        <v>/</v>
      </c>
      <c r="J386" s="26">
        <f t="shared" si="18"/>
        <v>0.00880917420185767</v>
      </c>
      <c r="K386" s="26">
        <f t="shared" si="17"/>
        <v>0.0205209397815211</v>
      </c>
      <c r="M386" s="4"/>
    </row>
    <row r="387" s="1" customFormat="1" spans="6:13">
      <c r="F387" s="13">
        <v>45254</v>
      </c>
      <c r="G387" s="14">
        <v>1.03141524</v>
      </c>
      <c r="H387" s="14">
        <v>1.0332653</v>
      </c>
      <c r="I387" s="3" t="str">
        <f>IF(G387&gt;MAX($G$3:G386),"新高","/")</f>
        <v>/</v>
      </c>
      <c r="J387" s="26">
        <f t="shared" si="18"/>
        <v>0.00868396188228493</v>
      </c>
      <c r="K387" s="26">
        <f t="shared" si="17"/>
        <v>0.0204128426071568</v>
      </c>
      <c r="M387" s="4"/>
    </row>
    <row r="388" s="1" customFormat="1" spans="6:13">
      <c r="F388" s="13">
        <v>45257</v>
      </c>
      <c r="G388" s="14">
        <v>1.03148405</v>
      </c>
      <c r="H388" s="14">
        <v>1.03340431</v>
      </c>
      <c r="I388" s="3" t="str">
        <f>IF(G388&gt;MAX($G$3:G387),"新高","/")</f>
        <v>新高</v>
      </c>
      <c r="J388" s="26">
        <f t="shared" si="18"/>
        <v>0.00869312314223158</v>
      </c>
      <c r="K388" s="26">
        <f t="shared" si="17"/>
        <v>0.0202037186946167</v>
      </c>
      <c r="M388" s="4"/>
    </row>
    <row r="389" s="1" customFormat="1" spans="6:13">
      <c r="F389" s="13">
        <v>45258</v>
      </c>
      <c r="G389" s="14">
        <v>1.03150445</v>
      </c>
      <c r="H389" s="14">
        <v>1.03345774</v>
      </c>
      <c r="I389" s="3" t="str">
        <f>IF(G389&gt;MAX($G$3:G388),"新高","/")</f>
        <v>新高</v>
      </c>
      <c r="J389" s="26">
        <f t="shared" si="18"/>
        <v>0.00862863159987892</v>
      </c>
      <c r="K389" s="26">
        <f t="shared" si="17"/>
        <v>0.0201689145181556</v>
      </c>
      <c r="M389" s="4"/>
    </row>
    <row r="390" s="1" customFormat="1" spans="6:13">
      <c r="F390" s="13">
        <v>45259</v>
      </c>
      <c r="G390" s="14">
        <v>1.03149431</v>
      </c>
      <c r="H390" s="14">
        <v>1.03348973</v>
      </c>
      <c r="I390" s="3" t="str">
        <f>IF(G390&gt;MAX($G$3:G389),"新高","/")</f>
        <v>/</v>
      </c>
      <c r="J390" s="26">
        <f t="shared" si="18"/>
        <v>0.00850243123266048</v>
      </c>
      <c r="K390" s="26">
        <f t="shared" si="17"/>
        <v>0.0200439998876216</v>
      </c>
      <c r="M390" s="4"/>
    </row>
    <row r="391" s="1" customFormat="1" spans="6:13">
      <c r="F391" s="13">
        <v>45260</v>
      </c>
      <c r="G391" s="14">
        <v>1.03159394</v>
      </c>
      <c r="H391" s="14">
        <v>1.03360079</v>
      </c>
      <c r="I391" s="3" t="str">
        <f>IF(G391&gt;MAX($G$3:G390),"新高","/")</f>
        <v>新高</v>
      </c>
      <c r="J391" s="26">
        <f t="shared" si="18"/>
        <v>0.00856878858395871</v>
      </c>
      <c r="K391" s="26">
        <f t="shared" si="17"/>
        <v>0.0202709222908699</v>
      </c>
      <c r="M391" s="4"/>
    </row>
    <row r="392" s="1" customFormat="1" spans="6:13">
      <c r="F392" s="13">
        <v>45261</v>
      </c>
      <c r="G392" s="14">
        <v>1.03165691</v>
      </c>
      <c r="H392" s="14">
        <v>1.03368784</v>
      </c>
      <c r="I392" s="3" t="str">
        <f>IF(G392&gt;MAX($G$3:G391),"新高","/")</f>
        <v>新高</v>
      </c>
      <c r="J392" s="26">
        <f t="shared" si="18"/>
        <v>0.00845696423945519</v>
      </c>
      <c r="K392" s="26">
        <f t="shared" si="17"/>
        <v>0.0203678862245353</v>
      </c>
      <c r="M392" s="4"/>
    </row>
    <row r="393" s="1" customFormat="1" spans="6:13">
      <c r="F393" s="13">
        <v>45264</v>
      </c>
      <c r="G393" s="14">
        <v>1.03180617</v>
      </c>
      <c r="H393" s="14">
        <v>1.03382939</v>
      </c>
      <c r="I393" s="3" t="str">
        <f>IF(G393&gt;MAX($G$3:G392),"新高","/")</f>
        <v>新高</v>
      </c>
      <c r="J393" s="26">
        <f t="shared" si="18"/>
        <v>0.00849546298021786</v>
      </c>
      <c r="K393" s="26">
        <f t="shared" si="17"/>
        <v>0.0205535465952409</v>
      </c>
      <c r="M393" s="4"/>
    </row>
    <row r="394" s="1" customFormat="1" spans="6:13">
      <c r="F394" s="13">
        <v>45265</v>
      </c>
      <c r="G394" s="14">
        <v>1.03180046</v>
      </c>
      <c r="H394" s="14">
        <v>1.03386148</v>
      </c>
      <c r="I394" s="3" t="str">
        <f>IF(G394&gt;MAX($G$3:G393),"新高","/")</f>
        <v>/</v>
      </c>
      <c r="J394" s="26">
        <f t="shared" si="18"/>
        <v>0.00838427465005642</v>
      </c>
      <c r="K394" s="26">
        <f t="shared" si="17"/>
        <v>0.0205410550585707</v>
      </c>
      <c r="M394" s="4"/>
    </row>
    <row r="395" s="1" customFormat="1" spans="6:13">
      <c r="F395" s="13">
        <v>45266</v>
      </c>
      <c r="G395" s="14">
        <v>1.03180121</v>
      </c>
      <c r="H395" s="14">
        <v>1.03388951</v>
      </c>
      <c r="I395" s="3" t="str">
        <f>IF(G395&gt;MAX($G$3:G394),"新高","/")</f>
        <v>/</v>
      </c>
      <c r="J395" s="26">
        <f t="shared" si="18"/>
        <v>0.00834592420517488</v>
      </c>
      <c r="K395" s="26">
        <f t="shared" si="17"/>
        <v>0.0204247596649332</v>
      </c>
      <c r="M395" s="4"/>
    </row>
    <row r="396" s="1" customFormat="1" spans="6:13">
      <c r="F396" s="13">
        <v>45267</v>
      </c>
      <c r="G396" s="14">
        <v>1.03182005</v>
      </c>
      <c r="H396" s="14">
        <v>1.03393301</v>
      </c>
      <c r="I396" s="3" t="str">
        <f>IF(G396&gt;MAX($G$3:G395),"新高","/")</f>
        <v>新高</v>
      </c>
      <c r="J396" s="26">
        <f t="shared" si="18"/>
        <v>0.00829668988433663</v>
      </c>
      <c r="K396" s="26">
        <f t="shared" si="17"/>
        <v>0.020556343135393</v>
      </c>
      <c r="M396" s="4"/>
    </row>
    <row r="397" s="1" customFormat="1" spans="6:13">
      <c r="F397" s="13">
        <v>45268</v>
      </c>
      <c r="G397" s="14">
        <v>1.03185935</v>
      </c>
      <c r="H397" s="14">
        <v>1.03399875</v>
      </c>
      <c r="I397" s="3" t="str">
        <f>IF(G397&gt;MAX($G$3:G396),"新高","/")</f>
        <v>新高</v>
      </c>
      <c r="J397" s="26">
        <f t="shared" si="18"/>
        <v>0.0081452532797277</v>
      </c>
      <c r="K397" s="26">
        <f t="shared" si="17"/>
        <v>0.0208422974251123</v>
      </c>
      <c r="M397" s="4"/>
    </row>
    <row r="398" s="1" customFormat="1" spans="6:13">
      <c r="F398" s="13">
        <v>45271</v>
      </c>
      <c r="G398" s="14">
        <v>1.0320443</v>
      </c>
      <c r="H398" s="14">
        <v>1.03419264</v>
      </c>
      <c r="I398" s="3" t="str">
        <f>IF(G398&gt;MAX($G$3:G397),"新高","/")</f>
        <v>新高</v>
      </c>
      <c r="J398" s="26">
        <f t="shared" si="18"/>
        <v>0.00820717705628393</v>
      </c>
      <c r="K398" s="26">
        <f t="shared" si="17"/>
        <v>0.0211164849676784</v>
      </c>
      <c r="M398" s="4"/>
    </row>
    <row r="399" s="1" customFormat="1" spans="6:13">
      <c r="F399" s="13">
        <v>45272</v>
      </c>
      <c r="G399" s="14">
        <v>1.03208023</v>
      </c>
      <c r="H399" s="14">
        <v>1.0342593</v>
      </c>
      <c r="I399" s="3" t="str">
        <f>IF(G399&gt;MAX($G$3:G398),"新高","/")</f>
        <v>新高</v>
      </c>
      <c r="J399" s="26">
        <f t="shared" si="18"/>
        <v>0.008136513969073</v>
      </c>
      <c r="K399" s="26">
        <f t="shared" si="17"/>
        <v>0.0212352427641709</v>
      </c>
      <c r="M399" s="4"/>
    </row>
    <row r="400" s="1" customFormat="1" spans="6:13">
      <c r="F400" s="13">
        <v>45273</v>
      </c>
      <c r="G400" s="14">
        <v>1.03221167</v>
      </c>
      <c r="H400" s="14">
        <v>1.03437117</v>
      </c>
      <c r="I400" s="3" t="str">
        <f>IF(G400&gt;MAX($G$3:G399),"新高","/")</f>
        <v>新高</v>
      </c>
      <c r="J400" s="26">
        <f t="shared" si="18"/>
        <v>0.00826978962769753</v>
      </c>
      <c r="K400" s="26">
        <f t="shared" si="17"/>
        <v>0.0214406498481963</v>
      </c>
      <c r="M400" s="4"/>
    </row>
    <row r="401" s="1" customFormat="1" spans="6:13">
      <c r="F401" s="13">
        <v>45274</v>
      </c>
      <c r="G401" s="14">
        <v>1.03232238</v>
      </c>
      <c r="H401" s="14">
        <v>1.03448673</v>
      </c>
      <c r="I401" s="3" t="str">
        <f>IF(G401&gt;MAX($G$3:G400),"新高","/")</f>
        <v>新高</v>
      </c>
      <c r="J401" s="26">
        <f t="shared" si="18"/>
        <v>0.00847470633121494</v>
      </c>
      <c r="K401" s="26">
        <f t="shared" si="17"/>
        <v>0.0218969768234771</v>
      </c>
      <c r="M401" s="4"/>
    </row>
    <row r="402" s="1" customFormat="1" spans="6:13">
      <c r="F402" s="13">
        <v>45275</v>
      </c>
      <c r="G402" s="14">
        <v>1.03249082</v>
      </c>
      <c r="H402" s="14">
        <v>1.03461707</v>
      </c>
      <c r="I402" s="3" t="str">
        <f>IF(G402&gt;MAX($G$3:G401),"新高","/")</f>
        <v>新高</v>
      </c>
      <c r="J402" s="26">
        <f t="shared" si="18"/>
        <v>0.00864983784820561</v>
      </c>
      <c r="K402" s="26">
        <f t="shared" si="17"/>
        <v>0.0220357216192659</v>
      </c>
      <c r="M402" s="4"/>
    </row>
    <row r="403" s="1" customFormat="1" spans="6:13">
      <c r="F403" s="13">
        <v>45278</v>
      </c>
      <c r="G403" s="14">
        <v>1.0327518</v>
      </c>
      <c r="H403" s="14">
        <v>1.03487518</v>
      </c>
      <c r="I403" s="3" t="str">
        <f>IF(G403&gt;MAX($G$3:G402),"新高","/")</f>
        <v>新高</v>
      </c>
      <c r="J403" s="26">
        <f t="shared" si="18"/>
        <v>0.00888472503711668</v>
      </c>
      <c r="K403" s="26">
        <f t="shared" si="17"/>
        <v>0.0222170862632427</v>
      </c>
      <c r="M403" s="4"/>
    </row>
    <row r="404" s="1" customFormat="1" spans="6:13">
      <c r="F404" s="13">
        <v>45279</v>
      </c>
      <c r="G404" s="14">
        <v>1.03286014</v>
      </c>
      <c r="H404" s="14">
        <v>1.03498166</v>
      </c>
      <c r="I404" s="3" t="str">
        <f>IF(G404&gt;MAX($G$3:G403),"新高","/")</f>
        <v>新高</v>
      </c>
      <c r="J404" s="26">
        <f t="shared" si="18"/>
        <v>0.00891522209206563</v>
      </c>
      <c r="K404" s="26">
        <f t="shared" si="17"/>
        <v>0.0223093655238302</v>
      </c>
      <c r="M404" s="4"/>
    </row>
    <row r="405" s="1" customFormat="1" spans="6:13">
      <c r="F405" s="13">
        <v>45280</v>
      </c>
      <c r="G405" s="14">
        <v>1.03292955</v>
      </c>
      <c r="H405" s="14">
        <v>1.03505301</v>
      </c>
      <c r="I405" s="3" t="str">
        <f>IF(G405&gt;MAX($G$3:G404),"新高","/")</f>
        <v>新高</v>
      </c>
      <c r="J405" s="26">
        <f t="shared" si="18"/>
        <v>0.0087539741806606</v>
      </c>
      <c r="K405" s="26">
        <f t="shared" si="17"/>
        <v>0.0221439382705659</v>
      </c>
      <c r="M405" s="4"/>
    </row>
    <row r="406" s="1" customFormat="1" spans="6:13">
      <c r="F406" s="13">
        <v>45281</v>
      </c>
      <c r="G406" s="14">
        <v>1.03296317</v>
      </c>
      <c r="H406" s="14">
        <v>1.03512925</v>
      </c>
      <c r="I406" s="3" t="str">
        <f>IF(G406&gt;MAX($G$3:G405),"新高","/")</f>
        <v>新高</v>
      </c>
      <c r="J406" s="26">
        <f t="shared" si="18"/>
        <v>0.00881190037337243</v>
      </c>
      <c r="K406" s="26">
        <f t="shared" si="17"/>
        <v>0.0220813155330355</v>
      </c>
      <c r="M406" s="4"/>
    </row>
    <row r="407" s="1" customFormat="1" spans="6:13">
      <c r="F407" s="13">
        <v>45282</v>
      </c>
      <c r="G407" s="14">
        <v>1.03306172</v>
      </c>
      <c r="H407" s="14">
        <v>1.03522166</v>
      </c>
      <c r="I407" s="3" t="str">
        <f>IF(G407&gt;MAX($G$3:G406),"新高","/")</f>
        <v>新高</v>
      </c>
      <c r="J407" s="26">
        <f t="shared" si="18"/>
        <v>0.00885899103331256</v>
      </c>
      <c r="K407" s="26">
        <f t="shared" si="17"/>
        <v>0.0220770592343555</v>
      </c>
      <c r="M407" s="4"/>
    </row>
    <row r="408" s="1" customFormat="1" spans="6:13">
      <c r="F408" s="13">
        <v>45285</v>
      </c>
      <c r="G408" s="14">
        <v>1.03326615</v>
      </c>
      <c r="H408" s="14">
        <v>1.03548365</v>
      </c>
      <c r="I408" s="3" t="str">
        <f>IF(G408&gt;MAX($G$3:G407),"新高","/")</f>
        <v>新高</v>
      </c>
      <c r="J408" s="26">
        <f t="shared" si="18"/>
        <v>0.00899381496702945</v>
      </c>
      <c r="K408" s="26">
        <f t="shared" si="17"/>
        <v>0.0221309632940874</v>
      </c>
      <c r="M408" s="4"/>
    </row>
    <row r="409" s="1" customFormat="1" spans="6:13">
      <c r="F409" s="13">
        <v>45286</v>
      </c>
      <c r="G409" s="14">
        <v>1.03341852</v>
      </c>
      <c r="H409" s="14">
        <v>1.03562575</v>
      </c>
      <c r="I409" s="3" t="str">
        <f>IF(G409&gt;MAX($G$3:G408),"新高","/")</f>
        <v>新高</v>
      </c>
      <c r="J409" s="26">
        <f t="shared" si="18"/>
        <v>0.00896212560355525</v>
      </c>
      <c r="K409" s="26">
        <f t="shared" si="17"/>
        <v>0.0220888794104004</v>
      </c>
      <c r="M409" s="4"/>
    </row>
    <row r="410" s="1" customFormat="1" spans="6:13">
      <c r="F410" s="13">
        <v>45287</v>
      </c>
      <c r="G410" s="14">
        <v>1.03362981</v>
      </c>
      <c r="H410" s="14">
        <v>1.03580922</v>
      </c>
      <c r="I410" s="3" t="str">
        <f>IF(G410&gt;MAX($G$3:G409),"新高","/")</f>
        <v>新高</v>
      </c>
      <c r="J410" s="26">
        <f t="shared" si="18"/>
        <v>0.00895850441052781</v>
      </c>
      <c r="K410" s="26">
        <f t="shared" si="17"/>
        <v>0.0220506001511536</v>
      </c>
      <c r="M410" s="4"/>
    </row>
    <row r="411" s="1" customFormat="1" spans="6:13">
      <c r="F411" s="13">
        <v>45288</v>
      </c>
      <c r="G411" s="14">
        <v>1.03388704</v>
      </c>
      <c r="H411" s="14">
        <v>1.03599078</v>
      </c>
      <c r="I411" s="3" t="str">
        <f>IF(G411&gt;MAX($G$3:G410),"新高","/")</f>
        <v>新高</v>
      </c>
      <c r="J411" s="26">
        <f t="shared" si="18"/>
        <v>0.00908744459880428</v>
      </c>
      <c r="K411" s="26">
        <f t="shared" si="17"/>
        <v>0.0221464006836829</v>
      </c>
      <c r="M411" s="4"/>
    </row>
    <row r="412" s="1" customFormat="1" spans="6:13">
      <c r="F412" s="13">
        <v>45289</v>
      </c>
      <c r="G412" s="14">
        <v>1.03410386</v>
      </c>
      <c r="H412" s="14">
        <v>1.03620618</v>
      </c>
      <c r="I412" s="3" t="str">
        <f>IF(G412&gt;MAX($G$3:G411),"新高","/")</f>
        <v>新高</v>
      </c>
      <c r="J412" s="26">
        <f t="shared" si="18"/>
        <v>0.00920774442891559</v>
      </c>
      <c r="K412" s="26">
        <f t="shared" si="17"/>
        <v>0.022283866360624</v>
      </c>
      <c r="M412" s="4"/>
    </row>
    <row r="413" s="1" customFormat="1" spans="6:13">
      <c r="F413" s="13">
        <v>45293</v>
      </c>
      <c r="G413" s="14">
        <v>1.03437953</v>
      </c>
      <c r="H413" s="14">
        <v>1.0364597</v>
      </c>
      <c r="I413" s="3" t="str">
        <f>IF(G413&gt;MAX($G$3:G412),"新高","/")</f>
        <v>新高</v>
      </c>
      <c r="J413" s="26">
        <f t="shared" si="18"/>
        <v>0.00937236991036561</v>
      </c>
      <c r="K413" s="26">
        <f t="shared" si="17"/>
        <v>0.022370136507103</v>
      </c>
      <c r="M413" s="4"/>
    </row>
    <row r="414" s="1" customFormat="1" spans="6:13">
      <c r="F414" s="13">
        <v>45294</v>
      </c>
      <c r="G414" s="14">
        <v>1.03439995</v>
      </c>
      <c r="H414" s="14">
        <v>1.03649361</v>
      </c>
      <c r="I414" s="3" t="str">
        <f>IF(G414&gt;MAX($G$3:G413),"新高","/")</f>
        <v>新高</v>
      </c>
      <c r="J414" s="26">
        <f t="shared" si="18"/>
        <v>0.00927282133634866</v>
      </c>
      <c r="K414" s="26">
        <f t="shared" si="17"/>
        <v>0.0221959222187527</v>
      </c>
      <c r="M414" s="4"/>
    </row>
    <row r="415" s="1" customFormat="1" spans="6:13">
      <c r="F415" s="13">
        <v>45295</v>
      </c>
      <c r="G415" s="14">
        <v>1.03445986</v>
      </c>
      <c r="H415" s="14">
        <v>1.0365223</v>
      </c>
      <c r="I415" s="3" t="str">
        <f>IF(G415&gt;MAX($G$3:G414),"新高","/")</f>
        <v>新高</v>
      </c>
      <c r="J415" s="26">
        <f t="shared" si="18"/>
        <v>0.00917801314883637</v>
      </c>
      <c r="K415" s="26">
        <f t="shared" si="17"/>
        <v>0.0218940478699032</v>
      </c>
      <c r="M415" s="4"/>
    </row>
    <row r="416" s="1" customFormat="1" spans="6:13">
      <c r="F416" s="13">
        <v>45296</v>
      </c>
      <c r="G416" s="14">
        <v>1.03453277</v>
      </c>
      <c r="H416" s="14">
        <v>1.03661779</v>
      </c>
      <c r="I416" s="3" t="str">
        <f>IF(G416&gt;MAX($G$3:G415),"新高","/")</f>
        <v>新高</v>
      </c>
      <c r="J416" s="26">
        <f t="shared" si="18"/>
        <v>0.00915106658280007</v>
      </c>
      <c r="K416" s="26">
        <f t="shared" si="17"/>
        <v>0.02169160836946</v>
      </c>
      <c r="M416" s="4"/>
    </row>
    <row r="417" s="1" customFormat="1" spans="6:13">
      <c r="F417" s="13">
        <v>45299</v>
      </c>
      <c r="G417" s="14">
        <v>1.03474975</v>
      </c>
      <c r="H417" s="14">
        <v>1.03683352</v>
      </c>
      <c r="I417" s="3" t="str">
        <f>IF(G417&gt;MAX($G$3:G416),"新高","/")</f>
        <v>新高</v>
      </c>
      <c r="J417" s="26">
        <f t="shared" si="18"/>
        <v>0.00931575008467878</v>
      </c>
      <c r="K417" s="26">
        <f t="shared" si="17"/>
        <v>0.021709286131574</v>
      </c>
      <c r="M417" s="4"/>
    </row>
    <row r="418" s="1" customFormat="1" spans="6:13">
      <c r="F418" s="13">
        <v>45300</v>
      </c>
      <c r="G418" s="14">
        <v>1.03490559</v>
      </c>
      <c r="H418" s="14">
        <v>1.03691872</v>
      </c>
      <c r="I418" s="3" t="str">
        <f>IF(G418&gt;MAX($G$3:G417),"新高","/")</f>
        <v>新高</v>
      </c>
      <c r="J418" s="26">
        <f t="shared" si="18"/>
        <v>0.00942805982410522</v>
      </c>
      <c r="K418" s="26">
        <f t="shared" si="17"/>
        <v>0.0218271830115477</v>
      </c>
      <c r="M418" s="4"/>
    </row>
    <row r="419" s="1" customFormat="1" spans="6:13">
      <c r="F419" s="13">
        <v>45301</v>
      </c>
      <c r="G419" s="14">
        <v>1.03498811</v>
      </c>
      <c r="H419" s="14">
        <v>1.03698415</v>
      </c>
      <c r="I419" s="3" t="str">
        <f>IF(G419&gt;MAX($G$3:G418),"新高","/")</f>
        <v>新高</v>
      </c>
      <c r="J419" s="26">
        <f t="shared" si="18"/>
        <v>0.00947633140460669</v>
      </c>
      <c r="K419" s="26">
        <f t="shared" si="17"/>
        <v>0.0217501919036731</v>
      </c>
      <c r="M419" s="4"/>
    </row>
    <row r="420" s="1" customFormat="1" spans="6:13">
      <c r="F420" s="13">
        <v>45302</v>
      </c>
      <c r="G420" s="14">
        <v>1.0350431</v>
      </c>
      <c r="H420" s="14">
        <v>1.03705476</v>
      </c>
      <c r="I420" s="3" t="str">
        <f>IF(G420&gt;MAX($G$3:G419),"新高","/")</f>
        <v>新高</v>
      </c>
      <c r="J420" s="26">
        <f t="shared" si="18"/>
        <v>0.00934388251078921</v>
      </c>
      <c r="K420" s="26">
        <f t="shared" si="17"/>
        <v>0.0218640377559387</v>
      </c>
      <c r="M420" s="4"/>
    </row>
    <row r="421" s="1" customFormat="1" spans="6:13">
      <c r="F421" s="13">
        <v>45303</v>
      </c>
      <c r="G421" s="14">
        <v>1.03510905</v>
      </c>
      <c r="H421" s="14">
        <v>1.03711814</v>
      </c>
      <c r="I421" s="3" t="str">
        <f>IF(G421&gt;MAX($G$3:G420),"新高","/")</f>
        <v>新高</v>
      </c>
      <c r="J421" s="26">
        <f t="shared" si="18"/>
        <v>0.00931720049468687</v>
      </c>
      <c r="K421" s="26">
        <f t="shared" si="17"/>
        <v>0.0219799797935856</v>
      </c>
      <c r="M421" s="4"/>
    </row>
    <row r="422" s="1" customFormat="1" spans="6:13">
      <c r="F422" s="13">
        <v>45306</v>
      </c>
      <c r="G422" s="14">
        <v>1.03531113</v>
      </c>
      <c r="H422" s="14">
        <v>1.03729983</v>
      </c>
      <c r="I422" s="3" t="str">
        <f>IF(G422&gt;MAX($G$3:G421),"新高","/")</f>
        <v>新高</v>
      </c>
      <c r="J422" s="26">
        <f t="shared" si="18"/>
        <v>0.00940999260105468</v>
      </c>
      <c r="K422" s="26">
        <f t="shared" si="17"/>
        <v>0.0220885846193819</v>
      </c>
      <c r="M422" s="4"/>
    </row>
    <row r="423" s="1" customFormat="1" spans="6:13">
      <c r="F423" s="13">
        <v>45307</v>
      </c>
      <c r="G423" s="14">
        <v>1.03534436</v>
      </c>
      <c r="H423" s="14">
        <v>1.03734764</v>
      </c>
      <c r="I423" s="3" t="str">
        <f>IF(G423&gt;MAX($G$3:G422),"新高","/")</f>
        <v>新高</v>
      </c>
      <c r="J423" s="26">
        <f t="shared" si="18"/>
        <v>0.00937915127534228</v>
      </c>
      <c r="K423" s="26">
        <f t="shared" si="17"/>
        <v>0.0220455341707364</v>
      </c>
      <c r="M423" s="4"/>
    </row>
    <row r="424" s="1" customFormat="1" spans="6:13">
      <c r="F424" s="13">
        <v>45308</v>
      </c>
      <c r="G424" s="14">
        <v>1.03541341</v>
      </c>
      <c r="H424" s="14">
        <v>1.03741206</v>
      </c>
      <c r="I424" s="3" t="str">
        <f>IF(G424&gt;MAX($G$3:G423),"新高","/")</f>
        <v>新高</v>
      </c>
      <c r="J424" s="26">
        <f t="shared" si="18"/>
        <v>0.00934576369012508</v>
      </c>
      <c r="K424" s="26">
        <f t="shared" si="17"/>
        <v>0.022013646005314</v>
      </c>
      <c r="M424" s="4"/>
    </row>
    <row r="425" s="1" customFormat="1" spans="6:13">
      <c r="F425" s="13">
        <v>45309</v>
      </c>
      <c r="G425" s="14">
        <v>1.03550799</v>
      </c>
      <c r="H425" s="14">
        <v>1.03748281</v>
      </c>
      <c r="I425" s="3" t="str">
        <f>IF(G425&gt;MAX($G$3:G424),"新高","/")</f>
        <v>新高</v>
      </c>
      <c r="J425" s="26">
        <f t="shared" si="18"/>
        <v>0.00929478763451397</v>
      </c>
      <c r="K425" s="26">
        <f t="shared" si="17"/>
        <v>0.0220646711735866</v>
      </c>
      <c r="M425" s="4"/>
    </row>
    <row r="426" s="1" customFormat="1" spans="6:13">
      <c r="F426" s="13">
        <v>45310</v>
      </c>
      <c r="G426" s="14">
        <v>1.03559748</v>
      </c>
      <c r="H426" s="14">
        <v>1.03756795</v>
      </c>
      <c r="I426" s="3" t="str">
        <f>IF(G426&gt;MAX($G$3:G425),"新高","/")</f>
        <v>新高</v>
      </c>
      <c r="J426" s="26">
        <f t="shared" si="18"/>
        <v>0.00954213633537093</v>
      </c>
      <c r="K426" s="26">
        <f t="shared" si="17"/>
        <v>0.0220991076922799</v>
      </c>
      <c r="M426" s="4"/>
    </row>
    <row r="427" s="1" customFormat="1" spans="6:13">
      <c r="F427" s="13">
        <v>45313</v>
      </c>
      <c r="G427" s="14">
        <v>1.0358054</v>
      </c>
      <c r="H427" s="14">
        <v>1.03778451</v>
      </c>
      <c r="I427" s="3" t="str">
        <f>IF(G427&gt;MAX($G$3:G426),"新高","/")</f>
        <v>新高</v>
      </c>
      <c r="J427" s="26">
        <f t="shared" si="18"/>
        <v>0.00970667355215848</v>
      </c>
      <c r="K427" s="26">
        <f t="shared" si="17"/>
        <v>0.0222053866567939</v>
      </c>
      <c r="M427" s="4"/>
    </row>
    <row r="428" s="1" customFormat="1" spans="6:13">
      <c r="F428" s="13">
        <v>45314</v>
      </c>
      <c r="G428" s="14">
        <v>1.03588174</v>
      </c>
      <c r="H428" s="14">
        <v>1.03784572</v>
      </c>
      <c r="I428" s="3" t="str">
        <f>IF(G428&gt;MAX($G$3:G427),"新高","/")</f>
        <v>新高</v>
      </c>
      <c r="J428" s="26">
        <f t="shared" si="18"/>
        <v>0.00966248139781789</v>
      </c>
      <c r="K428" s="26">
        <f t="shared" si="17"/>
        <v>0.0221440927293943</v>
      </c>
      <c r="M428" s="4"/>
    </row>
    <row r="429" s="1" customFormat="1" spans="6:13">
      <c r="F429" s="13">
        <v>45315</v>
      </c>
      <c r="G429" s="14">
        <v>1.03596919</v>
      </c>
      <c r="H429" s="14">
        <v>1.03790876</v>
      </c>
      <c r="I429" s="3" t="str">
        <f>IF(G429&gt;MAX($G$3:G428),"新高","/")</f>
        <v>新高</v>
      </c>
      <c r="J429" s="26">
        <f t="shared" si="18"/>
        <v>0.0097307409551437</v>
      </c>
      <c r="K429" s="26">
        <f t="shared" si="17"/>
        <v>0.0216237032031767</v>
      </c>
      <c r="M429" s="4"/>
    </row>
    <row r="430" s="1" customFormat="1" spans="6:13">
      <c r="F430" s="13">
        <v>45316</v>
      </c>
      <c r="G430" s="14">
        <v>1.03605693</v>
      </c>
      <c r="H430" s="14">
        <v>1.03799649</v>
      </c>
      <c r="I430" s="3" t="str">
        <f>IF(G430&gt;MAX($G$3:G429),"新高","/")</f>
        <v>新高</v>
      </c>
      <c r="J430" s="26">
        <f t="shared" si="18"/>
        <v>0.00975157860282838</v>
      </c>
      <c r="K430" s="26">
        <f t="shared" si="17"/>
        <v>0.0216589962633593</v>
      </c>
      <c r="M430" s="4"/>
    </row>
    <row r="431" s="1" customFormat="1" spans="6:13">
      <c r="F431" s="13">
        <v>45317</v>
      </c>
      <c r="G431" s="14">
        <v>1.03613607</v>
      </c>
      <c r="H431" s="14">
        <v>1.03807261</v>
      </c>
      <c r="I431" s="3" t="str">
        <f>IF(G431&gt;MAX($G$3:G430),"新高","/")</f>
        <v>新高</v>
      </c>
      <c r="J431" s="26">
        <f t="shared" si="18"/>
        <v>0.00973982509607385</v>
      </c>
      <c r="K431" s="26">
        <f t="shared" si="17"/>
        <v>0.0216679743975625</v>
      </c>
      <c r="M431" s="4"/>
    </row>
    <row r="432" s="1" customFormat="1" spans="6:13">
      <c r="F432" s="13">
        <v>45320</v>
      </c>
      <c r="G432" s="14">
        <v>1.03631938</v>
      </c>
      <c r="H432" s="14">
        <v>1.03829631</v>
      </c>
      <c r="I432" s="3" t="str">
        <f>IF(G432&gt;MAX($G$3:G431),"新高","/")</f>
        <v>新高</v>
      </c>
      <c r="J432" s="26">
        <f t="shared" si="18"/>
        <v>0.00982973836739154</v>
      </c>
      <c r="K432" s="26">
        <f t="shared" si="17"/>
        <v>0.0217583427281152</v>
      </c>
      <c r="M432" s="4"/>
    </row>
    <row r="433" s="1" customFormat="1" spans="6:13">
      <c r="F433" s="13">
        <v>45321</v>
      </c>
      <c r="G433" s="14">
        <v>1.03649363</v>
      </c>
      <c r="H433" s="14">
        <v>1.03846176</v>
      </c>
      <c r="I433" s="3" t="str">
        <f>IF(G433&gt;MAX($G$3:G432),"新高","/")</f>
        <v>新高</v>
      </c>
      <c r="J433" s="26">
        <f t="shared" si="18"/>
        <v>0.0099048943380633</v>
      </c>
      <c r="K433" s="26">
        <f t="shared" si="17"/>
        <v>0.0218182255536867</v>
      </c>
      <c r="M433" s="4"/>
    </row>
    <row r="434" s="1" customFormat="1" spans="6:13">
      <c r="F434" s="13">
        <v>45322</v>
      </c>
      <c r="G434" s="14">
        <v>1.03666092</v>
      </c>
      <c r="H434" s="14">
        <v>1.03852888</v>
      </c>
      <c r="I434" s="3" t="str">
        <f>IF(G434&gt;MAX($G$3:G433),"新高","/")</f>
        <v>新高</v>
      </c>
      <c r="J434" s="26">
        <f t="shared" si="18"/>
        <v>0.00996614133067819</v>
      </c>
      <c r="K434" s="26">
        <f t="shared" si="17"/>
        <v>0.0218036194857008</v>
      </c>
      <c r="M434" s="4"/>
    </row>
    <row r="435" s="1" customFormat="1" spans="6:13">
      <c r="F435" s="13">
        <v>45323</v>
      </c>
      <c r="G435" s="14">
        <v>1.03673939</v>
      </c>
      <c r="H435" s="14">
        <v>1.03860537</v>
      </c>
      <c r="I435" s="3" t="str">
        <f>IF(G435&gt;MAX($G$3:G434),"新高","/")</f>
        <v>新高</v>
      </c>
      <c r="J435" s="26">
        <f t="shared" si="18"/>
        <v>0.00984852740466691</v>
      </c>
      <c r="K435" s="26">
        <f t="shared" si="17"/>
        <v>0.0218259526223319</v>
      </c>
      <c r="M435" s="4"/>
    </row>
    <row r="436" s="1" customFormat="1" spans="6:13">
      <c r="F436" s="13">
        <v>45324</v>
      </c>
      <c r="G436" s="14">
        <v>1.03683344</v>
      </c>
      <c r="H436" s="14">
        <v>1.03867129</v>
      </c>
      <c r="I436" s="3" t="str">
        <f>IF(G436&gt;MAX($G$3:G435),"新高","/")</f>
        <v>新高</v>
      </c>
      <c r="J436" s="26">
        <f t="shared" si="18"/>
        <v>0.0098532414410808</v>
      </c>
      <c r="K436" s="26">
        <f t="shared" si="17"/>
        <v>0.0218609192207841</v>
      </c>
      <c r="M436" s="4"/>
    </row>
    <row r="437" s="1" customFormat="1" spans="6:13">
      <c r="F437" s="13">
        <v>45327</v>
      </c>
      <c r="G437" s="14">
        <v>1.03709236</v>
      </c>
      <c r="H437" s="14">
        <v>1.03891184</v>
      </c>
      <c r="I437" s="3" t="str">
        <f>IF(G437&gt;MAX($G$3:G436),"新高","/")</f>
        <v>新高</v>
      </c>
      <c r="J437" s="26">
        <f t="shared" si="18"/>
        <v>0.0100308262783069</v>
      </c>
      <c r="K437" s="26">
        <f t="shared" si="17"/>
        <v>0.0220393656276829</v>
      </c>
      <c r="M437" s="4"/>
    </row>
    <row r="438" s="1" customFormat="1" spans="6:13">
      <c r="F438" s="13">
        <v>45328</v>
      </c>
      <c r="G438" s="14">
        <v>1.03708528</v>
      </c>
      <c r="H438" s="14">
        <v>1.03896822</v>
      </c>
      <c r="I438" s="3" t="str">
        <f>IF(G438&gt;MAX($G$3:G437),"新高","/")</f>
        <v>/</v>
      </c>
      <c r="J438" s="26">
        <f t="shared" si="18"/>
        <v>0.00998125143955542</v>
      </c>
      <c r="K438" s="26">
        <f t="shared" si="17"/>
        <v>0.0219421816302898</v>
      </c>
      <c r="M438" s="4"/>
    </row>
    <row r="439" s="1" customFormat="1" spans="6:13">
      <c r="F439" s="13">
        <v>45329</v>
      </c>
      <c r="G439" s="14">
        <v>1.03718308</v>
      </c>
      <c r="H439" s="14">
        <v>1.03903103</v>
      </c>
      <c r="I439" s="3" t="str">
        <f>IF(G439&gt;MAX($G$3:G438),"新高","/")</f>
        <v>新高</v>
      </c>
      <c r="J439" s="26">
        <f t="shared" si="18"/>
        <v>0.00998841474142842</v>
      </c>
      <c r="K439" s="26">
        <f t="shared" ref="K439:K502" si="19">G439/G195-1</f>
        <v>0.0218537713053755</v>
      </c>
      <c r="M439" s="4"/>
    </row>
    <row r="440" s="1" customFormat="1" spans="6:13">
      <c r="F440" s="13">
        <v>45330</v>
      </c>
      <c r="G440" s="14">
        <v>1.03729451</v>
      </c>
      <c r="H440" s="14">
        <v>1.0391243</v>
      </c>
      <c r="I440" s="3" t="str">
        <f>IF(G440&gt;MAX($G$3:G439),"新高","/")</f>
        <v>新高</v>
      </c>
      <c r="J440" s="26">
        <f t="shared" si="18"/>
        <v>0.00990683640447854</v>
      </c>
      <c r="K440" s="26">
        <f t="shared" si="19"/>
        <v>0.021855036570152</v>
      </c>
      <c r="M440" s="4"/>
    </row>
    <row r="441" s="1" customFormat="1" spans="6:13">
      <c r="F441" s="13">
        <v>45341</v>
      </c>
      <c r="G441" s="14">
        <v>1.03792888</v>
      </c>
      <c r="H441" s="14">
        <v>1.03988972</v>
      </c>
      <c r="I441" s="3" t="str">
        <f>IF(G441&gt;MAX($G$3:G440),"新高","/")</f>
        <v>新高</v>
      </c>
      <c r="J441" s="26">
        <f t="shared" si="18"/>
        <v>0.0103747088256847</v>
      </c>
      <c r="K441" s="26">
        <f t="shared" si="19"/>
        <v>0.0224172360072268</v>
      </c>
      <c r="M441" s="4"/>
    </row>
    <row r="442" s="1" customFormat="1" spans="6:13">
      <c r="F442" s="13">
        <v>45342</v>
      </c>
      <c r="G442" s="14">
        <v>1.03807391</v>
      </c>
      <c r="H442" s="14">
        <v>1.04002908</v>
      </c>
      <c r="I442" s="3" t="str">
        <f>IF(G442&gt;MAX($G$3:G441),"新高","/")</f>
        <v>新高</v>
      </c>
      <c r="J442" s="26">
        <f t="shared" si="18"/>
        <v>0.010407173177698</v>
      </c>
      <c r="K442" s="26">
        <f t="shared" si="19"/>
        <v>0.0224490783479743</v>
      </c>
      <c r="M442" s="4"/>
    </row>
    <row r="443" s="1" customFormat="1" spans="6:13">
      <c r="F443" s="13">
        <v>45343</v>
      </c>
      <c r="G443" s="14">
        <v>1.03817558</v>
      </c>
      <c r="H443" s="14">
        <v>1.04012474</v>
      </c>
      <c r="I443" s="3" t="str">
        <f>IF(G443&gt;MAX($G$3:G442),"新高","/")</f>
        <v>新高</v>
      </c>
      <c r="J443" s="26">
        <f t="shared" si="18"/>
        <v>0.0104664969869686</v>
      </c>
      <c r="K443" s="26">
        <f t="shared" si="19"/>
        <v>0.0224581589141222</v>
      </c>
      <c r="M443" s="4"/>
    </row>
    <row r="444" s="1" customFormat="1" spans="6:13">
      <c r="F444" s="13">
        <v>45344</v>
      </c>
      <c r="G444" s="14">
        <v>1.03830824</v>
      </c>
      <c r="H444" s="14">
        <v>1.0402332</v>
      </c>
      <c r="I444" s="3" t="str">
        <f>IF(G444&gt;MAX($G$3:G443),"新高","/")</f>
        <v>新高</v>
      </c>
      <c r="J444" s="26">
        <f t="shared" ref="J444:J507" si="20">G444/G323-1</f>
        <v>0.0105371039456903</v>
      </c>
      <c r="K444" s="26">
        <f t="shared" si="19"/>
        <v>0.0224753019717447</v>
      </c>
      <c r="M444" s="4"/>
    </row>
    <row r="445" s="1" customFormat="1" spans="6:13">
      <c r="F445" s="13">
        <v>45345</v>
      </c>
      <c r="G445" s="14">
        <v>1.03841916</v>
      </c>
      <c r="H445" s="14">
        <v>1.04034417</v>
      </c>
      <c r="I445" s="3" t="str">
        <f>IF(G445&gt;MAX($G$3:G444),"新高","/")</f>
        <v>新高</v>
      </c>
      <c r="J445" s="26">
        <f t="shared" si="20"/>
        <v>0.0104821970217872</v>
      </c>
      <c r="K445" s="26">
        <f t="shared" si="19"/>
        <v>0.0226107230927808</v>
      </c>
      <c r="M445" s="4"/>
    </row>
    <row r="446" s="1" customFormat="1" spans="6:13">
      <c r="F446" s="13">
        <v>45348</v>
      </c>
      <c r="G446" s="14">
        <v>1.03862977</v>
      </c>
      <c r="H446" s="14">
        <v>1.04052786</v>
      </c>
      <c r="I446" s="3" t="str">
        <f>IF(G446&gt;MAX($G$3:G445),"新高","/")</f>
        <v>新高</v>
      </c>
      <c r="J446" s="26">
        <f t="shared" si="20"/>
        <v>0.0106530540746552</v>
      </c>
      <c r="K446" s="26">
        <f t="shared" si="19"/>
        <v>0.0227745552013399</v>
      </c>
      <c r="M446" s="4"/>
    </row>
    <row r="447" s="1" customFormat="1" spans="6:13">
      <c r="F447" s="13">
        <v>45349</v>
      </c>
      <c r="G447" s="14">
        <v>1.03873534</v>
      </c>
      <c r="H447" s="14">
        <v>1.04060914</v>
      </c>
      <c r="I447" s="3" t="str">
        <f>IF(G447&gt;MAX($G$3:G446),"新高","/")</f>
        <v>新高</v>
      </c>
      <c r="J447" s="26">
        <f t="shared" si="20"/>
        <v>0.0107276915895311</v>
      </c>
      <c r="K447" s="26">
        <f t="shared" si="19"/>
        <v>0.022832453524176</v>
      </c>
      <c r="M447" s="4"/>
    </row>
    <row r="448" s="1" customFormat="1" spans="6:13">
      <c r="F448" s="13">
        <v>45350</v>
      </c>
      <c r="G448" s="14">
        <v>1.03883948</v>
      </c>
      <c r="H448" s="14">
        <v>1.04065955</v>
      </c>
      <c r="I448" s="3" t="str">
        <f>IF(G448&gt;MAX($G$3:G447),"新高","/")</f>
        <v>新高</v>
      </c>
      <c r="J448" s="26">
        <f t="shared" si="20"/>
        <v>0.010788108625196</v>
      </c>
      <c r="K448" s="26">
        <f t="shared" si="19"/>
        <v>0.0228925040307602</v>
      </c>
      <c r="M448" s="4"/>
    </row>
    <row r="449" s="1" customFormat="1" spans="6:13">
      <c r="F449" s="13">
        <v>45351</v>
      </c>
      <c r="G449" s="14">
        <v>1.03895448</v>
      </c>
      <c r="H449" s="14">
        <v>1.04069702</v>
      </c>
      <c r="I449" s="3" t="str">
        <f>IF(G449&gt;MAX($G$3:G448),"新高","/")</f>
        <v>新高</v>
      </c>
      <c r="J449" s="26">
        <f t="shared" si="20"/>
        <v>0.0108825250013438</v>
      </c>
      <c r="K449" s="26">
        <f t="shared" si="19"/>
        <v>0.0228564884140872</v>
      </c>
      <c r="M449" s="4"/>
    </row>
    <row r="450" s="1" customFormat="1" spans="6:13">
      <c r="F450" s="13">
        <v>45352</v>
      </c>
      <c r="G450" s="14">
        <v>1.03892641</v>
      </c>
      <c r="H450" s="14">
        <v>1.04074964</v>
      </c>
      <c r="I450" s="3" t="str">
        <f>IF(G450&gt;MAX($G$3:G449),"新高","/")</f>
        <v>/</v>
      </c>
      <c r="J450" s="26">
        <f t="shared" si="20"/>
        <v>0.0108365756502284</v>
      </c>
      <c r="K450" s="26">
        <f t="shared" si="19"/>
        <v>0.0227935800242043</v>
      </c>
      <c r="M450" s="4"/>
    </row>
    <row r="451" s="1" customFormat="1" spans="6:13">
      <c r="F451" s="13">
        <v>45355</v>
      </c>
      <c r="G451" s="14">
        <v>1.0391288</v>
      </c>
      <c r="H451" s="14">
        <v>1.04093244</v>
      </c>
      <c r="I451" s="3" t="str">
        <f>IF(G451&gt;MAX($G$3:G450),"新高","/")</f>
        <v>新高</v>
      </c>
      <c r="J451" s="26">
        <f t="shared" si="20"/>
        <v>0.0110843139408501</v>
      </c>
      <c r="K451" s="26">
        <f t="shared" si="19"/>
        <v>0.0229455054495911</v>
      </c>
      <c r="M451" s="4"/>
    </row>
    <row r="452" s="1" customFormat="1" spans="6:13">
      <c r="F452" s="13">
        <v>45356</v>
      </c>
      <c r="G452" s="14">
        <v>1.0391885</v>
      </c>
      <c r="H452" s="14">
        <v>1.04099465</v>
      </c>
      <c r="I452" s="3" t="str">
        <f>IF(G452&gt;MAX($G$3:G451),"新高","/")</f>
        <v>新高</v>
      </c>
      <c r="J452" s="26">
        <f t="shared" si="20"/>
        <v>0.0111059522817898</v>
      </c>
      <c r="K452" s="26">
        <f t="shared" si="19"/>
        <v>0.0229320737138601</v>
      </c>
      <c r="M452" s="4"/>
    </row>
    <row r="453" s="1" customFormat="1" spans="6:13">
      <c r="F453" s="13">
        <v>45357</v>
      </c>
      <c r="G453" s="14">
        <v>1.03927463</v>
      </c>
      <c r="H453" s="14">
        <v>1.04105853</v>
      </c>
      <c r="I453" s="3" t="str">
        <f>IF(G453&gt;MAX($G$3:G452),"新高","/")</f>
        <v>新高</v>
      </c>
      <c r="J453" s="26">
        <f t="shared" si="20"/>
        <v>0.0111177508783211</v>
      </c>
      <c r="K453" s="26">
        <f t="shared" si="19"/>
        <v>0.0229400370649366</v>
      </c>
      <c r="M453" s="4"/>
    </row>
    <row r="454" s="1" customFormat="1" spans="6:13">
      <c r="F454" s="13">
        <v>45358</v>
      </c>
      <c r="G454" s="14">
        <v>1.0393474</v>
      </c>
      <c r="H454" s="14">
        <v>1.04112711</v>
      </c>
      <c r="I454" s="3" t="str">
        <f>IF(G454&gt;MAX($G$3:G453),"新高","/")</f>
        <v>新高</v>
      </c>
      <c r="J454" s="26">
        <f t="shared" si="20"/>
        <v>0.0111855979647153</v>
      </c>
      <c r="K454" s="26">
        <f t="shared" si="19"/>
        <v>0.0228034518854083</v>
      </c>
      <c r="M454" s="4"/>
    </row>
    <row r="455" s="1" customFormat="1" spans="6:13">
      <c r="F455" s="13">
        <v>45359</v>
      </c>
      <c r="G455" s="14">
        <v>1.03939431</v>
      </c>
      <c r="H455" s="14">
        <v>1.04117511</v>
      </c>
      <c r="I455" s="3" t="str">
        <f>IF(G455&gt;MAX($G$3:G454),"新高","/")</f>
        <v>新高</v>
      </c>
      <c r="J455" s="26">
        <f t="shared" si="20"/>
        <v>0.011221821729879</v>
      </c>
      <c r="K455" s="26">
        <f t="shared" si="19"/>
        <v>0.0227593339846071</v>
      </c>
      <c r="M455" s="4"/>
    </row>
    <row r="456" s="1" customFormat="1" spans="6:13">
      <c r="F456" s="13">
        <v>45362</v>
      </c>
      <c r="G456" s="14">
        <v>1.03953751</v>
      </c>
      <c r="H456" s="14">
        <v>1.04132064</v>
      </c>
      <c r="I456" s="3" t="str">
        <f>IF(G456&gt;MAX($G$3:G455),"新高","/")</f>
        <v>新高</v>
      </c>
      <c r="J456" s="26">
        <f t="shared" si="20"/>
        <v>0.0113435771590336</v>
      </c>
      <c r="K456" s="26">
        <f t="shared" si="19"/>
        <v>0.0227598606456096</v>
      </c>
      <c r="M456" s="4"/>
    </row>
    <row r="457" s="1" customFormat="1" spans="6:13">
      <c r="F457" s="13">
        <v>45363</v>
      </c>
      <c r="G457" s="14">
        <v>1.03950619</v>
      </c>
      <c r="H457" s="14">
        <v>1.04134718</v>
      </c>
      <c r="I457" s="3" t="str">
        <f>IF(G457&gt;MAX($G$3:G456),"新高","/")</f>
        <v>/</v>
      </c>
      <c r="J457" s="26">
        <f t="shared" si="20"/>
        <v>0.0113713854548654</v>
      </c>
      <c r="K457" s="26">
        <f t="shared" si="19"/>
        <v>0.0226332627082775</v>
      </c>
      <c r="M457" s="4"/>
    </row>
    <row r="458" s="1" customFormat="1" spans="6:13">
      <c r="F458" s="13">
        <v>45364</v>
      </c>
      <c r="G458" s="14">
        <v>1.03950644</v>
      </c>
      <c r="H458" s="14">
        <v>1.04136703</v>
      </c>
      <c r="I458" s="3" t="str">
        <f>IF(G458&gt;MAX($G$3:G457),"新高","/")</f>
        <v>/</v>
      </c>
      <c r="J458" s="26">
        <f t="shared" si="20"/>
        <v>0.0115531892828886</v>
      </c>
      <c r="K458" s="26">
        <f t="shared" si="19"/>
        <v>0.0225508695986285</v>
      </c>
      <c r="M458" s="4"/>
    </row>
    <row r="459" s="1" customFormat="1" spans="6:13">
      <c r="F459" s="13">
        <v>45365</v>
      </c>
      <c r="G459" s="14">
        <v>1.03949928</v>
      </c>
      <c r="H459" s="14">
        <v>1.04136656</v>
      </c>
      <c r="I459" s="3" t="str">
        <f>IF(G459&gt;MAX($G$3:G458),"新高","/")</f>
        <v>/</v>
      </c>
      <c r="J459" s="26">
        <f t="shared" si="20"/>
        <v>0.0116903996714159</v>
      </c>
      <c r="K459" s="26">
        <f t="shared" si="19"/>
        <v>0.0223341364980767</v>
      </c>
      <c r="M459" s="4"/>
    </row>
    <row r="460" s="1" customFormat="1" spans="6:13">
      <c r="F460" s="13">
        <v>45366</v>
      </c>
      <c r="G460" s="14">
        <v>1.03955295</v>
      </c>
      <c r="H460" s="14">
        <v>1.04141898</v>
      </c>
      <c r="I460" s="3" t="str">
        <f>IF(G460&gt;MAX($G$3:G459),"新高","/")</f>
        <v>新高</v>
      </c>
      <c r="J460" s="26">
        <f t="shared" si="20"/>
        <v>0.0118050563635281</v>
      </c>
      <c r="K460" s="26">
        <f t="shared" si="19"/>
        <v>0.0223316607187107</v>
      </c>
      <c r="M460" s="4"/>
    </row>
    <row r="461" s="1" customFormat="1" spans="6:13">
      <c r="F461" s="13">
        <v>45369</v>
      </c>
      <c r="G461" s="14">
        <v>1.03976275</v>
      </c>
      <c r="H461" s="14">
        <v>1.04161123</v>
      </c>
      <c r="I461" s="3" t="str">
        <f>IF(G461&gt;MAX($G$3:G460),"新高","/")</f>
        <v>新高</v>
      </c>
      <c r="J461" s="26">
        <f t="shared" si="20"/>
        <v>0.0119379082318902</v>
      </c>
      <c r="K461" s="26">
        <f t="shared" si="19"/>
        <v>0.022432257404605</v>
      </c>
      <c r="M461" s="4"/>
    </row>
    <row r="462" s="1" customFormat="1" spans="6:13">
      <c r="F462" s="13">
        <v>45370</v>
      </c>
      <c r="G462" s="14">
        <v>1.03986846</v>
      </c>
      <c r="H462" s="14">
        <v>1.04169275</v>
      </c>
      <c r="I462" s="3" t="str">
        <f>IF(G462&gt;MAX($G$3:G461),"新高","/")</f>
        <v>新高</v>
      </c>
      <c r="J462" s="26">
        <f t="shared" si="20"/>
        <v>0.0119047948050957</v>
      </c>
      <c r="K462" s="26">
        <f t="shared" si="19"/>
        <v>0.0224212603842595</v>
      </c>
      <c r="M462" s="4"/>
    </row>
    <row r="463" s="1" customFormat="1" spans="6:13">
      <c r="F463" s="13">
        <v>45371</v>
      </c>
      <c r="G463" s="14">
        <v>1.03992511</v>
      </c>
      <c r="H463" s="14">
        <v>1.04176283</v>
      </c>
      <c r="I463" s="3" t="str">
        <f>IF(G463&gt;MAX($G$3:G462),"新高","/")</f>
        <v>新高</v>
      </c>
      <c r="J463" s="26">
        <f t="shared" si="20"/>
        <v>0.0118303551643117</v>
      </c>
      <c r="K463" s="26">
        <f t="shared" si="19"/>
        <v>0.0223445058336622</v>
      </c>
      <c r="M463" s="4"/>
    </row>
    <row r="464" s="1" customFormat="1" spans="6:13">
      <c r="F464" s="13">
        <v>45372</v>
      </c>
      <c r="G464" s="14">
        <v>1.04000385</v>
      </c>
      <c r="H464" s="14">
        <v>1.04182867</v>
      </c>
      <c r="I464" s="3" t="str">
        <f>IF(G464&gt;MAX($G$3:G463),"新高","/")</f>
        <v>新高</v>
      </c>
      <c r="J464" s="26">
        <f t="shared" si="20"/>
        <v>0.0118167697287415</v>
      </c>
      <c r="K464" s="26">
        <f t="shared" si="19"/>
        <v>0.0221540956855348</v>
      </c>
      <c r="M464" s="4"/>
    </row>
    <row r="465" s="1" customFormat="1" spans="6:13">
      <c r="F465" s="13">
        <v>45373</v>
      </c>
      <c r="G465" s="14">
        <v>1.04006786</v>
      </c>
      <c r="H465" s="14">
        <v>1.04190702</v>
      </c>
      <c r="I465" s="3" t="str">
        <f>IF(G465&gt;MAX($G$3:G464),"新高","/")</f>
        <v>新高</v>
      </c>
      <c r="J465" s="26">
        <f t="shared" si="20"/>
        <v>0.0118095767092585</v>
      </c>
      <c r="K465" s="26">
        <f t="shared" si="19"/>
        <v>0.0221343292098342</v>
      </c>
      <c r="M465" s="4"/>
    </row>
    <row r="466" s="1" customFormat="1" spans="6:13">
      <c r="F466" s="13">
        <v>45376</v>
      </c>
      <c r="G466" s="14">
        <v>1.04022636</v>
      </c>
      <c r="H466" s="14">
        <v>1.04205513</v>
      </c>
      <c r="I466" s="3" t="str">
        <f>IF(G466&gt;MAX($G$3:G465),"新高","/")</f>
        <v>新高</v>
      </c>
      <c r="J466" s="26">
        <f t="shared" si="20"/>
        <v>0.0119387162017799</v>
      </c>
      <c r="K466" s="26">
        <f t="shared" si="19"/>
        <v>0.0222307441991252</v>
      </c>
      <c r="M466" s="4"/>
    </row>
    <row r="467" s="1" customFormat="1" spans="6:13">
      <c r="F467" s="13">
        <v>45377</v>
      </c>
      <c r="G467" s="14">
        <v>1.04026161</v>
      </c>
      <c r="H467" s="14">
        <v>1.04210838</v>
      </c>
      <c r="I467" s="3" t="str">
        <f>IF(G467&gt;MAX($G$3:G466),"新高","/")</f>
        <v>新高</v>
      </c>
      <c r="J467" s="26">
        <f t="shared" si="20"/>
        <v>0.0119036871432798</v>
      </c>
      <c r="K467" s="26">
        <f t="shared" si="19"/>
        <v>0.0221869929348284</v>
      </c>
      <c r="M467" s="4"/>
    </row>
    <row r="468" s="1" customFormat="1" spans="6:13">
      <c r="F468" s="13">
        <v>45378</v>
      </c>
      <c r="G468" s="14">
        <v>1.04034428</v>
      </c>
      <c r="H468" s="14">
        <v>1.0421865</v>
      </c>
      <c r="I468" s="3" t="str">
        <f>IF(G468&gt;MAX($G$3:G467),"新高","/")</f>
        <v>新高</v>
      </c>
      <c r="J468" s="26">
        <f t="shared" si="20"/>
        <v>0.0118747488353748</v>
      </c>
      <c r="K468" s="26">
        <f t="shared" si="19"/>
        <v>0.0222286907011491</v>
      </c>
      <c r="M468" s="4"/>
    </row>
    <row r="469" s="1" customFormat="1" spans="6:13">
      <c r="F469" s="13">
        <v>45379</v>
      </c>
      <c r="G469" s="14">
        <v>1.04041725</v>
      </c>
      <c r="H469" s="14">
        <v>1.04225978</v>
      </c>
      <c r="I469" s="3" t="str">
        <f>IF(G469&gt;MAX($G$3:G468),"新高","/")</f>
        <v>新高</v>
      </c>
      <c r="J469" s="26">
        <f t="shared" si="20"/>
        <v>0.0118925258795683</v>
      </c>
      <c r="K469" s="26">
        <f t="shared" si="19"/>
        <v>0.0221008250380137</v>
      </c>
      <c r="M469" s="4"/>
    </row>
    <row r="470" s="1" customFormat="1" spans="6:13">
      <c r="F470" s="13">
        <v>45380</v>
      </c>
      <c r="G470" s="14">
        <v>1.04053393</v>
      </c>
      <c r="H470" s="14">
        <v>1.0423444</v>
      </c>
      <c r="I470" s="3" t="str">
        <f>IF(G470&gt;MAX($G$3:G469),"新高","/")</f>
        <v>新高</v>
      </c>
      <c r="J470" s="26">
        <f t="shared" si="20"/>
        <v>0.0118906253962825</v>
      </c>
      <c r="K470" s="26">
        <f t="shared" si="19"/>
        <v>0.0221481023380801</v>
      </c>
      <c r="M470" s="4"/>
    </row>
    <row r="471" s="1" customFormat="1" spans="6:13">
      <c r="F471" s="13">
        <v>45383</v>
      </c>
      <c r="G471" s="14">
        <v>1.04068033</v>
      </c>
      <c r="H471" s="14">
        <v>1.04251649</v>
      </c>
      <c r="I471" s="3" t="str">
        <f>IF(G471&gt;MAX($G$3:G470),"新高","/")</f>
        <v>新高</v>
      </c>
      <c r="J471" s="26">
        <f t="shared" si="20"/>
        <v>0.0120916260259023</v>
      </c>
      <c r="K471" s="26">
        <f t="shared" si="19"/>
        <v>0.02222226696978</v>
      </c>
      <c r="M471" s="4"/>
    </row>
    <row r="472" s="1" customFormat="1" spans="6:13">
      <c r="F472" s="13">
        <v>45384</v>
      </c>
      <c r="G472" s="14">
        <v>1.04080462</v>
      </c>
      <c r="H472" s="14">
        <v>1.04260813</v>
      </c>
      <c r="I472" s="3" t="str">
        <f>IF(G472&gt;MAX($G$3:G471),"新高","/")</f>
        <v>新高</v>
      </c>
      <c r="J472" s="26">
        <f t="shared" si="20"/>
        <v>0.0122028742368896</v>
      </c>
      <c r="K472" s="26">
        <f t="shared" si="19"/>
        <v>0.0223021472286733</v>
      </c>
      <c r="M472" s="4"/>
    </row>
    <row r="473" s="1" customFormat="1" spans="6:13">
      <c r="F473" s="13">
        <v>45385</v>
      </c>
      <c r="G473" s="14">
        <v>1.0409526</v>
      </c>
      <c r="H473" s="14">
        <v>1.04272245</v>
      </c>
      <c r="I473" s="3" t="str">
        <f>IF(G473&gt;MAX($G$3:G472),"新高","/")</f>
        <v>新高</v>
      </c>
      <c r="J473" s="26">
        <f t="shared" si="20"/>
        <v>0.0121227687510552</v>
      </c>
      <c r="K473" s="26">
        <f t="shared" si="19"/>
        <v>0.0223087652708434</v>
      </c>
      <c r="M473" s="4"/>
    </row>
    <row r="474" s="1" customFormat="1" spans="6:13">
      <c r="F474" s="13">
        <v>45390</v>
      </c>
      <c r="G474" s="14">
        <v>1.04123167</v>
      </c>
      <c r="H474" s="14">
        <v>1.04305326</v>
      </c>
      <c r="I474" s="3" t="str">
        <f>IF(G474&gt;MAX($G$3:G473),"新高","/")</f>
        <v>新高</v>
      </c>
      <c r="J474" s="26">
        <f t="shared" si="20"/>
        <v>0.0116662990597687</v>
      </c>
      <c r="K474" s="26">
        <f t="shared" si="19"/>
        <v>0.0223704583749649</v>
      </c>
      <c r="M474" s="4"/>
    </row>
    <row r="475" s="1" customFormat="1" spans="6:13">
      <c r="F475" s="13">
        <v>45391</v>
      </c>
      <c r="G475" s="14">
        <v>1.04136545</v>
      </c>
      <c r="H475" s="14">
        <v>1.04314709</v>
      </c>
      <c r="I475" s="3" t="str">
        <f>IF(G475&gt;MAX($G$3:G474),"新高","/")</f>
        <v>新高</v>
      </c>
      <c r="J475" s="26">
        <f t="shared" si="20"/>
        <v>0.0117744863087232</v>
      </c>
      <c r="K475" s="26">
        <f t="shared" si="19"/>
        <v>0.0224107119837482</v>
      </c>
      <c r="M475" s="4"/>
    </row>
    <row r="476" s="1" customFormat="1" spans="6:13">
      <c r="F476" s="13">
        <v>45392</v>
      </c>
      <c r="G476" s="14">
        <v>1.04145057</v>
      </c>
      <c r="H476" s="14">
        <v>1.04321294</v>
      </c>
      <c r="I476" s="3" t="str">
        <f>IF(G476&gt;MAX($G$3:G475),"新高","/")</f>
        <v>新高</v>
      </c>
      <c r="J476" s="26">
        <f t="shared" si="20"/>
        <v>0.0118652687631025</v>
      </c>
      <c r="K476" s="26">
        <f t="shared" si="19"/>
        <v>0.022394385966731</v>
      </c>
      <c r="M476" s="4"/>
    </row>
    <row r="477" s="1" customFormat="1" spans="6:13">
      <c r="F477" s="13">
        <v>45393</v>
      </c>
      <c r="G477" s="14">
        <v>1.04157892</v>
      </c>
      <c r="H477" s="14">
        <v>1.04329022</v>
      </c>
      <c r="I477" s="3" t="str">
        <f>IF(G477&gt;MAX($G$3:G476),"新高","/")</f>
        <v>新高</v>
      </c>
      <c r="J477" s="26">
        <f t="shared" si="20"/>
        <v>0.0120081924187529</v>
      </c>
      <c r="K477" s="26">
        <f t="shared" si="19"/>
        <v>0.0224438626614145</v>
      </c>
      <c r="M477" s="4"/>
    </row>
    <row r="478" s="1" customFormat="1" spans="6:13">
      <c r="F478" s="13">
        <v>45394</v>
      </c>
      <c r="G478" s="14">
        <v>1.04175138</v>
      </c>
      <c r="H478" s="14">
        <v>1.04339383</v>
      </c>
      <c r="I478" s="3" t="str">
        <f>IF(G478&gt;MAX($G$3:G477),"新高","/")</f>
        <v>新高</v>
      </c>
      <c r="J478" s="26">
        <f t="shared" si="20"/>
        <v>0.0121087195788017</v>
      </c>
      <c r="K478" s="26">
        <f t="shared" si="19"/>
        <v>0.0224246704901649</v>
      </c>
      <c r="M478" s="4"/>
    </row>
    <row r="479" s="1" customFormat="1" spans="6:13">
      <c r="F479" s="13">
        <v>45397</v>
      </c>
      <c r="G479" s="14">
        <v>1.04195051</v>
      </c>
      <c r="H479" s="14">
        <v>1.04359266</v>
      </c>
      <c r="I479" s="3" t="str">
        <f>IF(G479&gt;MAX($G$3:G478),"新高","/")</f>
        <v>新高</v>
      </c>
      <c r="J479" s="26">
        <f t="shared" si="20"/>
        <v>0.0121565483830119</v>
      </c>
      <c r="K479" s="26">
        <f t="shared" si="19"/>
        <v>0.0225274377161908</v>
      </c>
      <c r="M479" s="4"/>
    </row>
    <row r="480" s="1" customFormat="1" spans="6:13">
      <c r="F480" s="13">
        <v>45398</v>
      </c>
      <c r="G480" s="14">
        <v>1.04199886</v>
      </c>
      <c r="H480" s="14">
        <v>1.0436441</v>
      </c>
      <c r="I480" s="3" t="str">
        <f>IF(G480&gt;MAX($G$3:G479),"新高","/")</f>
        <v>新高</v>
      </c>
      <c r="J480" s="26">
        <f t="shared" si="20"/>
        <v>0.0121986487288679</v>
      </c>
      <c r="K480" s="26">
        <f t="shared" si="19"/>
        <v>0.0224843474598335</v>
      </c>
      <c r="M480" s="4"/>
    </row>
    <row r="481" s="1" customFormat="1" spans="6:13">
      <c r="F481" s="13">
        <v>45399</v>
      </c>
      <c r="G481" s="14">
        <v>1.0420999</v>
      </c>
      <c r="H481" s="14">
        <v>1.04370079</v>
      </c>
      <c r="I481" s="3" t="str">
        <f>IF(G481&gt;MAX($G$3:G480),"新高","/")</f>
        <v>新高</v>
      </c>
      <c r="J481" s="26">
        <f t="shared" si="20"/>
        <v>0.0122680566889593</v>
      </c>
      <c r="K481" s="26">
        <f t="shared" si="19"/>
        <v>0.022526643856958</v>
      </c>
      <c r="M481" s="4"/>
    </row>
    <row r="482" s="1" customFormat="1" spans="6:13">
      <c r="F482" s="13">
        <v>45400</v>
      </c>
      <c r="G482" s="14">
        <v>1.04221837</v>
      </c>
      <c r="H482" s="14">
        <v>1.04377773</v>
      </c>
      <c r="I482" s="3" t="str">
        <f>IF(G482&gt;MAX($G$3:G481),"新高","/")</f>
        <v>新高</v>
      </c>
      <c r="J482" s="26">
        <f t="shared" si="20"/>
        <v>0.0124897767973473</v>
      </c>
      <c r="K482" s="26">
        <f t="shared" si="19"/>
        <v>0.0225854251943576</v>
      </c>
      <c r="M482" s="4"/>
    </row>
    <row r="483" s="1" customFormat="1" spans="6:13">
      <c r="F483" s="13">
        <v>45401</v>
      </c>
      <c r="G483" s="14">
        <v>1.04236355</v>
      </c>
      <c r="H483" s="14">
        <v>1.0438735</v>
      </c>
      <c r="I483" s="3" t="str">
        <f>IF(G483&gt;MAX($G$3:G482),"新高","/")</f>
        <v>新高</v>
      </c>
      <c r="J483" s="26">
        <f t="shared" si="20"/>
        <v>0.0126657595037762</v>
      </c>
      <c r="K483" s="26">
        <f t="shared" si="19"/>
        <v>0.0225571698018106</v>
      </c>
      <c r="M483" s="4"/>
    </row>
    <row r="484" s="1" customFormat="1" spans="6:13">
      <c r="F484" s="13">
        <v>45404</v>
      </c>
      <c r="G484" s="14">
        <v>1.04258936</v>
      </c>
      <c r="H484" s="14">
        <v>1.04407279</v>
      </c>
      <c r="I484" s="3" t="str">
        <f>IF(G484&gt;MAX($G$3:G483),"新高","/")</f>
        <v>新高</v>
      </c>
      <c r="J484" s="26">
        <f t="shared" si="20"/>
        <v>0.0127267914108973</v>
      </c>
      <c r="K484" s="26">
        <f t="shared" si="19"/>
        <v>0.0227125228071094</v>
      </c>
      <c r="M484" s="4"/>
    </row>
    <row r="485" s="1" customFormat="1" spans="6:13">
      <c r="F485" s="13">
        <v>45405</v>
      </c>
      <c r="G485" s="14">
        <v>1.04275113</v>
      </c>
      <c r="H485" s="14">
        <v>1.044158</v>
      </c>
      <c r="I485" s="3" t="str">
        <f>IF(G485&gt;MAX($G$3:G484),"新高","/")</f>
        <v>新高</v>
      </c>
      <c r="J485" s="26">
        <f t="shared" si="20"/>
        <v>0.0129417041534023</v>
      </c>
      <c r="K485" s="26">
        <f t="shared" si="19"/>
        <v>0.0227896311499434</v>
      </c>
      <c r="M485" s="4"/>
    </row>
    <row r="486" s="1" customFormat="1" spans="6:13">
      <c r="F486" s="13">
        <v>45406</v>
      </c>
      <c r="G486" s="14">
        <v>1.04266063</v>
      </c>
      <c r="H486" s="14">
        <v>1.04420066</v>
      </c>
      <c r="I486" s="3" t="str">
        <f>IF(G486&gt;MAX($G$3:G485),"新高","/")</f>
        <v>/</v>
      </c>
      <c r="J486" s="26">
        <f t="shared" si="20"/>
        <v>0.0127905600586791</v>
      </c>
      <c r="K486" s="26">
        <f t="shared" si="19"/>
        <v>0.0226272296300083</v>
      </c>
      <c r="M486" s="4"/>
    </row>
    <row r="487" s="1" customFormat="1" spans="6:13">
      <c r="F487" s="13">
        <v>45407</v>
      </c>
      <c r="G487" s="14">
        <v>1.04266395</v>
      </c>
      <c r="H487" s="14">
        <v>1.0442299</v>
      </c>
      <c r="I487" s="3" t="str">
        <f>IF(G487&gt;MAX($G$3:G486),"新高","/")</f>
        <v>/</v>
      </c>
      <c r="J487" s="26">
        <f t="shared" si="20"/>
        <v>0.0126857971670662</v>
      </c>
      <c r="K487" s="26">
        <f t="shared" si="19"/>
        <v>0.0225689566007394</v>
      </c>
      <c r="M487" s="4"/>
    </row>
    <row r="488" s="1" customFormat="1" spans="6:13">
      <c r="F488" s="13">
        <v>45408</v>
      </c>
      <c r="G488" s="14">
        <v>1.04262514</v>
      </c>
      <c r="H488" s="14">
        <v>1.04421334</v>
      </c>
      <c r="I488" s="3" t="str">
        <f>IF(G488&gt;MAX($G$3:G487),"新高","/")</f>
        <v>/</v>
      </c>
      <c r="J488" s="26">
        <f t="shared" si="20"/>
        <v>0.0125788965290816</v>
      </c>
      <c r="K488" s="26">
        <f t="shared" si="19"/>
        <v>0.0223557713474574</v>
      </c>
      <c r="M488" s="4"/>
    </row>
    <row r="489" s="1" customFormat="1" spans="6:13">
      <c r="F489" s="13">
        <v>45411</v>
      </c>
      <c r="G489" s="14">
        <v>1.04252137</v>
      </c>
      <c r="H489" s="14">
        <v>1.04422152</v>
      </c>
      <c r="I489" s="3" t="str">
        <f>IF(G489&gt;MAX($G$3:G488),"新高","/")</f>
        <v>/</v>
      </c>
      <c r="J489" s="26">
        <f t="shared" si="20"/>
        <v>0.0122848172983763</v>
      </c>
      <c r="K489" s="26">
        <f t="shared" si="19"/>
        <v>0.02217937687085</v>
      </c>
      <c r="M489" s="4"/>
    </row>
    <row r="490" s="1" customFormat="1" spans="6:13">
      <c r="F490" s="13">
        <v>45412</v>
      </c>
      <c r="G490" s="14">
        <v>1.04268806</v>
      </c>
      <c r="H490" s="14">
        <v>1.04430715</v>
      </c>
      <c r="I490" s="3" t="str">
        <f>IF(G490&gt;MAX($G$3:G489),"新高","/")</f>
        <v>/</v>
      </c>
      <c r="J490" s="26">
        <f t="shared" si="20"/>
        <v>0.0123392725522611</v>
      </c>
      <c r="K490" s="26">
        <f t="shared" si="19"/>
        <v>0.022266638055553</v>
      </c>
      <c r="M490" s="4"/>
    </row>
    <row r="491" s="1" customFormat="1" spans="6:13">
      <c r="F491" s="13">
        <v>45418</v>
      </c>
      <c r="G491" s="14">
        <v>1.04300655</v>
      </c>
      <c r="H491" s="14">
        <v>1.04466617</v>
      </c>
      <c r="I491" s="3" t="str">
        <f>IF(G491&gt;MAX($G$3:G490),"新高","/")</f>
        <v>新高</v>
      </c>
      <c r="J491" s="26">
        <f t="shared" si="20"/>
        <v>0.0125783577093781</v>
      </c>
      <c r="K491" s="26">
        <f t="shared" si="19"/>
        <v>0.02246116424265</v>
      </c>
      <c r="M491" s="4"/>
    </row>
    <row r="492" s="1" customFormat="1" spans="6:13">
      <c r="F492" s="13">
        <v>45419</v>
      </c>
      <c r="G492" s="14">
        <v>1.04313794</v>
      </c>
      <c r="H492" s="14">
        <v>1.04476624</v>
      </c>
      <c r="I492" s="3" t="str">
        <f>IF(G492&gt;MAX($G$3:G491),"新高","/")</f>
        <v>新高</v>
      </c>
      <c r="J492" s="26">
        <f t="shared" si="20"/>
        <v>0.0125889122120255</v>
      </c>
      <c r="K492" s="26">
        <f t="shared" si="19"/>
        <v>0.0224715908352984</v>
      </c>
      <c r="M492" s="4"/>
    </row>
    <row r="493" s="1" customFormat="1" spans="6:13">
      <c r="F493" s="13">
        <v>45420</v>
      </c>
      <c r="G493" s="14">
        <v>1.04326764</v>
      </c>
      <c r="H493" s="14">
        <v>1.04483468</v>
      </c>
      <c r="I493" s="3" t="str">
        <f>IF(G493&gt;MAX($G$3:G492),"新高","/")</f>
        <v>新高</v>
      </c>
      <c r="J493" s="26">
        <f t="shared" si="20"/>
        <v>0.0126359985005962</v>
      </c>
      <c r="K493" s="26">
        <f t="shared" si="19"/>
        <v>0.0221851930554544</v>
      </c>
      <c r="M493" s="4"/>
    </row>
    <row r="494" s="1" customFormat="1" spans="6:13">
      <c r="F494" s="13">
        <v>45421</v>
      </c>
      <c r="G494" s="14">
        <v>1.04327895</v>
      </c>
      <c r="H494" s="14">
        <v>1.04488824</v>
      </c>
      <c r="I494" s="3" t="str">
        <f>IF(G494&gt;MAX($G$3:G493),"新高","/")</f>
        <v>新高</v>
      </c>
      <c r="J494" s="26">
        <f t="shared" si="20"/>
        <v>0.0124568083790608</v>
      </c>
      <c r="K494" s="26">
        <f t="shared" si="19"/>
        <v>0.0220587215295109</v>
      </c>
      <c r="M494" s="4"/>
    </row>
    <row r="495" s="1" customFormat="1" spans="6:13">
      <c r="F495" s="13">
        <v>45422</v>
      </c>
      <c r="G495" s="14">
        <v>1.04333531</v>
      </c>
      <c r="H495" s="14">
        <v>1.04494732</v>
      </c>
      <c r="I495" s="3" t="str">
        <f>IF(G495&gt;MAX($G$3:G494),"新高","/")</f>
        <v>新高</v>
      </c>
      <c r="J495" s="26">
        <f t="shared" si="20"/>
        <v>0.012473094993672</v>
      </c>
      <c r="K495" s="26">
        <f t="shared" si="19"/>
        <v>0.0219197452161048</v>
      </c>
      <c r="M495" s="4"/>
    </row>
    <row r="496" s="1" customFormat="1" spans="6:13">
      <c r="F496" s="13">
        <v>45425</v>
      </c>
      <c r="G496" s="14">
        <v>1.04350654</v>
      </c>
      <c r="H496" s="14">
        <v>1.04513944</v>
      </c>
      <c r="I496" s="3" t="str">
        <f>IF(G496&gt;MAX($G$3:G495),"新高","/")</f>
        <v>新高</v>
      </c>
      <c r="J496" s="26">
        <f t="shared" si="20"/>
        <v>0.0125913464961362</v>
      </c>
      <c r="K496" s="26">
        <f t="shared" si="19"/>
        <v>0.0219818245270851</v>
      </c>
      <c r="M496" s="4"/>
    </row>
    <row r="497" s="1" customFormat="1" spans="6:13">
      <c r="F497" s="13">
        <v>45426</v>
      </c>
      <c r="G497" s="14">
        <v>1.0435976</v>
      </c>
      <c r="H497" s="14">
        <v>1.04524216</v>
      </c>
      <c r="I497" s="3" t="str">
        <f>IF(G497&gt;MAX($G$3:G496),"新高","/")</f>
        <v>新高</v>
      </c>
      <c r="J497" s="26">
        <f t="shared" si="20"/>
        <v>0.0125994401426119</v>
      </c>
      <c r="K497" s="26">
        <f t="shared" si="19"/>
        <v>0.0219426455600098</v>
      </c>
      <c r="M497" s="4"/>
    </row>
    <row r="498" s="1" customFormat="1" spans="6:13">
      <c r="F498" s="13">
        <v>45427</v>
      </c>
      <c r="G498" s="14">
        <v>1.04367926</v>
      </c>
      <c r="H498" s="14">
        <v>1.0453325</v>
      </c>
      <c r="I498" s="3" t="str">
        <f>IF(G498&gt;MAX($G$3:G497),"新高","/")</f>
        <v>新高</v>
      </c>
      <c r="J498" s="26">
        <f t="shared" si="20"/>
        <v>0.0126103689132122</v>
      </c>
      <c r="K498" s="26">
        <f t="shared" si="19"/>
        <v>0.0218351827478445</v>
      </c>
      <c r="M498" s="4"/>
    </row>
    <row r="499" s="1" customFormat="1" spans="6:13">
      <c r="F499" s="13">
        <v>45428</v>
      </c>
      <c r="G499" s="14">
        <v>1.04372423</v>
      </c>
      <c r="H499" s="14">
        <v>1.04540861</v>
      </c>
      <c r="I499" s="3" t="str">
        <f>IF(G499&gt;MAX($G$3:G498),"新高","/")</f>
        <v>新高</v>
      </c>
      <c r="J499" s="26">
        <f t="shared" si="20"/>
        <v>0.012471787474291</v>
      </c>
      <c r="K499" s="26">
        <f t="shared" si="19"/>
        <v>0.0217872146245499</v>
      </c>
      <c r="M499" s="4"/>
    </row>
    <row r="500" s="1" customFormat="1" spans="6:13">
      <c r="F500" s="13">
        <v>45429</v>
      </c>
      <c r="G500" s="14">
        <v>1.04375632</v>
      </c>
      <c r="H500" s="14">
        <v>1.04547906</v>
      </c>
      <c r="I500" s="3" t="str">
        <f>IF(G500&gt;MAX($G$3:G499),"新高","/")</f>
        <v>新高</v>
      </c>
      <c r="J500" s="26">
        <f t="shared" si="20"/>
        <v>0.0124385973652448</v>
      </c>
      <c r="K500" s="26">
        <f t="shared" si="19"/>
        <v>0.0216678308470517</v>
      </c>
      <c r="M500" s="4"/>
    </row>
    <row r="501" s="1" customFormat="1" spans="6:13">
      <c r="F501" s="13">
        <v>45432</v>
      </c>
      <c r="G501" s="14">
        <v>1.04391292</v>
      </c>
      <c r="H501" s="14">
        <v>1.0456621</v>
      </c>
      <c r="I501" s="3" t="str">
        <f>IF(G501&gt;MAX($G$3:G500),"新高","/")</f>
        <v>新高</v>
      </c>
      <c r="J501" s="26">
        <f t="shared" si="20"/>
        <v>0.0125179873936621</v>
      </c>
      <c r="K501" s="26">
        <f t="shared" si="19"/>
        <v>0.0217467275758119</v>
      </c>
      <c r="M501" s="4"/>
    </row>
    <row r="502" s="1" customFormat="1" spans="6:13">
      <c r="F502" s="13">
        <v>45433</v>
      </c>
      <c r="G502" s="14">
        <v>1.04393632</v>
      </c>
      <c r="H502" s="14">
        <v>1.04569802</v>
      </c>
      <c r="I502" s="3" t="str">
        <f>IF(G502&gt;MAX($G$3:G501),"新高","/")</f>
        <v>新高</v>
      </c>
      <c r="J502" s="26">
        <f t="shared" si="20"/>
        <v>0.0124760859461133</v>
      </c>
      <c r="K502" s="26">
        <f t="shared" si="19"/>
        <v>0.0217098398029585</v>
      </c>
      <c r="M502" s="4"/>
    </row>
    <row r="503" s="1" customFormat="1" spans="6:13">
      <c r="F503" s="13">
        <v>45434</v>
      </c>
      <c r="G503" s="14">
        <v>1.04398203</v>
      </c>
      <c r="H503" s="14">
        <v>1.04575954</v>
      </c>
      <c r="I503" s="3" t="str">
        <f>IF(G503&gt;MAX($G$3:G502),"新高","/")</f>
        <v>新高</v>
      </c>
      <c r="J503" s="26">
        <f t="shared" si="20"/>
        <v>0.0124175832807802</v>
      </c>
      <c r="K503" s="26">
        <f t="shared" ref="K503:K566" si="21">G503/G259-1</f>
        <v>0.0217161680196531</v>
      </c>
      <c r="M503" s="4"/>
    </row>
    <row r="504" s="1" customFormat="1" spans="6:13">
      <c r="F504" s="13">
        <v>45435</v>
      </c>
      <c r="G504" s="14">
        <v>1.04406737</v>
      </c>
      <c r="H504" s="14">
        <v>1.04581914</v>
      </c>
      <c r="I504" s="3" t="str">
        <f>IF(G504&gt;MAX($G$3:G503),"新高","/")</f>
        <v>新高</v>
      </c>
      <c r="J504" s="26">
        <f t="shared" si="20"/>
        <v>0.0123297982485149</v>
      </c>
      <c r="K504" s="26">
        <f t="shared" si="21"/>
        <v>0.0217256027620825</v>
      </c>
      <c r="M504" s="4"/>
    </row>
    <row r="505" s="1" customFormat="1" spans="6:13">
      <c r="F505" s="13">
        <v>45436</v>
      </c>
      <c r="G505" s="14">
        <v>1.04414172</v>
      </c>
      <c r="H505" s="14">
        <v>1.04587359</v>
      </c>
      <c r="I505" s="3" t="str">
        <f>IF(G505&gt;MAX($G$3:G504),"新高","/")</f>
        <v>新高</v>
      </c>
      <c r="J505" s="26">
        <f t="shared" si="20"/>
        <v>0.0123553513650394</v>
      </c>
      <c r="K505" s="26">
        <f t="shared" si="21"/>
        <v>0.021581042530278</v>
      </c>
      <c r="M505" s="4"/>
    </row>
    <row r="506" s="1" customFormat="1" spans="6:13">
      <c r="F506" s="13">
        <v>45439</v>
      </c>
      <c r="G506" s="14">
        <v>1.04425261</v>
      </c>
      <c r="H506" s="14">
        <v>1.04601014</v>
      </c>
      <c r="I506" s="3" t="str">
        <f>IF(G506&gt;MAX($G$3:G505),"新高","/")</f>
        <v>新高</v>
      </c>
      <c r="J506" s="26">
        <f t="shared" si="20"/>
        <v>0.0124420257802726</v>
      </c>
      <c r="K506" s="26">
        <f t="shared" si="21"/>
        <v>0.0215655094989116</v>
      </c>
      <c r="M506" s="4"/>
    </row>
    <row r="507" s="1" customFormat="1" spans="6:13">
      <c r="F507" s="13">
        <v>45440</v>
      </c>
      <c r="G507" s="14">
        <v>1.04431952</v>
      </c>
      <c r="H507" s="14">
        <v>1.04605471</v>
      </c>
      <c r="I507" s="3" t="str">
        <f>IF(G507&gt;MAX($G$3:G506),"新高","/")</f>
        <v>新高</v>
      </c>
      <c r="J507" s="26">
        <f t="shared" si="20"/>
        <v>0.0125422680986316</v>
      </c>
      <c r="K507" s="26">
        <f t="shared" si="21"/>
        <v>0.0215742410335842</v>
      </c>
      <c r="M507" s="4"/>
    </row>
    <row r="508" s="1" customFormat="1" spans="6:13">
      <c r="F508" s="13">
        <v>45441</v>
      </c>
      <c r="G508" s="14">
        <v>1.04437417</v>
      </c>
      <c r="H508" s="14">
        <v>1.04611207</v>
      </c>
      <c r="I508" s="3" t="str">
        <f>IF(G508&gt;MAX($G$3:G507),"新高","/")</f>
        <v>新高</v>
      </c>
      <c r="J508" s="26">
        <f t="shared" ref="J508:J571" si="22">G508/G387-1</f>
        <v>0.0125642219519657</v>
      </c>
      <c r="K508" s="26">
        <f t="shared" si="21"/>
        <v>0.0215704496768152</v>
      </c>
      <c r="M508" s="4"/>
    </row>
    <row r="509" s="1" customFormat="1" spans="6:13">
      <c r="F509" s="13">
        <v>45442</v>
      </c>
      <c r="G509" s="14">
        <v>1.04443173</v>
      </c>
      <c r="H509" s="14">
        <v>1.04617045</v>
      </c>
      <c r="I509" s="3" t="str">
        <f>IF(G509&gt;MAX($G$3:G508),"新高","/")</f>
        <v>新高</v>
      </c>
      <c r="J509" s="26">
        <f t="shared" si="22"/>
        <v>0.0125524771808152</v>
      </c>
      <c r="K509" s="26">
        <f t="shared" si="21"/>
        <v>0.0215716833236119</v>
      </c>
      <c r="M509" s="4"/>
    </row>
    <row r="510" s="1" customFormat="1" spans="6:13">
      <c r="F510" s="13">
        <v>45443</v>
      </c>
      <c r="G510" s="14">
        <v>1.04446422</v>
      </c>
      <c r="H510" s="14">
        <v>1.04621771</v>
      </c>
      <c r="I510" s="3" t="str">
        <f>IF(G510&gt;MAX($G$3:G509),"新高","/")</f>
        <v>新高</v>
      </c>
      <c r="J510" s="26">
        <f t="shared" si="22"/>
        <v>0.0125639496756413</v>
      </c>
      <c r="K510" s="26">
        <f t="shared" si="21"/>
        <v>0.0214453564540025</v>
      </c>
      <c r="M510" s="4"/>
    </row>
    <row r="511" s="1" customFormat="1" spans="6:13">
      <c r="F511" s="13">
        <v>45446</v>
      </c>
      <c r="G511" s="14">
        <v>1.04463263</v>
      </c>
      <c r="H511" s="14">
        <v>1.04639935</v>
      </c>
      <c r="I511" s="3" t="str">
        <f>IF(G511&gt;MAX($G$3:G510),"新高","/")</f>
        <v>新高</v>
      </c>
      <c r="J511" s="26">
        <f t="shared" si="22"/>
        <v>0.0127371715700495</v>
      </c>
      <c r="K511" s="26">
        <f t="shared" si="21"/>
        <v>0.0215511816115657</v>
      </c>
      <c r="M511" s="4"/>
    </row>
    <row r="512" s="1" customFormat="1" spans="6:13">
      <c r="F512" s="13">
        <v>45447</v>
      </c>
      <c r="G512" s="14">
        <v>1.04468853</v>
      </c>
      <c r="H512" s="14">
        <v>1.04646391</v>
      </c>
      <c r="I512" s="3" t="str">
        <f>IF(G512&gt;MAX($G$3:G511),"新高","/")</f>
        <v>新高</v>
      </c>
      <c r="J512" s="26">
        <f t="shared" si="22"/>
        <v>0.0126935507201602</v>
      </c>
      <c r="K512" s="26">
        <f t="shared" si="21"/>
        <v>0.0215203264144803</v>
      </c>
      <c r="M512" s="4"/>
    </row>
    <row r="513" s="1" customFormat="1" spans="6:13">
      <c r="F513" s="13">
        <v>45448</v>
      </c>
      <c r="G513" s="14">
        <v>1.0447768</v>
      </c>
      <c r="H513" s="14">
        <v>1.04653826</v>
      </c>
      <c r="I513" s="3" t="str">
        <f>IF(G513&gt;MAX($G$3:G512),"新高","/")</f>
        <v>新高</v>
      </c>
      <c r="J513" s="26">
        <f t="shared" si="22"/>
        <v>0.0127172995913922</v>
      </c>
      <c r="K513" s="26">
        <f t="shared" si="21"/>
        <v>0.0214888561968694</v>
      </c>
      <c r="M513" s="4"/>
    </row>
    <row r="514" s="1" customFormat="1" spans="6:13">
      <c r="F514" s="13">
        <v>45449</v>
      </c>
      <c r="G514" s="14">
        <v>1.04483348</v>
      </c>
      <c r="H514" s="14">
        <v>1.04660469</v>
      </c>
      <c r="I514" s="3" t="str">
        <f>IF(G514&gt;MAX($G$3:G513),"新高","/")</f>
        <v>新高</v>
      </c>
      <c r="J514" s="26">
        <f t="shared" si="22"/>
        <v>0.0126257337654805</v>
      </c>
      <c r="K514" s="26">
        <f t="shared" si="21"/>
        <v>0.0215128223761785</v>
      </c>
      <c r="M514" s="4"/>
    </row>
    <row r="515" s="1" customFormat="1" spans="6:13">
      <c r="F515" s="13">
        <v>45450</v>
      </c>
      <c r="G515" s="14">
        <v>1.04491269</v>
      </c>
      <c r="H515" s="14">
        <v>1.04665853</v>
      </c>
      <c r="I515" s="3" t="str">
        <f>IF(G515&gt;MAX($G$3:G514),"新高","/")</f>
        <v>新高</v>
      </c>
      <c r="J515" s="26">
        <f t="shared" si="22"/>
        <v>0.0127081063716528</v>
      </c>
      <c r="K515" s="26">
        <f t="shared" si="21"/>
        <v>0.0214146476784449</v>
      </c>
      <c r="M515" s="4"/>
    </row>
    <row r="516" s="1" customFormat="1" spans="6:13">
      <c r="F516" s="13">
        <v>45454</v>
      </c>
      <c r="G516" s="14">
        <v>1.04510718</v>
      </c>
      <c r="H516" s="14">
        <v>1.0468649</v>
      </c>
      <c r="I516" s="3" t="str">
        <f>IF(G516&gt;MAX($G$3:G515),"新高","/")</f>
        <v>新高</v>
      </c>
      <c r="J516" s="26">
        <f t="shared" si="22"/>
        <v>0.0128958658616034</v>
      </c>
      <c r="K516" s="26">
        <f t="shared" si="21"/>
        <v>0.0214959747314265</v>
      </c>
      <c r="M516" s="4"/>
    </row>
    <row r="517" s="1" customFormat="1" spans="6:13">
      <c r="F517" s="13">
        <v>45455</v>
      </c>
      <c r="G517" s="14">
        <v>1.04514216</v>
      </c>
      <c r="H517" s="14">
        <v>1.04691875</v>
      </c>
      <c r="I517" s="3" t="str">
        <f>IF(G517&gt;MAX($G$3:G516),"新高","/")</f>
        <v>新高</v>
      </c>
      <c r="J517" s="26">
        <f t="shared" si="22"/>
        <v>0.0129112726584444</v>
      </c>
      <c r="K517" s="26">
        <f t="shared" si="21"/>
        <v>0.021423191571162</v>
      </c>
      <c r="M517" s="4"/>
    </row>
    <row r="518" s="1" customFormat="1" spans="6:13">
      <c r="F518" s="13">
        <v>45456</v>
      </c>
      <c r="G518" s="14">
        <v>1.04518987</v>
      </c>
      <c r="H518" s="14">
        <v>1.04696204</v>
      </c>
      <c r="I518" s="3" t="str">
        <f>IF(G518&gt;MAX($G$3:G517),"新高","/")</f>
        <v>新高</v>
      </c>
      <c r="J518" s="26">
        <f t="shared" si="22"/>
        <v>0.012918931247752</v>
      </c>
      <c r="K518" s="26">
        <f t="shared" si="21"/>
        <v>0.0214302282462302</v>
      </c>
      <c r="M518" s="4"/>
    </row>
    <row r="519" s="1" customFormat="1" spans="6:13">
      <c r="F519" s="13">
        <v>45457</v>
      </c>
      <c r="G519" s="14">
        <v>1.04524643</v>
      </c>
      <c r="H519" s="14">
        <v>1.04701116</v>
      </c>
      <c r="I519" s="3" t="str">
        <f>IF(G519&gt;MAX($G$3:G518),"新高","/")</f>
        <v>新高</v>
      </c>
      <c r="J519" s="26">
        <f t="shared" si="22"/>
        <v>0.0127922125048314</v>
      </c>
      <c r="K519" s="26">
        <f t="shared" si="21"/>
        <v>0.0214169762279961</v>
      </c>
      <c r="M519" s="4"/>
    </row>
    <row r="520" s="1" customFormat="1" spans="6:13">
      <c r="F520" s="13">
        <v>45460</v>
      </c>
      <c r="G520" s="14">
        <v>1.04538759</v>
      </c>
      <c r="H520" s="14">
        <v>1.0471649</v>
      </c>
      <c r="I520" s="3" t="str">
        <f>IF(G520&gt;MAX($G$3:G519),"新高","/")</f>
        <v>新高</v>
      </c>
      <c r="J520" s="26">
        <f t="shared" si="22"/>
        <v>0.0128937262949025</v>
      </c>
      <c r="K520" s="26">
        <f t="shared" si="21"/>
        <v>0.021362588511733</v>
      </c>
      <c r="M520" s="4"/>
    </row>
    <row r="521" s="1" customFormat="1" spans="6:13">
      <c r="F521" s="13">
        <v>45461</v>
      </c>
      <c r="G521" s="14">
        <v>1.04542923</v>
      </c>
      <c r="H521" s="14">
        <v>1.04721622</v>
      </c>
      <c r="I521" s="3" t="str">
        <f>IF(G521&gt;MAX($G$3:G520),"新高","/")</f>
        <v>新高</v>
      </c>
      <c r="J521" s="26">
        <f t="shared" si="22"/>
        <v>0.0128050867706235</v>
      </c>
      <c r="K521" s="26">
        <f t="shared" si="21"/>
        <v>0.0212829553832377</v>
      </c>
      <c r="M521" s="4"/>
    </row>
    <row r="522" s="1" customFormat="1" spans="6:13">
      <c r="F522" s="13">
        <v>45462</v>
      </c>
      <c r="G522" s="14">
        <v>1.04548076</v>
      </c>
      <c r="H522" s="14">
        <v>1.04727151</v>
      </c>
      <c r="I522" s="3" t="str">
        <f>IF(G522&gt;MAX($G$3:G521),"新高","/")</f>
        <v>新高</v>
      </c>
      <c r="J522" s="26">
        <f t="shared" si="22"/>
        <v>0.0127463864534254</v>
      </c>
      <c r="K522" s="26">
        <f t="shared" si="21"/>
        <v>0.0212261587533142</v>
      </c>
      <c r="M522" s="4"/>
    </row>
    <row r="523" s="1" customFormat="1" spans="6:13">
      <c r="F523" s="13">
        <v>45463</v>
      </c>
      <c r="G523" s="14">
        <v>1.04552562</v>
      </c>
      <c r="H523" s="14">
        <v>1.04733474</v>
      </c>
      <c r="I523" s="3" t="str">
        <f>IF(G523&gt;MAX($G$3:G522),"新高","/")</f>
        <v>新高</v>
      </c>
      <c r="J523" s="26">
        <f t="shared" si="22"/>
        <v>0.0126246158779406</v>
      </c>
      <c r="K523" s="26">
        <f t="shared" si="21"/>
        <v>0.0212749260311775</v>
      </c>
      <c r="M523" s="4"/>
    </row>
    <row r="524" s="1" customFormat="1" spans="6:13">
      <c r="F524" s="13">
        <v>45464</v>
      </c>
      <c r="G524" s="14">
        <v>1.04555774</v>
      </c>
      <c r="H524" s="14">
        <v>1.04737531</v>
      </c>
      <c r="I524" s="3" t="str">
        <f>IF(G524&gt;MAX($G$3:G523),"新高","/")</f>
        <v>新高</v>
      </c>
      <c r="J524" s="26">
        <f t="shared" si="22"/>
        <v>0.0123998234619394</v>
      </c>
      <c r="K524" s="26">
        <f t="shared" si="21"/>
        <v>0.0214043163520574</v>
      </c>
      <c r="M524" s="4"/>
    </row>
    <row r="525" s="1" customFormat="1" spans="6:13">
      <c r="F525" s="13">
        <v>45467</v>
      </c>
      <c r="G525" s="14">
        <v>1.0457021</v>
      </c>
      <c r="H525" s="14">
        <v>1.04755004</v>
      </c>
      <c r="I525" s="3" t="str">
        <f>IF(G525&gt;MAX($G$3:G524),"新高","/")</f>
        <v>新高</v>
      </c>
      <c r="J525" s="26">
        <f t="shared" si="22"/>
        <v>0.0124333968391888</v>
      </c>
      <c r="K525" s="26">
        <f t="shared" si="21"/>
        <v>0.0215560595517237</v>
      </c>
      <c r="M525" s="4"/>
    </row>
    <row r="526" s="1" customFormat="1" spans="6:13">
      <c r="F526" s="13">
        <v>45468</v>
      </c>
      <c r="G526" s="14">
        <v>1.04578516</v>
      </c>
      <c r="H526" s="14">
        <v>1.04764725</v>
      </c>
      <c r="I526" s="3" t="str">
        <f>IF(G526&gt;MAX($G$3:G525),"新高","/")</f>
        <v>新高</v>
      </c>
      <c r="J526" s="26">
        <f t="shared" si="22"/>
        <v>0.0124457761906416</v>
      </c>
      <c r="K526" s="26">
        <f t="shared" si="21"/>
        <v>0.0216168818049962</v>
      </c>
      <c r="M526" s="4"/>
    </row>
    <row r="527" s="1" customFormat="1" spans="6:13">
      <c r="F527" s="13">
        <v>45469</v>
      </c>
      <c r="G527" s="14">
        <v>1.04582387</v>
      </c>
      <c r="H527" s="14">
        <v>1.04772043</v>
      </c>
      <c r="I527" s="3" t="str">
        <f>IF(G527&gt;MAX($G$3:G526),"新高","/")</f>
        <v>新高</v>
      </c>
      <c r="J527" s="26">
        <f t="shared" si="22"/>
        <v>0.0124502986878032</v>
      </c>
      <c r="K527" s="26">
        <f t="shared" si="21"/>
        <v>0.0215784124172258</v>
      </c>
      <c r="M527" s="4"/>
    </row>
    <row r="528" s="1" customFormat="1" spans="6:13">
      <c r="F528" s="13">
        <v>45470</v>
      </c>
      <c r="G528" s="14">
        <v>1.04590415</v>
      </c>
      <c r="H528" s="14">
        <v>1.04780376</v>
      </c>
      <c r="I528" s="3" t="str">
        <f>IF(G528&gt;MAX($G$3:G527),"新高","/")</f>
        <v>新高</v>
      </c>
      <c r="J528" s="26">
        <f t="shared" si="22"/>
        <v>0.0124314256848079</v>
      </c>
      <c r="K528" s="26">
        <f t="shared" si="21"/>
        <v>0.0214249054299451</v>
      </c>
      <c r="M528" s="4"/>
    </row>
    <row r="529" s="1" customFormat="1" spans="6:13">
      <c r="F529" s="13">
        <v>45471</v>
      </c>
      <c r="G529" s="14">
        <v>1.04598981</v>
      </c>
      <c r="H529" s="14">
        <v>1.04786272</v>
      </c>
      <c r="I529" s="3" t="str">
        <f>IF(G529&gt;MAX($G$3:G528),"新高","/")</f>
        <v>新高</v>
      </c>
      <c r="J529" s="26">
        <f t="shared" si="22"/>
        <v>0.0123140199647496</v>
      </c>
      <c r="K529" s="26">
        <f t="shared" si="21"/>
        <v>0.0215339700807364</v>
      </c>
      <c r="M529" s="4"/>
    </row>
    <row r="530" s="1" customFormat="1" spans="6:13">
      <c r="F530" s="13">
        <v>45474</v>
      </c>
      <c r="G530" s="14">
        <v>1.04609484</v>
      </c>
      <c r="H530" s="14">
        <v>1.04802816</v>
      </c>
      <c r="I530" s="3" t="str">
        <f>IF(G530&gt;MAX($G$3:G529),"新高","/")</f>
        <v>新高</v>
      </c>
      <c r="J530" s="26">
        <f t="shared" si="22"/>
        <v>0.0122663952258182</v>
      </c>
      <c r="K530" s="26">
        <f t="shared" si="21"/>
        <v>0.0215867690921261</v>
      </c>
      <c r="M530" s="4"/>
    </row>
    <row r="531" s="1" customFormat="1" spans="6:13">
      <c r="F531" s="13">
        <v>45475</v>
      </c>
      <c r="G531" s="14">
        <v>1.04615971</v>
      </c>
      <c r="H531" s="14">
        <v>1.04810189</v>
      </c>
      <c r="I531" s="3" t="str">
        <f>IF(G531&gt;MAX($G$3:G530),"新高","/")</f>
        <v>新高</v>
      </c>
      <c r="J531" s="26">
        <f t="shared" si="22"/>
        <v>0.0121222316527421</v>
      </c>
      <c r="K531" s="26">
        <f t="shared" si="21"/>
        <v>0.0215844938476899</v>
      </c>
      <c r="M531" s="4"/>
    </row>
    <row r="532" s="1" customFormat="1" spans="6:13">
      <c r="F532" s="13">
        <v>45476</v>
      </c>
      <c r="G532" s="14">
        <v>1.04625579</v>
      </c>
      <c r="H532" s="14">
        <v>1.04818184</v>
      </c>
      <c r="I532" s="3" t="str">
        <f>IF(G532&gt;MAX($G$3:G531),"新高","/")</f>
        <v>新高</v>
      </c>
      <c r="J532" s="26">
        <f t="shared" si="22"/>
        <v>0.011963347562612</v>
      </c>
      <c r="K532" s="26">
        <f t="shared" si="21"/>
        <v>0.02149559483744</v>
      </c>
      <c r="M532" s="4"/>
    </row>
    <row r="533" s="1" customFormat="1" spans="6:13">
      <c r="F533" s="13">
        <v>45477</v>
      </c>
      <c r="G533" s="14">
        <v>1.04631012</v>
      </c>
      <c r="H533" s="14">
        <v>1.04822383</v>
      </c>
      <c r="I533" s="3" t="str">
        <f>IF(G533&gt;MAX($G$3:G532),"新高","/")</f>
        <v>新高</v>
      </c>
      <c r="J533" s="26">
        <f t="shared" si="22"/>
        <v>0.0118037079950557</v>
      </c>
      <c r="K533" s="26">
        <f t="shared" si="21"/>
        <v>0.0213361530515455</v>
      </c>
      <c r="M533" s="4"/>
    </row>
    <row r="534" s="1" customFormat="1" spans="6:13">
      <c r="F534" s="13">
        <v>45478</v>
      </c>
      <c r="G534" s="14">
        <v>1.04632241</v>
      </c>
      <c r="H534" s="14">
        <v>1.04825321</v>
      </c>
      <c r="I534" s="3" t="str">
        <f>IF(G534&gt;MAX($G$3:G533),"新高","/")</f>
        <v>新高</v>
      </c>
      <c r="J534" s="26">
        <f t="shared" si="22"/>
        <v>0.0115459361420269</v>
      </c>
      <c r="K534" s="26">
        <f t="shared" si="21"/>
        <v>0.0212245304219718</v>
      </c>
      <c r="M534" s="4"/>
    </row>
    <row r="535" s="1" customFormat="1" spans="6:13">
      <c r="F535" s="13">
        <v>45481</v>
      </c>
      <c r="G535" s="14">
        <v>1.0463518</v>
      </c>
      <c r="H535" s="14">
        <v>1.04830985</v>
      </c>
      <c r="I535" s="3" t="str">
        <f>IF(G535&gt;MAX($G$3:G534),"新高","/")</f>
        <v>新高</v>
      </c>
      <c r="J535" s="26">
        <f t="shared" si="22"/>
        <v>0.0115543799088544</v>
      </c>
      <c r="K535" s="26">
        <f t="shared" si="21"/>
        <v>0.0211608145018776</v>
      </c>
      <c r="M535" s="4"/>
    </row>
    <row r="536" s="1" customFormat="1" spans="6:13">
      <c r="F536" s="13">
        <v>45482</v>
      </c>
      <c r="G536" s="14">
        <v>1.04643202</v>
      </c>
      <c r="H536" s="14">
        <v>1.04838852</v>
      </c>
      <c r="I536" s="3" t="str">
        <f>IF(G536&gt;MAX($G$3:G535),"新高","/")</f>
        <v>新高</v>
      </c>
      <c r="J536" s="26">
        <f t="shared" si="22"/>
        <v>0.0115733441798311</v>
      </c>
      <c r="K536" s="26">
        <f t="shared" si="21"/>
        <v>0.0211334789054565</v>
      </c>
      <c r="M536" s="4"/>
    </row>
    <row r="537" s="1" customFormat="1" spans="6:13">
      <c r="F537" s="13">
        <v>45483</v>
      </c>
      <c r="G537" s="14">
        <v>1.04648419</v>
      </c>
      <c r="H537" s="14">
        <v>1.04843511</v>
      </c>
      <c r="I537" s="3" t="str">
        <f>IF(G537&gt;MAX($G$3:G536),"新高","/")</f>
        <v>新高</v>
      </c>
      <c r="J537" s="26">
        <f t="shared" si="22"/>
        <v>0.011552480836349</v>
      </c>
      <c r="K537" s="26">
        <f t="shared" si="21"/>
        <v>0.0210635169937734</v>
      </c>
      <c r="M537" s="4"/>
    </row>
    <row r="538" s="1" customFormat="1" spans="6:13">
      <c r="F538" s="13">
        <v>45484</v>
      </c>
      <c r="G538" s="14">
        <v>1.04653968</v>
      </c>
      <c r="H538" s="14">
        <v>1.04849121</v>
      </c>
      <c r="I538" s="3" t="str">
        <f>IF(G538&gt;MAX($G$3:G537),"新高","/")</f>
        <v>新高</v>
      </c>
      <c r="J538" s="26">
        <f t="shared" si="22"/>
        <v>0.0113939916390411</v>
      </c>
      <c r="K538" s="26">
        <f t="shared" si="21"/>
        <v>0.0209626064599733</v>
      </c>
      <c r="M538" s="4"/>
    </row>
    <row r="539" s="1" customFormat="1" spans="6:13">
      <c r="F539" s="13">
        <v>45485</v>
      </c>
      <c r="G539" s="14">
        <v>1.04662561</v>
      </c>
      <c r="H539" s="14">
        <v>1.04856264</v>
      </c>
      <c r="I539" s="3" t="str">
        <f>IF(G539&gt;MAX($G$3:G538),"新高","/")</f>
        <v>新高</v>
      </c>
      <c r="J539" s="26">
        <f t="shared" si="22"/>
        <v>0.0113247238330214</v>
      </c>
      <c r="K539" s="26">
        <f t="shared" si="21"/>
        <v>0.0209472152770702</v>
      </c>
      <c r="M539" s="4"/>
    </row>
    <row r="540" s="1" customFormat="1" spans="6:13">
      <c r="F540" s="13">
        <v>45488</v>
      </c>
      <c r="G540" s="14">
        <v>1.04674515</v>
      </c>
      <c r="H540" s="14">
        <v>1.04869568</v>
      </c>
      <c r="I540" s="3" t="str">
        <f>IF(G540&gt;MAX($G$3:G539),"新高","/")</f>
        <v>新高</v>
      </c>
      <c r="J540" s="26">
        <f t="shared" si="22"/>
        <v>0.0113595894352834</v>
      </c>
      <c r="K540" s="26">
        <f t="shared" si="21"/>
        <v>0.0210163048792711</v>
      </c>
      <c r="M540" s="4"/>
    </row>
    <row r="541" s="1" customFormat="1" spans="6:13">
      <c r="F541" s="13">
        <v>45489</v>
      </c>
      <c r="G541" s="14">
        <v>1.04678874</v>
      </c>
      <c r="H541" s="14">
        <v>1.04874442</v>
      </c>
      <c r="I541" s="3" t="str">
        <f>IF(G541&gt;MAX($G$3:G540),"新高","/")</f>
        <v>新高</v>
      </c>
      <c r="J541" s="26">
        <f t="shared" si="22"/>
        <v>0.011347971886388</v>
      </c>
      <c r="K541" s="26">
        <f t="shared" si="21"/>
        <v>0.0210186678612101</v>
      </c>
      <c r="M541" s="4"/>
    </row>
    <row r="542" s="1" customFormat="1" spans="6:13">
      <c r="F542" s="13">
        <v>45490</v>
      </c>
      <c r="G542" s="14">
        <v>1.04683392</v>
      </c>
      <c r="H542" s="14">
        <v>1.04878729</v>
      </c>
      <c r="I542" s="3" t="str">
        <f>IF(G542&gt;MAX($G$3:G541),"新高","/")</f>
        <v>新高</v>
      </c>
      <c r="J542" s="26">
        <f t="shared" si="22"/>
        <v>0.0113271833532902</v>
      </c>
      <c r="K542" s="26">
        <f t="shared" si="21"/>
        <v>0.0210301499516778</v>
      </c>
      <c r="M542" s="4"/>
    </row>
    <row r="543" s="1" customFormat="1" spans="6:13">
      <c r="F543" s="13">
        <v>45491</v>
      </c>
      <c r="G543" s="14">
        <v>1.04685505</v>
      </c>
      <c r="H543" s="14">
        <v>1.04882685</v>
      </c>
      <c r="I543" s="3" t="str">
        <f>IF(G543&gt;MAX($G$3:G542),"新高","/")</f>
        <v>新高</v>
      </c>
      <c r="J543" s="26">
        <f t="shared" si="22"/>
        <v>0.0111501940484307</v>
      </c>
      <c r="K543" s="26">
        <f t="shared" si="21"/>
        <v>0.0208625520937498</v>
      </c>
      <c r="M543" s="4"/>
    </row>
    <row r="544" s="1" customFormat="1" spans="6:13">
      <c r="F544" s="13">
        <v>45492</v>
      </c>
      <c r="G544" s="14">
        <v>1.04694844</v>
      </c>
      <c r="H544" s="14">
        <v>1.04887303</v>
      </c>
      <c r="I544" s="3" t="str">
        <f>IF(G544&gt;MAX($G$3:G543),"新高","/")</f>
        <v>新高</v>
      </c>
      <c r="J544" s="26">
        <f t="shared" si="22"/>
        <v>0.0112079424472837</v>
      </c>
      <c r="K544" s="26">
        <f t="shared" si="21"/>
        <v>0.0208615879873524</v>
      </c>
      <c r="M544" s="4"/>
    </row>
    <row r="545" s="1" customFormat="1" spans="6:13">
      <c r="F545" s="13">
        <v>45495</v>
      </c>
      <c r="G545" s="14">
        <v>1.04712794</v>
      </c>
      <c r="H545" s="14">
        <v>1.04907091</v>
      </c>
      <c r="I545" s="3" t="str">
        <f>IF(G545&gt;MAX($G$3:G544),"新高","/")</f>
        <v>新高</v>
      </c>
      <c r="J545" s="26">
        <f t="shared" si="22"/>
        <v>0.0113138673759305</v>
      </c>
      <c r="K545" s="26">
        <f t="shared" si="21"/>
        <v>0.0209311728038291</v>
      </c>
      <c r="M545" s="4"/>
    </row>
    <row r="546" s="1" customFormat="1" spans="6:13">
      <c r="F546" s="13">
        <v>45496</v>
      </c>
      <c r="G546" s="14">
        <v>1.04721348</v>
      </c>
      <c r="H546" s="14">
        <v>1.0491303</v>
      </c>
      <c r="I546" s="3" t="str">
        <f>IF(G546&gt;MAX($G$3:G545),"新高","/")</f>
        <v>新高</v>
      </c>
      <c r="J546" s="26">
        <f t="shared" si="22"/>
        <v>0.0113041039886133</v>
      </c>
      <c r="K546" s="26">
        <f t="shared" si="21"/>
        <v>0.0209506078214377</v>
      </c>
      <c r="M546" s="4"/>
    </row>
    <row r="547" s="1" customFormat="1" spans="6:13">
      <c r="F547" s="13">
        <v>45497</v>
      </c>
      <c r="G547" s="14">
        <v>1.04728757</v>
      </c>
      <c r="H547" s="14">
        <v>1.04919268</v>
      </c>
      <c r="I547" s="3" t="str">
        <f>IF(G547&gt;MAX($G$3:G546),"新高","/")</f>
        <v>新高</v>
      </c>
      <c r="J547" s="26">
        <f t="shared" si="22"/>
        <v>0.0112882565144905</v>
      </c>
      <c r="K547" s="26">
        <f t="shared" si="21"/>
        <v>0.0209209789400209</v>
      </c>
      <c r="M547" s="4"/>
    </row>
    <row r="548" s="1" customFormat="1" spans="6:13">
      <c r="F548" s="13">
        <v>45498</v>
      </c>
      <c r="G548" s="14">
        <v>1.04735379</v>
      </c>
      <c r="H548" s="14">
        <v>1.04921359</v>
      </c>
      <c r="I548" s="3" t="str">
        <f>IF(G548&gt;MAX($G$3:G547),"新高","/")</f>
        <v>新高</v>
      </c>
      <c r="J548" s="26">
        <f t="shared" si="22"/>
        <v>0.0111491888341189</v>
      </c>
      <c r="K548" s="26">
        <f t="shared" si="21"/>
        <v>0.0208407190139146</v>
      </c>
      <c r="M548" s="4"/>
    </row>
    <row r="549" s="1" customFormat="1" spans="6:13">
      <c r="F549" s="13">
        <v>45499</v>
      </c>
      <c r="G549" s="14">
        <v>1.047439</v>
      </c>
      <c r="H549" s="14">
        <v>1.04932142</v>
      </c>
      <c r="I549" s="3" t="str">
        <f>IF(G549&gt;MAX($G$3:G548),"新高","/")</f>
        <v>新高</v>
      </c>
      <c r="J549" s="26">
        <f t="shared" si="22"/>
        <v>0.0111569299406706</v>
      </c>
      <c r="K549" s="26">
        <f t="shared" si="21"/>
        <v>0.0210857269959603</v>
      </c>
      <c r="M549" s="4"/>
    </row>
    <row r="550" s="1" customFormat="1" spans="6:13">
      <c r="F550" s="13">
        <v>45502</v>
      </c>
      <c r="G550" s="14">
        <v>1.04761099</v>
      </c>
      <c r="H550" s="14">
        <v>1.04948996</v>
      </c>
      <c r="I550" s="3" t="str">
        <f>IF(G550&gt;MAX($G$3:G549),"新高","/")</f>
        <v>新高</v>
      </c>
      <c r="J550" s="26">
        <f t="shared" si="22"/>
        <v>0.0112375928863289</v>
      </c>
      <c r="K550" s="26">
        <f t="shared" si="21"/>
        <v>0.0212148033690336</v>
      </c>
      <c r="M550" s="4"/>
    </row>
    <row r="551" s="1" customFormat="1" spans="6:13">
      <c r="F551" s="13">
        <v>45503</v>
      </c>
      <c r="G551" s="14">
        <v>1.04768687</v>
      </c>
      <c r="H551" s="14">
        <v>1.04954507</v>
      </c>
      <c r="I551" s="3" t="str">
        <f>IF(G551&gt;MAX($G$3:G550),"新高","/")</f>
        <v>新高</v>
      </c>
      <c r="J551" s="26">
        <f t="shared" si="22"/>
        <v>0.011225193966899</v>
      </c>
      <c r="K551" s="26">
        <f t="shared" si="21"/>
        <v>0.0211688111155555</v>
      </c>
      <c r="M551" s="4"/>
    </row>
    <row r="552" s="1" customFormat="1" spans="6:13">
      <c r="F552" s="13">
        <v>45504</v>
      </c>
      <c r="G552" s="14">
        <v>1.0477673</v>
      </c>
      <c r="H552" s="14">
        <v>1.04961255</v>
      </c>
      <c r="I552" s="3" t="str">
        <f>IF(G552&gt;MAX($G$3:G551),"新高","/")</f>
        <v>新高</v>
      </c>
      <c r="J552" s="26">
        <f t="shared" si="22"/>
        <v>0.0112255815975986</v>
      </c>
      <c r="K552" s="26">
        <f t="shared" si="21"/>
        <v>0.0212300350144297</v>
      </c>
      <c r="M552" s="4"/>
    </row>
    <row r="553" s="1" customFormat="1" spans="6:13">
      <c r="F553" s="13">
        <v>45505</v>
      </c>
      <c r="G553" s="14">
        <v>1.04789097</v>
      </c>
      <c r="H553" s="14">
        <v>1.04969856</v>
      </c>
      <c r="I553" s="3" t="str">
        <f>IF(G553&gt;MAX($G$3:G552),"新高","/")</f>
        <v>新高</v>
      </c>
      <c r="J553" s="26">
        <f t="shared" si="22"/>
        <v>0.0111660461275946</v>
      </c>
      <c r="K553" s="26">
        <f t="shared" si="21"/>
        <v>0.0212851538584364</v>
      </c>
      <c r="M553" s="4"/>
    </row>
    <row r="554" s="1" customFormat="1" spans="6:13">
      <c r="F554" s="13">
        <v>45506</v>
      </c>
      <c r="G554" s="14">
        <v>1.04800358</v>
      </c>
      <c r="H554" s="14">
        <v>1.04978369</v>
      </c>
      <c r="I554" s="3" t="str">
        <f>IF(G554&gt;MAX($G$3:G553),"新高","/")</f>
        <v>新高</v>
      </c>
      <c r="J554" s="26">
        <f t="shared" si="22"/>
        <v>0.0111046992155659</v>
      </c>
      <c r="K554" s="26">
        <f t="shared" si="21"/>
        <v>0.0213050025073052</v>
      </c>
      <c r="M554" s="4"/>
    </row>
    <row r="555" s="1" customFormat="1" spans="6:13">
      <c r="F555" s="13">
        <v>45509</v>
      </c>
      <c r="G555" s="14">
        <v>1.04815588</v>
      </c>
      <c r="H555" s="14">
        <v>1.04995481</v>
      </c>
      <c r="I555" s="3" t="str">
        <f>IF(G555&gt;MAX($G$3:G554),"新高","/")</f>
        <v>新高</v>
      </c>
      <c r="J555" s="26">
        <f t="shared" si="22"/>
        <v>0.0110884473198813</v>
      </c>
      <c r="K555" s="26">
        <f t="shared" si="21"/>
        <v>0.0213636823704322</v>
      </c>
      <c r="M555" s="4"/>
    </row>
    <row r="556" s="1" customFormat="1" spans="6:13">
      <c r="F556" s="13">
        <v>45510</v>
      </c>
      <c r="G556" s="14">
        <v>1.0481554</v>
      </c>
      <c r="H556" s="14">
        <v>1.04998864</v>
      </c>
      <c r="I556" s="3" t="str">
        <f>IF(G556&gt;MAX($G$3:G555),"新高","/")</f>
        <v>/</v>
      </c>
      <c r="J556" s="26">
        <f t="shared" si="22"/>
        <v>0.0110114558298011</v>
      </c>
      <c r="K556" s="26">
        <f t="shared" si="21"/>
        <v>0.0212675098513344</v>
      </c>
      <c r="M556" s="4"/>
    </row>
    <row r="557" s="1" customFormat="1" spans="6:13">
      <c r="F557" s="13">
        <v>45511</v>
      </c>
      <c r="G557" s="14">
        <v>1.04825877</v>
      </c>
      <c r="H557" s="14">
        <v>1.05003041</v>
      </c>
      <c r="I557" s="3" t="str">
        <f>IF(G557&gt;MAX($G$3:G556),"新高","/")</f>
        <v>新高</v>
      </c>
      <c r="J557" s="26">
        <f t="shared" si="22"/>
        <v>0.0110194459005872</v>
      </c>
      <c r="K557" s="26">
        <f t="shared" si="21"/>
        <v>0.0212653381907584</v>
      </c>
      <c r="M557" s="4"/>
    </row>
    <row r="558" s="1" customFormat="1" spans="6:13">
      <c r="F558" s="13">
        <v>45512</v>
      </c>
      <c r="G558" s="14">
        <v>1.04820671</v>
      </c>
      <c r="H558" s="14">
        <v>1.05005249</v>
      </c>
      <c r="I558" s="3" t="str">
        <f>IF(G558&gt;MAX($G$3:G557),"新高","/")</f>
        <v>/</v>
      </c>
      <c r="J558" s="26">
        <f t="shared" si="22"/>
        <v>0.0107168372159256</v>
      </c>
      <c r="K558" s="26">
        <f t="shared" si="21"/>
        <v>0.0210184089843357</v>
      </c>
      <c r="M558" s="4"/>
    </row>
    <row r="559" s="1" customFormat="1" spans="6:13">
      <c r="F559" s="13">
        <v>45513</v>
      </c>
      <c r="G559" s="14">
        <v>1.04814449</v>
      </c>
      <c r="H559" s="14">
        <v>1.05004022</v>
      </c>
      <c r="I559" s="3" t="str">
        <f>IF(G559&gt;MAX($G$3:G558),"新高","/")</f>
        <v>/</v>
      </c>
      <c r="J559" s="26">
        <f t="shared" si="22"/>
        <v>0.0106637421370015</v>
      </c>
      <c r="K559" s="26">
        <f t="shared" si="21"/>
        <v>0.020869958365838</v>
      </c>
      <c r="M559" s="4"/>
    </row>
    <row r="560" s="1" customFormat="1" spans="6:13">
      <c r="F560" s="13">
        <v>45516</v>
      </c>
      <c r="G560" s="14">
        <v>1.04803829</v>
      </c>
      <c r="H560" s="14">
        <v>1.05007296</v>
      </c>
      <c r="I560" s="3" t="str">
        <f>IF(G560&gt;MAX($G$3:G559),"新高","/")</f>
        <v>/</v>
      </c>
      <c r="J560" s="26">
        <f t="shared" si="22"/>
        <v>0.0104660500246496</v>
      </c>
      <c r="K560" s="26">
        <f t="shared" si="21"/>
        <v>0.020691136920538</v>
      </c>
      <c r="M560" s="4"/>
    </row>
    <row r="561" s="1" customFormat="1" spans="6:13">
      <c r="F561" s="13">
        <v>45517</v>
      </c>
      <c r="G561" s="14">
        <v>1.04809209</v>
      </c>
      <c r="H561" s="14">
        <v>1.05010612</v>
      </c>
      <c r="I561" s="3" t="str">
        <f>IF(G561&gt;MAX($G$3:G560),"新高","/")</f>
        <v>/</v>
      </c>
      <c r="J561" s="26">
        <f t="shared" si="22"/>
        <v>0.0104093677310602</v>
      </c>
      <c r="K561" s="26">
        <f t="shared" si="21"/>
        <v>0.0207004005322484</v>
      </c>
      <c r="M561" s="4"/>
    </row>
    <row r="562" s="1" customFormat="1" spans="6:13">
      <c r="F562" s="13">
        <v>45518</v>
      </c>
      <c r="G562" s="14">
        <v>1.04821176</v>
      </c>
      <c r="H562" s="14">
        <v>1.05019788</v>
      </c>
      <c r="I562" s="3" t="str">
        <f>IF(G562&gt;MAX($G$3:G561),"新高","/")</f>
        <v>/</v>
      </c>
      <c r="J562" s="26">
        <f t="shared" si="22"/>
        <v>0.00990711425237545</v>
      </c>
      <c r="K562" s="26">
        <f t="shared" si="21"/>
        <v>0.0207279256770394</v>
      </c>
      <c r="M562" s="4"/>
    </row>
    <row r="563" s="1" customFormat="1" spans="6:13">
      <c r="F563" s="13">
        <v>45519</v>
      </c>
      <c r="G563" s="14">
        <v>1.04823222</v>
      </c>
      <c r="H563" s="14">
        <v>1.05024749</v>
      </c>
      <c r="I563" s="3" t="str">
        <f>IF(G563&gt;MAX($G$3:G562),"新高","/")</f>
        <v>/</v>
      </c>
      <c r="J563" s="26">
        <f t="shared" si="22"/>
        <v>0.00978572903349439</v>
      </c>
      <c r="K563" s="26">
        <f t="shared" si="21"/>
        <v>0.0205557581881384</v>
      </c>
      <c r="M563" s="4"/>
    </row>
    <row r="564" s="1" customFormat="1" spans="6:13">
      <c r="F564" s="13">
        <v>45520</v>
      </c>
      <c r="G564" s="14">
        <v>1.04828309</v>
      </c>
      <c r="H564" s="14">
        <v>1.0502834</v>
      </c>
      <c r="I564" s="3" t="str">
        <f>IF(G564&gt;MAX($G$3:G563),"新高","/")</f>
        <v>新高</v>
      </c>
      <c r="J564" s="26">
        <f t="shared" si="22"/>
        <v>0.00973583871044226</v>
      </c>
      <c r="K564" s="26">
        <f t="shared" si="21"/>
        <v>0.0204540428874462</v>
      </c>
      <c r="M564" s="4"/>
    </row>
    <row r="565" s="1" customFormat="1" spans="6:13">
      <c r="F565" s="13">
        <v>45523</v>
      </c>
      <c r="G565" s="14">
        <v>1.04843911</v>
      </c>
      <c r="H565" s="14">
        <v>1.05041217</v>
      </c>
      <c r="I565" s="3" t="str">
        <f>IF(G565&gt;MAX($G$3:G564),"新高","/")</f>
        <v>新高</v>
      </c>
      <c r="J565" s="26">
        <f t="shared" si="22"/>
        <v>0.00975709294187999</v>
      </c>
      <c r="K565" s="26">
        <f t="shared" si="21"/>
        <v>0.0204961199574329</v>
      </c>
      <c r="M565" s="4"/>
    </row>
    <row r="566" s="1" customFormat="1" spans="6:13">
      <c r="F566" s="13">
        <v>45524</v>
      </c>
      <c r="G566" s="14">
        <v>1.04849389</v>
      </c>
      <c r="H566" s="14">
        <v>1.05046116</v>
      </c>
      <c r="I566" s="3" t="str">
        <f>IF(G566&gt;MAX($G$3:G565),"新高","/")</f>
        <v>新高</v>
      </c>
      <c r="J566" s="26">
        <f t="shared" si="22"/>
        <v>0.00970198777919329</v>
      </c>
      <c r="K566" s="26">
        <f t="shared" si="21"/>
        <v>0.0205094095360439</v>
      </c>
      <c r="M566" s="4"/>
    </row>
    <row r="567" s="1" customFormat="1" spans="6:13">
      <c r="F567" s="13">
        <v>45525</v>
      </c>
      <c r="G567" s="14">
        <v>1.04845592</v>
      </c>
      <c r="H567" s="14">
        <v>1.05045437</v>
      </c>
      <c r="I567" s="3" t="str">
        <f>IF(G567&gt;MAX($G$3:G566),"新高","/")</f>
        <v>/</v>
      </c>
      <c r="J567" s="26">
        <f t="shared" si="22"/>
        <v>0.00946068588039806</v>
      </c>
      <c r="K567" s="26">
        <f t="shared" ref="K567:K630" si="23">G567/G323-1</f>
        <v>0.0204133687810417</v>
      </c>
      <c r="M567" s="4"/>
    </row>
    <row r="568" s="1" customFormat="1" spans="6:13">
      <c r="F568" s="13">
        <v>45526</v>
      </c>
      <c r="G568" s="14">
        <v>1.04849131</v>
      </c>
      <c r="H568" s="14">
        <v>1.05050624</v>
      </c>
      <c r="I568" s="3" t="str">
        <f>IF(G568&gt;MAX($G$3:G567),"新高","/")</f>
        <v>/</v>
      </c>
      <c r="J568" s="26">
        <f t="shared" si="22"/>
        <v>0.00939216143353705</v>
      </c>
      <c r="K568" s="26">
        <f t="shared" si="23"/>
        <v>0.0202833723590499</v>
      </c>
      <c r="M568" s="4"/>
    </row>
    <row r="569" s="1" customFormat="1" spans="6:13">
      <c r="F569" s="13">
        <v>45527</v>
      </c>
      <c r="G569" s="14">
        <v>1.04850069</v>
      </c>
      <c r="H569" s="14">
        <v>1.05056814</v>
      </c>
      <c r="I569" s="3" t="str">
        <f>IF(G569&gt;MAX($G$3:G568),"新高","/")</f>
        <v>新高</v>
      </c>
      <c r="J569" s="26">
        <f t="shared" si="22"/>
        <v>0.00930000272996945</v>
      </c>
      <c r="K569" s="26">
        <f t="shared" si="23"/>
        <v>0.0202580892206501</v>
      </c>
      <c r="M569" s="4"/>
    </row>
    <row r="570" s="1" customFormat="1" spans="6:13">
      <c r="F570" s="13">
        <v>45530</v>
      </c>
      <c r="G570" s="14">
        <v>1.04856106</v>
      </c>
      <c r="H570" s="14">
        <v>1.0506992</v>
      </c>
      <c r="I570" s="3" t="str">
        <f>IF(G570&gt;MAX($G$3:G569),"新高","/")</f>
        <v>新高</v>
      </c>
      <c r="J570" s="26">
        <f t="shared" si="22"/>
        <v>0.00924639162247032</v>
      </c>
      <c r="K570" s="26">
        <f t="shared" si="23"/>
        <v>0.0202884785497641</v>
      </c>
      <c r="M570" s="4"/>
    </row>
    <row r="571" s="1" customFormat="1" spans="6:13">
      <c r="F571" s="13">
        <v>45531</v>
      </c>
      <c r="G571" s="14">
        <v>1.04847649</v>
      </c>
      <c r="H571" s="14">
        <v>1.05071151</v>
      </c>
      <c r="I571" s="3" t="str">
        <f>IF(G571&gt;MAX($G$3:G570),"新高","/")</f>
        <v>/</v>
      </c>
      <c r="J571" s="26">
        <f t="shared" si="22"/>
        <v>0.00919225838141902</v>
      </c>
      <c r="K571" s="26">
        <f t="shared" si="23"/>
        <v>0.0201648942578541</v>
      </c>
      <c r="M571" s="4"/>
    </row>
    <row r="572" s="1" customFormat="1" spans="6:13">
      <c r="F572" s="13">
        <v>45532</v>
      </c>
      <c r="G572" s="14">
        <v>1.04850618</v>
      </c>
      <c r="H572" s="14">
        <v>1.05072453</v>
      </c>
      <c r="I572" s="3" t="str">
        <f>IF(G572&gt;MAX($G$3:G571),"新高","/")</f>
        <v>/</v>
      </c>
      <c r="J572" s="26">
        <f t="shared" ref="J572:J635" si="24">G572/G451-1</f>
        <v>0.00902427110094517</v>
      </c>
      <c r="K572" s="26">
        <f t="shared" si="23"/>
        <v>0.0201761435379859</v>
      </c>
      <c r="M572" s="4"/>
    </row>
    <row r="573" s="1" customFormat="1" spans="6:13">
      <c r="F573" s="13">
        <v>45533</v>
      </c>
      <c r="G573" s="14">
        <v>1.04859632</v>
      </c>
      <c r="H573" s="14">
        <v>1.05079149</v>
      </c>
      <c r="I573" s="3" t="str">
        <f>IF(G573&gt;MAX($G$3:G572),"新高","/")</f>
        <v>新高</v>
      </c>
      <c r="J573" s="26">
        <f t="shared" si="24"/>
        <v>0.00905304475559521</v>
      </c>
      <c r="K573" s="26">
        <f t="shared" si="23"/>
        <v>0.020245036747339</v>
      </c>
      <c r="M573" s="4"/>
    </row>
    <row r="574" s="1" customFormat="1" spans="6:13">
      <c r="F574" s="13">
        <v>45534</v>
      </c>
      <c r="G574" s="14">
        <v>1.04868452</v>
      </c>
      <c r="H574" s="14">
        <v>1.05084988</v>
      </c>
      <c r="I574" s="3" t="str">
        <f>IF(G574&gt;MAX($G$3:G573),"新高","/")</f>
        <v>新高</v>
      </c>
      <c r="J574" s="26">
        <f t="shared" si="24"/>
        <v>0.00905428625732929</v>
      </c>
      <c r="K574" s="26">
        <f t="shared" si="23"/>
        <v>0.020382139773808</v>
      </c>
      <c r="M574" s="4"/>
    </row>
    <row r="575" s="1" customFormat="1" spans="6:13">
      <c r="F575" s="13">
        <v>45537</v>
      </c>
      <c r="G575" s="14">
        <v>1.0489195</v>
      </c>
      <c r="H575" s="14">
        <v>1.05104457</v>
      </c>
      <c r="I575" s="3" t="str">
        <f>IF(G575&gt;MAX($G$3:G574),"新高","/")</f>
        <v>新高</v>
      </c>
      <c r="J575" s="26">
        <f t="shared" si="24"/>
        <v>0.00920972140787568</v>
      </c>
      <c r="K575" s="26">
        <f t="shared" si="23"/>
        <v>0.0205739862541192</v>
      </c>
      <c r="M575" s="4"/>
    </row>
    <row r="576" s="1" customFormat="1" spans="6:13">
      <c r="F576" s="13">
        <v>45538</v>
      </c>
      <c r="G576" s="14">
        <v>1.0489897</v>
      </c>
      <c r="H576" s="14">
        <v>1.05111917</v>
      </c>
      <c r="I576" s="3" t="str">
        <f>IF(G576&gt;MAX($G$3:G575),"新高","/")</f>
        <v>新高</v>
      </c>
      <c r="J576" s="26">
        <f t="shared" si="24"/>
        <v>0.00923171303487313</v>
      </c>
      <c r="K576" s="26">
        <f t="shared" si="23"/>
        <v>0.0205696122482319</v>
      </c>
      <c r="M576" s="4"/>
    </row>
    <row r="577" s="1" customFormat="1" spans="6:13">
      <c r="F577" s="13">
        <v>45539</v>
      </c>
      <c r="G577" s="14">
        <v>1.04905999</v>
      </c>
      <c r="H577" s="14">
        <v>1.0511868</v>
      </c>
      <c r="I577" s="3" t="str">
        <f>IF(G577&gt;MAX($G$3:G576),"新高","/")</f>
        <v>新高</v>
      </c>
      <c r="J577" s="26">
        <f t="shared" si="24"/>
        <v>0.0091603043742019</v>
      </c>
      <c r="K577" s="26">
        <f t="shared" si="23"/>
        <v>0.0206350189445879</v>
      </c>
      <c r="M577" s="4"/>
    </row>
    <row r="578" s="1" customFormat="1" spans="6:13">
      <c r="F578" s="13">
        <v>45540</v>
      </c>
      <c r="G578" s="14">
        <v>1.0491133</v>
      </c>
      <c r="H578" s="14">
        <v>1.05123742</v>
      </c>
      <c r="I578" s="3" t="str">
        <f>IF(G578&gt;MAX($G$3:G577),"新高","/")</f>
        <v>新高</v>
      </c>
      <c r="J578" s="26">
        <f t="shared" si="24"/>
        <v>0.00924199402795267</v>
      </c>
      <c r="K578" s="26">
        <f t="shared" si="23"/>
        <v>0.0206773812597114</v>
      </c>
      <c r="M578" s="4"/>
    </row>
    <row r="579" s="1" customFormat="1" spans="6:13">
      <c r="F579" s="13">
        <v>45541</v>
      </c>
      <c r="G579" s="14">
        <v>1.04916766</v>
      </c>
      <c r="H579" s="14">
        <v>1.0512897</v>
      </c>
      <c r="I579" s="3" t="str">
        <f>IF(G579&gt;MAX($G$3:G578),"新高","/")</f>
        <v>新高</v>
      </c>
      <c r="J579" s="26">
        <f t="shared" si="24"/>
        <v>0.00929404535483203</v>
      </c>
      <c r="K579" s="26">
        <f t="shared" si="23"/>
        <v>0.0207125419687577</v>
      </c>
      <c r="M579" s="4"/>
    </row>
    <row r="580" s="1" customFormat="1" spans="6:13">
      <c r="F580" s="13">
        <v>45544</v>
      </c>
      <c r="G580" s="14">
        <v>1.04930333</v>
      </c>
      <c r="H580" s="14">
        <v>1.05144926</v>
      </c>
      <c r="I580" s="3" t="str">
        <f>IF(G580&gt;MAX($G$3:G579),"新高","/")</f>
        <v>新高</v>
      </c>
      <c r="J580" s="26">
        <f t="shared" si="24"/>
        <v>0.0094315120641546</v>
      </c>
      <c r="K580" s="26">
        <f t="shared" si="23"/>
        <v>0.0209033604932203</v>
      </c>
      <c r="M580" s="4"/>
    </row>
    <row r="581" s="1" customFormat="1" spans="6:13">
      <c r="F581" s="13">
        <v>45545</v>
      </c>
      <c r="G581" s="14">
        <v>1.04934791</v>
      </c>
      <c r="H581" s="14">
        <v>1.0515205</v>
      </c>
      <c r="I581" s="3" t="str">
        <f>IF(G581&gt;MAX($G$3:G580),"新高","/")</f>
        <v>新高</v>
      </c>
      <c r="J581" s="26">
        <f t="shared" si="24"/>
        <v>0.00942228099107401</v>
      </c>
      <c r="K581" s="26">
        <f t="shared" si="23"/>
        <v>0.0211300134204397</v>
      </c>
      <c r="M581" s="4"/>
    </row>
    <row r="582" s="1" customFormat="1" spans="6:13">
      <c r="F582" s="13">
        <v>45546</v>
      </c>
      <c r="G582" s="14">
        <v>1.04939958</v>
      </c>
      <c r="H582" s="14">
        <v>1.05159302</v>
      </c>
      <c r="I582" s="3" t="str">
        <f>IF(G582&gt;MAX($G$3:G581),"新高","/")</f>
        <v>新高</v>
      </c>
      <c r="J582" s="26">
        <f t="shared" si="24"/>
        <v>0.00926829702256593</v>
      </c>
      <c r="K582" s="26">
        <f t="shared" si="23"/>
        <v>0.0213258449829961</v>
      </c>
      <c r="M582" s="4"/>
    </row>
    <row r="583" s="1" customFormat="1" spans="6:13">
      <c r="F583" s="13">
        <v>45547</v>
      </c>
      <c r="G583" s="14">
        <v>1.0494616</v>
      </c>
      <c r="H583" s="14">
        <v>1.05165609</v>
      </c>
      <c r="I583" s="3" t="str">
        <f>IF(G583&gt;MAX($G$3:G582),"新高","/")</f>
        <v>新高</v>
      </c>
      <c r="J583" s="26">
        <f t="shared" si="24"/>
        <v>0.00922533990501062</v>
      </c>
      <c r="K583" s="26">
        <f t="shared" si="23"/>
        <v>0.0214492232832955</v>
      </c>
      <c r="M583" s="4"/>
    </row>
    <row r="584" s="1" customFormat="1" spans="6:13">
      <c r="F584" s="13">
        <v>45548</v>
      </c>
      <c r="G584" s="14">
        <v>1.0495448</v>
      </c>
      <c r="H584" s="14">
        <v>1.05172946</v>
      </c>
      <c r="I584" s="3" t="str">
        <f>IF(G584&gt;MAX($G$3:G583),"新高","/")</f>
        <v>新高</v>
      </c>
      <c r="J584" s="26">
        <f t="shared" si="24"/>
        <v>0.00925036803852164</v>
      </c>
      <c r="K584" s="26">
        <f t="shared" si="23"/>
        <v>0.0214581831361602</v>
      </c>
      <c r="M584" s="4"/>
    </row>
    <row r="585" s="1" customFormat="1" spans="6:13">
      <c r="F585" s="13">
        <v>45553</v>
      </c>
      <c r="G585" s="14">
        <v>1.04982797</v>
      </c>
      <c r="H585" s="14">
        <v>1.05197025</v>
      </c>
      <c r="I585" s="3" t="str">
        <f>IF(G585&gt;MAX($G$3:G584),"新高","/")</f>
        <v>新高</v>
      </c>
      <c r="J585" s="26">
        <f t="shared" si="24"/>
        <v>0.00944623426153668</v>
      </c>
      <c r="K585" s="26">
        <f t="shared" si="23"/>
        <v>0.0215964782348528</v>
      </c>
      <c r="M585" s="4"/>
    </row>
    <row r="586" s="1" customFormat="1" spans="6:13">
      <c r="F586" s="13">
        <v>45554</v>
      </c>
      <c r="G586" s="14">
        <v>1.04983011</v>
      </c>
      <c r="H586" s="14">
        <v>1.05200254</v>
      </c>
      <c r="I586" s="3" t="str">
        <f>IF(G586&gt;MAX($G$3:G585),"新高","/")</f>
        <v>新高</v>
      </c>
      <c r="J586" s="26">
        <f t="shared" si="24"/>
        <v>0.00938616639879641</v>
      </c>
      <c r="K586" s="26">
        <f t="shared" si="23"/>
        <v>0.021467760369291</v>
      </c>
      <c r="M586" s="4"/>
    </row>
    <row r="587" s="1" customFormat="1" spans="6:13">
      <c r="F587" s="13">
        <v>45555</v>
      </c>
      <c r="G587" s="14">
        <v>1.04986789</v>
      </c>
      <c r="H587" s="14">
        <v>1.05204275</v>
      </c>
      <c r="I587" s="3" t="str">
        <f>IF(G587&gt;MAX($G$3:G586),"新高","/")</f>
        <v>新高</v>
      </c>
      <c r="J587" s="26">
        <f t="shared" si="24"/>
        <v>0.00926868455823415</v>
      </c>
      <c r="K587" s="26">
        <f t="shared" si="23"/>
        <v>0.0214134660191208</v>
      </c>
      <c r="M587" s="4"/>
    </row>
    <row r="588" s="1" customFormat="1" spans="6:13">
      <c r="F588" s="13">
        <v>45558</v>
      </c>
      <c r="G588" s="14">
        <v>1.05001629</v>
      </c>
      <c r="H588" s="14">
        <v>1.05214901</v>
      </c>
      <c r="I588" s="3" t="str">
        <f>IF(G588&gt;MAX($G$3:G587),"新高","/")</f>
        <v>新高</v>
      </c>
      <c r="J588" s="26">
        <f t="shared" si="24"/>
        <v>0.00937714119816468</v>
      </c>
      <c r="K588" s="26">
        <f t="shared" si="23"/>
        <v>0.0214877113140735</v>
      </c>
      <c r="M588" s="4"/>
    </row>
    <row r="589" s="1" customFormat="1" spans="6:13">
      <c r="F589" s="13">
        <v>45559</v>
      </c>
      <c r="G589" s="14">
        <v>1.05005023</v>
      </c>
      <c r="H589" s="14">
        <v>1.05219226</v>
      </c>
      <c r="I589" s="3" t="str">
        <f>IF(G589&gt;MAX($G$3:G588),"新高","/")</f>
        <v>新高</v>
      </c>
      <c r="J589" s="26">
        <f t="shared" si="24"/>
        <v>0.0093295557889741</v>
      </c>
      <c r="K589" s="26">
        <f t="shared" si="23"/>
        <v>0.0214954384482084</v>
      </c>
      <c r="M589" s="4"/>
    </row>
    <row r="590" s="1" customFormat="1" spans="6:13">
      <c r="F590" s="13">
        <v>45560</v>
      </c>
      <c r="G590" s="14">
        <v>1.05018703</v>
      </c>
      <c r="H590" s="14">
        <v>1.05226353</v>
      </c>
      <c r="I590" s="3" t="str">
        <f>IF(G590&gt;MAX($G$3:G589),"新高","/")</f>
        <v>新高</v>
      </c>
      <c r="J590" s="26">
        <f t="shared" si="24"/>
        <v>0.00939025184367148</v>
      </c>
      <c r="K590" s="26">
        <f t="shared" si="23"/>
        <v>0.0215585364599298</v>
      </c>
      <c r="M590" s="4"/>
    </row>
    <row r="591" s="1" customFormat="1" spans="6:13">
      <c r="F591" s="13">
        <v>45561</v>
      </c>
      <c r="G591" s="14">
        <v>1.05019348</v>
      </c>
      <c r="H591" s="14">
        <v>1.0523366</v>
      </c>
      <c r="I591" s="3" t="str">
        <f>IF(G591&gt;MAX($G$3:G590),"新高","/")</f>
        <v>新高</v>
      </c>
      <c r="J591" s="26">
        <f t="shared" si="24"/>
        <v>0.00928326287255232</v>
      </c>
      <c r="K591" s="26">
        <f t="shared" si="23"/>
        <v>0.0214544206496219</v>
      </c>
      <c r="M591" s="4"/>
    </row>
    <row r="592" s="1" customFormat="1" spans="6:13">
      <c r="F592" s="13">
        <v>45562</v>
      </c>
      <c r="G592" s="14">
        <v>1.04994073</v>
      </c>
      <c r="H592" s="14">
        <v>1.05232732</v>
      </c>
      <c r="I592" s="3" t="str">
        <f>IF(G592&gt;MAX($G$3:G591),"新高","/")</f>
        <v>/</v>
      </c>
      <c r="J592" s="26">
        <f t="shared" si="24"/>
        <v>0.00889840975470357</v>
      </c>
      <c r="K592" s="26">
        <f t="shared" si="23"/>
        <v>0.0211549042497499</v>
      </c>
      <c r="M592" s="4"/>
    </row>
    <row r="593" s="1" customFormat="1" spans="6:13">
      <c r="F593" s="13">
        <v>45565</v>
      </c>
      <c r="G593" s="14">
        <v>1.0495823</v>
      </c>
      <c r="H593" s="14">
        <v>1.05231119</v>
      </c>
      <c r="I593" s="3" t="str">
        <f>IF(G593&gt;MAX($G$3:G592),"新高","/")</f>
        <v>/</v>
      </c>
      <c r="J593" s="26">
        <f t="shared" si="24"/>
        <v>0.00843355211086583</v>
      </c>
      <c r="K593" s="26">
        <f t="shared" si="23"/>
        <v>0.0206899163315786</v>
      </c>
      <c r="M593" s="4"/>
    </row>
    <row r="594" s="1" customFormat="1" spans="6:13">
      <c r="F594" s="13">
        <v>45573</v>
      </c>
      <c r="G594" s="14">
        <v>1.04969357</v>
      </c>
      <c r="H594" s="14">
        <v>1.05261879</v>
      </c>
      <c r="I594" s="3" t="str">
        <f>IF(G594&gt;MAX($G$3:G593),"新高","/")</f>
        <v>/</v>
      </c>
      <c r="J594" s="26">
        <f t="shared" si="24"/>
        <v>0.0083970874370265</v>
      </c>
      <c r="K594" s="26">
        <f t="shared" si="23"/>
        <v>0.020857261797419</v>
      </c>
      <c r="M594" s="4"/>
    </row>
    <row r="595" s="1" customFormat="1" spans="6:13">
      <c r="F595" s="13">
        <v>45574</v>
      </c>
      <c r="G595" s="14">
        <v>1.04932528</v>
      </c>
      <c r="H595" s="14">
        <v>1.05241923</v>
      </c>
      <c r="I595" s="3" t="str">
        <f>IF(G595&gt;MAX($G$3:G594),"新高","/")</f>
        <v>/</v>
      </c>
      <c r="J595" s="26">
        <f t="shared" si="24"/>
        <v>0.00777311162654115</v>
      </c>
      <c r="K595" s="26">
        <f t="shared" si="23"/>
        <v>0.0204893829405068</v>
      </c>
      <c r="M595" s="4"/>
    </row>
    <row r="596" s="1" customFormat="1" spans="6:13">
      <c r="F596" s="13">
        <v>45575</v>
      </c>
      <c r="G596" s="14">
        <v>1.04951285</v>
      </c>
      <c r="H596" s="14">
        <v>1.05253254</v>
      </c>
      <c r="I596" s="3" t="str">
        <f>IF(G596&gt;MAX($G$3:G595),"新高","/")</f>
        <v>/</v>
      </c>
      <c r="J596" s="26">
        <f t="shared" si="24"/>
        <v>0.0078237663828773</v>
      </c>
      <c r="K596" s="26">
        <f t="shared" si="23"/>
        <v>0.0204459372903347</v>
      </c>
      <c r="M596" s="4"/>
    </row>
    <row r="597" s="1" customFormat="1" spans="6:13">
      <c r="F597" s="13">
        <v>45576</v>
      </c>
      <c r="G597" s="14">
        <v>1.04981087</v>
      </c>
      <c r="H597" s="14">
        <v>1.05269596</v>
      </c>
      <c r="I597" s="3" t="str">
        <f>IF(G597&gt;MAX($G$3:G596),"新高","/")</f>
        <v>/</v>
      </c>
      <c r="J597" s="26">
        <f t="shared" si="24"/>
        <v>0.00802755333841709</v>
      </c>
      <c r="K597" s="26">
        <f t="shared" si="23"/>
        <v>0.0200018959907511</v>
      </c>
      <c r="M597" s="4"/>
    </row>
    <row r="598" s="1" customFormat="1" spans="6:13">
      <c r="F598" s="13">
        <v>45579</v>
      </c>
      <c r="G598" s="14">
        <v>1.05027051</v>
      </c>
      <c r="H598" s="14">
        <v>1.05298938</v>
      </c>
      <c r="I598" s="3" t="str">
        <f>IF(G598&gt;MAX($G$3:G597),"新高","/")</f>
        <v>新高</v>
      </c>
      <c r="J598" s="26">
        <f t="shared" si="24"/>
        <v>0.00834462932487146</v>
      </c>
      <c r="K598" s="26">
        <f t="shared" si="23"/>
        <v>0.0204265042022</v>
      </c>
      <c r="M598" s="4"/>
    </row>
    <row r="599" s="1" customFormat="1" spans="6:13">
      <c r="F599" s="13">
        <v>45580</v>
      </c>
      <c r="G599" s="14">
        <v>1.05044473</v>
      </c>
      <c r="H599" s="14">
        <v>1.05305445</v>
      </c>
      <c r="I599" s="3" t="str">
        <f>IF(G599&gt;MAX($G$3:G598),"新高","/")</f>
        <v>新高</v>
      </c>
      <c r="J599" s="26">
        <f t="shared" si="24"/>
        <v>0.00834493734963893</v>
      </c>
      <c r="K599" s="26">
        <f t="shared" si="23"/>
        <v>0.0206039246223988</v>
      </c>
      <c r="M599" s="4"/>
    </row>
    <row r="600" s="1" customFormat="1" spans="6:13">
      <c r="F600" s="13">
        <v>45581</v>
      </c>
      <c r="G600" s="14">
        <v>1.05054004</v>
      </c>
      <c r="H600" s="14">
        <v>1.05312367</v>
      </c>
      <c r="I600" s="3" t="str">
        <f>IF(G600&gt;MAX($G$3:G599),"新高","/")</f>
        <v>新高</v>
      </c>
      <c r="J600" s="26">
        <f t="shared" si="24"/>
        <v>0.00824370247680961</v>
      </c>
      <c r="K600" s="26">
        <f t="shared" si="23"/>
        <v>0.0207149036233609</v>
      </c>
      <c r="M600" s="4"/>
    </row>
    <row r="601" s="1" customFormat="1" spans="6:13">
      <c r="F601" s="13">
        <v>45582</v>
      </c>
      <c r="G601" s="14">
        <v>1.05064105</v>
      </c>
      <c r="H601" s="14">
        <v>1.05319517</v>
      </c>
      <c r="I601" s="3" t="str">
        <f>IF(G601&gt;MAX($G$3:G600),"新高","/")</f>
        <v>新高</v>
      </c>
      <c r="J601" s="26">
        <f t="shared" si="24"/>
        <v>0.00829385744241606</v>
      </c>
      <c r="K601" s="26">
        <f t="shared" si="23"/>
        <v>0.0207454372197977</v>
      </c>
      <c r="M601" s="4"/>
    </row>
    <row r="602" s="1" customFormat="1" spans="6:13">
      <c r="F602" s="13">
        <v>45583</v>
      </c>
      <c r="G602" s="14">
        <v>1.05068251</v>
      </c>
      <c r="H602" s="14">
        <v>1.0532534</v>
      </c>
      <c r="I602" s="3" t="str">
        <f>IF(G602&gt;MAX($G$3:G601),"新高","/")</f>
        <v>新高</v>
      </c>
      <c r="J602" s="26">
        <f t="shared" si="24"/>
        <v>0.00823588026445443</v>
      </c>
      <c r="K602" s="26">
        <f t="shared" si="23"/>
        <v>0.0206388619820335</v>
      </c>
      <c r="M602" s="4"/>
    </row>
    <row r="603" s="1" customFormat="1" spans="6:13">
      <c r="F603" s="13">
        <v>45586</v>
      </c>
      <c r="G603" s="14">
        <v>1.05080932</v>
      </c>
      <c r="H603" s="14">
        <v>1.05340384</v>
      </c>
      <c r="I603" s="3" t="str">
        <f>IF(G603&gt;MAX($G$3:G602),"新高","/")</f>
        <v>新高</v>
      </c>
      <c r="J603" s="26">
        <f t="shared" si="24"/>
        <v>0.00824294624551647</v>
      </c>
      <c r="K603" s="26">
        <f t="shared" si="23"/>
        <v>0.0207571376572335</v>
      </c>
      <c r="M603" s="4"/>
    </row>
    <row r="604" s="1" customFormat="1" spans="6:13">
      <c r="F604" s="13">
        <v>45587</v>
      </c>
      <c r="G604" s="14">
        <v>1.05078247</v>
      </c>
      <c r="H604" s="14">
        <v>1.05340796</v>
      </c>
      <c r="I604" s="3" t="str">
        <f>IF(G604&gt;MAX($G$3:G603),"新高","/")</f>
        <v>/</v>
      </c>
      <c r="J604" s="26">
        <f t="shared" si="24"/>
        <v>0.00807675978309108</v>
      </c>
      <c r="K604" s="26">
        <f t="shared" si="23"/>
        <v>0.0207020736780845</v>
      </c>
      <c r="M604" s="4"/>
    </row>
    <row r="605" s="1" customFormat="1" spans="6:13">
      <c r="F605" s="13">
        <v>45588</v>
      </c>
      <c r="G605" s="14">
        <v>1.05067151</v>
      </c>
      <c r="H605" s="14">
        <v>1.05342429</v>
      </c>
      <c r="I605" s="3" t="str">
        <f>IF(G605&gt;MAX($G$3:G604),"新高","/")</f>
        <v>/</v>
      </c>
      <c r="J605" s="26">
        <f t="shared" si="24"/>
        <v>0.00775199739233856</v>
      </c>
      <c r="K605" s="26">
        <f t="shared" si="23"/>
        <v>0.0207017965411911</v>
      </c>
      <c r="M605" s="4"/>
    </row>
    <row r="606" s="1" customFormat="1" spans="6:13">
      <c r="F606" s="13">
        <v>45589</v>
      </c>
      <c r="G606" s="14">
        <v>1.05069515</v>
      </c>
      <c r="H606" s="14">
        <v>1.05347036</v>
      </c>
      <c r="I606" s="3" t="str">
        <f>IF(G606&gt;MAX($G$3:G605),"新高","/")</f>
        <v>/</v>
      </c>
      <c r="J606" s="26">
        <f t="shared" si="24"/>
        <v>0.00761832787464822</v>
      </c>
      <c r="K606" s="26">
        <f t="shared" si="23"/>
        <v>0.020759985402103</v>
      </c>
      <c r="M606" s="4"/>
    </row>
    <row r="607" s="1" customFormat="1" spans="6:13">
      <c r="F607" s="13">
        <v>45590</v>
      </c>
      <c r="G607" s="14">
        <v>1.05070527</v>
      </c>
      <c r="H607" s="14">
        <v>1.05353521</v>
      </c>
      <c r="I607" s="3" t="str">
        <f>IF(G607&gt;MAX($G$3:G606),"新高","/")</f>
        <v>/</v>
      </c>
      <c r="J607" s="26">
        <f t="shared" si="24"/>
        <v>0.00771549224026979</v>
      </c>
      <c r="K607" s="26">
        <f t="shared" si="23"/>
        <v>0.0206102398796977</v>
      </c>
      <c r="M607" s="4"/>
    </row>
    <row r="608" s="1" customFormat="1" spans="6:13">
      <c r="F608" s="13">
        <v>45593</v>
      </c>
      <c r="G608" s="14">
        <v>1.05080752</v>
      </c>
      <c r="H608" s="14">
        <v>1.0537021</v>
      </c>
      <c r="I608" s="3" t="str">
        <f>IF(G608&gt;MAX($G$3:G607),"新高","/")</f>
        <v>/</v>
      </c>
      <c r="J608" s="26">
        <f t="shared" si="24"/>
        <v>0.00781034963374361</v>
      </c>
      <c r="K608" s="26">
        <f t="shared" si="23"/>
        <v>0.020767783820105</v>
      </c>
      <c r="M608" s="4"/>
    </row>
    <row r="609" s="1" customFormat="1" spans="6:13">
      <c r="F609" s="13">
        <v>45594</v>
      </c>
      <c r="G609" s="14">
        <v>1.05085883</v>
      </c>
      <c r="H609" s="14">
        <v>1.05376195</v>
      </c>
      <c r="I609" s="3" t="str">
        <f>IF(G609&gt;MAX($G$3:G608),"新高","/")</f>
        <v>新高</v>
      </c>
      <c r="J609" s="26">
        <f t="shared" si="24"/>
        <v>0.0078970760286865</v>
      </c>
      <c r="K609" s="26">
        <f t="shared" si="23"/>
        <v>0.0207538985895228</v>
      </c>
      <c r="M609" s="4"/>
    </row>
    <row r="610" s="1" customFormat="1" spans="6:13">
      <c r="F610" s="13">
        <v>45595</v>
      </c>
      <c r="G610" s="14">
        <v>1.05089486</v>
      </c>
      <c r="H610" s="14">
        <v>1.05381421</v>
      </c>
      <c r="I610" s="3" t="str">
        <f>IF(G610&gt;MAX($G$3:G609),"新高","/")</f>
        <v>新高</v>
      </c>
      <c r="J610" s="26">
        <f t="shared" si="24"/>
        <v>0.00803196005468942</v>
      </c>
      <c r="K610" s="26">
        <f t="shared" si="23"/>
        <v>0.0206800561560345</v>
      </c>
      <c r="M610" s="4"/>
    </row>
    <row r="611" s="1" customFormat="1" spans="6:13">
      <c r="F611" s="13">
        <v>45596</v>
      </c>
      <c r="G611" s="14">
        <v>1.05099217</v>
      </c>
      <c r="H611" s="14">
        <v>1.05389478</v>
      </c>
      <c r="I611" s="3" t="str">
        <f>IF(G611&gt;MAX($G$3:G610),"新高","/")</f>
        <v>新高</v>
      </c>
      <c r="J611" s="26">
        <f t="shared" si="24"/>
        <v>0.00796413646474492</v>
      </c>
      <c r="K611" s="26">
        <f t="shared" si="23"/>
        <v>0.0207048064842412</v>
      </c>
      <c r="M611" s="4"/>
    </row>
    <row r="612" s="1" customFormat="1" spans="6:13">
      <c r="F612" s="13">
        <v>45597</v>
      </c>
      <c r="G612" s="14">
        <v>1.05114832</v>
      </c>
      <c r="H612" s="14">
        <v>1.05399162</v>
      </c>
      <c r="I612" s="3" t="str">
        <f>IF(G612&gt;MAX($G$3:G611),"新高","/")</f>
        <v>新高</v>
      </c>
      <c r="J612" s="26">
        <f t="shared" si="24"/>
        <v>0.00780605836080306</v>
      </c>
      <c r="K612" s="26">
        <f t="shared" si="23"/>
        <v>0.020661557340254</v>
      </c>
      <c r="M612" s="4"/>
    </row>
    <row r="613" s="1" customFormat="1" spans="6:13">
      <c r="F613" s="13">
        <v>45600</v>
      </c>
      <c r="G613" s="14">
        <v>1.05133744</v>
      </c>
      <c r="H613" s="14">
        <v>1.05416339</v>
      </c>
      <c r="I613" s="3" t="str">
        <f>IF(G613&gt;MAX($G$3:G612),"新高","/")</f>
        <v>新高</v>
      </c>
      <c r="J613" s="26">
        <f t="shared" si="24"/>
        <v>0.00786041776986846</v>
      </c>
      <c r="K613" s="26">
        <f t="shared" si="23"/>
        <v>0.0207369011366223</v>
      </c>
      <c r="M613" s="4"/>
    </row>
    <row r="614" s="1" customFormat="1" spans="6:13">
      <c r="F614" s="13">
        <v>45601</v>
      </c>
      <c r="G614" s="14">
        <v>1.05142484</v>
      </c>
      <c r="H614" s="14">
        <v>1.05422347</v>
      </c>
      <c r="I614" s="3" t="str">
        <f>IF(G614&gt;MAX($G$3:G613),"新高","/")</f>
        <v>新高</v>
      </c>
      <c r="J614" s="26">
        <f t="shared" si="24"/>
        <v>0.00781889487150189</v>
      </c>
      <c r="K614" s="26">
        <f t="shared" si="23"/>
        <v>0.0207510563975322</v>
      </c>
      <c r="M614" s="4"/>
    </row>
    <row r="615" s="1" customFormat="1" spans="6:13">
      <c r="F615" s="13">
        <v>45602</v>
      </c>
      <c r="G615" s="14">
        <v>1.05148678</v>
      </c>
      <c r="H615" s="14">
        <v>1.05428505</v>
      </c>
      <c r="I615" s="3" t="str">
        <f>IF(G615&gt;MAX($G$3:G614),"新高","/")</f>
        <v>新高</v>
      </c>
      <c r="J615" s="26">
        <f t="shared" si="24"/>
        <v>0.00786733979440513</v>
      </c>
      <c r="K615" s="26">
        <f t="shared" si="23"/>
        <v>0.0206932505642787</v>
      </c>
      <c r="M615" s="4"/>
    </row>
    <row r="616" s="1" customFormat="1" spans="6:13">
      <c r="F616" s="13">
        <v>45603</v>
      </c>
      <c r="G616" s="14">
        <v>1.05163723</v>
      </c>
      <c r="H616" s="14">
        <v>1.05438117</v>
      </c>
      <c r="I616" s="3" t="str">
        <f>IF(G616&gt;MAX($G$3:G615),"新高","/")</f>
        <v>新高</v>
      </c>
      <c r="J616" s="26">
        <f t="shared" si="24"/>
        <v>0.00795709674582001</v>
      </c>
      <c r="K616" s="26">
        <f t="shared" si="23"/>
        <v>0.0207598468801842</v>
      </c>
      <c r="M616" s="4"/>
    </row>
    <row r="617" s="1" customFormat="1" spans="6:13">
      <c r="F617" s="13">
        <v>45604</v>
      </c>
      <c r="G617" s="14">
        <v>1.05172416</v>
      </c>
      <c r="H617" s="14">
        <v>1.05444122</v>
      </c>
      <c r="I617" s="3" t="str">
        <f>IF(G617&gt;MAX($G$3:G616),"新高","/")</f>
        <v>新高</v>
      </c>
      <c r="J617" s="26">
        <f t="shared" si="24"/>
        <v>0.00787500574744837</v>
      </c>
      <c r="K617" s="26">
        <f t="shared" si="23"/>
        <v>0.0206525170748904</v>
      </c>
      <c r="M617" s="4"/>
    </row>
    <row r="618" s="1" customFormat="1" spans="6:13">
      <c r="F618" s="13">
        <v>45607</v>
      </c>
      <c r="G618" s="14">
        <v>1.05188495</v>
      </c>
      <c r="H618" s="14">
        <v>1.05459525</v>
      </c>
      <c r="I618" s="3" t="str">
        <f>IF(G618&gt;MAX($G$3:G617),"新高","/")</f>
        <v>新高</v>
      </c>
      <c r="J618" s="26">
        <f t="shared" si="24"/>
        <v>0.00794113554879772</v>
      </c>
      <c r="K618" s="26">
        <f t="shared" si="23"/>
        <v>0.0207698337208235</v>
      </c>
      <c r="M618" s="4"/>
    </row>
    <row r="619" s="1" customFormat="1" spans="6:13">
      <c r="F619" s="13">
        <v>45608</v>
      </c>
      <c r="G619" s="14">
        <v>1.0519834</v>
      </c>
      <c r="H619" s="14">
        <v>1.05464169</v>
      </c>
      <c r="I619" s="3" t="str">
        <f>IF(G619&gt;MAX($G$3:G618),"新高","/")</f>
        <v>新高</v>
      </c>
      <c r="J619" s="26">
        <f t="shared" si="24"/>
        <v>0.00795660153292688</v>
      </c>
      <c r="K619" s="26">
        <f t="shared" si="23"/>
        <v>0.0208170688586038</v>
      </c>
      <c r="M619" s="4"/>
    </row>
    <row r="620" s="1" customFormat="1" spans="6:13">
      <c r="F620" s="13">
        <v>45609</v>
      </c>
      <c r="G620" s="14">
        <v>1.05202301</v>
      </c>
      <c r="H620" s="14">
        <v>1.05470629</v>
      </c>
      <c r="I620" s="3" t="str">
        <f>IF(G620&gt;MAX($G$3:G619),"新高","/")</f>
        <v>新高</v>
      </c>
      <c r="J620" s="26">
        <f t="shared" si="24"/>
        <v>0.00795112325791281</v>
      </c>
      <c r="K620" s="26">
        <f t="shared" si="23"/>
        <v>0.020774588733383</v>
      </c>
      <c r="M620" s="4"/>
    </row>
    <row r="621" s="1" customFormat="1" spans="6:13">
      <c r="F621" s="13">
        <v>45610</v>
      </c>
      <c r="G621" s="14">
        <v>1.05208908</v>
      </c>
      <c r="H621" s="14">
        <v>1.05475687</v>
      </c>
      <c r="I621" s="3" t="str">
        <f>IF(G621&gt;MAX($G$3:G620),"新高","/")</f>
        <v>新高</v>
      </c>
      <c r="J621" s="26">
        <f t="shared" si="24"/>
        <v>0.0079834342943188</v>
      </c>
      <c r="K621" s="26">
        <f t="shared" si="23"/>
        <v>0.0207698401790239</v>
      </c>
      <c r="M621" s="4"/>
    </row>
    <row r="622" s="1" customFormat="1" spans="6:13">
      <c r="F622" s="13">
        <v>45611</v>
      </c>
      <c r="G622" s="14">
        <v>1.0521481</v>
      </c>
      <c r="H622" s="14">
        <v>1.05480272</v>
      </c>
      <c r="I622" s="3" t="str">
        <f>IF(G622&gt;MAX($G$3:G621),"新高","/")</f>
        <v>新高</v>
      </c>
      <c r="J622" s="26">
        <f t="shared" si="24"/>
        <v>0.00788876144956618</v>
      </c>
      <c r="K622" s="26">
        <f t="shared" si="23"/>
        <v>0.0206434198568706</v>
      </c>
      <c r="M622" s="4"/>
    </row>
    <row r="623" s="1" customFormat="1" spans="6:13">
      <c r="F623" s="13">
        <v>45614</v>
      </c>
      <c r="G623" s="14">
        <v>1.05227427</v>
      </c>
      <c r="H623" s="14">
        <v>1.05495555</v>
      </c>
      <c r="I623" s="3" t="str">
        <f>IF(G623&gt;MAX($G$3:G622),"新高","/")</f>
        <v>新高</v>
      </c>
      <c r="J623" s="26">
        <f t="shared" si="24"/>
        <v>0.00798702932378093</v>
      </c>
      <c r="K623" s="26">
        <f t="shared" si="23"/>
        <v>0.020700967791349</v>
      </c>
      <c r="M623" s="4"/>
    </row>
    <row r="624" s="1" customFormat="1" spans="6:13">
      <c r="F624" s="13">
        <v>45615</v>
      </c>
      <c r="G624" s="14">
        <v>1.05230103</v>
      </c>
      <c r="H624" s="14">
        <v>1.05501792</v>
      </c>
      <c r="I624" s="3" t="str">
        <f>IF(G624&gt;MAX($G$3:G623),"新高","/")</f>
        <v>新高</v>
      </c>
      <c r="J624" s="26">
        <f t="shared" si="24"/>
        <v>0.00796852796403025</v>
      </c>
      <c r="K624" s="26">
        <f t="shared" si="23"/>
        <v>0.020653830999503</v>
      </c>
      <c r="M624" s="4"/>
    </row>
    <row r="625" s="1" customFormat="1" spans="6:13">
      <c r="F625" s="13">
        <v>45616</v>
      </c>
      <c r="G625" s="14">
        <v>1.05235314</v>
      </c>
      <c r="H625" s="14">
        <v>1.05504366</v>
      </c>
      <c r="I625" s="3" t="str">
        <f>IF(G625&gt;MAX($G$3:G624),"新高","/")</f>
        <v>新高</v>
      </c>
      <c r="J625" s="26">
        <f t="shared" si="24"/>
        <v>0.00793604918425883</v>
      </c>
      <c r="K625" s="26">
        <f t="shared" si="23"/>
        <v>0.0206392552950951</v>
      </c>
      <c r="M625" s="4"/>
    </row>
    <row r="626" s="1" customFormat="1" spans="6:13">
      <c r="F626" s="13">
        <v>45617</v>
      </c>
      <c r="G626" s="14">
        <v>1.05240066</v>
      </c>
      <c r="H626" s="14">
        <v>1.05508496</v>
      </c>
      <c r="I626" s="3" t="str">
        <f>IF(G626&gt;MAX($G$3:G625),"新高","/")</f>
        <v>新高</v>
      </c>
      <c r="J626" s="26">
        <f t="shared" si="24"/>
        <v>0.00790978833792777</v>
      </c>
      <c r="K626" s="26">
        <f t="shared" si="23"/>
        <v>0.0205816788247764</v>
      </c>
      <c r="M626" s="4"/>
    </row>
    <row r="627" s="1" customFormat="1" spans="6:13">
      <c r="F627" s="13">
        <v>45618</v>
      </c>
      <c r="G627" s="14">
        <v>1.05246948</v>
      </c>
      <c r="H627" s="14">
        <v>1.05513952</v>
      </c>
      <c r="I627" s="3" t="str">
        <f>IF(G627&gt;MAX($G$3:G626),"新高","/")</f>
        <v>新高</v>
      </c>
      <c r="J627" s="26">
        <f t="shared" si="24"/>
        <v>0.00786866120449536</v>
      </c>
      <c r="K627" s="26">
        <f t="shared" si="23"/>
        <v>0.0204765008134671</v>
      </c>
      <c r="M627" s="4"/>
    </row>
    <row r="628" s="1" customFormat="1" spans="6:13">
      <c r="F628" s="13">
        <v>45621</v>
      </c>
      <c r="G628" s="14">
        <v>1.05263001</v>
      </c>
      <c r="H628" s="14">
        <v>1.05527809</v>
      </c>
      <c r="I628" s="3" t="str">
        <f>IF(G628&gt;MAX($G$3:G627),"新高","/")</f>
        <v>新高</v>
      </c>
      <c r="J628" s="26">
        <f t="shared" si="24"/>
        <v>0.0079578039487378</v>
      </c>
      <c r="K628" s="26">
        <f t="shared" si="23"/>
        <v>0.0205852359112082</v>
      </c>
      <c r="M628" s="4"/>
    </row>
    <row r="629" s="1" customFormat="1" spans="6:13">
      <c r="F629" s="13">
        <v>45622</v>
      </c>
      <c r="G629" s="14">
        <v>1.0527177</v>
      </c>
      <c r="H629" s="14">
        <v>1.05531729</v>
      </c>
      <c r="I629" s="3" t="str">
        <f>IF(G629&gt;MAX($G$3:G628),"新高","/")</f>
        <v>新高</v>
      </c>
      <c r="J629" s="26">
        <f t="shared" si="24"/>
        <v>0.00798902370402366</v>
      </c>
      <c r="K629" s="26">
        <f t="shared" si="23"/>
        <v>0.0206492476592894</v>
      </c>
      <c r="M629" s="4"/>
    </row>
    <row r="630" s="1" customFormat="1" spans="6:13">
      <c r="F630" s="13">
        <v>45623</v>
      </c>
      <c r="G630" s="14">
        <v>1.05278136</v>
      </c>
      <c r="H630" s="14">
        <v>1.05535771</v>
      </c>
      <c r="I630" s="3" t="str">
        <f>IF(G630&gt;MAX($G$3:G629),"新高","/")</f>
        <v>新高</v>
      </c>
      <c r="J630" s="26">
        <f t="shared" si="24"/>
        <v>0.00799442391509886</v>
      </c>
      <c r="K630" s="26">
        <f t="shared" si="23"/>
        <v>0.0207466255790776</v>
      </c>
      <c r="M630" s="4"/>
    </row>
    <row r="631" s="1" customFormat="1" spans="6:13">
      <c r="F631" s="13">
        <v>45624</v>
      </c>
      <c r="G631" s="14">
        <v>1.05288086</v>
      </c>
      <c r="H631" s="14">
        <v>1.05541253</v>
      </c>
      <c r="I631" s="3" t="str">
        <f>IF(G631&gt;MAX($G$3:G630),"新高","/")</f>
        <v>新高</v>
      </c>
      <c r="J631" s="26">
        <f t="shared" si="24"/>
        <v>0.00805833252957178</v>
      </c>
      <c r="K631" s="26">
        <f t="shared" ref="K631:K694" si="25">G631/G387-1</f>
        <v>0.020811811933281</v>
      </c>
      <c r="M631" s="4"/>
    </row>
    <row r="632" s="1" customFormat="1" spans="6:13">
      <c r="F632" s="13">
        <v>45625</v>
      </c>
      <c r="G632" s="14">
        <v>1.05305915</v>
      </c>
      <c r="H632" s="14">
        <v>1.05552047</v>
      </c>
      <c r="I632" s="3" t="str">
        <f>IF(G632&gt;MAX($G$3:G631),"新高","/")</f>
        <v>新高</v>
      </c>
      <c r="J632" s="26">
        <f t="shared" si="24"/>
        <v>0.00806649127933134</v>
      </c>
      <c r="K632" s="26">
        <f t="shared" si="25"/>
        <v>0.0209165619187228</v>
      </c>
      <c r="M632" s="4"/>
    </row>
    <row r="633" s="1" customFormat="1" spans="6:13">
      <c r="F633" s="13">
        <v>45628</v>
      </c>
      <c r="G633" s="14">
        <v>1.05348943</v>
      </c>
      <c r="H633" s="14">
        <v>1.05579686</v>
      </c>
      <c r="I633" s="3" t="str">
        <f>IF(G633&gt;MAX($G$3:G632),"新高","/")</f>
        <v>新高</v>
      </c>
      <c r="J633" s="26">
        <f t="shared" si="24"/>
        <v>0.00842442483789885</v>
      </c>
      <c r="K633" s="26">
        <f t="shared" si="25"/>
        <v>0.0213135096024064</v>
      </c>
      <c r="M633" s="4"/>
    </row>
    <row r="634" s="1" customFormat="1" spans="6:13">
      <c r="F634" s="13">
        <v>45629</v>
      </c>
      <c r="G634" s="14">
        <v>1.0535853</v>
      </c>
      <c r="H634" s="14">
        <v>1.05587689</v>
      </c>
      <c r="I634" s="3" t="str">
        <f>IF(G634&gt;MAX($G$3:G633),"新高","/")</f>
        <v>新高</v>
      </c>
      <c r="J634" s="26">
        <f t="shared" si="24"/>
        <v>0.00843098736495684</v>
      </c>
      <c r="K634" s="26">
        <f t="shared" si="25"/>
        <v>0.0214164923507916</v>
      </c>
      <c r="M634" s="4"/>
    </row>
    <row r="635" s="1" customFormat="1" spans="6:13">
      <c r="F635" s="13">
        <v>45630</v>
      </c>
      <c r="G635" s="14">
        <v>1.05375108</v>
      </c>
      <c r="H635" s="14">
        <v>1.0559362</v>
      </c>
      <c r="I635" s="3" t="str">
        <f>IF(G635&gt;MAX($G$3:G634),"新高","/")</f>
        <v>新高</v>
      </c>
      <c r="J635" s="26">
        <f t="shared" si="24"/>
        <v>0.00853494855467307</v>
      </c>
      <c r="K635" s="26">
        <f t="shared" si="25"/>
        <v>0.0214785480418778</v>
      </c>
      <c r="M635" s="4"/>
    </row>
    <row r="636" s="1" customFormat="1" spans="6:13">
      <c r="F636" s="13">
        <v>45631</v>
      </c>
      <c r="G636" s="14">
        <v>1.05383295</v>
      </c>
      <c r="H636" s="14">
        <v>1.05599957</v>
      </c>
      <c r="I636" s="3" t="str">
        <f>IF(G636&gt;MAX($G$3:G635),"新高","/")</f>
        <v>新高</v>
      </c>
      <c r="J636" s="26">
        <f t="shared" ref="J636:J699" si="26">G636/G515-1</f>
        <v>0.00853684722692005</v>
      </c>
      <c r="K636" s="26">
        <f t="shared" si="25"/>
        <v>0.0214955570839923</v>
      </c>
      <c r="M636" s="4"/>
    </row>
    <row r="637" s="1" customFormat="1" spans="6:13">
      <c r="F637" s="13">
        <v>45632</v>
      </c>
      <c r="G637" s="14">
        <v>1.05387008</v>
      </c>
      <c r="H637" s="14">
        <v>1.05603888</v>
      </c>
      <c r="I637" s="3" t="str">
        <f>IF(G637&gt;MAX($G$3:G636),"新高","/")</f>
        <v>新高</v>
      </c>
      <c r="J637" s="26">
        <f t="shared" si="26"/>
        <v>0.00838469026688737</v>
      </c>
      <c r="K637" s="26">
        <f t="shared" si="25"/>
        <v>0.0213837740474065</v>
      </c>
      <c r="M637" s="4"/>
    </row>
    <row r="638" s="1" customFormat="1" spans="6:13">
      <c r="F638" s="13">
        <v>45635</v>
      </c>
      <c r="G638" s="14">
        <v>1.0540188</v>
      </c>
      <c r="H638" s="14">
        <v>1.05616212</v>
      </c>
      <c r="I638" s="3" t="str">
        <f>IF(G638&gt;MAX($G$3:G637),"新高","/")</f>
        <v>新高</v>
      </c>
      <c r="J638" s="26">
        <f t="shared" si="26"/>
        <v>0.00849323693917392</v>
      </c>
      <c r="K638" s="26">
        <f t="shared" si="25"/>
        <v>0.0215335627975974</v>
      </c>
      <c r="M638" s="4"/>
    </row>
    <row r="639" s="1" customFormat="1" spans="6:13">
      <c r="F639" s="13">
        <v>45636</v>
      </c>
      <c r="G639" s="14">
        <v>1.05428576</v>
      </c>
      <c r="H639" s="14">
        <v>1.05626831</v>
      </c>
      <c r="I639" s="3" t="str">
        <f>IF(G639&gt;MAX($G$3:G638),"新高","/")</f>
        <v>新高</v>
      </c>
      <c r="J639" s="26">
        <f t="shared" si="26"/>
        <v>0.00870261974506126</v>
      </c>
      <c r="K639" s="26">
        <f t="shared" si="25"/>
        <v>0.0217915522700345</v>
      </c>
      <c r="M639" s="4"/>
    </row>
    <row r="640" s="1" customFormat="1" spans="6:13">
      <c r="F640" s="13">
        <v>45637</v>
      </c>
      <c r="G640" s="14">
        <v>1.05433076</v>
      </c>
      <c r="H640" s="14">
        <v>1.05632819</v>
      </c>
      <c r="I640" s="3" t="str">
        <f>IF(G640&gt;MAX($G$3:G639),"新高","/")</f>
        <v>新高</v>
      </c>
      <c r="J640" s="26">
        <f t="shared" si="26"/>
        <v>0.00869108923911854</v>
      </c>
      <c r="K640" s="26">
        <f t="shared" si="25"/>
        <v>0.0218165076361909</v>
      </c>
      <c r="M640" s="4"/>
    </row>
    <row r="641" s="1" customFormat="1" spans="6:13">
      <c r="F641" s="13">
        <v>45638</v>
      </c>
      <c r="G641" s="14">
        <v>1.05440109</v>
      </c>
      <c r="H641" s="14">
        <v>1.05641801</v>
      </c>
      <c r="I641" s="3" t="str">
        <f>IF(G641&gt;MAX($G$3:G640),"新高","/")</f>
        <v>新高</v>
      </c>
      <c r="J641" s="26">
        <f t="shared" si="26"/>
        <v>0.00862216089632373</v>
      </c>
      <c r="K641" s="26">
        <f t="shared" si="25"/>
        <v>0.0218457486478172</v>
      </c>
      <c r="M641" s="4"/>
    </row>
    <row r="642" s="1" customFormat="1" spans="6:13">
      <c r="F642" s="13">
        <v>45639</v>
      </c>
      <c r="G642" s="14">
        <v>1.05466712</v>
      </c>
      <c r="H642" s="14">
        <v>1.05659125</v>
      </c>
      <c r="I642" s="3" t="str">
        <f>IF(G642&gt;MAX($G$3:G641),"新高","/")</f>
        <v>新高</v>
      </c>
      <c r="J642" s="26">
        <f t="shared" si="26"/>
        <v>0.00883645658157062</v>
      </c>
      <c r="K642" s="26">
        <f t="shared" si="25"/>
        <v>0.0219203962465566</v>
      </c>
      <c r="M642" s="4"/>
    </row>
    <row r="643" s="1" customFormat="1" spans="6:13">
      <c r="F643" s="13">
        <v>45642</v>
      </c>
      <c r="G643" s="14">
        <v>1.05491333</v>
      </c>
      <c r="H643" s="14">
        <v>1.0568098</v>
      </c>
      <c r="I643" s="3" t="str">
        <f>IF(G643&gt;MAX($G$3:G642),"新高","/")</f>
        <v>新高</v>
      </c>
      <c r="J643" s="26">
        <f t="shared" si="26"/>
        <v>0.00902223203036279</v>
      </c>
      <c r="K643" s="26">
        <f t="shared" si="25"/>
        <v>0.0221233769781637</v>
      </c>
      <c r="M643" s="4"/>
    </row>
    <row r="644" s="1" customFormat="1" spans="6:13">
      <c r="F644" s="13">
        <v>45643</v>
      </c>
      <c r="G644" s="14">
        <v>1.05487318</v>
      </c>
      <c r="H644" s="14">
        <v>1.05684068</v>
      </c>
      <c r="I644" s="3" t="str">
        <f>IF(G644&gt;MAX($G$3:G643),"新高","/")</f>
        <v>/</v>
      </c>
      <c r="J644" s="26">
        <f t="shared" si="26"/>
        <v>0.00894053653128069</v>
      </c>
      <c r="K644" s="26">
        <f t="shared" si="25"/>
        <v>0.0219543245427558</v>
      </c>
      <c r="M644" s="4"/>
    </row>
    <row r="645" s="1" customFormat="1" spans="6:13">
      <c r="F645" s="13">
        <v>45644</v>
      </c>
      <c r="G645" s="14">
        <v>1.05486159</v>
      </c>
      <c r="H645" s="14">
        <v>1.05688653</v>
      </c>
      <c r="I645" s="3" t="str">
        <f>IF(G645&gt;MAX($G$3:G644),"新高","/")</f>
        <v>/</v>
      </c>
      <c r="J645" s="26">
        <f t="shared" si="26"/>
        <v>0.0088984564353185</v>
      </c>
      <c r="K645" s="26">
        <f t="shared" si="25"/>
        <v>0.0218334993376776</v>
      </c>
      <c r="M645" s="4"/>
    </row>
    <row r="646" s="1" customFormat="1" spans="6:13">
      <c r="F646" s="13">
        <v>45645</v>
      </c>
      <c r="G646" s="14">
        <v>1.05486213</v>
      </c>
      <c r="H646" s="14">
        <v>1.05695432</v>
      </c>
      <c r="I646" s="3" t="str">
        <f>IF(G646&gt;MAX($G$3:G645),"新高","/")</f>
        <v>/</v>
      </c>
      <c r="J646" s="26">
        <f t="shared" si="26"/>
        <v>0.00875969360681217</v>
      </c>
      <c r="K646" s="26">
        <f t="shared" si="25"/>
        <v>0.0216673209743405</v>
      </c>
      <c r="M646" s="4"/>
    </row>
    <row r="647" s="1" customFormat="1" spans="6:13">
      <c r="F647" s="13">
        <v>45646</v>
      </c>
      <c r="G647" s="14">
        <v>1.05503359</v>
      </c>
      <c r="H647" s="14">
        <v>1.05711582</v>
      </c>
      <c r="I647" s="3" t="str">
        <f>IF(G647&gt;MAX($G$3:G646),"新高","/")</f>
        <v>新高</v>
      </c>
      <c r="J647" s="26">
        <f t="shared" si="26"/>
        <v>0.00884352767063556</v>
      </c>
      <c r="K647" s="26">
        <f t="shared" si="25"/>
        <v>0.0215751645264624</v>
      </c>
      <c r="M647" s="4"/>
    </row>
    <row r="648" s="1" customFormat="1" spans="6:13">
      <c r="F648" s="13">
        <v>45649</v>
      </c>
      <c r="G648" s="14">
        <v>1.05525681</v>
      </c>
      <c r="H648" s="14">
        <v>1.05738313</v>
      </c>
      <c r="I648" s="3" t="str">
        <f>IF(G648&gt;MAX($G$3:G647),"新高","/")</f>
        <v>新高</v>
      </c>
      <c r="J648" s="26">
        <f t="shared" si="26"/>
        <v>0.00901962583814409</v>
      </c>
      <c r="K648" s="26">
        <f t="shared" si="25"/>
        <v>0.021684126565287</v>
      </c>
      <c r="M648" s="4"/>
    </row>
    <row r="649" s="1" customFormat="1" spans="6:13">
      <c r="F649" s="13">
        <v>45650</v>
      </c>
      <c r="G649" s="14">
        <v>1.05529607</v>
      </c>
      <c r="H649" s="14">
        <v>1.05751585</v>
      </c>
      <c r="I649" s="3" t="str">
        <f>IF(G649&gt;MAX($G$3:G648),"新高","/")</f>
        <v>新高</v>
      </c>
      <c r="J649" s="26">
        <f t="shared" si="26"/>
        <v>0.00897971386766194</v>
      </c>
      <c r="K649" s="26">
        <f t="shared" si="25"/>
        <v>0.0216534806270186</v>
      </c>
      <c r="M649" s="4"/>
    </row>
    <row r="650" s="1" customFormat="1" spans="6:13">
      <c r="F650" s="13">
        <v>45651</v>
      </c>
      <c r="G650" s="14">
        <v>1.05524915</v>
      </c>
      <c r="H650" s="14">
        <v>1.05753676</v>
      </c>
      <c r="I650" s="3" t="str">
        <f>IF(G650&gt;MAX($G$3:G649),"新高","/")</f>
        <v>/</v>
      </c>
      <c r="J650" s="26">
        <f t="shared" si="26"/>
        <v>0.00885222772868133</v>
      </c>
      <c r="K650" s="26">
        <f t="shared" si="25"/>
        <v>0.021574806002038</v>
      </c>
      <c r="M650" s="4"/>
    </row>
    <row r="651" s="1" customFormat="1" spans="6:13">
      <c r="F651" s="13">
        <v>45652</v>
      </c>
      <c r="G651" s="14">
        <v>1.055241</v>
      </c>
      <c r="H651" s="14">
        <v>1.05751879</v>
      </c>
      <c r="I651" s="3" t="str">
        <f>IF(G651&gt;MAX($G$3:G650),"新高","/")</f>
        <v>/</v>
      </c>
      <c r="J651" s="26">
        <f t="shared" si="26"/>
        <v>0.00874314608033044</v>
      </c>
      <c r="K651" s="26">
        <f t="shared" si="25"/>
        <v>0.0214694626377212</v>
      </c>
      <c r="M651" s="4"/>
    </row>
    <row r="652" s="1" customFormat="1" spans="6:13">
      <c r="F652" s="13">
        <v>45653</v>
      </c>
      <c r="G652" s="14">
        <v>1.0554227</v>
      </c>
      <c r="H652" s="14">
        <v>1.05760134</v>
      </c>
      <c r="I652" s="3" t="str">
        <f>IF(G652&gt;MAX($G$3:G651),"新高","/")</f>
        <v>新高</v>
      </c>
      <c r="J652" s="26">
        <f t="shared" si="26"/>
        <v>0.00885427904693459</v>
      </c>
      <c r="K652" s="26">
        <f t="shared" si="25"/>
        <v>0.0214432167355914</v>
      </c>
      <c r="M652" s="4"/>
    </row>
    <row r="653" s="1" customFormat="1" spans="6:13">
      <c r="F653" s="13">
        <v>45656</v>
      </c>
      <c r="G653" s="14">
        <v>1.05556889</v>
      </c>
      <c r="H653" s="14">
        <v>1.05772655</v>
      </c>
      <c r="I653" s="3" t="str">
        <f>IF(G653&gt;MAX($G$3:G652),"新高","/")</f>
        <v>新高</v>
      </c>
      <c r="J653" s="26">
        <f t="shared" si="26"/>
        <v>0.00890136053631774</v>
      </c>
      <c r="K653" s="26">
        <f t="shared" si="25"/>
        <v>0.0214340749380029</v>
      </c>
      <c r="M653" s="4"/>
    </row>
    <row r="654" s="1" customFormat="1" spans="6:13">
      <c r="F654" s="13">
        <v>45657</v>
      </c>
      <c r="G654" s="14">
        <v>1.05577166</v>
      </c>
      <c r="H654" s="14">
        <v>1.05777669</v>
      </c>
      <c r="I654" s="3" t="str">
        <f>IF(G654&gt;MAX($G$3:G653),"新高","/")</f>
        <v>新高</v>
      </c>
      <c r="J654" s="26">
        <f t="shared" si="26"/>
        <v>0.00904276831423556</v>
      </c>
      <c r="K654" s="26">
        <f t="shared" si="25"/>
        <v>0.0214214506835866</v>
      </c>
      <c r="M654" s="4"/>
    </row>
    <row r="655" s="1" customFormat="1" spans="6:13">
      <c r="F655" s="13">
        <v>45659</v>
      </c>
      <c r="G655" s="14">
        <v>1.05601263</v>
      </c>
      <c r="H655" s="14">
        <v>1.05786479</v>
      </c>
      <c r="I655" s="3" t="str">
        <f>IF(G655&gt;MAX($G$3:G654),"新高","/")</f>
        <v>新高</v>
      </c>
      <c r="J655" s="26">
        <f t="shared" si="26"/>
        <v>0.00926121805992852</v>
      </c>
      <c r="K655" s="26">
        <f t="shared" si="25"/>
        <v>0.0214003939927518</v>
      </c>
      <c r="M655" s="4"/>
    </row>
    <row r="656" s="1" customFormat="1" spans="6:13">
      <c r="F656" s="13">
        <v>45660</v>
      </c>
      <c r="G656" s="14">
        <v>1.05614621</v>
      </c>
      <c r="H656" s="14">
        <v>1.05789896</v>
      </c>
      <c r="I656" s="3" t="str">
        <f>IF(G656&gt;MAX($G$3:G655),"新高","/")</f>
        <v>新高</v>
      </c>
      <c r="J656" s="26">
        <f t="shared" si="26"/>
        <v>0.00936053247101021</v>
      </c>
      <c r="K656" s="26">
        <f t="shared" si="25"/>
        <v>0.021315412167594</v>
      </c>
      <c r="M656" s="4"/>
    </row>
    <row r="657" s="1" customFormat="1" spans="6:13">
      <c r="F657" s="13">
        <v>45663</v>
      </c>
      <c r="G657" s="14">
        <v>1.05629326</v>
      </c>
      <c r="H657" s="14">
        <v>1.05799206</v>
      </c>
      <c r="I657" s="3" t="str">
        <f>IF(G657&gt;MAX($G$3:G656),"新高","/")</f>
        <v>新高</v>
      </c>
      <c r="J657" s="26">
        <f t="shared" si="26"/>
        <v>0.0094236795238738</v>
      </c>
      <c r="K657" s="26">
        <f t="shared" si="25"/>
        <v>0.0211853863736069</v>
      </c>
      <c r="M657" s="4"/>
    </row>
    <row r="658" s="1" customFormat="1" spans="6:13">
      <c r="F658" s="13">
        <v>45664</v>
      </c>
      <c r="G658" s="14">
        <v>1.05625825</v>
      </c>
      <c r="H658" s="14">
        <v>1.05799154</v>
      </c>
      <c r="I658" s="3" t="str">
        <f>IF(G658&gt;MAX($G$3:G657),"新高","/")</f>
        <v>/</v>
      </c>
      <c r="J658" s="26">
        <f t="shared" si="26"/>
        <v>0.00933990221104053</v>
      </c>
      <c r="K658" s="26">
        <f t="shared" si="25"/>
        <v>0.0211313815318726</v>
      </c>
      <c r="M658" s="4"/>
    </row>
    <row r="659" s="1" customFormat="1" spans="6:13">
      <c r="F659" s="13">
        <v>45665</v>
      </c>
      <c r="G659" s="14">
        <v>1.05624944</v>
      </c>
      <c r="H659" s="14">
        <v>1.0579596</v>
      </c>
      <c r="I659" s="3" t="str">
        <f>IF(G659&gt;MAX($G$3:G658),"新高","/")</f>
        <v>/</v>
      </c>
      <c r="J659" s="26">
        <f t="shared" si="26"/>
        <v>0.00927796641212875</v>
      </c>
      <c r="K659" s="26">
        <f t="shared" si="25"/>
        <v>0.0210637269192833</v>
      </c>
      <c r="M659" s="4"/>
    </row>
    <row r="660" s="1" customFormat="1" spans="6:13">
      <c r="F660" s="13">
        <v>45666</v>
      </c>
      <c r="G660" s="14">
        <v>1.05617396</v>
      </c>
      <c r="H660" s="14">
        <v>1.05789769</v>
      </c>
      <c r="I660" s="3" t="str">
        <f>IF(G660&gt;MAX($G$3:G659),"新高","/")</f>
        <v>/</v>
      </c>
      <c r="J660" s="26">
        <f t="shared" si="26"/>
        <v>0.00912298524780031</v>
      </c>
      <c r="K660" s="26">
        <f t="shared" si="25"/>
        <v>0.0209188056942846</v>
      </c>
      <c r="M660" s="4"/>
    </row>
    <row r="661" s="1" customFormat="1" spans="6:13">
      <c r="F661" s="13">
        <v>45667</v>
      </c>
      <c r="G661" s="14">
        <v>1.05610876</v>
      </c>
      <c r="H661" s="14">
        <v>1.05788493</v>
      </c>
      <c r="I661" s="3" t="str">
        <f>IF(G661&gt;MAX($G$3:G660),"新高","/")</f>
        <v>/</v>
      </c>
      <c r="J661" s="26">
        <f t="shared" si="26"/>
        <v>0.0089454534372575</v>
      </c>
      <c r="K661" s="26">
        <f t="shared" si="25"/>
        <v>0.0206417155452321</v>
      </c>
      <c r="M661" s="4"/>
    </row>
    <row r="662" s="1" customFormat="1" spans="6:13">
      <c r="F662" s="13">
        <v>45670</v>
      </c>
      <c r="G662" s="14">
        <v>1.05604015</v>
      </c>
      <c r="H662" s="14">
        <v>1.05795913</v>
      </c>
      <c r="I662" s="3" t="str">
        <f>IF(G662&gt;MAX($G$3:G661),"新高","/")</f>
        <v>/</v>
      </c>
      <c r="J662" s="26">
        <f t="shared" si="26"/>
        <v>0.00883789598271756</v>
      </c>
      <c r="K662" s="26">
        <f t="shared" si="25"/>
        <v>0.0204217275510128</v>
      </c>
      <c r="M662" s="4"/>
    </row>
    <row r="663" s="1" customFormat="1" spans="6:13">
      <c r="F663" s="13">
        <v>45671</v>
      </c>
      <c r="G663" s="14">
        <v>1.05601452</v>
      </c>
      <c r="H663" s="14">
        <v>1.05788698</v>
      </c>
      <c r="I663" s="3" t="str">
        <f>IF(G663&gt;MAX($G$3:G662),"新高","/")</f>
        <v>/</v>
      </c>
      <c r="J663" s="26">
        <f t="shared" si="26"/>
        <v>0.00876987249324124</v>
      </c>
      <c r="K663" s="26">
        <f t="shared" si="25"/>
        <v>0.0203156053647804</v>
      </c>
      <c r="M663" s="4"/>
    </row>
    <row r="664" s="1" customFormat="1" spans="6:13">
      <c r="F664" s="13">
        <v>45672</v>
      </c>
      <c r="G664" s="14">
        <v>1.05601899</v>
      </c>
      <c r="H664" s="14">
        <v>1.05793938</v>
      </c>
      <c r="I664" s="3" t="str">
        <f>IF(G664&gt;MAX($G$3:G663),"新高","/")</f>
        <v>/</v>
      </c>
      <c r="J664" s="26">
        <f t="shared" si="26"/>
        <v>0.00875378114668313</v>
      </c>
      <c r="K664" s="26">
        <f t="shared" si="25"/>
        <v>0.0202657164711306</v>
      </c>
      <c r="M664" s="4"/>
    </row>
    <row r="665" s="1" customFormat="1" spans="6:13">
      <c r="F665" s="13">
        <v>45673</v>
      </c>
      <c r="G665" s="14">
        <v>1.05586311</v>
      </c>
      <c r="H665" s="14">
        <v>1.05789093</v>
      </c>
      <c r="I665" s="3" t="str">
        <f>IF(G665&gt;MAX($G$3:G664),"新高","/")</f>
        <v>/</v>
      </c>
      <c r="J665" s="26">
        <f t="shared" si="26"/>
        <v>0.00851490833684232</v>
      </c>
      <c r="K665" s="26">
        <f t="shared" si="25"/>
        <v>0.0200501193569895</v>
      </c>
      <c r="M665" s="4"/>
    </row>
    <row r="666" s="1" customFormat="1" spans="6:13">
      <c r="F666" s="13">
        <v>45674</v>
      </c>
      <c r="G666" s="14">
        <v>1.05583553</v>
      </c>
      <c r="H666" s="14">
        <v>1.05786583</v>
      </c>
      <c r="I666" s="3" t="str">
        <f>IF(G666&gt;MAX($G$3:G665),"新高","/")</f>
        <v>/</v>
      </c>
      <c r="J666" s="26">
        <f t="shared" si="26"/>
        <v>0.0083156887209026</v>
      </c>
      <c r="K666" s="26">
        <f t="shared" si="25"/>
        <v>0.019824378783603</v>
      </c>
      <c r="M666" s="4"/>
    </row>
    <row r="667" s="1" customFormat="1" spans="6:13">
      <c r="F667" s="13">
        <v>45677</v>
      </c>
      <c r="G667" s="14">
        <v>1.05584578</v>
      </c>
      <c r="H667" s="14">
        <v>1.05794069</v>
      </c>
      <c r="I667" s="3" t="str">
        <f>IF(G667&gt;MAX($G$3:G666),"新高","/")</f>
        <v>/</v>
      </c>
      <c r="J667" s="26">
        <f t="shared" si="26"/>
        <v>0.00824311390644072</v>
      </c>
      <c r="K667" s="26">
        <f t="shared" si="25"/>
        <v>0.0198015469944706</v>
      </c>
      <c r="M667" s="4"/>
    </row>
    <row r="668" s="1" customFormat="1" spans="6:13">
      <c r="F668" s="13">
        <v>45678</v>
      </c>
      <c r="G668" s="14">
        <v>1.05589677</v>
      </c>
      <c r="H668" s="14">
        <v>1.05793173</v>
      </c>
      <c r="I668" s="3" t="str">
        <f>IF(G668&gt;MAX($G$3:G667),"新高","/")</f>
        <v>/</v>
      </c>
      <c r="J668" s="26">
        <f t="shared" si="26"/>
        <v>0.00822047377111512</v>
      </c>
      <c r="K668" s="26">
        <f t="shared" si="25"/>
        <v>0.0197827841538192</v>
      </c>
      <c r="M668" s="4"/>
    </row>
    <row r="669" s="1" customFormat="1" spans="6:13">
      <c r="F669" s="13">
        <v>45679</v>
      </c>
      <c r="G669" s="14">
        <v>1.05599558</v>
      </c>
      <c r="H669" s="14">
        <v>1.05799188</v>
      </c>
      <c r="I669" s="3" t="str">
        <f>IF(G669&gt;MAX($G$3:G668),"新高","/")</f>
        <v>/</v>
      </c>
      <c r="J669" s="26">
        <f t="shared" si="26"/>
        <v>0.00825107053844709</v>
      </c>
      <c r="K669" s="26">
        <f t="shared" si="25"/>
        <v>0.0197850622089359</v>
      </c>
      <c r="M669" s="4"/>
    </row>
    <row r="670" s="1" customFormat="1" spans="6:13">
      <c r="F670" s="13">
        <v>45680</v>
      </c>
      <c r="G670" s="14">
        <v>1.05591499</v>
      </c>
      <c r="H670" s="14">
        <v>1.0580064</v>
      </c>
      <c r="I670" s="3" t="str">
        <f>IF(G670&gt;MAX($G$3:G669),"新高","/")</f>
        <v>/</v>
      </c>
      <c r="J670" s="26">
        <f t="shared" si="26"/>
        <v>0.00809210846645958</v>
      </c>
      <c r="K670" s="26">
        <f t="shared" si="25"/>
        <v>0.0196191188105246</v>
      </c>
      <c r="M670" s="4"/>
    </row>
    <row r="671" s="1" customFormat="1" spans="6:13">
      <c r="F671" s="13">
        <v>45681</v>
      </c>
      <c r="G671" s="14">
        <v>1.05590516</v>
      </c>
      <c r="H671" s="14">
        <v>1.05797988</v>
      </c>
      <c r="I671" s="3" t="str">
        <f>IF(G671&gt;MAX($G$3:G670),"新高","/")</f>
        <v>/</v>
      </c>
      <c r="J671" s="26">
        <f t="shared" si="26"/>
        <v>0.00791722316696974</v>
      </c>
      <c r="K671" s="26">
        <f t="shared" si="25"/>
        <v>0.0194049577266153</v>
      </c>
      <c r="M671" s="4"/>
    </row>
    <row r="672" s="1" customFormat="1" spans="6:13">
      <c r="F672" s="13">
        <v>45684</v>
      </c>
      <c r="G672" s="14">
        <v>1.05623813</v>
      </c>
      <c r="H672" s="14">
        <v>1.05824223</v>
      </c>
      <c r="I672" s="3" t="str">
        <f>IF(G672&gt;MAX($G$3:G671),"新高","/")</f>
        <v>/</v>
      </c>
      <c r="J672" s="26">
        <f t="shared" si="26"/>
        <v>0.00816203795700932</v>
      </c>
      <c r="K672" s="26">
        <f t="shared" si="25"/>
        <v>0.0196512683001828</v>
      </c>
      <c r="M672" s="4"/>
    </row>
    <row r="673" s="1" customFormat="1" spans="6:13">
      <c r="F673" s="13">
        <v>45693</v>
      </c>
      <c r="G673" s="14">
        <v>1.05665924</v>
      </c>
      <c r="H673" s="14">
        <v>1.05870992</v>
      </c>
      <c r="I673" s="3" t="str">
        <f>IF(G673&gt;MAX($G$3:G672),"新高","/")</f>
        <v>新高</v>
      </c>
      <c r="J673" s="26">
        <f t="shared" si="26"/>
        <v>0.00848655994513292</v>
      </c>
      <c r="K673" s="26">
        <f t="shared" si="25"/>
        <v>0.0199716846791553</v>
      </c>
      <c r="M673" s="4"/>
    </row>
    <row r="674" s="1" customFormat="1" spans="6:13">
      <c r="F674" s="13">
        <v>45694</v>
      </c>
      <c r="G674" s="14">
        <v>1.05680607</v>
      </c>
      <c r="H674" s="14">
        <v>1.05880265</v>
      </c>
      <c r="I674" s="3" t="str">
        <f>IF(G674&gt;MAX($G$3:G673),"新高","/")</f>
        <v>新高</v>
      </c>
      <c r="J674" s="26">
        <f t="shared" si="26"/>
        <v>0.00850765991427505</v>
      </c>
      <c r="K674" s="26">
        <f t="shared" si="25"/>
        <v>0.0200270268932037</v>
      </c>
      <c r="M674" s="4"/>
    </row>
    <row r="675" s="1" customFormat="1" spans="6:13">
      <c r="F675" s="13">
        <v>45695</v>
      </c>
      <c r="G675" s="14">
        <v>1.05692518</v>
      </c>
      <c r="H675" s="14">
        <v>1.0588692</v>
      </c>
      <c r="I675" s="3" t="str">
        <f>IF(G675&gt;MAX($G$3:G674),"新高","/")</f>
        <v>新高</v>
      </c>
      <c r="J675" s="26">
        <f t="shared" si="26"/>
        <v>0.00851294801874625</v>
      </c>
      <c r="K675" s="26">
        <f t="shared" si="25"/>
        <v>0.0200640732447428</v>
      </c>
      <c r="M675" s="4"/>
    </row>
    <row r="676" s="1" customFormat="1" spans="6:13">
      <c r="F676" s="13">
        <v>45698</v>
      </c>
      <c r="G676" s="14">
        <v>1.05697725</v>
      </c>
      <c r="H676" s="14">
        <v>1.05897363</v>
      </c>
      <c r="I676" s="3" t="str">
        <f>IF(G676&gt;MAX($G$3:G675),"新高","/")</f>
        <v>新高</v>
      </c>
      <c r="J676" s="26">
        <f t="shared" si="26"/>
        <v>0.00841608597377719</v>
      </c>
      <c r="K676" s="26">
        <f t="shared" si="25"/>
        <v>0.0199338837029182</v>
      </c>
      <c r="M676" s="4"/>
    </row>
    <row r="677" s="1" customFormat="1" spans="6:13">
      <c r="F677" s="13">
        <v>45699</v>
      </c>
      <c r="G677" s="14">
        <v>1.05695987</v>
      </c>
      <c r="H677" s="14">
        <v>1.05900727</v>
      </c>
      <c r="I677" s="3" t="str">
        <f>IF(G677&gt;MAX($G$3:G676),"新高","/")</f>
        <v>/</v>
      </c>
      <c r="J677" s="26">
        <f t="shared" si="26"/>
        <v>0.00839996626454442</v>
      </c>
      <c r="K677" s="26">
        <f t="shared" si="25"/>
        <v>0.0197456495704658</v>
      </c>
      <c r="M677" s="4"/>
    </row>
    <row r="678" s="1" customFormat="1" spans="6:13">
      <c r="F678" s="13">
        <v>45700</v>
      </c>
      <c r="G678" s="14">
        <v>1.05700993</v>
      </c>
      <c r="H678" s="14">
        <v>1.05901462</v>
      </c>
      <c r="I678" s="3" t="str">
        <f>IF(G678&gt;MAX($G$3:G677),"新高","/")</f>
        <v>新高</v>
      </c>
      <c r="J678" s="26">
        <f t="shared" si="26"/>
        <v>0.00834828217082317</v>
      </c>
      <c r="K678" s="26">
        <f t="shared" si="25"/>
        <v>0.0196293789101261</v>
      </c>
      <c r="M678" s="4"/>
    </row>
    <row r="679" s="1" customFormat="1" spans="6:13">
      <c r="F679" s="13">
        <v>45701</v>
      </c>
      <c r="G679" s="14">
        <v>1.05701509</v>
      </c>
      <c r="H679" s="14">
        <v>1.05905857</v>
      </c>
      <c r="I679" s="3" t="str">
        <f>IF(G679&gt;MAX($G$3:G678),"新高","/")</f>
        <v>新高</v>
      </c>
      <c r="J679" s="26">
        <f t="shared" si="26"/>
        <v>0.00840328526422041</v>
      </c>
      <c r="K679" s="26">
        <f t="shared" si="25"/>
        <v>0.0195571810963988</v>
      </c>
      <c r="M679" s="4"/>
    </row>
    <row r="680" s="1" customFormat="1" spans="6:13">
      <c r="F680" s="13">
        <v>45702</v>
      </c>
      <c r="G680" s="14">
        <v>1.05692518</v>
      </c>
      <c r="H680" s="14">
        <v>1.05902446</v>
      </c>
      <c r="I680" s="3" t="str">
        <f>IF(G680&gt;MAX($G$3:G679),"新高","/")</f>
        <v>/</v>
      </c>
      <c r="J680" s="26">
        <f t="shared" si="26"/>
        <v>0.00837736598701189</v>
      </c>
      <c r="K680" s="26">
        <f t="shared" si="25"/>
        <v>0.01937798225335</v>
      </c>
      <c r="M680" s="4"/>
    </row>
    <row r="681" s="1" customFormat="1" spans="6:13">
      <c r="F681" s="13">
        <v>45705</v>
      </c>
      <c r="G681" s="14">
        <v>1.05691815</v>
      </c>
      <c r="H681" s="14">
        <v>1.0591407</v>
      </c>
      <c r="I681" s="3" t="str">
        <f>IF(G681&gt;MAX($G$3:G680),"新高","/")</f>
        <v>/</v>
      </c>
      <c r="J681" s="26">
        <f t="shared" si="26"/>
        <v>0.00847283928910647</v>
      </c>
      <c r="K681" s="26">
        <f t="shared" si="25"/>
        <v>0.0191167062497695</v>
      </c>
      <c r="M681" s="4"/>
    </row>
    <row r="682" s="1" customFormat="1" spans="6:13">
      <c r="F682" s="13">
        <v>45706</v>
      </c>
      <c r="G682" s="14">
        <v>1.05676964</v>
      </c>
      <c r="H682" s="14">
        <v>1.05903949</v>
      </c>
      <c r="I682" s="3" t="str">
        <f>IF(G682&gt;MAX($G$3:G681),"新高","/")</f>
        <v>/</v>
      </c>
      <c r="J682" s="26">
        <f t="shared" si="26"/>
        <v>0.00827937743524054</v>
      </c>
      <c r="K682" s="26">
        <f t="shared" si="25"/>
        <v>0.0189804641716638</v>
      </c>
      <c r="M682" s="4"/>
    </row>
    <row r="683" s="1" customFormat="1" spans="6:13">
      <c r="F683" s="13">
        <v>45707</v>
      </c>
      <c r="G683" s="14">
        <v>1.05681363</v>
      </c>
      <c r="H683" s="14">
        <v>1.05908605</v>
      </c>
      <c r="I683" s="3" t="str">
        <f>IF(G683&gt;MAX($G$3:G682),"新高","/")</f>
        <v>/</v>
      </c>
      <c r="J683" s="26">
        <f t="shared" si="26"/>
        <v>0.00820623306115165</v>
      </c>
      <c r="K683" s="26">
        <f t="shared" si="25"/>
        <v>0.0189267935223163</v>
      </c>
      <c r="M683" s="4"/>
    </row>
    <row r="684" s="1" customFormat="1" spans="6:13">
      <c r="F684" s="13">
        <v>45708</v>
      </c>
      <c r="G684" s="14">
        <v>1.05672118</v>
      </c>
      <c r="H684" s="14">
        <v>1.05907361</v>
      </c>
      <c r="I684" s="3" t="str">
        <f>IF(G684&gt;MAX($G$3:G683),"新高","/")</f>
        <v>/</v>
      </c>
      <c r="J684" s="26">
        <f t="shared" si="26"/>
        <v>0.00809835820539839</v>
      </c>
      <c r="K684" s="26">
        <f t="shared" si="25"/>
        <v>0.0187282105638447</v>
      </c>
      <c r="M684" s="4"/>
    </row>
    <row r="685" s="1" customFormat="1" spans="6:13">
      <c r="F685" s="13">
        <v>45709</v>
      </c>
      <c r="G685" s="14">
        <v>1.05659929</v>
      </c>
      <c r="H685" s="14">
        <v>1.05905921</v>
      </c>
      <c r="I685" s="3" t="str">
        <f>IF(G685&gt;MAX($G$3:G684),"新高","/")</f>
        <v>/</v>
      </c>
      <c r="J685" s="26">
        <f t="shared" si="26"/>
        <v>0.0079331624055865</v>
      </c>
      <c r="K685" s="26">
        <f t="shared" si="25"/>
        <v>0.0179881399966442</v>
      </c>
      <c r="M685" s="4"/>
    </row>
    <row r="686" s="1" customFormat="1" spans="6:13">
      <c r="F686" s="13">
        <v>45712</v>
      </c>
      <c r="G686" s="14">
        <v>1.05653625</v>
      </c>
      <c r="H686" s="14">
        <v>1.05915015</v>
      </c>
      <c r="I686" s="3" t="str">
        <f>IF(G686&gt;MAX($G$3:G685),"新高","/")</f>
        <v>/</v>
      </c>
      <c r="J686" s="26">
        <f t="shared" si="26"/>
        <v>0.00772304268580748</v>
      </c>
      <c r="K686" s="26">
        <f t="shared" si="25"/>
        <v>0.0177851883398166</v>
      </c>
      <c r="M686" s="4"/>
    </row>
    <row r="687" s="1" customFormat="1" spans="6:13">
      <c r="F687" s="13">
        <v>45713</v>
      </c>
      <c r="G687" s="14">
        <v>1.05649436</v>
      </c>
      <c r="H687" s="14">
        <v>1.05915601</v>
      </c>
      <c r="I687" s="3" t="str">
        <f>IF(G687&gt;MAX($G$3:G686),"新高","/")</f>
        <v>/</v>
      </c>
      <c r="J687" s="26">
        <f t="shared" si="26"/>
        <v>0.00763044026894621</v>
      </c>
      <c r="K687" s="26">
        <f t="shared" si="25"/>
        <v>0.017645165570163</v>
      </c>
      <c r="M687" s="4"/>
    </row>
    <row r="688" s="1" customFormat="1" spans="6:13">
      <c r="F688" s="13">
        <v>45714</v>
      </c>
      <c r="G688" s="14">
        <v>1.05658117</v>
      </c>
      <c r="H688" s="14">
        <v>1.05921467</v>
      </c>
      <c r="I688" s="3" t="str">
        <f>IF(G688&gt;MAX($G$3:G687),"新高","/")</f>
        <v>/</v>
      </c>
      <c r="J688" s="26">
        <f t="shared" si="26"/>
        <v>0.00774972971682009</v>
      </c>
      <c r="K688" s="26">
        <f t="shared" si="25"/>
        <v>0.0175987527557326</v>
      </c>
      <c r="M688" s="4"/>
    </row>
    <row r="689" s="1" customFormat="1" spans="6:13">
      <c r="F689" s="13">
        <v>45715</v>
      </c>
      <c r="G689" s="14">
        <v>1.05658419</v>
      </c>
      <c r="H689" s="14">
        <v>1.05923488</v>
      </c>
      <c r="I689" s="3" t="str">
        <f>IF(G689&gt;MAX($G$3:G688),"新高","/")</f>
        <v>/</v>
      </c>
      <c r="J689" s="26">
        <f t="shared" si="26"/>
        <v>0.00771859520705043</v>
      </c>
      <c r="K689" s="26">
        <f t="shared" si="25"/>
        <v>0.0174929649795754</v>
      </c>
      <c r="M689" s="4"/>
    </row>
    <row r="690" s="1" customFormat="1" spans="6:13">
      <c r="F690" s="13">
        <v>45716</v>
      </c>
      <c r="G690" s="14">
        <v>1.05658667</v>
      </c>
      <c r="H690" s="14">
        <v>1.05928043</v>
      </c>
      <c r="I690" s="3" t="str">
        <f>IF(G690&gt;MAX($G$3:G689),"新高","/")</f>
        <v>/</v>
      </c>
      <c r="J690" s="26">
        <f t="shared" si="26"/>
        <v>0.007711945330241</v>
      </c>
      <c r="K690" s="26">
        <f t="shared" si="25"/>
        <v>0.0172890287941583</v>
      </c>
      <c r="M690" s="4"/>
    </row>
    <row r="691" s="1" customFormat="1" spans="6:13">
      <c r="F691" s="13">
        <v>45719</v>
      </c>
      <c r="G691" s="14">
        <v>1.0568164</v>
      </c>
      <c r="H691" s="14">
        <v>1.05943609</v>
      </c>
      <c r="I691" s="3" t="str">
        <f>IF(G691&gt;MAX($G$3:G690),"新高","/")</f>
        <v>/</v>
      </c>
      <c r="J691" s="26">
        <f t="shared" si="26"/>
        <v>0.00787301790512807</v>
      </c>
      <c r="K691" s="26">
        <f t="shared" si="25"/>
        <v>0.0174068016209019</v>
      </c>
      <c r="M691" s="4"/>
    </row>
    <row r="692" s="1" customFormat="1" spans="6:13">
      <c r="F692" s="13">
        <v>45720</v>
      </c>
      <c r="G692" s="14">
        <v>1.05694182</v>
      </c>
      <c r="H692" s="14">
        <v>1.05950186</v>
      </c>
      <c r="I692" s="3" t="str">
        <f>IF(G692&gt;MAX($G$3:G691),"新高","/")</f>
        <v>/</v>
      </c>
      <c r="J692" s="26">
        <f t="shared" si="26"/>
        <v>0.00807393401830114</v>
      </c>
      <c r="K692" s="26">
        <f t="shared" si="25"/>
        <v>0.0174255410470152</v>
      </c>
      <c r="M692" s="4"/>
    </row>
    <row r="693" s="1" customFormat="1" spans="6:13">
      <c r="F693" s="13">
        <v>45721</v>
      </c>
      <c r="G693" s="14">
        <v>1.05701639</v>
      </c>
      <c r="H693" s="14">
        <v>1.05957068</v>
      </c>
      <c r="I693" s="3" t="str">
        <f>IF(G693&gt;MAX($G$3:G692),"新高","/")</f>
        <v>新高</v>
      </c>
      <c r="J693" s="26">
        <f t="shared" si="26"/>
        <v>0.00811650914637441</v>
      </c>
      <c r="K693" s="26">
        <f t="shared" si="25"/>
        <v>0.0173846981245993</v>
      </c>
      <c r="M693" s="4"/>
    </row>
    <row r="694" s="1" customFormat="1" spans="6:13">
      <c r="F694" s="13">
        <v>45722</v>
      </c>
      <c r="G694" s="14">
        <v>1.05702919</v>
      </c>
      <c r="H694" s="14">
        <v>1.05961964</v>
      </c>
      <c r="I694" s="3" t="str">
        <f>IF(G694&gt;MAX($G$3:G693),"新高","/")</f>
        <v>新高</v>
      </c>
      <c r="J694" s="26">
        <f t="shared" si="26"/>
        <v>0.00804205568831295</v>
      </c>
      <c r="K694" s="26">
        <f t="shared" si="25"/>
        <v>0.0174245065153362</v>
      </c>
      <c r="M694" s="4"/>
    </row>
    <row r="695" s="1" customFormat="1" spans="6:13">
      <c r="F695" s="13">
        <v>45723</v>
      </c>
      <c r="G695" s="14">
        <v>1.05686817</v>
      </c>
      <c r="H695" s="14">
        <v>1.05956719</v>
      </c>
      <c r="I695" s="3" t="str">
        <f>IF(G695&gt;MAX($G$3:G694),"新高","/")</f>
        <v>/</v>
      </c>
      <c r="J695" s="26">
        <f t="shared" si="26"/>
        <v>0.00780372919016692</v>
      </c>
      <c r="K695" s="26">
        <f t="shared" ref="K695:K758" si="27">G695/G451-1</f>
        <v>0.0170713871081236</v>
      </c>
      <c r="M695" s="4"/>
    </row>
    <row r="696" s="1" customFormat="1" spans="6:13">
      <c r="F696" s="13">
        <v>45726</v>
      </c>
      <c r="G696" s="14">
        <v>1.05695542</v>
      </c>
      <c r="H696" s="14">
        <v>1.05971527</v>
      </c>
      <c r="I696" s="3" t="str">
        <f>IF(G696&gt;MAX($G$3:G695),"新高","/")</f>
        <v>/</v>
      </c>
      <c r="J696" s="26">
        <f t="shared" si="26"/>
        <v>0.00766114082157876</v>
      </c>
      <c r="K696" s="26">
        <f t="shared" si="27"/>
        <v>0.0170969174504914</v>
      </c>
      <c r="M696" s="4"/>
    </row>
    <row r="697" s="1" customFormat="1" spans="6:13">
      <c r="F697" s="13">
        <v>45727</v>
      </c>
      <c r="G697" s="14">
        <v>1.05690986</v>
      </c>
      <c r="H697" s="14">
        <v>1.05972817</v>
      </c>
      <c r="I697" s="3" t="str">
        <f>IF(G697&gt;MAX($G$3:G696),"新高","/")</f>
        <v>/</v>
      </c>
      <c r="J697" s="26">
        <f t="shared" si="26"/>
        <v>0.00755027432585864</v>
      </c>
      <c r="K697" s="26">
        <f t="shared" si="27"/>
        <v>0.0169687871626387</v>
      </c>
      <c r="M697" s="4"/>
    </row>
    <row r="698" s="1" customFormat="1" spans="6:13">
      <c r="F698" s="13">
        <v>45728</v>
      </c>
      <c r="G698" s="14">
        <v>1.0569767</v>
      </c>
      <c r="H698" s="14">
        <v>1.05979473</v>
      </c>
      <c r="I698" s="3" t="str">
        <f>IF(G698&gt;MAX($G$3:G697),"新高","/")</f>
        <v>/</v>
      </c>
      <c r="J698" s="26">
        <f t="shared" si="26"/>
        <v>0.00754647977757705</v>
      </c>
      <c r="K698" s="26">
        <f t="shared" si="27"/>
        <v>0.0169618935882268</v>
      </c>
      <c r="M698" s="4"/>
    </row>
    <row r="699" s="1" customFormat="1" spans="6:13">
      <c r="F699" s="13">
        <v>45729</v>
      </c>
      <c r="G699" s="14">
        <v>1.05715567</v>
      </c>
      <c r="H699" s="14">
        <v>1.05988474</v>
      </c>
      <c r="I699" s="3" t="str">
        <f>IF(G699&gt;MAX($G$3:G698),"新高","/")</f>
        <v>新高</v>
      </c>
      <c r="J699" s="26">
        <f t="shared" si="26"/>
        <v>0.00766587364777482</v>
      </c>
      <c r="K699" s="26">
        <f t="shared" si="27"/>
        <v>0.0170881828283242</v>
      </c>
      <c r="M699" s="4"/>
    </row>
    <row r="700" s="1" customFormat="1" spans="6:13">
      <c r="F700" s="13">
        <v>45730</v>
      </c>
      <c r="G700" s="14">
        <v>1.05728034</v>
      </c>
      <c r="H700" s="14">
        <v>1.05995638</v>
      </c>
      <c r="I700" s="3" t="str">
        <f>IF(G700&gt;MAX($G$3:G699),"新高","/")</f>
        <v>新高</v>
      </c>
      <c r="J700" s="26">
        <f t="shared" ref="J700:J763" si="28">G700/G579-1</f>
        <v>0.00773249148758559</v>
      </c>
      <c r="K700" s="26">
        <f t="shared" si="27"/>
        <v>0.0170680036355784</v>
      </c>
      <c r="M700" s="4"/>
    </row>
    <row r="701" s="1" customFormat="1" spans="6:13">
      <c r="F701" s="13">
        <v>45733</v>
      </c>
      <c r="G701" s="14">
        <v>1.05736465</v>
      </c>
      <c r="H701" s="14">
        <v>1.06007465</v>
      </c>
      <c r="I701" s="3" t="str">
        <f>IF(G701&gt;MAX($G$3:G700),"新高","/")</f>
        <v>新高</v>
      </c>
      <c r="J701" s="26">
        <f t="shared" si="28"/>
        <v>0.00768254495103893</v>
      </c>
      <c r="K701" s="26">
        <f t="shared" si="27"/>
        <v>0.0171797533981015</v>
      </c>
      <c r="M701" s="4"/>
    </row>
    <row r="702" s="1" customFormat="1" spans="6:13">
      <c r="F702" s="13">
        <v>45734</v>
      </c>
      <c r="G702" s="14">
        <v>1.05747394</v>
      </c>
      <c r="H702" s="14">
        <v>1.06011655</v>
      </c>
      <c r="I702" s="3" t="str">
        <f>IF(G702&gt;MAX($G$3:G701),"新高","/")</f>
        <v>新高</v>
      </c>
      <c r="J702" s="26">
        <f t="shared" si="28"/>
        <v>0.00774388543833848</v>
      </c>
      <c r="K702" s="26">
        <f t="shared" si="27"/>
        <v>0.0172846452014284</v>
      </c>
      <c r="M702" s="4"/>
    </row>
    <row r="703" s="1" customFormat="1" spans="6:13">
      <c r="F703" s="13">
        <v>45735</v>
      </c>
      <c r="G703" s="14">
        <v>1.05755229</v>
      </c>
      <c r="H703" s="14">
        <v>1.06016603</v>
      </c>
      <c r="I703" s="3" t="str">
        <f>IF(G703&gt;MAX($G$3:G702),"新高","/")</f>
        <v>新高</v>
      </c>
      <c r="J703" s="26">
        <f t="shared" si="28"/>
        <v>0.00776892820940533</v>
      </c>
      <c r="K703" s="26">
        <f t="shared" si="27"/>
        <v>0.0173670250161213</v>
      </c>
      <c r="M703" s="4"/>
    </row>
    <row r="704" s="1" customFormat="1" spans="6:13">
      <c r="F704" s="13">
        <v>45736</v>
      </c>
      <c r="G704" s="14">
        <v>1.05772609</v>
      </c>
      <c r="H704" s="14">
        <v>1.06025405</v>
      </c>
      <c r="I704" s="3" t="str">
        <f>IF(G704&gt;MAX($G$3:G703),"新高","/")</f>
        <v>新高</v>
      </c>
      <c r="J704" s="26">
        <f t="shared" si="28"/>
        <v>0.00787498084732197</v>
      </c>
      <c r="K704" s="26">
        <f t="shared" si="27"/>
        <v>0.0174816876812287</v>
      </c>
      <c r="M704" s="4"/>
    </row>
    <row r="705" s="1" customFormat="1" spans="6:13">
      <c r="F705" s="13">
        <v>45737</v>
      </c>
      <c r="G705" s="14">
        <v>1.05784052</v>
      </c>
      <c r="H705" s="14">
        <v>1.06032749</v>
      </c>
      <c r="I705" s="3" t="str">
        <f>IF(G705&gt;MAX($G$3:G704),"新高","/")</f>
        <v>新高</v>
      </c>
      <c r="J705" s="26">
        <f t="shared" si="28"/>
        <v>0.00790411233517618</v>
      </c>
      <c r="K705" s="26">
        <f t="shared" si="27"/>
        <v>0.017386437434886</v>
      </c>
      <c r="M705" s="4"/>
    </row>
    <row r="706" s="1" customFormat="1" spans="6:13">
      <c r="F706" s="13">
        <v>45740</v>
      </c>
      <c r="G706" s="14">
        <v>1.05801956</v>
      </c>
      <c r="H706" s="14">
        <v>1.06047825</v>
      </c>
      <c r="I706" s="3" t="str">
        <f>IF(G706&gt;MAX($G$3:G705),"新高","/")</f>
        <v>新高</v>
      </c>
      <c r="J706" s="26">
        <f t="shared" si="28"/>
        <v>0.00780279268040451</v>
      </c>
      <c r="K706" s="26">
        <f t="shared" si="27"/>
        <v>0.017455188514901</v>
      </c>
      <c r="M706" s="4"/>
    </row>
    <row r="707" s="1" customFormat="1" spans="6:13">
      <c r="F707" s="13">
        <v>45741</v>
      </c>
      <c r="G707" s="14">
        <v>1.05815166</v>
      </c>
      <c r="H707" s="14">
        <v>1.06055794</v>
      </c>
      <c r="I707" s="3" t="str">
        <f>IF(G707&gt;MAX($G$3:G706),"新高","/")</f>
        <v>新高</v>
      </c>
      <c r="J707" s="26">
        <f t="shared" si="28"/>
        <v>0.00792656823302584</v>
      </c>
      <c r="K707" s="26">
        <f t="shared" si="27"/>
        <v>0.0175267909436287</v>
      </c>
      <c r="M707" s="4"/>
    </row>
    <row r="708" s="1" customFormat="1" spans="6:13">
      <c r="F708" s="13">
        <v>45742</v>
      </c>
      <c r="G708" s="14">
        <v>1.05823074</v>
      </c>
      <c r="H708" s="14">
        <v>1.06061191</v>
      </c>
      <c r="I708" s="3" t="str">
        <f>IF(G708&gt;MAX($G$3:G707),"新高","/")</f>
        <v>新高</v>
      </c>
      <c r="J708" s="26">
        <f t="shared" si="28"/>
        <v>0.0079656212745014</v>
      </c>
      <c r="K708" s="26">
        <f t="shared" si="27"/>
        <v>0.017525790890101</v>
      </c>
      <c r="M708" s="4"/>
    </row>
    <row r="709" s="1" customFormat="1" spans="6:13">
      <c r="F709" s="13">
        <v>45743</v>
      </c>
      <c r="G709" s="14">
        <v>1.05829773</v>
      </c>
      <c r="H709" s="14">
        <v>1.06065901</v>
      </c>
      <c r="I709" s="3" t="str">
        <f>IF(G709&gt;MAX($G$3:G708),"新高","/")</f>
        <v>新高</v>
      </c>
      <c r="J709" s="26">
        <f t="shared" si="28"/>
        <v>0.00788696335368289</v>
      </c>
      <c r="K709" s="26">
        <f t="shared" si="27"/>
        <v>0.0175275774794157</v>
      </c>
      <c r="M709" s="4"/>
    </row>
    <row r="710" s="1" customFormat="1" spans="6:13">
      <c r="F710" s="13">
        <v>45744</v>
      </c>
      <c r="G710" s="14">
        <v>1.05836333</v>
      </c>
      <c r="H710" s="14">
        <v>1.06071517</v>
      </c>
      <c r="I710" s="3" t="str">
        <f>IF(G710&gt;MAX($G$3:G709),"新高","/")</f>
        <v>新高</v>
      </c>
      <c r="J710" s="26">
        <f t="shared" si="28"/>
        <v>0.00791685936776543</v>
      </c>
      <c r="K710" s="26">
        <f t="shared" si="27"/>
        <v>0.0174355993055204</v>
      </c>
      <c r="M710" s="4"/>
    </row>
    <row r="711" s="1" customFormat="1" spans="6:13">
      <c r="F711" s="13">
        <v>45747</v>
      </c>
      <c r="G711" s="14">
        <v>1.0584967</v>
      </c>
      <c r="H711" s="14">
        <v>1.06085859</v>
      </c>
      <c r="I711" s="3" t="str">
        <f>IF(G711&gt;MAX($G$3:G710),"新高","/")</f>
        <v>新高</v>
      </c>
      <c r="J711" s="26">
        <f t="shared" si="28"/>
        <v>0.0079125620128826</v>
      </c>
      <c r="K711" s="26">
        <f t="shared" si="27"/>
        <v>0.0175293309151341</v>
      </c>
      <c r="M711" s="4"/>
    </row>
    <row r="712" s="1" customFormat="1" spans="6:13">
      <c r="F712" s="13">
        <v>45748</v>
      </c>
      <c r="G712" s="14">
        <v>1.05855575</v>
      </c>
      <c r="H712" s="14">
        <v>1.06089785</v>
      </c>
      <c r="I712" s="3" t="str">
        <f>IF(G712&gt;MAX($G$3:G711),"新高","/")</f>
        <v>新高</v>
      </c>
      <c r="J712" s="26">
        <f t="shared" si="28"/>
        <v>0.00796259942501276</v>
      </c>
      <c r="K712" s="26">
        <f t="shared" si="27"/>
        <v>0.0175052339404413</v>
      </c>
      <c r="M712" s="4"/>
    </row>
    <row r="713" s="1" customFormat="1" spans="6:13">
      <c r="F713" s="13">
        <v>45749</v>
      </c>
      <c r="G713" s="14">
        <v>1.05866187</v>
      </c>
      <c r="H713" s="14">
        <v>1.06096695</v>
      </c>
      <c r="I713" s="3" t="str">
        <f>IF(G713&gt;MAX($G$3:G712),"新高","/")</f>
        <v>新高</v>
      </c>
      <c r="J713" s="26">
        <f t="shared" si="28"/>
        <v>0.00830631649083635</v>
      </c>
      <c r="K713" s="26">
        <f t="shared" si="27"/>
        <v>0.0175358684220202</v>
      </c>
      <c r="M713" s="4"/>
    </row>
    <row r="714" s="1" customFormat="1" spans="6:13">
      <c r="F714" s="13">
        <v>45750</v>
      </c>
      <c r="G714" s="14">
        <v>1.05900401</v>
      </c>
      <c r="H714" s="14">
        <v>1.06113907</v>
      </c>
      <c r="I714" s="3" t="str">
        <f>IF(G714&gt;MAX($G$3:G713),"新高","/")</f>
        <v>新高</v>
      </c>
      <c r="J714" s="26">
        <f t="shared" si="28"/>
        <v>0.00897662813101929</v>
      </c>
      <c r="K714" s="26">
        <f t="shared" si="27"/>
        <v>0.017750579262706</v>
      </c>
      <c r="M714" s="4"/>
    </row>
    <row r="715" s="1" customFormat="1" spans="6:13">
      <c r="F715" s="13">
        <v>45754</v>
      </c>
      <c r="G715" s="14">
        <v>1.05951918</v>
      </c>
      <c r="H715" s="14">
        <v>1.06144701</v>
      </c>
      <c r="I715" s="3" t="str">
        <f>IF(G715&gt;MAX($G$3:G714),"新高","/")</f>
        <v>新高</v>
      </c>
      <c r="J715" s="26">
        <f t="shared" si="28"/>
        <v>0.00936045554704101</v>
      </c>
      <c r="K715" s="26">
        <f t="shared" si="27"/>
        <v>0.0181024368933733</v>
      </c>
      <c r="M715" s="4"/>
    </row>
    <row r="716" s="1" customFormat="1" spans="6:13">
      <c r="F716" s="13">
        <v>45755</v>
      </c>
      <c r="G716" s="14">
        <v>1.05946973</v>
      </c>
      <c r="H716" s="14">
        <v>1.06144401</v>
      </c>
      <c r="I716" s="3" t="str">
        <f>IF(G716&gt;MAX($G$3:G715),"新高","/")</f>
        <v>/</v>
      </c>
      <c r="J716" s="26">
        <f t="shared" si="28"/>
        <v>0.00966759325573485</v>
      </c>
      <c r="K716" s="26">
        <f t="shared" si="27"/>
        <v>0.0179333466063976</v>
      </c>
      <c r="M716" s="4"/>
    </row>
    <row r="717" s="1" customFormat="1" spans="6:13">
      <c r="F717" s="13">
        <v>45756</v>
      </c>
      <c r="G717" s="14">
        <v>1.05948915</v>
      </c>
      <c r="H717" s="14">
        <v>1.06151532</v>
      </c>
      <c r="I717" s="3" t="str">
        <f>IF(G717&gt;MAX($G$3:G716),"新高","/")</f>
        <v>/</v>
      </c>
      <c r="J717" s="26">
        <f t="shared" si="28"/>
        <v>0.00950564826338263</v>
      </c>
      <c r="K717" s="26">
        <f t="shared" si="27"/>
        <v>0.0178072949719326</v>
      </c>
      <c r="M717" s="4"/>
    </row>
    <row r="718" s="1" customFormat="1" spans="6:13">
      <c r="F718" s="13">
        <v>45757</v>
      </c>
      <c r="G718" s="14">
        <v>1.05951009</v>
      </c>
      <c r="H718" s="14">
        <v>1.06157678</v>
      </c>
      <c r="I718" s="3" t="str">
        <f>IF(G718&gt;MAX($G$3:G717),"新高","/")</f>
        <v>/</v>
      </c>
      <c r="J718" s="26">
        <f t="shared" si="28"/>
        <v>0.00923901654780934</v>
      </c>
      <c r="K718" s="26">
        <f t="shared" si="27"/>
        <v>0.0175546139506111</v>
      </c>
      <c r="M718" s="4"/>
    </row>
    <row r="719" s="1" customFormat="1" spans="6:13">
      <c r="F719" s="13">
        <v>45758</v>
      </c>
      <c r="G719" s="14">
        <v>1.05961105</v>
      </c>
      <c r="H719" s="14">
        <v>1.06166625</v>
      </c>
      <c r="I719" s="3" t="str">
        <f>IF(G719&gt;MAX($G$3:G718),"新高","/")</f>
        <v>新高</v>
      </c>
      <c r="J719" s="26">
        <f t="shared" si="28"/>
        <v>0.00889346117125567</v>
      </c>
      <c r="K719" s="26">
        <f t="shared" si="27"/>
        <v>0.0175208424669744</v>
      </c>
      <c r="M719" s="4"/>
    </row>
    <row r="720" s="1" customFormat="1" spans="6:13">
      <c r="F720" s="13">
        <v>45761</v>
      </c>
      <c r="G720" s="14">
        <v>1.05972315</v>
      </c>
      <c r="H720" s="14">
        <v>1.06179897</v>
      </c>
      <c r="I720" s="3" t="str">
        <f>IF(G720&gt;MAX($G$3:G719),"新高","/")</f>
        <v>新高</v>
      </c>
      <c r="J720" s="26">
        <f t="shared" si="28"/>
        <v>0.00883284930183814</v>
      </c>
      <c r="K720" s="26">
        <f t="shared" si="27"/>
        <v>0.0175453166250605</v>
      </c>
      <c r="M720" s="4"/>
    </row>
    <row r="721" s="1" customFormat="1" spans="6:13">
      <c r="F721" s="13">
        <v>45762</v>
      </c>
      <c r="G721" s="14">
        <v>1.05974101</v>
      </c>
      <c r="H721" s="14">
        <v>1.06183022</v>
      </c>
      <c r="I721" s="3" t="str">
        <f>IF(G721&gt;MAX($G$3:G720),"新高","/")</f>
        <v>新高</v>
      </c>
      <c r="J721" s="26">
        <f t="shared" si="28"/>
        <v>0.00875832395688603</v>
      </c>
      <c r="K721" s="26">
        <f t="shared" si="27"/>
        <v>0.0174370752434199</v>
      </c>
      <c r="M721" s="4"/>
    </row>
    <row r="722" s="1" customFormat="1" spans="6:13">
      <c r="F722" s="13">
        <v>45763</v>
      </c>
      <c r="G722" s="14">
        <v>1.05976804</v>
      </c>
      <c r="H722" s="14">
        <v>1.06187797</v>
      </c>
      <c r="I722" s="3" t="str">
        <f>IF(G722&gt;MAX($G$3:G721),"新高","/")</f>
        <v>新高</v>
      </c>
      <c r="J722" s="26">
        <f t="shared" si="28"/>
        <v>0.00868706776686468</v>
      </c>
      <c r="K722" s="26">
        <f t="shared" si="27"/>
        <v>0.0172945871211614</v>
      </c>
      <c r="M722" s="4"/>
    </row>
    <row r="723" s="1" customFormat="1" spans="6:13">
      <c r="F723" s="13">
        <v>45764</v>
      </c>
      <c r="G723" s="14">
        <v>1.05978671</v>
      </c>
      <c r="H723" s="14">
        <v>1.06193152</v>
      </c>
      <c r="I723" s="3" t="str">
        <f>IF(G723&gt;MAX($G$3:G722),"新高","/")</f>
        <v>新高</v>
      </c>
      <c r="J723" s="26">
        <f t="shared" si="28"/>
        <v>0.00866503431183996</v>
      </c>
      <c r="K723" s="26">
        <f t="shared" si="27"/>
        <v>0.0171180874991848</v>
      </c>
      <c r="M723" s="4"/>
    </row>
    <row r="724" s="1" customFormat="1" spans="6:13">
      <c r="F724" s="13">
        <v>45765</v>
      </c>
      <c r="G724" s="14">
        <v>1.05982463</v>
      </c>
      <c r="H724" s="14">
        <v>1.06197784</v>
      </c>
      <c r="I724" s="3" t="str">
        <f>IF(G724&gt;MAX($G$3:G723),"新高","/")</f>
        <v>新高</v>
      </c>
      <c r="J724" s="26">
        <f t="shared" si="28"/>
        <v>0.00857939668825947</v>
      </c>
      <c r="K724" s="26">
        <f t="shared" si="27"/>
        <v>0.0171072835914619</v>
      </c>
      <c r="M724" s="4"/>
    </row>
    <row r="725" s="1" customFormat="1" spans="6:13">
      <c r="F725" s="13">
        <v>45768</v>
      </c>
      <c r="G725" s="14">
        <v>1.05988404</v>
      </c>
      <c r="H725" s="14">
        <v>1.06210045</v>
      </c>
      <c r="I725" s="3" t="str">
        <f>IF(G725&gt;MAX($G$3:G724),"新高","/")</f>
        <v>新高</v>
      </c>
      <c r="J725" s="26">
        <f t="shared" si="28"/>
        <v>0.00866170711812519</v>
      </c>
      <c r="K725" s="26">
        <f t="shared" si="27"/>
        <v>0.0170656767167909</v>
      </c>
      <c r="M725" s="4"/>
    </row>
    <row r="726" s="1" customFormat="1" spans="6:13">
      <c r="F726" s="13">
        <v>45769</v>
      </c>
      <c r="G726" s="14">
        <v>1.05991944</v>
      </c>
      <c r="H726" s="14">
        <v>1.06215056</v>
      </c>
      <c r="I726" s="3" t="str">
        <f>IF(G726&gt;MAX($G$3:G725),"新高","/")</f>
        <v>新高</v>
      </c>
      <c r="J726" s="26">
        <f t="shared" si="28"/>
        <v>0.00880192325763174</v>
      </c>
      <c r="K726" s="26">
        <f t="shared" si="27"/>
        <v>0.0169840318588896</v>
      </c>
      <c r="M726" s="4"/>
    </row>
    <row r="727" s="1" customFormat="1" spans="6:13">
      <c r="F727" s="13">
        <v>45770</v>
      </c>
      <c r="G727" s="14">
        <v>1.05990361</v>
      </c>
      <c r="H727" s="14">
        <v>1.06218898</v>
      </c>
      <c r="I727" s="3" t="str">
        <f>IF(G727&gt;MAX($G$3:G726),"新高","/")</f>
        <v>/</v>
      </c>
      <c r="J727" s="26">
        <f t="shared" si="28"/>
        <v>0.00876415961375687</v>
      </c>
      <c r="K727" s="26">
        <f t="shared" si="27"/>
        <v>0.0168272000685368</v>
      </c>
      <c r="M727" s="4"/>
    </row>
    <row r="728" s="1" customFormat="1" spans="6:13">
      <c r="F728" s="13">
        <v>45771</v>
      </c>
      <c r="G728" s="14">
        <v>1.05990468</v>
      </c>
      <c r="H728" s="14">
        <v>1.06223572</v>
      </c>
      <c r="I728" s="3" t="str">
        <f>IF(G728&gt;MAX($G$3:G727),"新高","/")</f>
        <v>/</v>
      </c>
      <c r="J728" s="26">
        <f t="shared" si="28"/>
        <v>0.0087554619384369</v>
      </c>
      <c r="K728" s="26">
        <f t="shared" si="27"/>
        <v>0.0166079960762309</v>
      </c>
      <c r="M728" s="4"/>
    </row>
    <row r="729" s="1" customFormat="1" spans="6:13">
      <c r="F729" s="13">
        <v>45772</v>
      </c>
      <c r="G729" s="14">
        <v>1.05991376</v>
      </c>
      <c r="H729" s="14">
        <v>1.06228835</v>
      </c>
      <c r="I729" s="3" t="str">
        <f>IF(G729&gt;MAX($G$3:G728),"新高","/")</f>
        <v>/</v>
      </c>
      <c r="J729" s="26">
        <f t="shared" si="28"/>
        <v>0.00866594483450212</v>
      </c>
      <c r="K729" s="26">
        <f t="shared" si="27"/>
        <v>0.016458989596108</v>
      </c>
      <c r="M729" s="4"/>
    </row>
    <row r="730" s="1" customFormat="1" spans="6:13">
      <c r="F730" s="13">
        <v>45775</v>
      </c>
      <c r="G730" s="14">
        <v>1.06004569</v>
      </c>
      <c r="H730" s="14">
        <v>1.06240384</v>
      </c>
      <c r="I730" s="3" t="str">
        <f>IF(G730&gt;MAX($G$3:G729),"新高","/")</f>
        <v>新高</v>
      </c>
      <c r="J730" s="26">
        <f t="shared" si="28"/>
        <v>0.00874223990676271</v>
      </c>
      <c r="K730" s="26">
        <f t="shared" si="27"/>
        <v>0.0166737474301679</v>
      </c>
      <c r="L730" s="26">
        <f t="shared" ref="L730:L793" si="29">G730/G3-1</f>
        <v>0.0600456899999999</v>
      </c>
      <c r="M730" s="27"/>
    </row>
    <row r="731" s="1" customFormat="1" spans="6:13">
      <c r="F731" s="13">
        <v>45776</v>
      </c>
      <c r="G731" s="14">
        <v>1.06019981</v>
      </c>
      <c r="H731" s="14">
        <v>1.062453</v>
      </c>
      <c r="I731" s="3" t="str">
        <f>IF(G731&gt;MAX($G$3:G730),"新高","/")</f>
        <v>新高</v>
      </c>
      <c r="J731" s="26">
        <f t="shared" si="28"/>
        <v>0.00885431107732315</v>
      </c>
      <c r="K731" s="26">
        <f t="shared" si="27"/>
        <v>0.0168183238712725</v>
      </c>
      <c r="L731" s="26">
        <f t="shared" si="29"/>
        <v>0.0601173328715028</v>
      </c>
      <c r="M731" s="27"/>
    </row>
    <row r="732" s="1" customFormat="1" spans="6:13">
      <c r="F732" s="13">
        <v>45777</v>
      </c>
      <c r="G732" s="14">
        <v>1.06030993</v>
      </c>
      <c r="H732" s="14">
        <v>1.06250188</v>
      </c>
      <c r="I732" s="3" t="str">
        <f>IF(G732&gt;MAX($G$3:G731),"新高","/")</f>
        <v>新高</v>
      </c>
      <c r="J732" s="26">
        <f t="shared" si="28"/>
        <v>0.00886567975097297</v>
      </c>
      <c r="K732" s="26">
        <f t="shared" si="27"/>
        <v>0.0169617912723647</v>
      </c>
      <c r="L732" s="26">
        <f t="shared" si="29"/>
        <v>0.0601673692938509</v>
      </c>
      <c r="M732" s="27"/>
    </row>
    <row r="733" s="1" customFormat="1" spans="6:13">
      <c r="F733" s="13">
        <v>45783</v>
      </c>
      <c r="G733" s="14">
        <v>1.06052776</v>
      </c>
      <c r="H733" s="14">
        <v>1.062774</v>
      </c>
      <c r="I733" s="3" t="str">
        <f>IF(G733&gt;MAX($G$3:G732),"新高","/")</f>
        <v>新高</v>
      </c>
      <c r="J733" s="26">
        <f t="shared" si="28"/>
        <v>0.00892304142197564</v>
      </c>
      <c r="K733" s="26">
        <f t="shared" si="27"/>
        <v>0.0172719624922413</v>
      </c>
      <c r="L733" s="26">
        <f t="shared" si="29"/>
        <v>0.0599796339314975</v>
      </c>
      <c r="M733" s="27"/>
    </row>
    <row r="734" s="1" customFormat="1" spans="6:13">
      <c r="F734" s="13">
        <v>45784</v>
      </c>
      <c r="G734" s="14">
        <v>1.06061224</v>
      </c>
      <c r="H734" s="14">
        <v>1.06286503</v>
      </c>
      <c r="I734" s="3" t="str">
        <f>IF(G734&gt;MAX($G$3:G733),"新高","/")</f>
        <v>新高</v>
      </c>
      <c r="J734" s="26">
        <f t="shared" si="28"/>
        <v>0.00882190593345555</v>
      </c>
      <c r="K734" s="26">
        <f t="shared" si="27"/>
        <v>0.0171903570085956</v>
      </c>
      <c r="L734" s="26">
        <f t="shared" si="29"/>
        <v>0.060030813099015</v>
      </c>
      <c r="M734" s="27"/>
    </row>
    <row r="735" s="1" customFormat="1" spans="6:13">
      <c r="F735" s="13">
        <v>45785</v>
      </c>
      <c r="G735" s="14">
        <v>1.06084649</v>
      </c>
      <c r="H735" s="14">
        <v>1.06297161</v>
      </c>
      <c r="I735" s="3" t="str">
        <f>IF(G735&gt;MAX($G$3:G734),"新高","/")</f>
        <v>新高</v>
      </c>
      <c r="J735" s="26">
        <f t="shared" si="28"/>
        <v>0.00896084022515597</v>
      </c>
      <c r="K735" s="26">
        <f t="shared" si="27"/>
        <v>0.0171043412910494</v>
      </c>
      <c r="L735" s="26">
        <f t="shared" si="29"/>
        <v>0.0599740571527794</v>
      </c>
      <c r="M735" s="27"/>
    </row>
    <row r="736" s="1" customFormat="1" spans="6:13">
      <c r="F736" s="13">
        <v>45786</v>
      </c>
      <c r="G736" s="14">
        <v>1.06101502</v>
      </c>
      <c r="H736" s="14">
        <v>1.06305504</v>
      </c>
      <c r="I736" s="3" t="str">
        <f>IF(G736&gt;MAX($G$3:G735),"新高","/")</f>
        <v>新高</v>
      </c>
      <c r="J736" s="26">
        <f t="shared" si="28"/>
        <v>0.00906168311502675</v>
      </c>
      <c r="K736" s="26">
        <f t="shared" si="27"/>
        <v>0.0171377910001047</v>
      </c>
      <c r="L736" s="26">
        <f t="shared" si="29"/>
        <v>0.0599502258016662</v>
      </c>
      <c r="M736" s="27"/>
    </row>
    <row r="737" s="1" customFormat="1" spans="6:13">
      <c r="F737" s="13">
        <v>45789</v>
      </c>
      <c r="G737" s="14">
        <v>1.06110689</v>
      </c>
      <c r="H737" s="14">
        <v>1.06317801</v>
      </c>
      <c r="I737" s="3" t="str">
        <f>IF(G737&gt;MAX($G$3:G736),"新高","/")</f>
        <v>新高</v>
      </c>
      <c r="J737" s="26">
        <f t="shared" si="28"/>
        <v>0.00900468310731073</v>
      </c>
      <c r="K737" s="26">
        <f t="shared" si="27"/>
        <v>0.0170993993449273</v>
      </c>
      <c r="L737" s="26">
        <f t="shared" si="29"/>
        <v>0.0599222996394768</v>
      </c>
      <c r="M737" s="27"/>
    </row>
    <row r="738" s="1" customFormat="1" spans="6:13">
      <c r="F738" s="13">
        <v>45790</v>
      </c>
      <c r="G738" s="14">
        <v>1.06122404</v>
      </c>
      <c r="H738" s="14">
        <v>1.06321728</v>
      </c>
      <c r="I738" s="3" t="str">
        <f>IF(G738&gt;MAX($G$3:G737),"新高","/")</f>
        <v>新高</v>
      </c>
      <c r="J738" s="26">
        <f t="shared" si="28"/>
        <v>0.00903267259734708</v>
      </c>
      <c r="K738" s="26">
        <f t="shared" si="27"/>
        <v>0.0172006633508708</v>
      </c>
      <c r="L738" s="26">
        <f t="shared" si="29"/>
        <v>0.0598843144300309</v>
      </c>
      <c r="M738" s="27"/>
    </row>
    <row r="739" s="1" customFormat="1" spans="6:13">
      <c r="F739" s="13">
        <v>45791</v>
      </c>
      <c r="G739" s="14">
        <v>1.06128135</v>
      </c>
      <c r="H739" s="14">
        <v>1.06326903</v>
      </c>
      <c r="I739" s="3" t="str">
        <f>IF(G739&gt;MAX($G$3:G738),"新高","/")</f>
        <v>新高</v>
      </c>
      <c r="J739" s="26">
        <f t="shared" si="28"/>
        <v>0.00893291609505398</v>
      </c>
      <c r="K739" s="26">
        <f t="shared" si="27"/>
        <v>0.0172006447284909</v>
      </c>
      <c r="L739" s="26">
        <f t="shared" si="29"/>
        <v>0.0597749117561861</v>
      </c>
      <c r="M739" s="27"/>
    </row>
    <row r="740" s="1" customFormat="1" spans="6:13">
      <c r="F740" s="13">
        <v>45792</v>
      </c>
      <c r="G740" s="14">
        <v>1.0613341</v>
      </c>
      <c r="H740" s="14">
        <v>1.06330109</v>
      </c>
      <c r="I740" s="3" t="str">
        <f>IF(G740&gt;MAX($G$3:G739),"新高","/")</f>
        <v>新高</v>
      </c>
      <c r="J740" s="26">
        <f t="shared" si="28"/>
        <v>0.00888863835684117</v>
      </c>
      <c r="K740" s="26">
        <f t="shared" si="27"/>
        <v>0.0170842820017207</v>
      </c>
      <c r="L740" s="26">
        <f t="shared" si="29"/>
        <v>0.059609997976193</v>
      </c>
      <c r="M740" s="27"/>
    </row>
    <row r="741" s="1" customFormat="1" spans="6:13">
      <c r="F741" s="13">
        <v>45793</v>
      </c>
      <c r="G741" s="14">
        <v>1.06129135</v>
      </c>
      <c r="H741" s="14">
        <v>1.06331004</v>
      </c>
      <c r="I741" s="3" t="str">
        <f>IF(G741&gt;MAX($G$3:G740),"新高","/")</f>
        <v>/</v>
      </c>
      <c r="J741" s="26">
        <f t="shared" si="28"/>
        <v>0.00881001642730217</v>
      </c>
      <c r="K741" s="26">
        <f t="shared" si="27"/>
        <v>0.0169545713788533</v>
      </c>
      <c r="L741" s="26">
        <f t="shared" si="29"/>
        <v>0.0593750464784253</v>
      </c>
      <c r="M741" s="27"/>
    </row>
    <row r="742" s="1" customFormat="1" spans="6:13">
      <c r="F742" s="13">
        <v>45796</v>
      </c>
      <c r="G742" s="14">
        <v>1.06142751</v>
      </c>
      <c r="H742" s="14">
        <v>1.06343888</v>
      </c>
      <c r="I742" s="3" t="str">
        <f>IF(G742&gt;MAX($G$3:G741),"新高","/")</f>
        <v>新高</v>
      </c>
      <c r="J742" s="26">
        <f t="shared" si="28"/>
        <v>0.00887608300240128</v>
      </c>
      <c r="K742" s="26">
        <f t="shared" si="27"/>
        <v>0.0170054639200168</v>
      </c>
      <c r="L742" s="26">
        <f t="shared" si="29"/>
        <v>0.0593313475028152</v>
      </c>
      <c r="M742" s="27"/>
    </row>
    <row r="743" s="1" customFormat="1" spans="6:13">
      <c r="F743" s="13">
        <v>45797</v>
      </c>
      <c r="G743" s="14">
        <v>1.06149784</v>
      </c>
      <c r="H743" s="14">
        <v>1.06348634</v>
      </c>
      <c r="I743" s="3" t="str">
        <f>IF(G743&gt;MAX($G$3:G742),"新高","/")</f>
        <v>新高</v>
      </c>
      <c r="J743" s="26">
        <f t="shared" si="28"/>
        <v>0.0088863345378849</v>
      </c>
      <c r="K743" s="26">
        <f t="shared" si="27"/>
        <v>0.0170290288268959</v>
      </c>
      <c r="L743" s="26">
        <f t="shared" si="29"/>
        <v>0.0592286016053507</v>
      </c>
      <c r="M743" s="27"/>
    </row>
    <row r="744" s="1" customFormat="1" spans="6:13">
      <c r="F744" s="13">
        <v>45798</v>
      </c>
      <c r="G744" s="14">
        <v>1.06155107</v>
      </c>
      <c r="H744" s="14">
        <v>1.06353243</v>
      </c>
      <c r="I744" s="3" t="str">
        <f>IF(G744&gt;MAX($G$3:G743),"新高","/")</f>
        <v>新高</v>
      </c>
      <c r="J744" s="26">
        <f t="shared" si="28"/>
        <v>0.00881595251777845</v>
      </c>
      <c r="K744" s="26">
        <f t="shared" si="27"/>
        <v>0.0170487590436816</v>
      </c>
      <c r="L744" s="26">
        <f t="shared" si="29"/>
        <v>0.0592261744696563</v>
      </c>
      <c r="M744" s="27"/>
    </row>
    <row r="745" s="1" customFormat="1" spans="6:13">
      <c r="F745" s="13">
        <v>45799</v>
      </c>
      <c r="G745" s="14">
        <v>1.0616148</v>
      </c>
      <c r="H745" s="14">
        <v>1.06357496</v>
      </c>
      <c r="I745" s="3" t="str">
        <f>IF(G745&gt;MAX($G$3:G744),"新高","/")</f>
        <v>新高</v>
      </c>
      <c r="J745" s="26">
        <f t="shared" si="28"/>
        <v>0.00885086086060394</v>
      </c>
      <c r="K745" s="26">
        <f t="shared" si="27"/>
        <v>0.0169572381573744</v>
      </c>
      <c r="L745" s="26">
        <f t="shared" si="29"/>
        <v>0.0590386355670516</v>
      </c>
      <c r="M745" s="27"/>
    </row>
    <row r="746" s="1" customFormat="1" spans="6:13">
      <c r="F746" s="13">
        <v>45800</v>
      </c>
      <c r="G746" s="14">
        <v>1.06163995</v>
      </c>
      <c r="H746" s="14">
        <v>1.06359717</v>
      </c>
      <c r="I746" s="3" t="str">
        <f>IF(G746&gt;MAX($G$3:G745),"新高","/")</f>
        <v>新高</v>
      </c>
      <c r="J746" s="26">
        <f t="shared" si="28"/>
        <v>0.00882480381062956</v>
      </c>
      <c r="K746" s="26">
        <f t="shared" si="27"/>
        <v>0.0169585344056236</v>
      </c>
      <c r="L746" s="26">
        <f t="shared" si="29"/>
        <v>0.0590262520294662</v>
      </c>
      <c r="M746" s="27"/>
    </row>
    <row r="747" s="1" customFormat="1" spans="6:13">
      <c r="F747" s="13">
        <v>45803</v>
      </c>
      <c r="G747" s="14">
        <v>1.0617413</v>
      </c>
      <c r="H747" s="14">
        <v>1.06371502</v>
      </c>
      <c r="I747" s="3" t="str">
        <f>IF(G747&gt;MAX($G$3:G746),"新高","/")</f>
        <v>新高</v>
      </c>
      <c r="J747" s="26">
        <f t="shared" si="28"/>
        <v>0.00887555505713955</v>
      </c>
      <c r="K747" s="26">
        <f t="shared" si="27"/>
        <v>0.0170110878249503</v>
      </c>
      <c r="L747" s="26">
        <f t="shared" si="29"/>
        <v>0.0590955522190904</v>
      </c>
      <c r="M747" s="27"/>
    </row>
    <row r="748" s="1" customFormat="1" spans="6:13">
      <c r="F748" s="13">
        <v>45804</v>
      </c>
      <c r="G748" s="14">
        <v>1.06175895</v>
      </c>
      <c r="H748" s="14">
        <v>1.06374569</v>
      </c>
      <c r="I748" s="3" t="str">
        <f>IF(G748&gt;MAX($G$3:G747),"新高","/")</f>
        <v>新高</v>
      </c>
      <c r="J748" s="26">
        <f t="shared" si="28"/>
        <v>0.00882635570582058</v>
      </c>
      <c r="K748" s="26">
        <f t="shared" si="27"/>
        <v>0.01694486439127</v>
      </c>
      <c r="L748" s="26">
        <f t="shared" si="29"/>
        <v>0.0589067634545</v>
      </c>
      <c r="M748" s="27"/>
    </row>
    <row r="749" s="1" customFormat="1" spans="6:13">
      <c r="F749" s="13">
        <v>45805</v>
      </c>
      <c r="G749" s="14">
        <v>1.06174111</v>
      </c>
      <c r="H749" s="14">
        <v>1.06375921</v>
      </c>
      <c r="I749" s="3" t="str">
        <f>IF(G749&gt;MAX($G$3:G748),"新高","/")</f>
        <v>/</v>
      </c>
      <c r="J749" s="26">
        <f t="shared" si="28"/>
        <v>0.00865555790110917</v>
      </c>
      <c r="K749" s="26">
        <f t="shared" si="27"/>
        <v>0.0168553651893155</v>
      </c>
      <c r="L749" s="26">
        <f t="shared" si="29"/>
        <v>0.05879257385241</v>
      </c>
      <c r="M749" s="27"/>
    </row>
    <row r="750" s="1" customFormat="1" spans="6:13">
      <c r="F750" s="13">
        <v>45806</v>
      </c>
      <c r="G750" s="14">
        <v>1.06168492</v>
      </c>
      <c r="H750" s="14">
        <v>1.06377846</v>
      </c>
      <c r="I750" s="3" t="str">
        <f>IF(G750&gt;MAX($G$3:G749),"新高","/")</f>
        <v>/</v>
      </c>
      <c r="J750" s="26">
        <f t="shared" si="28"/>
        <v>0.00851816208656886</v>
      </c>
      <c r="K750" s="26">
        <f t="shared" si="27"/>
        <v>0.0166935757048288</v>
      </c>
      <c r="L750" s="26">
        <f t="shared" si="29"/>
        <v>0.05868072288628</v>
      </c>
      <c r="M750" s="27"/>
    </row>
    <row r="751" s="1" customFormat="1" spans="6:13">
      <c r="F751" s="13">
        <v>45807</v>
      </c>
      <c r="G751" s="14">
        <v>1.06179368</v>
      </c>
      <c r="H751" s="14">
        <v>1.06383438</v>
      </c>
      <c r="I751" s="3" t="str">
        <f>IF(G751&gt;MAX($G$3:G750),"新高","/")</f>
        <v>新高</v>
      </c>
      <c r="J751" s="26">
        <f t="shared" si="28"/>
        <v>0.00856048591133884</v>
      </c>
      <c r="K751" s="26">
        <f t="shared" si="27"/>
        <v>0.0167325800823872</v>
      </c>
      <c r="L751" s="26">
        <f t="shared" si="29"/>
        <v>0.0589137839492069</v>
      </c>
      <c r="M751" s="27"/>
    </row>
    <row r="752" s="1" customFormat="1" spans="6:13">
      <c r="F752" s="13">
        <v>45811</v>
      </c>
      <c r="G752" s="14">
        <v>1.06193201</v>
      </c>
      <c r="H752" s="14">
        <v>1.06400615</v>
      </c>
      <c r="I752" s="3" t="str">
        <f>IF(G752&gt;MAX($G$3:G751),"新高","/")</f>
        <v>新高</v>
      </c>
      <c r="J752" s="26">
        <f t="shared" si="28"/>
        <v>0.00859655668923454</v>
      </c>
      <c r="K752" s="26">
        <f t="shared" si="27"/>
        <v>0.0168118290401611</v>
      </c>
      <c r="L752" s="26">
        <f t="shared" si="29"/>
        <v>0.0590827913389447</v>
      </c>
      <c r="M752" s="27"/>
    </row>
    <row r="753" s="1" customFormat="1" spans="6:13">
      <c r="F753" s="13">
        <v>45812</v>
      </c>
      <c r="G753" s="14">
        <v>1.06198755</v>
      </c>
      <c r="H753" s="14">
        <v>1.06405385</v>
      </c>
      <c r="I753" s="3" t="str">
        <f>IF(G753&gt;MAX($G$3:G752),"新高","/")</f>
        <v>新高</v>
      </c>
      <c r="J753" s="26">
        <f t="shared" si="28"/>
        <v>0.00847853608223237</v>
      </c>
      <c r="K753" s="26">
        <f t="shared" si="27"/>
        <v>0.0168089684521555</v>
      </c>
      <c r="L753" s="26">
        <f t="shared" si="29"/>
        <v>0.0592627237546681</v>
      </c>
      <c r="M753" s="27"/>
    </row>
    <row r="754" s="1" customFormat="1" spans="6:13">
      <c r="F754" s="13">
        <v>45813</v>
      </c>
      <c r="G754" s="14">
        <v>1.06202949</v>
      </c>
      <c r="H754" s="14">
        <v>1.06411287</v>
      </c>
      <c r="I754" s="3" t="str">
        <f>IF(G754&gt;MAX($G$3:G753),"新高","/")</f>
        <v>新高</v>
      </c>
      <c r="J754" s="26">
        <f t="shared" si="28"/>
        <v>0.00810645057919568</v>
      </c>
      <c r="K754" s="26">
        <f t="shared" si="27"/>
        <v>0.0168174932789942</v>
      </c>
      <c r="L754" s="26">
        <f t="shared" si="29"/>
        <v>0.0594219030872742</v>
      </c>
      <c r="M754" s="27"/>
    </row>
    <row r="755" s="1" customFormat="1" spans="6:13">
      <c r="F755" s="13">
        <v>45814</v>
      </c>
      <c r="G755" s="14">
        <v>1.06214641</v>
      </c>
      <c r="H755" s="14">
        <v>1.06418501</v>
      </c>
      <c r="I755" s="3" t="str">
        <f>IF(G755&gt;MAX($G$3:G754),"新高","/")</f>
        <v>新高</v>
      </c>
      <c r="J755" s="26">
        <f t="shared" si="28"/>
        <v>0.00812569233834237</v>
      </c>
      <c r="K755" s="26">
        <f t="shared" si="27"/>
        <v>0.0167654919988476</v>
      </c>
      <c r="L755" s="26">
        <f t="shared" si="29"/>
        <v>0.0596394408361092</v>
      </c>
      <c r="M755" s="27"/>
    </row>
    <row r="756" s="1" customFormat="1" spans="6:13">
      <c r="F756" s="13">
        <v>45817</v>
      </c>
      <c r="G756" s="14">
        <v>1.06233773</v>
      </c>
      <c r="H756" s="14">
        <v>1.06433581</v>
      </c>
      <c r="I756" s="3" t="str">
        <f>IF(G756&gt;MAX($G$3:G755),"新高","/")</f>
        <v>新高</v>
      </c>
      <c r="J756" s="26">
        <f t="shared" si="28"/>
        <v>0.00814865119758656</v>
      </c>
      <c r="K756" s="26">
        <f t="shared" si="27"/>
        <v>0.0168942220510453</v>
      </c>
      <c r="L756" s="26">
        <f t="shared" si="29"/>
        <v>0.0597504023801092</v>
      </c>
      <c r="M756" s="27"/>
    </row>
    <row r="757" s="1" customFormat="1" spans="6:13">
      <c r="F757" s="13">
        <v>45818</v>
      </c>
      <c r="G757" s="14">
        <v>1.06238256</v>
      </c>
      <c r="H757" s="14">
        <v>1.06438428</v>
      </c>
      <c r="I757" s="3" t="str">
        <f>IF(G757&gt;MAX($G$3:G756),"新高","/")</f>
        <v>新高</v>
      </c>
      <c r="J757" s="26">
        <f t="shared" si="28"/>
        <v>0.00811287026088903</v>
      </c>
      <c r="K757" s="26">
        <f t="shared" si="27"/>
        <v>0.0168512164512078</v>
      </c>
      <c r="L757" s="26">
        <f t="shared" si="29"/>
        <v>0.0596762950970038</v>
      </c>
      <c r="M757" s="27"/>
    </row>
    <row r="758" s="1" customFormat="1" spans="6:13">
      <c r="F758" s="13">
        <v>45819</v>
      </c>
      <c r="G758" s="14">
        <v>1.06244529</v>
      </c>
      <c r="H758" s="14">
        <v>1.06443415</v>
      </c>
      <c r="I758" s="3" t="str">
        <f>IF(G758&gt;MAX($G$3:G757),"新高","/")</f>
        <v>新高</v>
      </c>
      <c r="J758" s="26">
        <f t="shared" si="28"/>
        <v>0.00813687584716338</v>
      </c>
      <c r="K758" s="26">
        <f t="shared" si="27"/>
        <v>0.0168560927048393</v>
      </c>
      <c r="L758" s="26">
        <f t="shared" si="29"/>
        <v>0.0596190528698046</v>
      </c>
      <c r="M758" s="27"/>
    </row>
    <row r="759" s="1" customFormat="1" spans="6:13">
      <c r="F759" s="13">
        <v>45820</v>
      </c>
      <c r="G759" s="14">
        <v>1.06248708</v>
      </c>
      <c r="H759" s="14">
        <v>1.06447688</v>
      </c>
      <c r="I759" s="3" t="str">
        <f>IF(G759&gt;MAX($G$3:G758),"新高","/")</f>
        <v>新高</v>
      </c>
      <c r="J759" s="26">
        <f t="shared" si="28"/>
        <v>0.0080342779464655</v>
      </c>
      <c r="K759" s="26">
        <f t="shared" ref="K759:K822" si="30">G759/G515-1</f>
        <v>0.0168190033178752</v>
      </c>
      <c r="L759" s="26">
        <f t="shared" si="29"/>
        <v>0.0595495424664843</v>
      </c>
      <c r="M759" s="27"/>
    </row>
    <row r="760" s="1" customFormat="1" spans="6:13">
      <c r="F760" s="13">
        <v>45821</v>
      </c>
      <c r="G760" s="14">
        <v>1.06252431</v>
      </c>
      <c r="H760" s="14">
        <v>1.0645163</v>
      </c>
      <c r="I760" s="3" t="str">
        <f>IF(G760&gt;MAX($G$3:G759),"新高","/")</f>
        <v>新高</v>
      </c>
      <c r="J760" s="26">
        <f t="shared" si="28"/>
        <v>0.00781434247959489</v>
      </c>
      <c r="K760" s="26">
        <f t="shared" si="30"/>
        <v>0.0166654007677949</v>
      </c>
      <c r="L760" s="26">
        <f t="shared" si="29"/>
        <v>0.0595696576269209</v>
      </c>
      <c r="M760" s="27"/>
    </row>
    <row r="761" s="1" customFormat="1" spans="6:13">
      <c r="F761" s="13">
        <v>45824</v>
      </c>
      <c r="G761" s="14">
        <v>1.06265912</v>
      </c>
      <c r="H761" s="14">
        <v>1.06464016</v>
      </c>
      <c r="I761" s="3" t="str">
        <f>IF(G761&gt;MAX($G$3:G760),"新高","/")</f>
        <v>新高</v>
      </c>
      <c r="J761" s="26">
        <f t="shared" si="28"/>
        <v>0.00789919095218261</v>
      </c>
      <c r="K761" s="26">
        <f t="shared" si="30"/>
        <v>0.0167603610976712</v>
      </c>
      <c r="L761" s="26">
        <f t="shared" si="29"/>
        <v>0.0596271030074544</v>
      </c>
      <c r="M761" s="27"/>
    </row>
    <row r="762" s="1" customFormat="1" spans="6:13">
      <c r="F762" s="13">
        <v>45825</v>
      </c>
      <c r="G762" s="14">
        <v>1.0627401</v>
      </c>
      <c r="H762" s="14">
        <v>1.06470712</v>
      </c>
      <c r="I762" s="3" t="str">
        <f>IF(G762&gt;MAX($G$3:G761),"新高","/")</f>
        <v>新高</v>
      </c>
      <c r="J762" s="26">
        <f t="shared" si="28"/>
        <v>0.0079087645859699</v>
      </c>
      <c r="K762" s="26">
        <f t="shared" si="30"/>
        <v>0.0167914275709542</v>
      </c>
      <c r="L762" s="26">
        <f t="shared" si="29"/>
        <v>0.0595784556335888</v>
      </c>
      <c r="M762" s="27"/>
    </row>
    <row r="763" s="1" customFormat="1" spans="6:13">
      <c r="F763" s="13">
        <v>45826</v>
      </c>
      <c r="G763" s="14">
        <v>1.06279285</v>
      </c>
      <c r="H763" s="14">
        <v>1.06475509</v>
      </c>
      <c r="I763" s="3" t="str">
        <f>IF(G763&gt;MAX($G$3:G762),"新高","/")</f>
        <v>新高</v>
      </c>
      <c r="J763" s="26">
        <f t="shared" si="28"/>
        <v>0.00770454472876714</v>
      </c>
      <c r="K763" s="26">
        <f t="shared" si="30"/>
        <v>0.016786873885807</v>
      </c>
      <c r="L763" s="26">
        <f t="shared" si="29"/>
        <v>0.0594216326401269</v>
      </c>
      <c r="M763" s="27"/>
    </row>
    <row r="764" s="1" customFormat="1" spans="6:13">
      <c r="F764" s="13">
        <v>45827</v>
      </c>
      <c r="G764" s="14">
        <v>1.06287987</v>
      </c>
      <c r="H764" s="14">
        <v>1.06481591</v>
      </c>
      <c r="I764" s="3" t="str">
        <f>IF(G764&gt;MAX($G$3:G763),"新高","/")</f>
        <v>新高</v>
      </c>
      <c r="J764" s="26">
        <f t="shared" ref="J764:J827" si="31">G764/G643-1</f>
        <v>0.00755184314525637</v>
      </c>
      <c r="K764" s="26">
        <f t="shared" si="30"/>
        <v>0.0167328177293553</v>
      </c>
      <c r="L764" s="26">
        <f t="shared" si="29"/>
        <v>0.0593717076216256</v>
      </c>
      <c r="M764" s="27"/>
    </row>
    <row r="765" s="1" customFormat="1" spans="6:13">
      <c r="F765" s="13">
        <v>45828</v>
      </c>
      <c r="G765" s="14">
        <v>1.06293682</v>
      </c>
      <c r="H765" s="14">
        <v>1.06486219</v>
      </c>
      <c r="I765" s="3" t="str">
        <f>IF(G765&gt;MAX($G$3:G764),"新高","/")</f>
        <v>新高</v>
      </c>
      <c r="J765" s="26">
        <f t="shared" si="31"/>
        <v>0.00764417955910113</v>
      </c>
      <c r="K765" s="26">
        <f t="shared" si="30"/>
        <v>0.016746795954806</v>
      </c>
      <c r="L765" s="26">
        <f t="shared" si="29"/>
        <v>0.0593971727603448</v>
      </c>
      <c r="M765" s="27"/>
    </row>
    <row r="766" s="1" customFormat="1" spans="6:13">
      <c r="F766" s="13">
        <v>45831</v>
      </c>
      <c r="G766" s="14">
        <v>1.0630704</v>
      </c>
      <c r="H766" s="14">
        <v>1.06499034</v>
      </c>
      <c r="I766" s="3" t="str">
        <f>IF(G766&gt;MAX($G$3:G765),"新高","/")</f>
        <v>新高</v>
      </c>
      <c r="J766" s="26">
        <f t="shared" si="31"/>
        <v>0.00778188349809938</v>
      </c>
      <c r="K766" s="26">
        <f t="shared" si="30"/>
        <v>0.0168244511740225</v>
      </c>
      <c r="L766" s="26">
        <f t="shared" si="29"/>
        <v>0.0594272310436148</v>
      </c>
      <c r="M766" s="27"/>
    </row>
    <row r="767" s="1" customFormat="1" spans="6:13">
      <c r="F767" s="13">
        <v>45832</v>
      </c>
      <c r="G767" s="14">
        <v>1.0630679</v>
      </c>
      <c r="H767" s="14">
        <v>1.06502247</v>
      </c>
      <c r="I767" s="3" t="str">
        <f>IF(G767&gt;MAX($G$3:G766),"新高","/")</f>
        <v>/</v>
      </c>
      <c r="J767" s="26">
        <f t="shared" si="31"/>
        <v>0.00777899762123413</v>
      </c>
      <c r="K767" s="26">
        <f t="shared" si="30"/>
        <v>0.0167784315031898</v>
      </c>
      <c r="L767" s="26">
        <f t="shared" si="29"/>
        <v>0.0592680196112891</v>
      </c>
      <c r="M767" s="27"/>
    </row>
    <row r="768" s="1" customFormat="1" spans="6:13">
      <c r="F768" s="13">
        <v>45833</v>
      </c>
      <c r="G768" s="14">
        <v>1.06305415</v>
      </c>
      <c r="H768" s="14">
        <v>1.06504895</v>
      </c>
      <c r="I768" s="3" t="str">
        <f>IF(G768&gt;MAX($G$3:G767),"新高","/")</f>
        <v>/</v>
      </c>
      <c r="J768" s="26">
        <f t="shared" si="31"/>
        <v>0.00760218449537686</v>
      </c>
      <c r="K768" s="26">
        <f t="shared" si="30"/>
        <v>0.0167340447405611</v>
      </c>
      <c r="L768" s="26">
        <f t="shared" si="29"/>
        <v>0.0591316664645651</v>
      </c>
      <c r="M768" s="27"/>
    </row>
    <row r="769" s="1" customFormat="1" spans="6:13">
      <c r="F769" s="13">
        <v>45834</v>
      </c>
      <c r="G769" s="14">
        <v>1.06304695</v>
      </c>
      <c r="H769" s="14">
        <v>1.06508226</v>
      </c>
      <c r="I769" s="3" t="str">
        <f>IF(G769&gt;MAX($G$3:G768),"新高","/")</f>
        <v>/</v>
      </c>
      <c r="J769" s="26">
        <f t="shared" si="31"/>
        <v>0.00738222196358063</v>
      </c>
      <c r="K769" s="26">
        <f t="shared" si="30"/>
        <v>0.01658679847731</v>
      </c>
      <c r="L769" s="26">
        <f t="shared" si="29"/>
        <v>0.0591710828895389</v>
      </c>
      <c r="M769" s="27"/>
    </row>
    <row r="770" s="1" customFormat="1" spans="6:13">
      <c r="F770" s="13">
        <v>45835</v>
      </c>
      <c r="G770" s="14">
        <v>1.06313049</v>
      </c>
      <c r="H770" s="14">
        <v>1.06514777</v>
      </c>
      <c r="I770" s="3" t="str">
        <f>IF(G770&gt;MAX($G$3:G769),"新高","/")</f>
        <v>新高</v>
      </c>
      <c r="J770" s="26">
        <f t="shared" si="31"/>
        <v>0.00742390711262675</v>
      </c>
      <c r="K770" s="26">
        <f t="shared" si="30"/>
        <v>0.0165859400797004</v>
      </c>
      <c r="L770" s="26">
        <f t="shared" si="29"/>
        <v>0.059251838136813</v>
      </c>
      <c r="M770" s="27"/>
    </row>
    <row r="771" s="1" customFormat="1" spans="6:13">
      <c r="F771" s="13">
        <v>45838</v>
      </c>
      <c r="G771" s="14">
        <v>1.06323662</v>
      </c>
      <c r="H771" s="14">
        <v>1.06527814</v>
      </c>
      <c r="I771" s="3" t="str">
        <f>IF(G771&gt;MAX($G$3:G770),"新高","/")</f>
        <v>新高</v>
      </c>
      <c r="J771" s="26">
        <f t="shared" si="31"/>
        <v>0.00756927404300689</v>
      </c>
      <c r="K771" s="26">
        <f t="shared" si="30"/>
        <v>0.0166497920916646</v>
      </c>
      <c r="L771" s="26">
        <f t="shared" si="29"/>
        <v>0.0593265714718376</v>
      </c>
      <c r="M771" s="27"/>
    </row>
    <row r="772" s="1" customFormat="1" spans="6:13">
      <c r="F772" s="13">
        <v>45839</v>
      </c>
      <c r="G772" s="14">
        <v>1.06334334</v>
      </c>
      <c r="H772" s="14">
        <v>1.06534585</v>
      </c>
      <c r="I772" s="3" t="str">
        <f>IF(G772&gt;MAX($G$3:G771),"新高","/")</f>
        <v>新高</v>
      </c>
      <c r="J772" s="26">
        <f t="shared" si="31"/>
        <v>0.00767818915299912</v>
      </c>
      <c r="K772" s="26">
        <f t="shared" si="30"/>
        <v>0.0166737936741146</v>
      </c>
      <c r="L772" s="26">
        <f t="shared" si="29"/>
        <v>0.0592660976781054</v>
      </c>
      <c r="M772" s="27"/>
    </row>
    <row r="773" s="1" customFormat="1" spans="6:13">
      <c r="F773" s="13">
        <v>45840</v>
      </c>
      <c r="G773" s="14">
        <v>1.06356244</v>
      </c>
      <c r="H773" s="14">
        <v>1.06540998</v>
      </c>
      <c r="I773" s="3" t="str">
        <f>IF(G773&gt;MAX($G$3:G772),"新高","/")</f>
        <v>新高</v>
      </c>
      <c r="J773" s="26">
        <f t="shared" si="31"/>
        <v>0.00771230332643036</v>
      </c>
      <c r="K773" s="26">
        <f t="shared" si="30"/>
        <v>0.0168000011395906</v>
      </c>
      <c r="L773" s="26">
        <f t="shared" si="29"/>
        <v>0.0593122884226367</v>
      </c>
      <c r="M773" s="27"/>
    </row>
    <row r="774" s="1" customFormat="1" spans="6:13">
      <c r="F774" s="13">
        <v>45841</v>
      </c>
      <c r="G774" s="14">
        <v>1.06367652</v>
      </c>
      <c r="H774" s="14">
        <v>1.06548518</v>
      </c>
      <c r="I774" s="3" t="str">
        <f>IF(G774&gt;MAX($G$3:G773),"新高","/")</f>
        <v>新高</v>
      </c>
      <c r="J774" s="26">
        <f t="shared" si="31"/>
        <v>0.00768081560266531</v>
      </c>
      <c r="K774" s="26">
        <f t="shared" si="30"/>
        <v>0.0168069656093515</v>
      </c>
      <c r="L774" s="26">
        <f t="shared" si="29"/>
        <v>0.059437118802883</v>
      </c>
      <c r="M774" s="27"/>
    </row>
    <row r="775" s="1" customFormat="1" spans="6:13">
      <c r="F775" s="13">
        <v>45842</v>
      </c>
      <c r="G775" s="14">
        <v>1.06379701</v>
      </c>
      <c r="H775" s="14">
        <v>1.06554384</v>
      </c>
      <c r="I775" s="3" t="str">
        <f>IF(G775&gt;MAX($G$3:G774),"新高","/")</f>
        <v>新高</v>
      </c>
      <c r="J775" s="26">
        <f t="shared" si="31"/>
        <v>0.00760140691785582</v>
      </c>
      <c r="K775" s="26">
        <f t="shared" si="30"/>
        <v>0.0168590893258544</v>
      </c>
      <c r="L775" s="26">
        <f t="shared" si="29"/>
        <v>0.0596264896768701</v>
      </c>
      <c r="M775" s="27"/>
    </row>
    <row r="776" s="1" customFormat="1" spans="6:13">
      <c r="F776" s="13">
        <v>45845</v>
      </c>
      <c r="G776" s="14">
        <v>1.06396061</v>
      </c>
      <c r="H776" s="14">
        <v>1.06568071</v>
      </c>
      <c r="I776" s="3" t="str">
        <f>IF(G776&gt;MAX($G$3:G775),"新高","/")</f>
        <v>新高</v>
      </c>
      <c r="J776" s="26">
        <f t="shared" si="31"/>
        <v>0.00752640619459277</v>
      </c>
      <c r="K776" s="26">
        <f t="shared" si="30"/>
        <v>0.0169220760059068</v>
      </c>
      <c r="L776" s="26">
        <f t="shared" si="29"/>
        <v>0.0596677476009837</v>
      </c>
      <c r="M776" s="27"/>
    </row>
    <row r="777" s="1" customFormat="1" spans="6:13">
      <c r="F777" s="13">
        <v>45846</v>
      </c>
      <c r="G777" s="14">
        <v>1.0639394</v>
      </c>
      <c r="H777" s="14">
        <v>1.06569931</v>
      </c>
      <c r="I777" s="3" t="str">
        <f>IF(G777&gt;MAX($G$3:G776),"新高","/")</f>
        <v>/</v>
      </c>
      <c r="J777" s="26">
        <f t="shared" si="31"/>
        <v>0.00737889311745943</v>
      </c>
      <c r="K777" s="26">
        <f t="shared" si="30"/>
        <v>0.0168490007532374</v>
      </c>
      <c r="L777" s="26">
        <f t="shared" si="29"/>
        <v>0.0595330035495081</v>
      </c>
      <c r="M777" s="27"/>
    </row>
    <row r="778" s="1" customFormat="1" spans="6:13">
      <c r="F778" s="13">
        <v>45847</v>
      </c>
      <c r="G778" s="14">
        <v>1.06392897</v>
      </c>
      <c r="H778" s="14">
        <v>1.06572532</v>
      </c>
      <c r="I778" s="3" t="str">
        <f>IF(G778&gt;MAX($G$3:G777),"新高","/")</f>
        <v>/</v>
      </c>
      <c r="J778" s="26">
        <f t="shared" si="31"/>
        <v>0.00722877849282133</v>
      </c>
      <c r="K778" s="26">
        <f t="shared" si="30"/>
        <v>0.0168270886982151</v>
      </c>
      <c r="L778" s="26">
        <f t="shared" si="29"/>
        <v>0.0593949292061864</v>
      </c>
      <c r="M778" s="27"/>
    </row>
    <row r="779" s="1" customFormat="1" spans="6:13">
      <c r="F779" s="13">
        <v>45848</v>
      </c>
      <c r="G779" s="14">
        <v>1.06388317</v>
      </c>
      <c r="H779" s="14">
        <v>1.06576608</v>
      </c>
      <c r="I779" s="3" t="str">
        <f>IF(G779&gt;MAX($G$3:G778),"新高","/")</f>
        <v>/</v>
      </c>
      <c r="J779" s="26">
        <f t="shared" si="31"/>
        <v>0.00721880278804932</v>
      </c>
      <c r="K779" s="26">
        <f t="shared" si="30"/>
        <v>0.0167547568609334</v>
      </c>
      <c r="L779" s="26">
        <f t="shared" si="29"/>
        <v>0.0590606525935629</v>
      </c>
      <c r="M779" s="27"/>
    </row>
    <row r="780" s="1" customFormat="1" spans="6:13">
      <c r="F780" s="13">
        <v>45849</v>
      </c>
      <c r="G780" s="14">
        <v>1.06386761</v>
      </c>
      <c r="H780" s="14">
        <v>1.06579149</v>
      </c>
      <c r="I780" s="3" t="str">
        <f>IF(G780&gt;MAX($G$3:G779),"新高","/")</f>
        <v>/</v>
      </c>
      <c r="J780" s="26">
        <f t="shared" si="31"/>
        <v>0.00721247246294388</v>
      </c>
      <c r="K780" s="26">
        <f t="shared" si="30"/>
        <v>0.0166619423591416</v>
      </c>
      <c r="L780" s="26">
        <f t="shared" si="29"/>
        <v>0.0587977054192785</v>
      </c>
      <c r="M780" s="27"/>
    </row>
    <row r="781" s="1" customFormat="1" spans="6:13">
      <c r="F781" s="13">
        <v>45852</v>
      </c>
      <c r="G781" s="14">
        <v>1.06390221</v>
      </c>
      <c r="H781" s="14">
        <v>1.06591793</v>
      </c>
      <c r="I781" s="3" t="str">
        <f>IF(G781&gt;MAX($G$3:G780),"新高","/")</f>
        <v>/</v>
      </c>
      <c r="J781" s="26">
        <f t="shared" si="31"/>
        <v>0.00731721316060474</v>
      </c>
      <c r="K781" s="26">
        <f t="shared" si="30"/>
        <v>0.0166443221660137</v>
      </c>
      <c r="L781" s="26">
        <f t="shared" si="29"/>
        <v>0.0586704406562517</v>
      </c>
      <c r="M781" s="27"/>
    </row>
    <row r="782" s="1" customFormat="1" spans="6:13">
      <c r="F782" s="13">
        <v>45853</v>
      </c>
      <c r="G782" s="14">
        <v>1.0640194</v>
      </c>
      <c r="H782" s="14">
        <v>1.06596614</v>
      </c>
      <c r="I782" s="3" t="str">
        <f>IF(G782&gt;MAX($G$3:G781),"新高","/")</f>
        <v>新高</v>
      </c>
      <c r="J782" s="26">
        <f t="shared" si="31"/>
        <v>0.00749036491279553</v>
      </c>
      <c r="K782" s="26">
        <f t="shared" si="30"/>
        <v>0.0167023958422676</v>
      </c>
      <c r="L782" s="26">
        <f t="shared" si="29"/>
        <v>0.0585759589466261</v>
      </c>
      <c r="M782" s="27"/>
    </row>
    <row r="783" s="1" customFormat="1" spans="6:13">
      <c r="F783" s="13">
        <v>45854</v>
      </c>
      <c r="G783" s="14">
        <v>1.0641056</v>
      </c>
      <c r="H783" s="14">
        <v>1.06602894</v>
      </c>
      <c r="I783" s="3" t="str">
        <f>IF(G783&gt;MAX($G$3:G782),"新高","/")</f>
        <v>新高</v>
      </c>
      <c r="J783" s="26">
        <f t="shared" si="31"/>
        <v>0.00763744636034902</v>
      </c>
      <c r="K783" s="26">
        <f t="shared" si="30"/>
        <v>0.0167012825149577</v>
      </c>
      <c r="L783" s="26">
        <f t="shared" si="29"/>
        <v>0.0584851918193658</v>
      </c>
      <c r="M783" s="27"/>
    </row>
    <row r="784" s="1" customFormat="1" spans="6:13">
      <c r="F784" s="13">
        <v>45855</v>
      </c>
      <c r="G784" s="14">
        <v>1.06420733</v>
      </c>
      <c r="H784" s="14">
        <v>1.0660705</v>
      </c>
      <c r="I784" s="3" t="str">
        <f>IF(G784&gt;MAX($G$3:G783),"新高","/")</f>
        <v>新高</v>
      </c>
      <c r="J784" s="26">
        <f t="shared" si="31"/>
        <v>0.00775823612728344</v>
      </c>
      <c r="K784" s="26">
        <f t="shared" si="30"/>
        <v>0.0166823605535693</v>
      </c>
      <c r="L784" s="26">
        <f t="shared" si="29"/>
        <v>0.0582365372272908</v>
      </c>
      <c r="M784" s="27"/>
    </row>
    <row r="785" s="1" customFormat="1" spans="6:13">
      <c r="F785" s="13">
        <v>45856</v>
      </c>
      <c r="G785" s="14">
        <v>1.06425424</v>
      </c>
      <c r="H785" s="14">
        <v>1.06611536</v>
      </c>
      <c r="I785" s="3" t="str">
        <f>IF(G785&gt;MAX($G$3:G784),"新高","/")</f>
        <v>新高</v>
      </c>
      <c r="J785" s="26">
        <f t="shared" si="31"/>
        <v>0.00779839195884136</v>
      </c>
      <c r="K785" s="26">
        <f t="shared" si="30"/>
        <v>0.0166848374773307</v>
      </c>
      <c r="L785" s="26">
        <f t="shared" si="29"/>
        <v>0.0581617257215168</v>
      </c>
      <c r="M785" s="27"/>
    </row>
    <row r="786" s="1" customFormat="1" spans="6:13">
      <c r="F786" s="13">
        <v>45859</v>
      </c>
      <c r="G786" s="14">
        <v>1.06426745</v>
      </c>
      <c r="H786" s="14">
        <v>1.06621918</v>
      </c>
      <c r="I786" s="3" t="str">
        <f>IF(G786&gt;MAX($G$3:G785),"新高","/")</f>
        <v>新高</v>
      </c>
      <c r="J786" s="26">
        <f t="shared" si="31"/>
        <v>0.00795968712269901</v>
      </c>
      <c r="K786" s="26">
        <f t="shared" si="30"/>
        <v>0.0166535776754348</v>
      </c>
      <c r="L786" s="26">
        <f t="shared" si="29"/>
        <v>0.0580035821122478</v>
      </c>
      <c r="M786" s="27"/>
    </row>
    <row r="787" s="1" customFormat="1" spans="6:13">
      <c r="F787" s="13">
        <v>45860</v>
      </c>
      <c r="G787" s="14">
        <v>1.06424589</v>
      </c>
      <c r="H787" s="14">
        <v>1.06625635</v>
      </c>
      <c r="I787" s="3" t="str">
        <f>IF(G787&gt;MAX($G$3:G786),"新高","/")</f>
        <v>/</v>
      </c>
      <c r="J787" s="26">
        <f t="shared" si="31"/>
        <v>0.00796559668720387</v>
      </c>
      <c r="K787" s="26">
        <f t="shared" si="30"/>
        <v>0.0166124622506238</v>
      </c>
      <c r="L787" s="26">
        <f t="shared" si="29"/>
        <v>0.0577384608636899</v>
      </c>
      <c r="M787" s="27"/>
    </row>
    <row r="788" s="1" customFormat="1" spans="6:13">
      <c r="F788" s="13">
        <v>45861</v>
      </c>
      <c r="G788" s="14">
        <v>1.06411002</v>
      </c>
      <c r="H788" s="14">
        <v>1.0662753</v>
      </c>
      <c r="I788" s="3" t="str">
        <f>IF(G788&gt;MAX($G$3:G787),"新高","/")</f>
        <v>/</v>
      </c>
      <c r="J788" s="26">
        <f t="shared" si="31"/>
        <v>0.00782712793529372</v>
      </c>
      <c r="K788" s="26">
        <f t="shared" si="30"/>
        <v>0.0163920011189853</v>
      </c>
      <c r="L788" s="26">
        <f t="shared" si="29"/>
        <v>0.0575367627712162</v>
      </c>
      <c r="M788" s="27"/>
    </row>
    <row r="789" s="1" customFormat="1" spans="6:13">
      <c r="F789" s="13">
        <v>45862</v>
      </c>
      <c r="G789" s="14">
        <v>1.06389701</v>
      </c>
      <c r="H789" s="14">
        <v>1.06627299</v>
      </c>
      <c r="I789" s="3" t="str">
        <f>IF(G789&gt;MAX($G$3:G788),"新高","/")</f>
        <v>/</v>
      </c>
      <c r="J789" s="26">
        <f t="shared" si="31"/>
        <v>0.00757672551645383</v>
      </c>
      <c r="K789" s="26">
        <f t="shared" si="30"/>
        <v>0.016014346823751</v>
      </c>
      <c r="L789" s="26">
        <f t="shared" si="29"/>
        <v>0.0570927786280935</v>
      </c>
      <c r="M789" s="27"/>
    </row>
    <row r="790" s="1" customFormat="1" spans="6:13">
      <c r="F790" s="13">
        <v>45863</v>
      </c>
      <c r="G790" s="14">
        <v>1.06384702</v>
      </c>
      <c r="H790" s="14">
        <v>1.06629439</v>
      </c>
      <c r="I790" s="3" t="str">
        <f>IF(G790&gt;MAX($G$3:G789),"新高","/")</f>
        <v>/</v>
      </c>
      <c r="J790" s="26">
        <f t="shared" si="31"/>
        <v>0.00743510687800431</v>
      </c>
      <c r="K790" s="26">
        <f t="shared" si="30"/>
        <v>0.0158836190687692</v>
      </c>
      <c r="L790" s="26">
        <f t="shared" si="29"/>
        <v>0.0567583379072352</v>
      </c>
      <c r="M790" s="27"/>
    </row>
    <row r="791" s="1" customFormat="1" spans="6:13">
      <c r="F791" s="13">
        <v>45866</v>
      </c>
      <c r="G791" s="14">
        <v>1.06408051</v>
      </c>
      <c r="H791" s="14">
        <v>1.0664398</v>
      </c>
      <c r="I791" s="3" t="str">
        <f>IF(G791&gt;MAX($G$3:G790),"新高","/")</f>
        <v>/</v>
      </c>
      <c r="J791" s="26">
        <f t="shared" si="31"/>
        <v>0.00773312253100977</v>
      </c>
      <c r="K791" s="26">
        <f t="shared" si="30"/>
        <v>0.0160346980915662</v>
      </c>
      <c r="L791" s="26">
        <f t="shared" si="29"/>
        <v>0.0568794512898421</v>
      </c>
      <c r="M791" s="27"/>
    </row>
    <row r="792" s="1" customFormat="1" spans="6:13">
      <c r="F792" s="13">
        <v>45867</v>
      </c>
      <c r="G792" s="14">
        <v>1.06400258</v>
      </c>
      <c r="H792" s="14">
        <v>1.06646047</v>
      </c>
      <c r="I792" s="3" t="str">
        <f>IF(G792&gt;MAX($G$3:G791),"新高","/")</f>
        <v>/</v>
      </c>
      <c r="J792" s="26">
        <f t="shared" si="31"/>
        <v>0.00766870009423948</v>
      </c>
      <c r="K792" s="26">
        <f t="shared" si="30"/>
        <v>0.015896051705699</v>
      </c>
      <c r="L792" s="26">
        <f t="shared" si="29"/>
        <v>0.056786734498173</v>
      </c>
      <c r="M792" s="27"/>
    </row>
    <row r="793" s="1" customFormat="1" spans="6:13">
      <c r="F793" s="13">
        <v>45868</v>
      </c>
      <c r="G793" s="14">
        <v>1.06406683</v>
      </c>
      <c r="H793" s="14">
        <v>1.06650754</v>
      </c>
      <c r="I793" s="3" t="str">
        <f>IF(G793&gt;MAX($G$3:G792),"新高","/")</f>
        <v>/</v>
      </c>
      <c r="J793" s="26">
        <f t="shared" si="31"/>
        <v>0.00741187027588164</v>
      </c>
      <c r="K793" s="26">
        <f t="shared" si="30"/>
        <v>0.0158747478373442</v>
      </c>
      <c r="L793" s="26">
        <f t="shared" si="29"/>
        <v>0.0565564674005181</v>
      </c>
      <c r="M793" s="27"/>
    </row>
    <row r="794" s="1" customFormat="1" spans="6:13">
      <c r="F794" s="13">
        <v>45869</v>
      </c>
      <c r="G794" s="14">
        <v>1.06423439</v>
      </c>
      <c r="H794" s="14">
        <v>1.06658693</v>
      </c>
      <c r="I794" s="3" t="str">
        <f>IF(G794&gt;MAX($G$3:G793),"新高","/")</f>
        <v>/</v>
      </c>
      <c r="J794" s="26">
        <f t="shared" si="31"/>
        <v>0.00716896205819384</v>
      </c>
      <c r="K794" s="26">
        <f t="shared" si="30"/>
        <v>0.0158679129549797</v>
      </c>
      <c r="L794" s="26">
        <f t="shared" ref="L794:L857" si="32">G794/G67-1</f>
        <v>0.0563300203439687</v>
      </c>
      <c r="M794" s="27"/>
    </row>
    <row r="795" s="1" customFormat="1" spans="6:13">
      <c r="F795" s="13">
        <v>45870</v>
      </c>
      <c r="G795" s="14">
        <v>1.06434379</v>
      </c>
      <c r="H795" s="14">
        <v>1.06664833</v>
      </c>
      <c r="I795" s="3" t="str">
        <f>IF(G795&gt;MAX($G$3:G794),"新高","/")</f>
        <v>新高</v>
      </c>
      <c r="J795" s="26">
        <f t="shared" si="31"/>
        <v>0.0071325479801605</v>
      </c>
      <c r="K795" s="26">
        <f t="shared" si="30"/>
        <v>0.0158987579943615</v>
      </c>
      <c r="L795" s="26">
        <f t="shared" si="32"/>
        <v>0.0561883157393042</v>
      </c>
      <c r="M795" s="27"/>
    </row>
    <row r="796" s="1" customFormat="1" spans="6:13">
      <c r="F796" s="13">
        <v>45873</v>
      </c>
      <c r="G796" s="14">
        <v>1.06449115</v>
      </c>
      <c r="H796" s="14">
        <v>1.06679102</v>
      </c>
      <c r="I796" s="3" t="str">
        <f>IF(G796&gt;MAX($G$3:G795),"新高","/")</f>
        <v>新高</v>
      </c>
      <c r="J796" s="26">
        <f t="shared" si="31"/>
        <v>0.00715847265555736</v>
      </c>
      <c r="K796" s="26">
        <f t="shared" si="30"/>
        <v>0.0159614162419461</v>
      </c>
      <c r="L796" s="26">
        <f t="shared" si="32"/>
        <v>0.0561648637350958</v>
      </c>
      <c r="M796" s="27"/>
    </row>
    <row r="797" s="1" customFormat="1" spans="6:13">
      <c r="F797" s="13">
        <v>45874</v>
      </c>
      <c r="G797" s="14">
        <v>1.06453238</v>
      </c>
      <c r="H797" s="14">
        <v>1.06683216</v>
      </c>
      <c r="I797" s="3" t="str">
        <f>IF(G797&gt;MAX($G$3:G796),"新高","/")</f>
        <v>新高</v>
      </c>
      <c r="J797" s="26">
        <f t="shared" si="31"/>
        <v>0.00714786434618131</v>
      </c>
      <c r="K797" s="26">
        <f t="shared" si="30"/>
        <v>0.0158808602005607</v>
      </c>
      <c r="L797" s="26">
        <f t="shared" si="32"/>
        <v>0.0559832033447134</v>
      </c>
      <c r="M797" s="27"/>
    </row>
    <row r="798" s="1" customFormat="1" spans="6:13">
      <c r="F798" s="13">
        <v>45875</v>
      </c>
      <c r="G798" s="14">
        <v>1.06460209</v>
      </c>
      <c r="H798" s="14">
        <v>1.06687612</v>
      </c>
      <c r="I798" s="3" t="str">
        <f>IF(G798&gt;MAX($G$3:G797),"新高","/")</f>
        <v>新高</v>
      </c>
      <c r="J798" s="26">
        <f t="shared" si="31"/>
        <v>0.0072303785762462</v>
      </c>
      <c r="K798" s="26">
        <f t="shared" si="30"/>
        <v>0.0158382187969242</v>
      </c>
      <c r="L798" s="26">
        <f t="shared" si="32"/>
        <v>0.0560392380796009</v>
      </c>
      <c r="M798" s="27"/>
    </row>
    <row r="799" s="1" customFormat="1" spans="6:13">
      <c r="F799" s="13">
        <v>45876</v>
      </c>
      <c r="G799" s="14">
        <v>1.06467539</v>
      </c>
      <c r="H799" s="14">
        <v>1.06691968</v>
      </c>
      <c r="I799" s="3" t="str">
        <f>IF(G799&gt;MAX($G$3:G798),"新高","/")</f>
        <v>新高</v>
      </c>
      <c r="J799" s="26">
        <f t="shared" si="31"/>
        <v>0.0072520226938646</v>
      </c>
      <c r="K799" s="26">
        <f t="shared" si="30"/>
        <v>0.0157605469903963</v>
      </c>
      <c r="L799" s="26">
        <f t="shared" si="32"/>
        <v>0.0560574961659874</v>
      </c>
      <c r="M799" s="27"/>
    </row>
    <row r="800" s="1" customFormat="1" spans="6:13">
      <c r="F800" s="13">
        <v>45877</v>
      </c>
      <c r="G800" s="14">
        <v>1.06471415</v>
      </c>
      <c r="H800" s="14">
        <v>1.0669598</v>
      </c>
      <c r="I800" s="3" t="str">
        <f>IF(G800&gt;MAX($G$3:G799),"新高","/")</f>
        <v>新高</v>
      </c>
      <c r="J800" s="26">
        <f t="shared" si="31"/>
        <v>0.00728377491753696</v>
      </c>
      <c r="K800" s="26">
        <f t="shared" si="30"/>
        <v>0.0157979914047095</v>
      </c>
      <c r="L800" s="26">
        <f t="shared" si="32"/>
        <v>0.0561875164937207</v>
      </c>
      <c r="M800" s="27"/>
    </row>
    <row r="801" s="1" customFormat="1" spans="6:13">
      <c r="F801" s="13">
        <v>45880</v>
      </c>
      <c r="G801" s="14">
        <v>1.06474143</v>
      </c>
      <c r="H801" s="14">
        <v>1.06706633</v>
      </c>
      <c r="I801" s="3" t="str">
        <f>IF(G801&gt;MAX($G$3:G800),"新高","/")</f>
        <v>新高</v>
      </c>
      <c r="J801" s="26">
        <f t="shared" si="31"/>
        <v>0.00739527276661156</v>
      </c>
      <c r="K801" s="26">
        <f t="shared" si="30"/>
        <v>0.015723846507862</v>
      </c>
      <c r="L801" s="26">
        <f t="shared" si="32"/>
        <v>0.0562427843702507</v>
      </c>
      <c r="M801" s="27"/>
    </row>
    <row r="802" s="1" customFormat="1" spans="6:13">
      <c r="F802" s="13">
        <v>45881</v>
      </c>
      <c r="G802" s="14">
        <v>1.06468725</v>
      </c>
      <c r="H802" s="14">
        <v>1.06710228</v>
      </c>
      <c r="I802" s="3" t="str">
        <f>IF(G802&gt;MAX($G$3:G801),"新高","/")</f>
        <v>/</v>
      </c>
      <c r="J802" s="26">
        <f t="shared" si="31"/>
        <v>0.00735071112176477</v>
      </c>
      <c r="K802" s="26">
        <f t="shared" si="30"/>
        <v>0.015722604943065</v>
      </c>
      <c r="L802" s="26">
        <f t="shared" si="32"/>
        <v>0.0562369739629853</v>
      </c>
      <c r="M802" s="27"/>
    </row>
    <row r="803" s="1" customFormat="1" spans="6:13">
      <c r="F803" s="13">
        <v>45882</v>
      </c>
      <c r="G803" s="14">
        <v>1.06470877</v>
      </c>
      <c r="H803" s="14">
        <v>1.0671376</v>
      </c>
      <c r="I803" s="3" t="str">
        <f>IF(G803&gt;MAX($G$3:G802),"新高","/")</f>
        <v>/</v>
      </c>
      <c r="J803" s="26">
        <f t="shared" si="31"/>
        <v>0.00751264012467279</v>
      </c>
      <c r="K803" s="26">
        <f t="shared" si="30"/>
        <v>0.0158034318340974</v>
      </c>
      <c r="L803" s="26">
        <f t="shared" si="32"/>
        <v>0.0562321164595292</v>
      </c>
      <c r="M803" s="27"/>
    </row>
    <row r="804" s="1" customFormat="1" spans="6:13">
      <c r="F804" s="13">
        <v>45883</v>
      </c>
      <c r="G804" s="14">
        <v>1.06468919</v>
      </c>
      <c r="H804" s="14">
        <v>1.06717029</v>
      </c>
      <c r="I804" s="3" t="str">
        <f>IF(G804&gt;MAX($G$3:G803),"新高","/")</f>
        <v>/</v>
      </c>
      <c r="J804" s="26">
        <f t="shared" si="31"/>
        <v>0.00745217489293748</v>
      </c>
      <c r="K804" s="26">
        <f t="shared" si="30"/>
        <v>0.0158876828822732</v>
      </c>
      <c r="L804" s="26">
        <f t="shared" si="32"/>
        <v>0.0559078485275837</v>
      </c>
      <c r="M804" s="27"/>
    </row>
    <row r="805" s="1" customFormat="1" spans="6:13">
      <c r="F805" s="13">
        <v>45884</v>
      </c>
      <c r="G805" s="14">
        <v>1.06470073</v>
      </c>
      <c r="H805" s="14">
        <v>1.06721066</v>
      </c>
      <c r="I805" s="3" t="str">
        <f>IF(G805&gt;MAX($G$3:G804),"新高","/")</f>
        <v>/</v>
      </c>
      <c r="J805" s="26">
        <f t="shared" si="31"/>
        <v>0.00755123503817723</v>
      </c>
      <c r="K805" s="26">
        <f t="shared" si="30"/>
        <v>0.0158465464613897</v>
      </c>
      <c r="L805" s="26">
        <f t="shared" si="32"/>
        <v>0.0557599738732557</v>
      </c>
      <c r="M805" s="27"/>
    </row>
    <row r="806" s="1" customFormat="1" spans="6:13">
      <c r="F806" s="13">
        <v>45887</v>
      </c>
      <c r="G806" s="14">
        <v>1.06451735</v>
      </c>
      <c r="H806" s="14">
        <v>1.0672749</v>
      </c>
      <c r="I806" s="3" t="str">
        <f>IF(G806&gt;MAX($G$3:G805),"新高","/")</f>
        <v>/</v>
      </c>
      <c r="J806" s="26">
        <f t="shared" si="31"/>
        <v>0.00749391001388999</v>
      </c>
      <c r="K806" s="26">
        <f t="shared" si="30"/>
        <v>0.0155556258975762</v>
      </c>
      <c r="L806" s="26">
        <f t="shared" si="32"/>
        <v>0.0555609470312681</v>
      </c>
      <c r="M806" s="27"/>
    </row>
    <row r="807" s="1" customFormat="1" spans="6:13">
      <c r="F807" s="13">
        <v>45888</v>
      </c>
      <c r="G807" s="14">
        <v>1.06450443</v>
      </c>
      <c r="H807" s="14">
        <v>1.0672882</v>
      </c>
      <c r="I807" s="3" t="str">
        <f>IF(G807&gt;MAX($G$3:G806),"新高","/")</f>
        <v>/</v>
      </c>
      <c r="J807" s="26">
        <f t="shared" si="31"/>
        <v>0.00754179518213416</v>
      </c>
      <c r="K807" s="26">
        <f t="shared" si="30"/>
        <v>0.0155234781850151</v>
      </c>
      <c r="L807" s="26">
        <f t="shared" si="32"/>
        <v>0.0554743299250693</v>
      </c>
      <c r="M807" s="27"/>
    </row>
    <row r="808" s="1" customFormat="1" spans="6:13">
      <c r="F808" s="13">
        <v>45889</v>
      </c>
      <c r="G808" s="14">
        <v>1.06454477</v>
      </c>
      <c r="H808" s="14">
        <v>1.06733391</v>
      </c>
      <c r="I808" s="3" t="str">
        <f>IF(G808&gt;MAX($G$3:G807),"新高","/")</f>
        <v>/</v>
      </c>
      <c r="J808" s="26">
        <f t="shared" si="31"/>
        <v>0.00761992709549331</v>
      </c>
      <c r="K808" s="26">
        <f t="shared" si="30"/>
        <v>0.0155126798811569</v>
      </c>
      <c r="L808" s="26">
        <f t="shared" si="32"/>
        <v>0.0554838946227383</v>
      </c>
      <c r="M808" s="27"/>
    </row>
    <row r="809" s="1" customFormat="1" spans="6:13">
      <c r="F809" s="13">
        <v>45890</v>
      </c>
      <c r="G809" s="14">
        <v>1.06456793</v>
      </c>
      <c r="H809" s="14">
        <v>1.06737488</v>
      </c>
      <c r="I809" s="3" t="str">
        <f>IF(G809&gt;MAX($G$3:G808),"新高","/")</f>
        <v>/</v>
      </c>
      <c r="J809" s="26">
        <f t="shared" si="31"/>
        <v>0.00755905956567426</v>
      </c>
      <c r="K809" s="26">
        <f t="shared" si="30"/>
        <v>0.0153836496999813</v>
      </c>
      <c r="L809" s="26">
        <f t="shared" si="32"/>
        <v>0.0553988569188375</v>
      </c>
      <c r="M809" s="27"/>
    </row>
    <row r="810" s="1" customFormat="1" spans="6:13">
      <c r="F810" s="13">
        <v>45891</v>
      </c>
      <c r="G810" s="14">
        <v>1.06459372</v>
      </c>
      <c r="H810" s="14">
        <v>1.06741982</v>
      </c>
      <c r="I810" s="3" t="str">
        <f>IF(G810&gt;MAX($G$3:G809),"新高","/")</f>
        <v>/</v>
      </c>
      <c r="J810" s="26">
        <f t="shared" si="31"/>
        <v>0.00758058853786192</v>
      </c>
      <c r="K810" s="26">
        <f t="shared" si="30"/>
        <v>0.0153551967765877</v>
      </c>
      <c r="L810" s="26">
        <f t="shared" si="32"/>
        <v>0.0554568935368744</v>
      </c>
      <c r="M810" s="27"/>
    </row>
    <row r="811" s="1" customFormat="1" spans="6:13">
      <c r="F811" s="13">
        <v>45894</v>
      </c>
      <c r="G811" s="14">
        <v>1.06473705</v>
      </c>
      <c r="H811" s="14">
        <v>1.06755158</v>
      </c>
      <c r="I811" s="3" t="str">
        <f>IF(G811&gt;MAX($G$3:G810),"新高","/")</f>
        <v>/</v>
      </c>
      <c r="J811" s="26">
        <f t="shared" si="31"/>
        <v>0.00771387736701246</v>
      </c>
      <c r="K811" s="26">
        <f t="shared" si="30"/>
        <v>0.0155286738235021</v>
      </c>
      <c r="L811" s="26">
        <f t="shared" si="32"/>
        <v>0.0556045505670424</v>
      </c>
      <c r="M811" s="27"/>
    </row>
    <row r="812" s="1" customFormat="1" spans="6:13">
      <c r="F812" s="13">
        <v>45895</v>
      </c>
      <c r="G812" s="14">
        <v>1.0648332</v>
      </c>
      <c r="H812" s="14">
        <v>1.06760947</v>
      </c>
      <c r="I812" s="3" t="str">
        <f>IF(G812&gt;MAX($G$3:G811),"新高","/")</f>
        <v>新高</v>
      </c>
      <c r="J812" s="26">
        <f t="shared" si="31"/>
        <v>0.00758580203713732</v>
      </c>
      <c r="K812" s="26">
        <f t="shared" si="30"/>
        <v>0.0155860996120225</v>
      </c>
      <c r="L812" s="26">
        <f t="shared" si="32"/>
        <v>0.0557266915891566</v>
      </c>
      <c r="M812" s="27"/>
    </row>
    <row r="813" s="1" customFormat="1" spans="6:13">
      <c r="F813" s="13">
        <v>45896</v>
      </c>
      <c r="G813" s="14">
        <v>1.06489941</v>
      </c>
      <c r="H813" s="14">
        <v>1.06765133</v>
      </c>
      <c r="I813" s="3" t="str">
        <f>IF(G813&gt;MAX($G$3:G812),"新高","/")</f>
        <v>新高</v>
      </c>
      <c r="J813" s="26">
        <f t="shared" si="31"/>
        <v>0.00752888176948097</v>
      </c>
      <c r="K813" s="26">
        <f t="shared" si="30"/>
        <v>0.0156401613812958</v>
      </c>
      <c r="L813" s="26">
        <f t="shared" si="32"/>
        <v>0.055827989314527</v>
      </c>
      <c r="M813" s="27"/>
    </row>
    <row r="814" s="1" customFormat="1" spans="6:13">
      <c r="F814" s="13">
        <v>45897</v>
      </c>
      <c r="G814" s="14">
        <v>1.06494262</v>
      </c>
      <c r="H814" s="14">
        <v>1.06768855</v>
      </c>
      <c r="I814" s="3" t="str">
        <f>IF(G814&gt;MAX($G$3:G813),"新高","/")</f>
        <v>新高</v>
      </c>
      <c r="J814" s="26">
        <f t="shared" si="31"/>
        <v>0.00749868221059469</v>
      </c>
      <c r="K814" s="26">
        <f t="shared" si="30"/>
        <v>0.0156228956280335</v>
      </c>
      <c r="L814" s="26">
        <f t="shared" si="32"/>
        <v>0.0557283287197667</v>
      </c>
      <c r="M814" s="27"/>
    </row>
    <row r="815" s="1" customFormat="1" spans="6:13">
      <c r="F815" s="13">
        <v>45898</v>
      </c>
      <c r="G815" s="14">
        <v>1.06500121</v>
      </c>
      <c r="H815" s="14">
        <v>1.06773111</v>
      </c>
      <c r="I815" s="3" t="str">
        <f>IF(G815&gt;MAX($G$3:G814),"新高","/")</f>
        <v>新高</v>
      </c>
      <c r="J815" s="26">
        <f t="shared" si="31"/>
        <v>0.00754191092868495</v>
      </c>
      <c r="K815" s="26">
        <f t="shared" si="30"/>
        <v>0.0157606967419937</v>
      </c>
      <c r="L815" s="26">
        <f t="shared" si="32"/>
        <v>0.0556871148369587</v>
      </c>
      <c r="M815" s="27"/>
    </row>
    <row r="816" s="1" customFormat="1" spans="6:13">
      <c r="F816" s="13">
        <v>45901</v>
      </c>
      <c r="G816" s="14">
        <v>1.06513073</v>
      </c>
      <c r="H816" s="14">
        <v>1.06784854</v>
      </c>
      <c r="I816" s="3" t="str">
        <f>IF(G816&gt;MAX($G$3:G815),"新高","/")</f>
        <v>新高</v>
      </c>
      <c r="J816" s="26">
        <f t="shared" si="31"/>
        <v>0.0078179665492244</v>
      </c>
      <c r="K816" s="26">
        <f t="shared" si="30"/>
        <v>0.0158554621013296</v>
      </c>
      <c r="L816" s="26">
        <f t="shared" si="32"/>
        <v>0.0557179696965449</v>
      </c>
      <c r="M816" s="27"/>
    </row>
    <row r="817" s="1" customFormat="1" spans="6:13">
      <c r="F817" s="13">
        <v>45902</v>
      </c>
      <c r="G817" s="14">
        <v>1.0651623</v>
      </c>
      <c r="H817" s="14">
        <v>1.06789195</v>
      </c>
      <c r="I817" s="3" t="str">
        <f>IF(G817&gt;MAX($G$3:G816),"新高","/")</f>
        <v>新高</v>
      </c>
      <c r="J817" s="26">
        <f t="shared" si="31"/>
        <v>0.00776464157778767</v>
      </c>
      <c r="K817" s="26">
        <f t="shared" si="30"/>
        <v>0.0157982435032769</v>
      </c>
      <c r="L817" s="26">
        <f t="shared" si="32"/>
        <v>0.0556835601208934</v>
      </c>
      <c r="M817" s="27"/>
    </row>
    <row r="818" s="1" customFormat="1" spans="6:13">
      <c r="F818" s="13">
        <v>45903</v>
      </c>
      <c r="G818" s="14">
        <v>1.06525222</v>
      </c>
      <c r="H818" s="14">
        <v>1.06793344</v>
      </c>
      <c r="I818" s="3" t="str">
        <f>IF(G818&gt;MAX($G$3:G817),"新高","/")</f>
        <v>新高</v>
      </c>
      <c r="J818" s="26">
        <f t="shared" si="31"/>
        <v>0.00789316129570405</v>
      </c>
      <c r="K818" s="26">
        <f t="shared" si="30"/>
        <v>0.0157985549362358</v>
      </c>
      <c r="L818" s="26">
        <f t="shared" si="32"/>
        <v>0.0557138767945773</v>
      </c>
      <c r="M818" s="27"/>
    </row>
    <row r="819" s="1" customFormat="1" spans="6:13">
      <c r="F819" s="13">
        <v>45904</v>
      </c>
      <c r="G819" s="14">
        <v>1.0653558</v>
      </c>
      <c r="H819" s="14">
        <v>1.06797325</v>
      </c>
      <c r="I819" s="3" t="str">
        <f>IF(G819&gt;MAX($G$3:G818),"新高","/")</f>
        <v>新高</v>
      </c>
      <c r="J819" s="26">
        <f t="shared" si="31"/>
        <v>0.00792742167353366</v>
      </c>
      <c r="K819" s="26">
        <f t="shared" si="30"/>
        <v>0.0156697439603326</v>
      </c>
      <c r="L819" s="26">
        <f t="shared" si="32"/>
        <v>0.055668280559835</v>
      </c>
      <c r="M819" s="27"/>
    </row>
    <row r="820" s="1" customFormat="1" spans="6:13">
      <c r="F820" s="13">
        <v>45905</v>
      </c>
      <c r="G820" s="14">
        <v>1.06534141</v>
      </c>
      <c r="H820" s="14">
        <v>1.06799962</v>
      </c>
      <c r="I820" s="3" t="str">
        <f>IF(G820&gt;MAX($G$3:G819),"新高","/")</f>
        <v>/</v>
      </c>
      <c r="J820" s="26">
        <f t="shared" si="31"/>
        <v>0.00774317371820943</v>
      </c>
      <c r="K820" s="26">
        <f t="shared" si="30"/>
        <v>0.0155880558217112</v>
      </c>
      <c r="L820" s="26">
        <f t="shared" si="32"/>
        <v>0.0555740042907173</v>
      </c>
      <c r="M820" s="27"/>
    </row>
    <row r="821" s="1" customFormat="1" spans="6:13">
      <c r="F821" s="13">
        <v>45908</v>
      </c>
      <c r="G821" s="14">
        <v>1.06536044</v>
      </c>
      <c r="H821" s="14">
        <v>1.0680848</v>
      </c>
      <c r="I821" s="3" t="str">
        <f>IF(G821&gt;MAX($G$3:G820),"新高","/")</f>
        <v>新高</v>
      </c>
      <c r="J821" s="26">
        <f t="shared" si="31"/>
        <v>0.00764234394068097</v>
      </c>
      <c r="K821" s="26">
        <f t="shared" si="30"/>
        <v>0.015538148585764</v>
      </c>
      <c r="L821" s="26">
        <f t="shared" si="32"/>
        <v>0.0555758744337651</v>
      </c>
      <c r="M821" s="27"/>
    </row>
    <row r="822" s="1" customFormat="1" spans="6:13">
      <c r="F822" s="13">
        <v>45909</v>
      </c>
      <c r="G822" s="14">
        <v>1.06534838</v>
      </c>
      <c r="H822" s="14">
        <v>1.0681148</v>
      </c>
      <c r="I822" s="3" t="str">
        <f>IF(G822&gt;MAX($G$3:G821),"新高","/")</f>
        <v>/</v>
      </c>
      <c r="J822" s="26">
        <f t="shared" si="31"/>
        <v>0.00755059288202986</v>
      </c>
      <c r="K822" s="26">
        <f t="shared" si="30"/>
        <v>0.0154750492630302</v>
      </c>
      <c r="L822" s="26">
        <f t="shared" si="32"/>
        <v>0.0554983950921129</v>
      </c>
      <c r="M822" s="27"/>
    </row>
    <row r="823" s="1" customFormat="1" spans="6:13">
      <c r="F823" s="13">
        <v>45910</v>
      </c>
      <c r="G823" s="14">
        <v>1.06528773</v>
      </c>
      <c r="H823" s="14">
        <v>1.06814945</v>
      </c>
      <c r="I823" s="3" t="str">
        <f>IF(G823&gt;MAX($G$3:G822),"新高","/")</f>
        <v>/</v>
      </c>
      <c r="J823" s="26">
        <f t="shared" si="31"/>
        <v>0.00738910880394861</v>
      </c>
      <c r="K823" s="26">
        <f t="shared" ref="K823:K886" si="33">G823/G579-1</f>
        <v>0.0153646272322197</v>
      </c>
      <c r="L823" s="26">
        <f t="shared" si="32"/>
        <v>0.055399742581739</v>
      </c>
      <c r="M823" s="27"/>
    </row>
    <row r="824" s="1" customFormat="1" spans="6:13">
      <c r="F824" s="13">
        <v>45911</v>
      </c>
      <c r="G824" s="14">
        <v>1.06527103</v>
      </c>
      <c r="H824" s="14">
        <v>1.06818554</v>
      </c>
      <c r="I824" s="3" t="str">
        <f>IF(G824&gt;MAX($G$3:G823),"新高","/")</f>
        <v>/</v>
      </c>
      <c r="J824" s="26">
        <f t="shared" si="31"/>
        <v>0.00729868402062639</v>
      </c>
      <c r="K824" s="26">
        <f t="shared" si="33"/>
        <v>0.0152174300256913</v>
      </c>
      <c r="L824" s="26">
        <f t="shared" si="32"/>
        <v>0.0552408287415043</v>
      </c>
      <c r="M824" s="27"/>
    </row>
    <row r="825" s="1" customFormat="1" spans="6:13">
      <c r="F825" s="13">
        <v>45912</v>
      </c>
      <c r="G825" s="14">
        <v>1.06530819</v>
      </c>
      <c r="H825" s="14">
        <v>1.06822335</v>
      </c>
      <c r="I825" s="3" t="str">
        <f>IF(G825&gt;MAX($G$3:G824),"新高","/")</f>
        <v>/</v>
      </c>
      <c r="J825" s="26">
        <f t="shared" si="31"/>
        <v>0.00716830195613305</v>
      </c>
      <c r="K825" s="26">
        <f t="shared" si="33"/>
        <v>0.0152097124775328</v>
      </c>
      <c r="L825" s="26">
        <f t="shared" si="32"/>
        <v>0.0552699242924688</v>
      </c>
      <c r="M825" s="27"/>
    </row>
    <row r="826" s="1" customFormat="1" spans="6:13">
      <c r="F826" s="13">
        <v>45915</v>
      </c>
      <c r="G826" s="14">
        <v>1.06546301</v>
      </c>
      <c r="H826" s="14">
        <v>1.06835286</v>
      </c>
      <c r="I826" s="3" t="str">
        <f>IF(G826&gt;MAX($G$3:G825),"新高","/")</f>
        <v>新高</v>
      </c>
      <c r="J826" s="26">
        <f t="shared" si="31"/>
        <v>0.00720570809671761</v>
      </c>
      <c r="K826" s="26">
        <f t="shared" si="33"/>
        <v>0.0153072578893161</v>
      </c>
      <c r="L826" s="26">
        <f t="shared" si="32"/>
        <v>0.0553762932919144</v>
      </c>
      <c r="M826" s="27"/>
    </row>
    <row r="827" s="1" customFormat="1" spans="6:13">
      <c r="F827" s="13">
        <v>45916</v>
      </c>
      <c r="G827" s="14">
        <v>1.06548443</v>
      </c>
      <c r="H827" s="14">
        <v>1.06838703</v>
      </c>
      <c r="I827" s="3" t="str">
        <f>IF(G827&gt;MAX($G$3:G826),"新高","/")</f>
        <v>新高</v>
      </c>
      <c r="J827" s="26">
        <f t="shared" si="31"/>
        <v>0.00705551228183343</v>
      </c>
      <c r="K827" s="26">
        <f t="shared" si="33"/>
        <v>0.0152676667731337</v>
      </c>
      <c r="L827" s="26">
        <f t="shared" si="32"/>
        <v>0.0554022462200174</v>
      </c>
      <c r="M827" s="27"/>
    </row>
    <row r="828" s="1" customFormat="1" spans="6:13">
      <c r="F828" s="13">
        <v>45917</v>
      </c>
      <c r="G828" s="14">
        <v>1.0655292</v>
      </c>
      <c r="H828" s="14">
        <v>1.06842407</v>
      </c>
      <c r="I828" s="3" t="str">
        <f>IF(G828&gt;MAX($G$3:G827),"新高","/")</f>
        <v>新高</v>
      </c>
      <c r="J828" s="26">
        <f t="shared" ref="J828:J891" si="34">G828/G707-1</f>
        <v>0.00697210076672761</v>
      </c>
      <c r="K828" s="26">
        <f t="shared" si="33"/>
        <v>0.0152298405937508</v>
      </c>
      <c r="L828" s="26">
        <f t="shared" si="32"/>
        <v>0.0553862834762973</v>
      </c>
      <c r="M828" s="27"/>
    </row>
    <row r="829" s="1" customFormat="1" spans="6:13">
      <c r="F829" s="13">
        <v>45918</v>
      </c>
      <c r="G829" s="14">
        <v>1.06553639</v>
      </c>
      <c r="H829" s="14">
        <v>1.06846062</v>
      </c>
      <c r="I829" s="3" t="str">
        <f>IF(G829&gt;MAX($G$3:G828),"新高","/")</f>
        <v>新高</v>
      </c>
      <c r="J829" s="26">
        <f t="shared" si="34"/>
        <v>0.00690364560757351</v>
      </c>
      <c r="K829" s="26">
        <f t="shared" si="33"/>
        <v>0.0149628514850868</v>
      </c>
      <c r="L829" s="26">
        <f t="shared" si="32"/>
        <v>0.0553570700239325</v>
      </c>
      <c r="M829" s="27"/>
    </row>
    <row r="830" s="1" customFormat="1" spans="6:13">
      <c r="F830" s="13">
        <v>45919</v>
      </c>
      <c r="G830" s="14">
        <v>1.06553058</v>
      </c>
      <c r="H830" s="14">
        <v>1.06850111</v>
      </c>
      <c r="I830" s="3" t="str">
        <f>IF(G830&gt;MAX($G$3:G829),"新高","/")</f>
        <v>/</v>
      </c>
      <c r="J830" s="26">
        <f t="shared" si="34"/>
        <v>0.00683441889268699</v>
      </c>
      <c r="K830" s="26">
        <f t="shared" si="33"/>
        <v>0.0149552483306084</v>
      </c>
      <c r="L830" s="26">
        <f t="shared" si="32"/>
        <v>0.055303308493365</v>
      </c>
      <c r="M830" s="27"/>
    </row>
    <row r="831" s="1" customFormat="1" spans="6:13">
      <c r="F831" s="13">
        <v>45922</v>
      </c>
      <c r="G831" s="14">
        <v>1.06563205</v>
      </c>
      <c r="H831" s="14">
        <v>1.06862123</v>
      </c>
      <c r="I831" s="3" t="str">
        <f>IF(G831&gt;MAX($G$3:G830),"新高","/")</f>
        <v>新高</v>
      </c>
      <c r="J831" s="26">
        <f t="shared" si="34"/>
        <v>0.00686788723112697</v>
      </c>
      <c r="K831" s="26">
        <f t="shared" si="33"/>
        <v>0.0150153749344597</v>
      </c>
      <c r="L831" s="26">
        <f t="shared" si="32"/>
        <v>0.0553330024623202</v>
      </c>
      <c r="M831" s="27"/>
    </row>
    <row r="832" s="1" customFormat="1" spans="6:13">
      <c r="F832" s="13">
        <v>45923</v>
      </c>
      <c r="G832" s="14">
        <v>1.06559554</v>
      </c>
      <c r="H832" s="14">
        <v>1.06863974</v>
      </c>
      <c r="I832" s="3" t="str">
        <f>IF(G832&gt;MAX($G$3:G831),"新高","/")</f>
        <v>/</v>
      </c>
      <c r="J832" s="26">
        <f t="shared" si="34"/>
        <v>0.00670653011955524</v>
      </c>
      <c r="K832" s="26">
        <f t="shared" si="33"/>
        <v>0.0148371507645846</v>
      </c>
      <c r="L832" s="26">
        <f t="shared" si="32"/>
        <v>0.0552707916796225</v>
      </c>
      <c r="M832" s="27"/>
    </row>
    <row r="833" s="1" customFormat="1" spans="6:13">
      <c r="F833" s="13">
        <v>45924</v>
      </c>
      <c r="G833" s="14">
        <v>1.06547212</v>
      </c>
      <c r="H833" s="14">
        <v>1.06865417</v>
      </c>
      <c r="I833" s="3" t="str">
        <f>IF(G833&gt;MAX($G$3:G832),"新高","/")</f>
        <v>/</v>
      </c>
      <c r="J833" s="26">
        <f t="shared" si="34"/>
        <v>0.00653377963324075</v>
      </c>
      <c r="K833" s="26">
        <f t="shared" si="33"/>
        <v>0.0146868116966175</v>
      </c>
      <c r="L833" s="26">
        <f t="shared" si="32"/>
        <v>0.0551403126751226</v>
      </c>
      <c r="M833" s="27"/>
    </row>
    <row r="834" s="1" customFormat="1" spans="6:13">
      <c r="F834" s="13">
        <v>45925</v>
      </c>
      <c r="G834" s="14">
        <v>1.06537207</v>
      </c>
      <c r="H834" s="14">
        <v>1.06866323</v>
      </c>
      <c r="I834" s="3" t="str">
        <f>IF(G834&gt;MAX($G$3:G833),"新高","/")</f>
        <v>/</v>
      </c>
      <c r="J834" s="26">
        <f t="shared" si="34"/>
        <v>0.00633837884422928</v>
      </c>
      <c r="K834" s="26">
        <f t="shared" si="33"/>
        <v>0.0144593672995561</v>
      </c>
      <c r="L834" s="26">
        <f t="shared" si="32"/>
        <v>0.0551154300693022</v>
      </c>
      <c r="M834" s="27"/>
    </row>
    <row r="835" s="1" customFormat="1" spans="6:13">
      <c r="F835" s="13">
        <v>45926</v>
      </c>
      <c r="G835" s="14">
        <v>1.06543035</v>
      </c>
      <c r="H835" s="14">
        <v>1.06873899</v>
      </c>
      <c r="I835" s="3" t="str">
        <f>IF(G835&gt;MAX($G$3:G834),"新高","/")</f>
        <v>/</v>
      </c>
      <c r="J835" s="26">
        <f t="shared" si="34"/>
        <v>0.00606828674803594</v>
      </c>
      <c r="K835" s="26">
        <f t="shared" si="33"/>
        <v>0.0145086313047764</v>
      </c>
      <c r="L835" s="26">
        <f t="shared" si="32"/>
        <v>0.0552075937999494</v>
      </c>
      <c r="M835" s="27"/>
    </row>
    <row r="836" s="1" customFormat="1" spans="6:13">
      <c r="F836" s="13">
        <v>45929</v>
      </c>
      <c r="G836" s="14">
        <v>1.06556969</v>
      </c>
      <c r="H836" s="14">
        <v>1.06888693</v>
      </c>
      <c r="I836" s="3" t="str">
        <f>IF(G836&gt;MAX($G$3:G835),"新高","/")</f>
        <v>/</v>
      </c>
      <c r="J836" s="26">
        <f t="shared" si="34"/>
        <v>0.00571061866006062</v>
      </c>
      <c r="K836" s="26">
        <f t="shared" si="33"/>
        <v>0.0148855640641734</v>
      </c>
      <c r="L836" s="26">
        <f t="shared" si="32"/>
        <v>0.0553153072441921</v>
      </c>
      <c r="M836" s="27"/>
    </row>
    <row r="837" s="1" customFormat="1" spans="6:13">
      <c r="F837" s="13">
        <v>45930</v>
      </c>
      <c r="G837" s="14">
        <v>1.06569427</v>
      </c>
      <c r="H837" s="14">
        <v>1.06895779</v>
      </c>
      <c r="I837" s="3" t="str">
        <f>IF(G837&gt;MAX($G$3:G836),"新高","/")</f>
        <v>新高</v>
      </c>
      <c r="J837" s="26">
        <f t="shared" si="34"/>
        <v>0.00587514661697797</v>
      </c>
      <c r="K837" s="26">
        <f t="shared" si="33"/>
        <v>0.0153508400437012</v>
      </c>
      <c r="L837" s="26">
        <f t="shared" si="32"/>
        <v>0.0553813368676501</v>
      </c>
      <c r="M837" s="27"/>
    </row>
    <row r="838" s="1" customFormat="1" spans="6:13">
      <c r="F838" s="13">
        <v>45939</v>
      </c>
      <c r="G838" s="14">
        <v>1.06607758</v>
      </c>
      <c r="H838" s="14">
        <v>1.06934414</v>
      </c>
      <c r="I838" s="3" t="str">
        <f>IF(G838&gt;MAX($G$3:G837),"新高","/")</f>
        <v>新高</v>
      </c>
      <c r="J838" s="26">
        <f t="shared" si="34"/>
        <v>0.00621849690485266</v>
      </c>
      <c r="K838" s="26">
        <f t="shared" si="33"/>
        <v>0.0156083741658053</v>
      </c>
      <c r="L838" s="26">
        <f t="shared" si="32"/>
        <v>0.0550290624510379</v>
      </c>
      <c r="M838" s="27"/>
    </row>
    <row r="839" s="1" customFormat="1" spans="6:13">
      <c r="F839" s="13">
        <v>45940</v>
      </c>
      <c r="G839" s="14">
        <v>1.06612428</v>
      </c>
      <c r="H839" s="14">
        <v>1.06936926</v>
      </c>
      <c r="I839" s="3" t="str">
        <f>IF(G839&gt;MAX($G$3:G838),"新高","/")</f>
        <v>新高</v>
      </c>
      <c r="J839" s="26">
        <f t="shared" si="34"/>
        <v>0.00624268712721721</v>
      </c>
      <c r="K839" s="26">
        <f t="shared" si="33"/>
        <v>0.0160093350652908</v>
      </c>
      <c r="L839" s="26">
        <f t="shared" si="32"/>
        <v>0.05503419312588</v>
      </c>
      <c r="M839" s="27"/>
    </row>
    <row r="840" s="1" customFormat="1" spans="6:13">
      <c r="F840" s="13">
        <v>45943</v>
      </c>
      <c r="G840" s="14">
        <v>1.06630845</v>
      </c>
      <c r="H840" s="14">
        <v>1.06950129</v>
      </c>
      <c r="I840" s="3" t="str">
        <f>IF(G840&gt;MAX($G$3:G839),"新高","/")</f>
        <v>新高</v>
      </c>
      <c r="J840" s="26">
        <f t="shared" si="34"/>
        <v>0.00632062113735032</v>
      </c>
      <c r="K840" s="26">
        <f t="shared" si="33"/>
        <v>0.0160032342624485</v>
      </c>
      <c r="L840" s="26">
        <f t="shared" si="32"/>
        <v>0.0551501318407706</v>
      </c>
      <c r="M840" s="27"/>
    </row>
    <row r="841" s="1" customFormat="1" spans="6:13">
      <c r="F841" s="13">
        <v>45944</v>
      </c>
      <c r="G841" s="14">
        <v>1.06632513</v>
      </c>
      <c r="H841" s="14">
        <v>1.0695144</v>
      </c>
      <c r="I841" s="3" t="str">
        <f>IF(G841&gt;MAX($G$3:G840),"新高","/")</f>
        <v>新高</v>
      </c>
      <c r="J841" s="26">
        <f t="shared" si="34"/>
        <v>0.00622991014209706</v>
      </c>
      <c r="K841" s="26">
        <f t="shared" si="33"/>
        <v>0.0157307001403024</v>
      </c>
      <c r="L841" s="26">
        <f t="shared" si="32"/>
        <v>0.0551291754221788</v>
      </c>
      <c r="M841" s="27"/>
    </row>
    <row r="842" s="1" customFormat="1" spans="6:13">
      <c r="F842" s="13">
        <v>45945</v>
      </c>
      <c r="G842" s="14">
        <v>1.06634749</v>
      </c>
      <c r="H842" s="14">
        <v>1.06955217</v>
      </c>
      <c r="I842" s="3" t="str">
        <f>IF(G842&gt;MAX($G$3:G841),"新高","/")</f>
        <v>新高</v>
      </c>
      <c r="J842" s="26">
        <f t="shared" si="34"/>
        <v>0.00623405146885858</v>
      </c>
      <c r="K842" s="26">
        <f t="shared" si="33"/>
        <v>0.0153074658832419</v>
      </c>
      <c r="L842" s="26">
        <f t="shared" si="32"/>
        <v>0.0550649315904026</v>
      </c>
      <c r="M842" s="27"/>
    </row>
    <row r="843" s="1" customFormat="1" spans="6:13">
      <c r="F843" s="13">
        <v>45946</v>
      </c>
      <c r="G843" s="14">
        <v>1.06643268</v>
      </c>
      <c r="H843" s="14">
        <v>1.06961194</v>
      </c>
      <c r="I843" s="3" t="str">
        <f>IF(G843&gt;MAX($G$3:G842),"新高","/")</f>
        <v>新高</v>
      </c>
      <c r="J843" s="26">
        <f t="shared" si="34"/>
        <v>0.00628877239966585</v>
      </c>
      <c r="K843" s="26">
        <f t="shared" si="33"/>
        <v>0.0152201725073151</v>
      </c>
      <c r="L843" s="26">
        <f t="shared" si="32"/>
        <v>0.0550202307582237</v>
      </c>
      <c r="M843" s="27"/>
    </row>
    <row r="844" s="1" customFormat="1" spans="6:13">
      <c r="F844" s="13">
        <v>45947</v>
      </c>
      <c r="G844" s="14">
        <v>1.06652389</v>
      </c>
      <c r="H844" s="14">
        <v>1.06966626</v>
      </c>
      <c r="I844" s="3" t="str">
        <f>IF(G844&gt;MAX($G$3:G843),"新高","/")</f>
        <v>新高</v>
      </c>
      <c r="J844" s="26">
        <f t="shared" si="34"/>
        <v>0.00635710934703071</v>
      </c>
      <c r="K844" s="26">
        <f t="shared" si="33"/>
        <v>0.0152148889060906</v>
      </c>
      <c r="L844" s="26">
        <f t="shared" si="32"/>
        <v>0.055069767732657</v>
      </c>
      <c r="M844" s="27"/>
    </row>
    <row r="845" s="1" customFormat="1" spans="6:13">
      <c r="F845" s="13">
        <v>45950</v>
      </c>
      <c r="G845" s="14">
        <v>1.0666301</v>
      </c>
      <c r="H845" s="14">
        <v>1.06976065</v>
      </c>
      <c r="I845" s="3" t="str">
        <f>IF(G845&gt;MAX($G$3:G844),"新高","/")</f>
        <v>新高</v>
      </c>
      <c r="J845" s="26">
        <f t="shared" si="34"/>
        <v>0.0064213170814873</v>
      </c>
      <c r="K845" s="26">
        <f t="shared" si="33"/>
        <v>0.0152183754860902</v>
      </c>
      <c r="L845" s="26">
        <f t="shared" si="32"/>
        <v>0.0550926721806315</v>
      </c>
      <c r="M845" s="27"/>
    </row>
    <row r="846" s="1" customFormat="1" spans="6:13">
      <c r="F846" s="13">
        <v>45951</v>
      </c>
      <c r="G846" s="14">
        <v>1.06668683</v>
      </c>
      <c r="H846" s="14">
        <v>1.06980722</v>
      </c>
      <c r="I846" s="3" t="str">
        <f>IF(G846&gt;MAX($G$3:G845),"新高","/")</f>
        <v>新高</v>
      </c>
      <c r="J846" s="26">
        <f t="shared" si="34"/>
        <v>0.00641842856695907</v>
      </c>
      <c r="K846" s="26">
        <f t="shared" si="33"/>
        <v>0.0152323083782941</v>
      </c>
      <c r="L846" s="26">
        <f t="shared" si="32"/>
        <v>0.0551332997405025</v>
      </c>
      <c r="M846" s="27"/>
    </row>
    <row r="847" s="1" customFormat="1" spans="6:13">
      <c r="F847" s="13">
        <v>45952</v>
      </c>
      <c r="G847" s="14">
        <v>1.06674645</v>
      </c>
      <c r="H847" s="14">
        <v>1.06985023</v>
      </c>
      <c r="I847" s="3" t="str">
        <f>IF(G847&gt;MAX($G$3:G846),"新高","/")</f>
        <v>新高</v>
      </c>
      <c r="J847" s="26">
        <f t="shared" si="34"/>
        <v>0.00644106499263741</v>
      </c>
      <c r="K847" s="26">
        <f t="shared" si="33"/>
        <v>0.0151665289759706</v>
      </c>
      <c r="L847" s="26">
        <f t="shared" si="32"/>
        <v>0.0551610141995125</v>
      </c>
      <c r="M847" s="27"/>
    </row>
    <row r="848" s="1" customFormat="1" spans="6:13">
      <c r="F848" s="13">
        <v>45953</v>
      </c>
      <c r="G848" s="14">
        <v>1.06680985</v>
      </c>
      <c r="H848" s="14">
        <v>1.06988829</v>
      </c>
      <c r="I848" s="3" t="str">
        <f>IF(G848&gt;MAX($G$3:G847),"新高","/")</f>
        <v>新高</v>
      </c>
      <c r="J848" s="26">
        <f t="shared" si="34"/>
        <v>0.00651591327252854</v>
      </c>
      <c r="K848" s="26">
        <f t="shared" si="33"/>
        <v>0.0152528048931004</v>
      </c>
      <c r="L848" s="26">
        <f t="shared" si="32"/>
        <v>0.0551279377297489</v>
      </c>
      <c r="M848" s="27"/>
    </row>
    <row r="849" s="1" customFormat="1" spans="6:13">
      <c r="F849" s="13">
        <v>45954</v>
      </c>
      <c r="G849" s="14">
        <v>1.06685484</v>
      </c>
      <c r="H849" s="14">
        <v>1.06992621</v>
      </c>
      <c r="I849" s="3" t="str">
        <f>IF(G849&gt;MAX($G$3:G848),"新高","/")</f>
        <v>新高</v>
      </c>
      <c r="J849" s="26">
        <f t="shared" si="34"/>
        <v>0.00655734438308153</v>
      </c>
      <c r="K849" s="26">
        <f t="shared" si="33"/>
        <v>0.0154028446055419</v>
      </c>
      <c r="L849" s="26">
        <f t="shared" si="32"/>
        <v>0.0551868998178837</v>
      </c>
      <c r="M849" s="27"/>
    </row>
    <row r="850" s="1" customFormat="1" spans="6:13">
      <c r="F850" s="13">
        <v>45957</v>
      </c>
      <c r="G850" s="14">
        <v>1.06698179</v>
      </c>
      <c r="H850" s="14">
        <v>1.0700638</v>
      </c>
      <c r="I850" s="3" t="str">
        <f>IF(G850&gt;MAX($G$3:G849),"新高","/")</f>
        <v>新高</v>
      </c>
      <c r="J850" s="26">
        <f t="shared" si="34"/>
        <v>0.00666849536890646</v>
      </c>
      <c r="K850" s="26">
        <f t="shared" si="33"/>
        <v>0.0155008234310401</v>
      </c>
      <c r="L850" s="26">
        <f t="shared" si="32"/>
        <v>0.0552830800668411</v>
      </c>
      <c r="M850" s="27"/>
    </row>
    <row r="851" s="1" customFormat="1" spans="6:13">
      <c r="F851" s="13">
        <v>45958</v>
      </c>
      <c r="G851" s="14">
        <v>1.06716197</v>
      </c>
      <c r="H851" s="14">
        <v>1.07012604</v>
      </c>
      <c r="I851" s="3" t="str">
        <f>IF(G851&gt;MAX($G$3:G850),"新高","/")</f>
        <v>新高</v>
      </c>
      <c r="J851" s="26">
        <f t="shared" si="34"/>
        <v>0.00671318233462181</v>
      </c>
      <c r="K851" s="26">
        <f t="shared" si="33"/>
        <v>0.015662527323195</v>
      </c>
      <c r="L851" s="26">
        <f t="shared" si="32"/>
        <v>0.055419582805621</v>
      </c>
      <c r="M851" s="27"/>
    </row>
    <row r="852" s="1" customFormat="1" spans="6:13">
      <c r="F852" s="13">
        <v>45959</v>
      </c>
      <c r="G852" s="14">
        <v>1.0672779</v>
      </c>
      <c r="H852" s="14">
        <v>1.07018644</v>
      </c>
      <c r="I852" s="3" t="str">
        <f>IF(G852&gt;MAX($G$3:G851),"新高","/")</f>
        <v>新高</v>
      </c>
      <c r="J852" s="26">
        <f t="shared" si="34"/>
        <v>0.00667618493536581</v>
      </c>
      <c r="K852" s="26">
        <f t="shared" si="33"/>
        <v>0.0156740218227596</v>
      </c>
      <c r="L852" s="26">
        <f t="shared" si="32"/>
        <v>0.0554526924697838</v>
      </c>
      <c r="M852" s="27"/>
    </row>
    <row r="853" s="1" customFormat="1" spans="6:13">
      <c r="F853" s="13">
        <v>45960</v>
      </c>
      <c r="G853" s="14">
        <v>1.06739237</v>
      </c>
      <c r="H853" s="14">
        <v>1.07024377</v>
      </c>
      <c r="I853" s="3" t="str">
        <f>IF(G853&gt;MAX($G$3:G852),"新高","/")</f>
        <v>新高</v>
      </c>
      <c r="J853" s="26">
        <f t="shared" si="34"/>
        <v>0.00667959414470443</v>
      </c>
      <c r="K853" s="26">
        <f t="shared" si="33"/>
        <v>0.0157333597320586</v>
      </c>
      <c r="L853" s="26">
        <f t="shared" si="32"/>
        <v>0.0554147946738333</v>
      </c>
      <c r="M853" s="27"/>
    </row>
    <row r="854" s="1" customFormat="1" spans="6:13">
      <c r="F854" s="13">
        <v>45961</v>
      </c>
      <c r="G854" s="14">
        <v>1.06752926</v>
      </c>
      <c r="H854" s="14">
        <v>1.07030214</v>
      </c>
      <c r="I854" s="3" t="str">
        <f>IF(G854&gt;MAX($G$3:G853),"新高","/")</f>
        <v>新高</v>
      </c>
      <c r="J854" s="26">
        <f t="shared" si="34"/>
        <v>0.00660190167959374</v>
      </c>
      <c r="K854" s="26">
        <f t="shared" si="33"/>
        <v>0.0158287956608711</v>
      </c>
      <c r="L854" s="26">
        <f t="shared" si="32"/>
        <v>0.0555407657555931</v>
      </c>
      <c r="M854" s="27"/>
    </row>
    <row r="855" s="1" customFormat="1" spans="6:13">
      <c r="F855" s="13">
        <v>45964</v>
      </c>
      <c r="G855" s="14">
        <v>1.06765645</v>
      </c>
      <c r="H855" s="14">
        <v>1.07040875</v>
      </c>
      <c r="I855" s="3" t="str">
        <f>IF(G855&gt;MAX($G$3:G854),"新高","/")</f>
        <v>新高</v>
      </c>
      <c r="J855" s="26">
        <f t="shared" si="34"/>
        <v>0.00664164501816433</v>
      </c>
      <c r="K855" s="26">
        <f t="shared" si="33"/>
        <v>0.0158557603716496</v>
      </c>
      <c r="L855" s="26">
        <f t="shared" si="32"/>
        <v>0.0556493778548475</v>
      </c>
      <c r="M855" s="27"/>
    </row>
    <row r="856" s="1" customFormat="1" spans="6:13">
      <c r="F856" s="13">
        <v>45965</v>
      </c>
      <c r="G856" s="14">
        <v>1.06768326</v>
      </c>
      <c r="H856" s="14">
        <v>1.07044303</v>
      </c>
      <c r="I856" s="3" t="str">
        <f>IF(G856&gt;MAX($G$3:G855),"新高","/")</f>
        <v>新高</v>
      </c>
      <c r="J856" s="26">
        <f t="shared" si="34"/>
        <v>0.00644463649024263</v>
      </c>
      <c r="K856" s="26">
        <f t="shared" si="33"/>
        <v>0.015730358585361</v>
      </c>
      <c r="L856" s="26">
        <f t="shared" si="32"/>
        <v>0.0556494996501826</v>
      </c>
      <c r="M856" s="27"/>
    </row>
    <row r="857" s="1" customFormat="1" spans="6:13">
      <c r="F857" s="13">
        <v>45966</v>
      </c>
      <c r="G857" s="14">
        <v>1.06777413</v>
      </c>
      <c r="H857" s="14">
        <v>1.0704726</v>
      </c>
      <c r="I857" s="3" t="str">
        <f>IF(G857&gt;MAX($G$3:G856),"新高","/")</f>
        <v>新高</v>
      </c>
      <c r="J857" s="26">
        <f t="shared" si="34"/>
        <v>0.00637041877126321</v>
      </c>
      <c r="K857" s="26">
        <f t="shared" si="33"/>
        <v>0.0156340765339815</v>
      </c>
      <c r="L857" s="26">
        <f t="shared" si="32"/>
        <v>0.0557412035015588</v>
      </c>
      <c r="M857" s="27"/>
    </row>
    <row r="858" s="1" customFormat="1" spans="6:13">
      <c r="F858" s="13">
        <v>45967</v>
      </c>
      <c r="G858" s="14">
        <v>1.06773321</v>
      </c>
      <c r="H858" s="14">
        <v>1.07050192</v>
      </c>
      <c r="I858" s="3" t="str">
        <f>IF(G858&gt;MAX($G$3:G857),"新高","/")</f>
        <v>/</v>
      </c>
      <c r="J858" s="26">
        <f t="shared" si="34"/>
        <v>0.00624472431801859</v>
      </c>
      <c r="K858" s="26">
        <f t="shared" si="33"/>
        <v>0.0155107330353734</v>
      </c>
      <c r="L858" s="26">
        <f t="shared" ref="L858:L897" si="35">G858/G131-1</f>
        <v>0.055603898959397</v>
      </c>
      <c r="M858" s="27"/>
    </row>
    <row r="859" s="1" customFormat="1" spans="6:13">
      <c r="F859" s="13">
        <v>45968</v>
      </c>
      <c r="G859" s="14">
        <v>1.0677049</v>
      </c>
      <c r="H859" s="14">
        <v>1.07053424</v>
      </c>
      <c r="I859" s="3" t="str">
        <f>IF(G859&gt;MAX($G$3:G858),"新高","/")</f>
        <v>/</v>
      </c>
      <c r="J859" s="26">
        <f t="shared" si="34"/>
        <v>0.00610696681918377</v>
      </c>
      <c r="K859" s="26">
        <f t="shared" si="33"/>
        <v>0.0154239884975063</v>
      </c>
      <c r="L859" s="26">
        <f t="shared" si="35"/>
        <v>0.0556322045183144</v>
      </c>
      <c r="M859" s="27"/>
    </row>
    <row r="860" s="1" customFormat="1" spans="6:13">
      <c r="F860" s="13">
        <v>45971</v>
      </c>
      <c r="G860" s="14">
        <v>1.06779489</v>
      </c>
      <c r="H860" s="14">
        <v>1.07067003</v>
      </c>
      <c r="I860" s="3" t="str">
        <f>IF(G860&gt;MAX($G$3:G859),"新高","/")</f>
        <v>新高</v>
      </c>
      <c r="J860" s="26">
        <f t="shared" si="34"/>
        <v>0.0061374300038346</v>
      </c>
      <c r="K860" s="26">
        <f t="shared" si="33"/>
        <v>0.015364290592869</v>
      </c>
      <c r="L860" s="26">
        <f t="shared" si="35"/>
        <v>0.055728180825213</v>
      </c>
      <c r="M860" s="27"/>
    </row>
    <row r="861" s="1" customFormat="1" spans="6:13">
      <c r="F861" s="13">
        <v>45972</v>
      </c>
      <c r="G861" s="14">
        <v>1.06783105</v>
      </c>
      <c r="H861" s="14">
        <v>1.07070884</v>
      </c>
      <c r="I861" s="3" t="str">
        <f>IF(G861&gt;MAX($G$3:G860),"新高","/")</f>
        <v>新高</v>
      </c>
      <c r="J861" s="26">
        <f t="shared" si="34"/>
        <v>0.00612149369364445</v>
      </c>
      <c r="K861" s="26">
        <f t="shared" si="33"/>
        <v>0.0153147475474937</v>
      </c>
      <c r="L861" s="26">
        <f t="shared" si="35"/>
        <v>0.0558503060190982</v>
      </c>
      <c r="M861" s="27"/>
    </row>
    <row r="862" s="1" customFormat="1" spans="6:13">
      <c r="F862" s="13">
        <v>45973</v>
      </c>
      <c r="G862" s="14">
        <v>1.06790446</v>
      </c>
      <c r="H862" s="14">
        <v>1.07074846</v>
      </c>
      <c r="I862" s="3" t="str">
        <f>IF(G862&gt;MAX($G$3:G861),"新高","/")</f>
        <v>新高</v>
      </c>
      <c r="J862" s="26">
        <f t="shared" si="34"/>
        <v>0.00623119184001641</v>
      </c>
      <c r="K862" s="26">
        <f t="shared" si="33"/>
        <v>0.0152293366303986</v>
      </c>
      <c r="L862" s="26">
        <f t="shared" si="35"/>
        <v>0.0560287305067766</v>
      </c>
      <c r="M862" s="27"/>
    </row>
    <row r="863" s="1" customFormat="1" spans="6:13">
      <c r="F863" s="13">
        <v>45974</v>
      </c>
      <c r="G863" s="14">
        <v>1.0679417</v>
      </c>
      <c r="H863" s="14">
        <v>1.07078251</v>
      </c>
      <c r="I863" s="3" t="str">
        <f>IF(G863&gt;MAX($G$3:G862),"新高","/")</f>
        <v>新高</v>
      </c>
      <c r="J863" s="26">
        <f t="shared" si="34"/>
        <v>0.00613719725429029</v>
      </c>
      <c r="K863" s="26">
        <f t="shared" si="33"/>
        <v>0.0151697260622174</v>
      </c>
      <c r="L863" s="26">
        <f t="shared" si="35"/>
        <v>0.0564988664276092</v>
      </c>
      <c r="M863" s="27"/>
    </row>
    <row r="864" s="1" customFormat="1" spans="6:13">
      <c r="F864" s="13">
        <v>45975</v>
      </c>
      <c r="G864" s="14">
        <v>1.06797666</v>
      </c>
      <c r="H864" s="14">
        <v>1.07082123</v>
      </c>
      <c r="I864" s="3" t="str">
        <f>IF(G864&gt;MAX($G$3:G863),"新高","/")</f>
        <v>新高</v>
      </c>
      <c r="J864" s="26">
        <f t="shared" si="34"/>
        <v>0.00610346979132825</v>
      </c>
      <c r="K864" s="26">
        <f t="shared" si="33"/>
        <v>0.0151647348473869</v>
      </c>
      <c r="L864" s="26">
        <f t="shared" si="35"/>
        <v>0.0567412078323215</v>
      </c>
      <c r="M864" s="27"/>
    </row>
    <row r="865" s="1" customFormat="1" spans="6:13">
      <c r="F865" s="13">
        <v>45978</v>
      </c>
      <c r="G865" s="14">
        <v>1.06810972</v>
      </c>
      <c r="H865" s="14">
        <v>1.07091826</v>
      </c>
      <c r="I865" s="3" t="str">
        <f>IF(G865&gt;MAX($G$3:G864),"新高","/")</f>
        <v>新高</v>
      </c>
      <c r="J865" s="26">
        <f t="shared" si="34"/>
        <v>0.00617836502204283</v>
      </c>
      <c r="K865" s="26">
        <f t="shared" si="33"/>
        <v>0.0152274558348235</v>
      </c>
      <c r="L865" s="26">
        <f t="shared" si="35"/>
        <v>0.0571749053685637</v>
      </c>
      <c r="M865" s="27"/>
    </row>
    <row r="866" s="1" customFormat="1" spans="6:13">
      <c r="F866" s="13">
        <v>45979</v>
      </c>
      <c r="G866" s="14">
        <v>1.06813617</v>
      </c>
      <c r="H866" s="14">
        <v>1.07094954</v>
      </c>
      <c r="I866" s="3" t="str">
        <f>IF(G866&gt;MAX($G$3:G865),"新高","/")</f>
        <v>新高</v>
      </c>
      <c r="J866" s="26">
        <f t="shared" si="34"/>
        <v>0.00614287781217815</v>
      </c>
      <c r="K866" s="26">
        <f t="shared" si="33"/>
        <v>0.0151956459361569</v>
      </c>
      <c r="L866" s="26">
        <f t="shared" si="35"/>
        <v>0.0572709453936018</v>
      </c>
      <c r="M866" s="27"/>
    </row>
    <row r="867" s="1" customFormat="1" spans="6:13">
      <c r="F867" s="13">
        <v>45980</v>
      </c>
      <c r="G867" s="14">
        <v>1.06817991</v>
      </c>
      <c r="H867" s="14">
        <v>1.07098459</v>
      </c>
      <c r="I867" s="3" t="str">
        <f>IF(G867&gt;MAX($G$3:G866),"新高","/")</f>
        <v>新高</v>
      </c>
      <c r="J867" s="26">
        <f t="shared" si="34"/>
        <v>0.00616024293358586</v>
      </c>
      <c r="K867" s="26">
        <f t="shared" si="33"/>
        <v>0.0151154888544409</v>
      </c>
      <c r="L867" s="26">
        <f t="shared" si="35"/>
        <v>0.0572063721585869</v>
      </c>
      <c r="M867" s="27"/>
    </row>
    <row r="868" s="1" customFormat="1" spans="6:13">
      <c r="F868" s="13">
        <v>45981</v>
      </c>
      <c r="G868" s="14">
        <v>1.06820453</v>
      </c>
      <c r="H868" s="14">
        <v>1.07102814</v>
      </c>
      <c r="I868" s="3" t="str">
        <f>IF(G868&gt;MAX($G$3:G867),"新高","/")</f>
        <v>新高</v>
      </c>
      <c r="J868" s="26">
        <f t="shared" si="34"/>
        <v>0.00608738682389021</v>
      </c>
      <c r="K868" s="26">
        <f t="shared" si="33"/>
        <v>0.0151130708291713</v>
      </c>
      <c r="L868" s="26">
        <f t="shared" si="35"/>
        <v>0.0570403028699542</v>
      </c>
      <c r="M868" s="27"/>
    </row>
    <row r="869" s="1" customFormat="1" spans="6:13">
      <c r="F869" s="13">
        <v>45982</v>
      </c>
      <c r="G869" s="14">
        <v>1.06820152</v>
      </c>
      <c r="H869" s="14">
        <v>1.07105799</v>
      </c>
      <c r="I869" s="3" t="str">
        <f>IF(G869&gt;MAX($G$3:G868),"新高","/")</f>
        <v>/</v>
      </c>
      <c r="J869" s="26">
        <f t="shared" si="34"/>
        <v>0.00606782735384526</v>
      </c>
      <c r="K869" s="26">
        <f t="shared" si="33"/>
        <v>0.0150599446113688</v>
      </c>
      <c r="L869" s="26">
        <f t="shared" si="35"/>
        <v>0.056951058129989</v>
      </c>
      <c r="M869" s="27"/>
    </row>
    <row r="870" s="1" customFormat="1" spans="6:13">
      <c r="F870" s="13">
        <v>45985</v>
      </c>
      <c r="G870" s="14">
        <v>1.06829825</v>
      </c>
      <c r="H870" s="14">
        <v>1.07117592</v>
      </c>
      <c r="I870" s="3" t="str">
        <f>IF(G870&gt;MAX($G$3:G869),"新高","/")</f>
        <v>新高</v>
      </c>
      <c r="J870" s="26">
        <f t="shared" si="34"/>
        <v>0.00617583697027602</v>
      </c>
      <c r="K870" s="26">
        <f t="shared" si="33"/>
        <v>0.0151060243538805</v>
      </c>
      <c r="L870" s="26">
        <f t="shared" si="35"/>
        <v>0.0569024111324465</v>
      </c>
      <c r="M870" s="27"/>
    </row>
    <row r="871" s="1" customFormat="1" spans="6:13">
      <c r="F871" s="13">
        <v>45986</v>
      </c>
      <c r="G871" s="14">
        <v>1.06829765</v>
      </c>
      <c r="H871" s="14">
        <v>1.07120845</v>
      </c>
      <c r="I871" s="3" t="str">
        <f>IF(G871&gt;MAX($G$3:G870),"新高","/")</f>
        <v>/</v>
      </c>
      <c r="J871" s="26">
        <f t="shared" si="34"/>
        <v>0.00622852399561258</v>
      </c>
      <c r="K871" s="26">
        <f t="shared" si="33"/>
        <v>0.0150390774276894</v>
      </c>
      <c r="L871" s="26">
        <f t="shared" si="35"/>
        <v>0.0566147243893109</v>
      </c>
      <c r="M871" s="27"/>
    </row>
    <row r="872" s="1" customFormat="1" spans="6:13">
      <c r="F872" s="13">
        <v>45987</v>
      </c>
      <c r="G872" s="14">
        <v>1.06820075</v>
      </c>
      <c r="H872" s="14">
        <v>1.07123686</v>
      </c>
      <c r="I872" s="3" t="str">
        <f>IF(G872&gt;MAX($G$3:G871),"新高","/")</f>
        <v>/</v>
      </c>
      <c r="J872" s="26">
        <f t="shared" si="34"/>
        <v>0.00603419489179835</v>
      </c>
      <c r="K872" s="26">
        <f t="shared" si="33"/>
        <v>0.0147922250478114</v>
      </c>
      <c r="L872" s="26">
        <f t="shared" si="35"/>
        <v>0.0564619470279355</v>
      </c>
      <c r="M872" s="27"/>
    </row>
    <row r="873" s="1" customFormat="1" spans="6:13">
      <c r="F873" s="13">
        <v>45988</v>
      </c>
      <c r="G873" s="14">
        <v>1.06817123</v>
      </c>
      <c r="H873" s="14">
        <v>1.07118053</v>
      </c>
      <c r="I873" s="3" t="str">
        <f>IF(G873&gt;MAX($G$3:G872),"新高","/")</f>
        <v>/</v>
      </c>
      <c r="J873" s="26">
        <f t="shared" si="34"/>
        <v>0.00587534789538924</v>
      </c>
      <c r="K873" s="26">
        <f t="shared" si="33"/>
        <v>0.0146796524842319</v>
      </c>
      <c r="L873" s="26">
        <f t="shared" si="35"/>
        <v>0.0563137803582072</v>
      </c>
      <c r="M873" s="27"/>
    </row>
    <row r="874" s="1" customFormat="1" spans="6:13">
      <c r="F874" s="13">
        <v>45989</v>
      </c>
      <c r="G874" s="14">
        <v>1.06822189</v>
      </c>
      <c r="H874" s="14">
        <v>1.07110059</v>
      </c>
      <c r="I874" s="3" t="str">
        <f>IF(G874&gt;MAX($G$3:G873),"新高","/")</f>
        <v>/</v>
      </c>
      <c r="J874" s="26">
        <f t="shared" si="34"/>
        <v>0.00587044546802828</v>
      </c>
      <c r="K874" s="26">
        <f t="shared" si="33"/>
        <v>0.0146664165862511</v>
      </c>
      <c r="L874" s="26">
        <f t="shared" si="35"/>
        <v>0.0564968352970319</v>
      </c>
      <c r="M874" s="27"/>
    </row>
    <row r="875" s="1" customFormat="1" spans="6:13">
      <c r="F875" s="13">
        <v>45992</v>
      </c>
      <c r="G875" s="14">
        <v>1.0683253</v>
      </c>
      <c r="H875" s="14">
        <v>1.07119058</v>
      </c>
      <c r="I875" s="3" t="str">
        <f>IF(G875&gt;MAX($G$3:G874),"新高","/")</f>
        <v>新高</v>
      </c>
      <c r="J875" s="26">
        <f t="shared" si="34"/>
        <v>0.00592809339032563</v>
      </c>
      <c r="K875" s="26">
        <f t="shared" si="33"/>
        <v>0.0146687441920066</v>
      </c>
      <c r="L875" s="26">
        <f t="shared" si="35"/>
        <v>0.0566350281715193</v>
      </c>
      <c r="M875" s="27"/>
    </row>
    <row r="876" s="1" customFormat="1" spans="6:13">
      <c r="F876" s="13">
        <v>45993</v>
      </c>
      <c r="G876" s="14">
        <v>1.06834022</v>
      </c>
      <c r="H876" s="14">
        <v>1.07119662</v>
      </c>
      <c r="I876" s="3" t="str">
        <f>IF(G876&gt;MAX($G$3:G875),"新高","/")</f>
        <v>新高</v>
      </c>
      <c r="J876" s="26">
        <f t="shared" si="34"/>
        <v>0.00583140887328337</v>
      </c>
      <c r="K876" s="26">
        <f t="shared" si="33"/>
        <v>0.0145111221909995</v>
      </c>
      <c r="L876" s="26">
        <f t="shared" si="35"/>
        <v>0.0566891652638013</v>
      </c>
      <c r="M876" s="27"/>
    </row>
    <row r="877" s="1" customFormat="1" spans="6:13">
      <c r="F877" s="13">
        <v>45994</v>
      </c>
      <c r="G877" s="14">
        <v>1.06834313</v>
      </c>
      <c r="H877" s="14">
        <v>1.07122597</v>
      </c>
      <c r="I877" s="3" t="str">
        <f>IF(G877&gt;MAX($G$3:G876),"新高","/")</f>
        <v>新高</v>
      </c>
      <c r="J877" s="26">
        <f t="shared" si="34"/>
        <v>0.00565300452992457</v>
      </c>
      <c r="K877" s="26">
        <f t="shared" si="33"/>
        <v>0.0140995244726849</v>
      </c>
      <c r="L877" s="26">
        <f t="shared" si="35"/>
        <v>0.0566849573363979</v>
      </c>
      <c r="M877" s="27"/>
    </row>
    <row r="878" s="1" customFormat="1" spans="6:13">
      <c r="F878" s="13">
        <v>45995</v>
      </c>
      <c r="G878" s="14">
        <v>1.06823891</v>
      </c>
      <c r="H878" s="14">
        <v>1.07122186</v>
      </c>
      <c r="I878" s="3" t="str">
        <f>IF(G878&gt;MAX($G$3:G877),"新高","/")</f>
        <v>/</v>
      </c>
      <c r="J878" s="26">
        <f t="shared" si="34"/>
        <v>0.00551246812635919</v>
      </c>
      <c r="K878" s="26">
        <f t="shared" si="33"/>
        <v>0.013908328067979</v>
      </c>
      <c r="L878" s="26">
        <f t="shared" si="35"/>
        <v>0.0564607042876797</v>
      </c>
      <c r="M878" s="27"/>
    </row>
    <row r="879" s="1" customFormat="1" spans="6:13">
      <c r="F879" s="13">
        <v>45996</v>
      </c>
      <c r="G879" s="14">
        <v>1.06826889</v>
      </c>
      <c r="H879" s="14">
        <v>1.07125338</v>
      </c>
      <c r="I879" s="3" t="str">
        <f>IF(G879&gt;MAX($G$3:G878),"新高","/")</f>
        <v>/</v>
      </c>
      <c r="J879" s="26">
        <f t="shared" si="34"/>
        <v>0.00548131753683045</v>
      </c>
      <c r="K879" s="26">
        <f t="shared" si="33"/>
        <v>0.0137772670183169</v>
      </c>
      <c r="L879" s="26">
        <f t="shared" si="35"/>
        <v>0.0566072949093257</v>
      </c>
      <c r="M879" s="27"/>
    </row>
    <row r="880" s="1" customFormat="1" spans="6:13">
      <c r="F880" s="13">
        <v>45999</v>
      </c>
      <c r="G880" s="14">
        <v>1.06832138</v>
      </c>
      <c r="H880" s="14">
        <v>1.07135563</v>
      </c>
      <c r="I880" s="3" t="str">
        <f>IF(G880&gt;MAX($G$3:G879),"新高","/")</f>
        <v>/</v>
      </c>
      <c r="J880" s="26">
        <f t="shared" si="34"/>
        <v>0.00549117265501242</v>
      </c>
      <c r="K880" s="26">
        <f t="shared" si="33"/>
        <v>0.0137483175108539</v>
      </c>
      <c r="L880" s="26">
        <f t="shared" si="35"/>
        <v>0.0569150262073668</v>
      </c>
      <c r="M880" s="27"/>
    </row>
    <row r="881" s="1" customFormat="1" spans="6:13">
      <c r="F881" s="13">
        <v>46000</v>
      </c>
      <c r="G881" s="14">
        <v>1.06839517</v>
      </c>
      <c r="H881" s="14">
        <v>1.07140203</v>
      </c>
      <c r="I881" s="3" t="str">
        <f>IF(G881&gt;MAX($G$3:G880),"新高","/")</f>
        <v>新高</v>
      </c>
      <c r="J881" s="26">
        <f t="shared" si="34"/>
        <v>0.00552538887322029</v>
      </c>
      <c r="K881" s="26">
        <f t="shared" si="33"/>
        <v>0.0137826192010309</v>
      </c>
      <c r="L881" s="26">
        <f t="shared" si="35"/>
        <v>0.0570824532889191</v>
      </c>
      <c r="M881" s="27"/>
    </row>
    <row r="882" s="1" customFormat="1" spans="6:13">
      <c r="F882" s="13">
        <v>46001</v>
      </c>
      <c r="G882" s="14">
        <v>1.06843178</v>
      </c>
      <c r="H882" s="14">
        <v>1.07144576</v>
      </c>
      <c r="I882" s="3" t="str">
        <f>IF(G882&gt;MAX($G$3:G881),"新高","/")</f>
        <v>新高</v>
      </c>
      <c r="J882" s="26">
        <f t="shared" si="34"/>
        <v>0.00543227822671866</v>
      </c>
      <c r="K882" s="26">
        <f t="shared" si="33"/>
        <v>0.0136743101735948</v>
      </c>
      <c r="L882" s="26">
        <f t="shared" si="35"/>
        <v>0.0572048146152895</v>
      </c>
      <c r="M882" s="27"/>
    </row>
    <row r="883" s="1" customFormat="1" spans="6:13">
      <c r="F883" s="13">
        <v>46002</v>
      </c>
      <c r="G883" s="14">
        <v>1.06851304</v>
      </c>
      <c r="H883" s="14">
        <v>1.07150404</v>
      </c>
      <c r="I883" s="3" t="str">
        <f>IF(G883&gt;MAX($G$3:G882),"新高","/")</f>
        <v>新高</v>
      </c>
      <c r="J883" s="26">
        <f t="shared" si="34"/>
        <v>0.00543212776105828</v>
      </c>
      <c r="K883" s="26">
        <f t="shared" si="33"/>
        <v>0.013494709441964</v>
      </c>
      <c r="L883" s="26">
        <f t="shared" si="35"/>
        <v>0.0573632188724158</v>
      </c>
      <c r="M883" s="27"/>
    </row>
    <row r="884" s="1" customFormat="1" spans="6:13">
      <c r="F884" s="13">
        <v>46003</v>
      </c>
      <c r="G884" s="14">
        <v>1.0685337</v>
      </c>
      <c r="H884" s="14">
        <v>1.07154681</v>
      </c>
      <c r="I884" s="3" t="str">
        <f>IF(G884&gt;MAX($G$3:G883),"新高","/")</f>
        <v>新高</v>
      </c>
      <c r="J884" s="26">
        <f t="shared" si="34"/>
        <v>0.0054016641154484</v>
      </c>
      <c r="K884" s="26">
        <f t="shared" si="33"/>
        <v>0.0134710477383775</v>
      </c>
      <c r="L884" s="26">
        <f t="shared" si="35"/>
        <v>0.0577425994232579</v>
      </c>
      <c r="M884" s="27"/>
    </row>
    <row r="885" s="1" customFormat="1" spans="6:13">
      <c r="F885" s="13">
        <v>46006</v>
      </c>
      <c r="G885" s="14">
        <v>1.06854734</v>
      </c>
      <c r="H885" s="14">
        <v>1.07165139</v>
      </c>
      <c r="I885" s="3" t="str">
        <f>IF(G885&gt;MAX($G$3:G884),"新高","/")</f>
        <v>新高</v>
      </c>
      <c r="J885" s="26">
        <f t="shared" si="34"/>
        <v>0.00533218302459715</v>
      </c>
      <c r="K885" s="26">
        <f t="shared" si="33"/>
        <v>0.0134163840820765</v>
      </c>
      <c r="L885" s="26">
        <f t="shared" si="35"/>
        <v>0.0577271299334625</v>
      </c>
      <c r="M885" s="27"/>
    </row>
    <row r="886" s="1" customFormat="1" spans="6:13">
      <c r="F886" s="13">
        <v>46007</v>
      </c>
      <c r="G886" s="14">
        <v>1.06858107</v>
      </c>
      <c r="H886" s="14">
        <v>1.071709</v>
      </c>
      <c r="I886" s="3" t="str">
        <f>IF(G886&gt;MAX($G$3:G885),"新高","/")</f>
        <v>新高</v>
      </c>
      <c r="J886" s="26">
        <f t="shared" si="34"/>
        <v>0.00531005220046854</v>
      </c>
      <c r="K886" s="26">
        <f t="shared" si="33"/>
        <v>0.0131927408526777</v>
      </c>
      <c r="L886" s="26">
        <f t="shared" si="35"/>
        <v>0.0576808753191795</v>
      </c>
      <c r="M886" s="27"/>
    </row>
    <row r="887" s="1" customFormat="1" spans="6:13">
      <c r="F887" s="13">
        <v>46008</v>
      </c>
      <c r="G887" s="14">
        <v>1.06867865</v>
      </c>
      <c r="H887" s="14">
        <v>1.07175359</v>
      </c>
      <c r="I887" s="3" t="str">
        <f>IF(G887&gt;MAX($G$3:G886),"新高","/")</f>
        <v>新高</v>
      </c>
      <c r="J887" s="26">
        <f t="shared" si="34"/>
        <v>0.0052755207933548</v>
      </c>
      <c r="K887" s="26">
        <f t="shared" ref="K887:K897" si="36">G887/G643-1</f>
        <v>0.0130487686604548</v>
      </c>
      <c r="L887" s="26">
        <f t="shared" si="35"/>
        <v>0.0577619856937877</v>
      </c>
      <c r="M887" s="27"/>
    </row>
    <row r="888" s="1" customFormat="1" spans="6:13">
      <c r="F888" s="13">
        <v>46009</v>
      </c>
      <c r="G888" s="14">
        <v>1.06876533</v>
      </c>
      <c r="H888" s="14">
        <v>1.07180827</v>
      </c>
      <c r="I888" s="3" t="str">
        <f>IF(G888&gt;MAX($G$3:G887),"新高","/")</f>
        <v>新高</v>
      </c>
      <c r="J888" s="26">
        <f t="shared" si="34"/>
        <v>0.00535942247903431</v>
      </c>
      <c r="K888" s="26">
        <f t="shared" si="36"/>
        <v>0.0131694977779224</v>
      </c>
      <c r="L888" s="26">
        <f t="shared" si="35"/>
        <v>0.0576055293347364</v>
      </c>
      <c r="M888" s="27"/>
    </row>
    <row r="889" s="1" customFormat="1" spans="6:13">
      <c r="F889" s="13">
        <v>46010</v>
      </c>
      <c r="G889" s="14">
        <v>1.06888859</v>
      </c>
      <c r="H889" s="14">
        <v>1.07187814</v>
      </c>
      <c r="I889" s="3" t="str">
        <f>IF(G889&gt;MAX($G$3:G888),"新高","/")</f>
        <v>新高</v>
      </c>
      <c r="J889" s="26">
        <f t="shared" si="34"/>
        <v>0.00548837516884726</v>
      </c>
      <c r="K889" s="26">
        <f t="shared" si="36"/>
        <v>0.0132974791507956</v>
      </c>
      <c r="L889" s="26">
        <f t="shared" si="35"/>
        <v>0.0576282755806787</v>
      </c>
      <c r="M889" s="27"/>
    </row>
    <row r="890" s="1" customFormat="1" spans="6:13">
      <c r="F890" s="13">
        <v>46013</v>
      </c>
      <c r="G890" s="14">
        <v>1.06900246</v>
      </c>
      <c r="H890" s="14">
        <v>1.07200764</v>
      </c>
      <c r="I890" s="3" t="str">
        <f>IF(G890&gt;MAX($G$3:G889),"新高","/")</f>
        <v>新高</v>
      </c>
      <c r="J890" s="26">
        <f t="shared" si="34"/>
        <v>0.00560230194912847</v>
      </c>
      <c r="K890" s="26">
        <f t="shared" si="36"/>
        <v>0.0134049081845415</v>
      </c>
      <c r="L890" s="26">
        <f t="shared" si="35"/>
        <v>0.0576356373277405</v>
      </c>
      <c r="M890" s="27"/>
    </row>
    <row r="891" s="1" customFormat="1" spans="6:13">
      <c r="F891" s="13">
        <v>46014</v>
      </c>
      <c r="G891" s="14">
        <v>1.0690848</v>
      </c>
      <c r="H891" s="14">
        <v>1.07206419</v>
      </c>
      <c r="I891" s="3" t="str">
        <f>IF(G891&gt;MAX($G$3:G890),"新高","/")</f>
        <v>新高</v>
      </c>
      <c r="J891" s="26">
        <f t="shared" si="34"/>
        <v>0.00560073298245811</v>
      </c>
      <c r="K891" s="26">
        <f t="shared" si="36"/>
        <v>0.0133182584262552</v>
      </c>
      <c r="L891" s="26">
        <f t="shared" si="35"/>
        <v>0.0575636068858607</v>
      </c>
      <c r="M891" s="27"/>
    </row>
    <row r="892" s="1" customFormat="1" spans="6:13">
      <c r="F892" s="13">
        <v>46015</v>
      </c>
      <c r="G892" s="14">
        <v>1.06912272</v>
      </c>
      <c r="H892" s="14">
        <v>1.07210854</v>
      </c>
      <c r="I892" s="3" t="str">
        <f>IF(G892&gt;MAX($G$3:G891),"新高","/")</f>
        <v>新高</v>
      </c>
      <c r="J892" s="26">
        <f t="shared" ref="J892:J897" si="37">G892/G771-1</f>
        <v>0.00553602075895387</v>
      </c>
      <c r="K892" s="26">
        <f t="shared" si="36"/>
        <v>0.0131398441295063</v>
      </c>
      <c r="L892" s="26">
        <f t="shared" si="35"/>
        <v>0.0574016448214991</v>
      </c>
      <c r="M892" s="27"/>
    </row>
    <row r="893" s="1" customFormat="1" spans="6:13">
      <c r="F893" s="13">
        <v>46016</v>
      </c>
      <c r="G893" s="14">
        <v>1.06914888</v>
      </c>
      <c r="H893" s="14">
        <v>1.07216021</v>
      </c>
      <c r="I893" s="3" t="str">
        <f>IF(G893&gt;MAX($G$3:G892),"新高","/")</f>
        <v>新高</v>
      </c>
      <c r="J893" s="26">
        <f t="shared" si="37"/>
        <v>0.00545970410648344</v>
      </c>
      <c r="K893" s="26">
        <f t="shared" si="36"/>
        <v>0.0131269417121964</v>
      </c>
      <c r="L893" s="26">
        <f t="shared" si="35"/>
        <v>0.0571717687350113</v>
      </c>
      <c r="M893" s="27"/>
    </row>
    <row r="894" s="1" customFormat="1" spans="6:13">
      <c r="F894" s="13">
        <v>46017</v>
      </c>
      <c r="G894" s="14">
        <v>1.06920344</v>
      </c>
      <c r="H894" s="14">
        <v>1.07221384</v>
      </c>
      <c r="I894" s="3" t="str">
        <f>IF(G894&gt;MAX($G$3:G893),"新高","/")</f>
        <v>新高</v>
      </c>
      <c r="J894" s="26">
        <f t="shared" si="37"/>
        <v>0.00530387289720369</v>
      </c>
      <c r="K894" s="26">
        <f t="shared" si="36"/>
        <v>0.0132236922436753</v>
      </c>
      <c r="L894" s="26">
        <f t="shared" si="35"/>
        <v>0.057061753859118</v>
      </c>
      <c r="M894" s="27"/>
    </row>
    <row r="895" s="1" customFormat="1" spans="6:13">
      <c r="F895" s="13">
        <v>46020</v>
      </c>
      <c r="G895" s="14">
        <v>1.06924445</v>
      </c>
      <c r="H895" s="14">
        <v>1.07231185</v>
      </c>
      <c r="I895" s="3" t="str">
        <f>IF(G895&gt;MAX($G$3:G894),"新高","/")</f>
        <v>新高</v>
      </c>
      <c r="J895" s="26">
        <f t="shared" si="37"/>
        <v>0.00523460835630751</v>
      </c>
      <c r="K895" s="26">
        <f t="shared" si="36"/>
        <v>0.0132703808892944</v>
      </c>
      <c r="L895" s="26">
        <f t="shared" si="35"/>
        <v>0.0570227930786746</v>
      </c>
      <c r="M895" s="27"/>
    </row>
    <row r="896" s="1" customFormat="1" spans="6:13">
      <c r="F896" s="13">
        <v>46021</v>
      </c>
      <c r="G896" s="14">
        <v>1.06929709</v>
      </c>
      <c r="H896" s="14">
        <v>1.07235855</v>
      </c>
      <c r="I896" s="3" t="str">
        <f>IF(G896&gt;MAX($G$3:G895),"新高","/")</f>
        <v>新高</v>
      </c>
      <c r="J896" s="26">
        <f t="shared" si="37"/>
        <v>0.00517023449802712</v>
      </c>
      <c r="K896" s="26">
        <f t="shared" si="36"/>
        <v>0.0131458135209712</v>
      </c>
      <c r="L896" s="26">
        <f t="shared" si="35"/>
        <v>0.0568822952924715</v>
      </c>
      <c r="M896" s="27"/>
    </row>
    <row r="897" s="1" customFormat="1" spans="6:13">
      <c r="F897" s="13">
        <v>46022</v>
      </c>
      <c r="G897" s="14">
        <v>1.06938448</v>
      </c>
      <c r="H897" s="14">
        <v>1.07241559</v>
      </c>
      <c r="I897" s="3" t="str">
        <f>IF(G897&gt;MAX($G$3:G896),"新高","/")</f>
        <v>新高</v>
      </c>
      <c r="J897" s="26">
        <f t="shared" si="37"/>
        <v>0.0050978109048605</v>
      </c>
      <c r="K897" s="26">
        <f t="shared" si="36"/>
        <v>0.0130882883446859</v>
      </c>
      <c r="L897" s="26">
        <f t="shared" si="35"/>
        <v>0.0567676987416921</v>
      </c>
      <c r="M897" s="27"/>
    </row>
  </sheetData>
  <mergeCells count="1">
    <mergeCell ref="O5:Q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72901</dc:creator>
  <cp:lastModifiedBy>今天托福了吗</cp:lastModifiedBy>
  <dcterms:created xsi:type="dcterms:W3CDTF">2026-04-07T10:30:04Z</dcterms:created>
  <dcterms:modified xsi:type="dcterms:W3CDTF">2026-04-07T10:30:36Z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98F011C1EAF849C7A87BBD780DB48F26_11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