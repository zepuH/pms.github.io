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work\投资研究\数据研究\数据工具\"/>
    </mc:Choice>
  </mc:AlternateContent>
  <xr:revisionPtr revIDLastSave="0" documentId="13_ncr:1_{1602C1D1-2876-43FD-AD21-966D71736030}" xr6:coauthVersionLast="36" xr6:coauthVersionMax="36" xr10:uidLastSave="{00000000-0000-0000-0000-000000000000}"/>
  <bookViews>
    <workbookView xWindow="0" yWindow="0" windowWidth="28800" windowHeight="10560" xr2:uid="{00000000-000D-0000-FFFF-FFFF00000000}"/>
  </bookViews>
  <sheets>
    <sheet name="策略组合" sheetId="1" r:id="rId1"/>
    <sheet name="Sheet1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F16" i="1"/>
  <c r="G3" i="1"/>
  <c r="F20" i="1" l="1"/>
  <c r="E20" i="1" s="1"/>
  <c r="F19" i="1"/>
  <c r="E19" i="1" s="1"/>
  <c r="F18" i="1"/>
  <c r="E18" i="1" s="1"/>
  <c r="F17" i="1"/>
  <c r="E17" i="1" s="1"/>
  <c r="E23" i="1"/>
  <c r="F15" i="1"/>
  <c r="E22" i="1"/>
  <c r="F22" i="1" s="1"/>
  <c r="F26" i="1" l="1"/>
  <c r="E14" i="1" l="1"/>
  <c r="U4000" i="1"/>
  <c r="T4000" i="1"/>
  <c r="R4000" i="1"/>
  <c r="S4000" i="1" s="1"/>
  <c r="Q4000" i="1"/>
  <c r="P4000" i="1"/>
  <c r="O4000" i="1"/>
  <c r="N4000" i="1"/>
  <c r="M4000" i="1"/>
  <c r="L4000" i="1"/>
  <c r="K4000" i="1"/>
  <c r="J4000" i="1"/>
  <c r="U3999" i="1"/>
  <c r="T3999" i="1"/>
  <c r="R3999" i="1"/>
  <c r="S3999" i="1" s="1"/>
  <c r="Q3999" i="1"/>
  <c r="P3999" i="1"/>
  <c r="O3999" i="1"/>
  <c r="N3999" i="1"/>
  <c r="M3999" i="1"/>
  <c r="L3999" i="1"/>
  <c r="K3999" i="1"/>
  <c r="J3999" i="1"/>
  <c r="U3998" i="1"/>
  <c r="T3998" i="1"/>
  <c r="R3998" i="1"/>
  <c r="S3998" i="1" s="1"/>
  <c r="Q3998" i="1"/>
  <c r="P3998" i="1"/>
  <c r="O3998" i="1"/>
  <c r="N3998" i="1"/>
  <c r="M3998" i="1"/>
  <c r="L3998" i="1"/>
  <c r="K3998" i="1"/>
  <c r="J3998" i="1"/>
  <c r="U3997" i="1"/>
  <c r="T3997" i="1"/>
  <c r="R3997" i="1"/>
  <c r="S3997" i="1" s="1"/>
  <c r="Q3997" i="1"/>
  <c r="P3997" i="1"/>
  <c r="O3997" i="1"/>
  <c r="N3997" i="1"/>
  <c r="M3997" i="1"/>
  <c r="L3997" i="1"/>
  <c r="K3997" i="1"/>
  <c r="J3997" i="1"/>
  <c r="U3996" i="1"/>
  <c r="T3996" i="1"/>
  <c r="R3996" i="1"/>
  <c r="S3996" i="1" s="1"/>
  <c r="Q3996" i="1"/>
  <c r="P3996" i="1"/>
  <c r="O3996" i="1"/>
  <c r="N3996" i="1"/>
  <c r="M3996" i="1"/>
  <c r="L3996" i="1"/>
  <c r="K3996" i="1"/>
  <c r="J3996" i="1"/>
  <c r="U3995" i="1"/>
  <c r="T3995" i="1"/>
  <c r="R3995" i="1"/>
  <c r="S3995" i="1" s="1"/>
  <c r="Q3995" i="1"/>
  <c r="P3995" i="1"/>
  <c r="O3995" i="1"/>
  <c r="N3995" i="1"/>
  <c r="M3995" i="1"/>
  <c r="L3995" i="1"/>
  <c r="K3995" i="1"/>
  <c r="J3995" i="1"/>
  <c r="U3994" i="1"/>
  <c r="T3994" i="1"/>
  <c r="R3994" i="1"/>
  <c r="S3994" i="1" s="1"/>
  <c r="Q3994" i="1"/>
  <c r="P3994" i="1"/>
  <c r="O3994" i="1"/>
  <c r="N3994" i="1"/>
  <c r="M3994" i="1"/>
  <c r="L3994" i="1"/>
  <c r="K3994" i="1"/>
  <c r="J3994" i="1"/>
  <c r="U3993" i="1"/>
  <c r="T3993" i="1"/>
  <c r="R3993" i="1"/>
  <c r="S3993" i="1" s="1"/>
  <c r="Q3993" i="1"/>
  <c r="P3993" i="1"/>
  <c r="O3993" i="1"/>
  <c r="N3993" i="1"/>
  <c r="M3993" i="1"/>
  <c r="L3993" i="1"/>
  <c r="K3993" i="1"/>
  <c r="J3993" i="1"/>
  <c r="U3992" i="1"/>
  <c r="T3992" i="1"/>
  <c r="R3992" i="1"/>
  <c r="S3992" i="1" s="1"/>
  <c r="Q3992" i="1"/>
  <c r="P3992" i="1"/>
  <c r="O3992" i="1"/>
  <c r="N3992" i="1"/>
  <c r="M3992" i="1"/>
  <c r="L3992" i="1"/>
  <c r="K3992" i="1"/>
  <c r="J3992" i="1"/>
  <c r="U3991" i="1"/>
  <c r="T3991" i="1"/>
  <c r="R3991" i="1"/>
  <c r="S3991" i="1" s="1"/>
  <c r="Q3991" i="1"/>
  <c r="P3991" i="1"/>
  <c r="O3991" i="1"/>
  <c r="N3991" i="1"/>
  <c r="M3991" i="1"/>
  <c r="L3991" i="1"/>
  <c r="K3991" i="1"/>
  <c r="J3991" i="1"/>
  <c r="U3990" i="1"/>
  <c r="T3990" i="1"/>
  <c r="R3990" i="1"/>
  <c r="S3990" i="1" s="1"/>
  <c r="Q3990" i="1"/>
  <c r="P3990" i="1"/>
  <c r="O3990" i="1"/>
  <c r="N3990" i="1"/>
  <c r="M3990" i="1"/>
  <c r="L3990" i="1"/>
  <c r="K3990" i="1"/>
  <c r="J3990" i="1"/>
  <c r="U3989" i="1"/>
  <c r="T3989" i="1"/>
  <c r="R3989" i="1"/>
  <c r="S3989" i="1" s="1"/>
  <c r="Q3989" i="1"/>
  <c r="P3989" i="1"/>
  <c r="O3989" i="1"/>
  <c r="N3989" i="1"/>
  <c r="M3989" i="1"/>
  <c r="L3989" i="1"/>
  <c r="K3989" i="1"/>
  <c r="J3989" i="1"/>
  <c r="U3988" i="1"/>
  <c r="T3988" i="1"/>
  <c r="R3988" i="1"/>
  <c r="S3988" i="1" s="1"/>
  <c r="Q3988" i="1"/>
  <c r="P3988" i="1"/>
  <c r="O3988" i="1"/>
  <c r="N3988" i="1"/>
  <c r="M3988" i="1"/>
  <c r="L3988" i="1"/>
  <c r="K3988" i="1"/>
  <c r="J3988" i="1"/>
  <c r="U3987" i="1"/>
  <c r="T3987" i="1"/>
  <c r="R3987" i="1"/>
  <c r="S3987" i="1" s="1"/>
  <c r="Q3987" i="1"/>
  <c r="P3987" i="1"/>
  <c r="O3987" i="1"/>
  <c r="N3987" i="1"/>
  <c r="M3987" i="1"/>
  <c r="L3987" i="1"/>
  <c r="K3987" i="1"/>
  <c r="J3987" i="1"/>
  <c r="U3986" i="1"/>
  <c r="T3986" i="1"/>
  <c r="R3986" i="1"/>
  <c r="S3986" i="1" s="1"/>
  <c r="Q3986" i="1"/>
  <c r="P3986" i="1"/>
  <c r="O3986" i="1"/>
  <c r="N3986" i="1"/>
  <c r="M3986" i="1"/>
  <c r="L3986" i="1"/>
  <c r="K3986" i="1"/>
  <c r="J3986" i="1"/>
  <c r="U3985" i="1"/>
  <c r="T3985" i="1"/>
  <c r="R3985" i="1"/>
  <c r="S3985" i="1" s="1"/>
  <c r="Q3985" i="1"/>
  <c r="P3985" i="1"/>
  <c r="O3985" i="1"/>
  <c r="N3985" i="1"/>
  <c r="M3985" i="1"/>
  <c r="L3985" i="1"/>
  <c r="K3985" i="1"/>
  <c r="J3985" i="1"/>
  <c r="U3984" i="1"/>
  <c r="T3984" i="1"/>
  <c r="R3984" i="1"/>
  <c r="S3984" i="1" s="1"/>
  <c r="Q3984" i="1"/>
  <c r="P3984" i="1"/>
  <c r="O3984" i="1"/>
  <c r="N3984" i="1"/>
  <c r="M3984" i="1"/>
  <c r="L3984" i="1"/>
  <c r="K3984" i="1"/>
  <c r="J3984" i="1"/>
  <c r="U3983" i="1"/>
  <c r="T3983" i="1"/>
  <c r="R3983" i="1"/>
  <c r="S3983" i="1" s="1"/>
  <c r="Q3983" i="1"/>
  <c r="P3983" i="1"/>
  <c r="O3983" i="1"/>
  <c r="N3983" i="1"/>
  <c r="M3983" i="1"/>
  <c r="L3983" i="1"/>
  <c r="K3983" i="1"/>
  <c r="J3983" i="1"/>
  <c r="U3982" i="1"/>
  <c r="T3982" i="1"/>
  <c r="R3982" i="1"/>
  <c r="S3982" i="1" s="1"/>
  <c r="Q3982" i="1"/>
  <c r="P3982" i="1"/>
  <c r="O3982" i="1"/>
  <c r="N3982" i="1"/>
  <c r="M3982" i="1"/>
  <c r="L3982" i="1"/>
  <c r="K3982" i="1"/>
  <c r="J3982" i="1"/>
  <c r="U3981" i="1"/>
  <c r="T3981" i="1"/>
  <c r="R3981" i="1"/>
  <c r="S3981" i="1" s="1"/>
  <c r="Q3981" i="1"/>
  <c r="P3981" i="1"/>
  <c r="O3981" i="1"/>
  <c r="N3981" i="1"/>
  <c r="M3981" i="1"/>
  <c r="L3981" i="1"/>
  <c r="K3981" i="1"/>
  <c r="J3981" i="1"/>
  <c r="U3980" i="1"/>
  <c r="T3980" i="1"/>
  <c r="R3980" i="1"/>
  <c r="S3980" i="1" s="1"/>
  <c r="Q3980" i="1"/>
  <c r="P3980" i="1"/>
  <c r="O3980" i="1"/>
  <c r="N3980" i="1"/>
  <c r="M3980" i="1"/>
  <c r="L3980" i="1"/>
  <c r="K3980" i="1"/>
  <c r="J3980" i="1"/>
  <c r="U3979" i="1"/>
  <c r="T3979" i="1"/>
  <c r="R3979" i="1"/>
  <c r="S3979" i="1" s="1"/>
  <c r="Q3979" i="1"/>
  <c r="P3979" i="1"/>
  <c r="O3979" i="1"/>
  <c r="N3979" i="1"/>
  <c r="M3979" i="1"/>
  <c r="L3979" i="1"/>
  <c r="K3979" i="1"/>
  <c r="J3979" i="1"/>
  <c r="U3978" i="1"/>
  <c r="T3978" i="1"/>
  <c r="R3978" i="1"/>
  <c r="S3978" i="1" s="1"/>
  <c r="Q3978" i="1"/>
  <c r="P3978" i="1"/>
  <c r="O3978" i="1"/>
  <c r="N3978" i="1"/>
  <c r="M3978" i="1"/>
  <c r="L3978" i="1"/>
  <c r="K3978" i="1"/>
  <c r="J3978" i="1"/>
  <c r="U3977" i="1"/>
  <c r="T3977" i="1"/>
  <c r="R3977" i="1"/>
  <c r="S3977" i="1" s="1"/>
  <c r="Q3977" i="1"/>
  <c r="P3977" i="1"/>
  <c r="O3977" i="1"/>
  <c r="N3977" i="1"/>
  <c r="M3977" i="1"/>
  <c r="L3977" i="1"/>
  <c r="K3977" i="1"/>
  <c r="J3977" i="1"/>
  <c r="U3976" i="1"/>
  <c r="T3976" i="1"/>
  <c r="R3976" i="1"/>
  <c r="S3976" i="1" s="1"/>
  <c r="Q3976" i="1"/>
  <c r="P3976" i="1"/>
  <c r="O3976" i="1"/>
  <c r="N3976" i="1"/>
  <c r="M3976" i="1"/>
  <c r="L3976" i="1"/>
  <c r="K3976" i="1"/>
  <c r="J3976" i="1"/>
  <c r="U3975" i="1"/>
  <c r="T3975" i="1"/>
  <c r="R3975" i="1"/>
  <c r="S3975" i="1" s="1"/>
  <c r="Q3975" i="1"/>
  <c r="P3975" i="1"/>
  <c r="O3975" i="1"/>
  <c r="N3975" i="1"/>
  <c r="M3975" i="1"/>
  <c r="L3975" i="1"/>
  <c r="K3975" i="1"/>
  <c r="J3975" i="1"/>
  <c r="U3974" i="1"/>
  <c r="T3974" i="1"/>
  <c r="R3974" i="1"/>
  <c r="S3974" i="1" s="1"/>
  <c r="Q3974" i="1"/>
  <c r="P3974" i="1"/>
  <c r="O3974" i="1"/>
  <c r="N3974" i="1"/>
  <c r="M3974" i="1"/>
  <c r="L3974" i="1"/>
  <c r="K3974" i="1"/>
  <c r="J3974" i="1"/>
  <c r="U3973" i="1"/>
  <c r="T3973" i="1"/>
  <c r="R3973" i="1"/>
  <c r="S3973" i="1" s="1"/>
  <c r="Q3973" i="1"/>
  <c r="P3973" i="1"/>
  <c r="O3973" i="1"/>
  <c r="N3973" i="1"/>
  <c r="M3973" i="1"/>
  <c r="L3973" i="1"/>
  <c r="K3973" i="1"/>
  <c r="J3973" i="1"/>
  <c r="U3972" i="1"/>
  <c r="T3972" i="1"/>
  <c r="R3972" i="1"/>
  <c r="S3972" i="1" s="1"/>
  <c r="Q3972" i="1"/>
  <c r="P3972" i="1"/>
  <c r="O3972" i="1"/>
  <c r="N3972" i="1"/>
  <c r="M3972" i="1"/>
  <c r="L3972" i="1"/>
  <c r="K3972" i="1"/>
  <c r="J3972" i="1"/>
  <c r="U3971" i="1"/>
  <c r="T3971" i="1"/>
  <c r="R3971" i="1"/>
  <c r="S3971" i="1" s="1"/>
  <c r="Q3971" i="1"/>
  <c r="P3971" i="1"/>
  <c r="O3971" i="1"/>
  <c r="N3971" i="1"/>
  <c r="M3971" i="1"/>
  <c r="L3971" i="1"/>
  <c r="K3971" i="1"/>
  <c r="J3971" i="1"/>
  <c r="U3970" i="1"/>
  <c r="T3970" i="1"/>
  <c r="R3970" i="1"/>
  <c r="S3970" i="1" s="1"/>
  <c r="Q3970" i="1"/>
  <c r="P3970" i="1"/>
  <c r="O3970" i="1"/>
  <c r="N3970" i="1"/>
  <c r="M3970" i="1"/>
  <c r="L3970" i="1"/>
  <c r="K3970" i="1"/>
  <c r="J3970" i="1"/>
  <c r="U3969" i="1"/>
  <c r="T3969" i="1"/>
  <c r="R3969" i="1"/>
  <c r="S3969" i="1" s="1"/>
  <c r="Q3969" i="1"/>
  <c r="P3969" i="1"/>
  <c r="O3969" i="1"/>
  <c r="N3969" i="1"/>
  <c r="M3969" i="1"/>
  <c r="L3969" i="1"/>
  <c r="K3969" i="1"/>
  <c r="J3969" i="1"/>
  <c r="U3968" i="1"/>
  <c r="T3968" i="1"/>
  <c r="R3968" i="1"/>
  <c r="S3968" i="1" s="1"/>
  <c r="Q3968" i="1"/>
  <c r="P3968" i="1"/>
  <c r="O3968" i="1"/>
  <c r="N3968" i="1"/>
  <c r="M3968" i="1"/>
  <c r="L3968" i="1"/>
  <c r="K3968" i="1"/>
  <c r="J3968" i="1"/>
  <c r="U3967" i="1"/>
  <c r="T3967" i="1"/>
  <c r="R3967" i="1"/>
  <c r="S3967" i="1" s="1"/>
  <c r="Q3967" i="1"/>
  <c r="P3967" i="1"/>
  <c r="O3967" i="1"/>
  <c r="N3967" i="1"/>
  <c r="M3967" i="1"/>
  <c r="L3967" i="1"/>
  <c r="K3967" i="1"/>
  <c r="J3967" i="1"/>
  <c r="U3966" i="1"/>
  <c r="T3966" i="1"/>
  <c r="R3966" i="1"/>
  <c r="S3966" i="1" s="1"/>
  <c r="Q3966" i="1"/>
  <c r="P3966" i="1"/>
  <c r="O3966" i="1"/>
  <c r="N3966" i="1"/>
  <c r="M3966" i="1"/>
  <c r="L3966" i="1"/>
  <c r="K3966" i="1"/>
  <c r="J3966" i="1"/>
  <c r="U3965" i="1"/>
  <c r="T3965" i="1"/>
  <c r="R3965" i="1"/>
  <c r="S3965" i="1" s="1"/>
  <c r="Q3965" i="1"/>
  <c r="P3965" i="1"/>
  <c r="O3965" i="1"/>
  <c r="N3965" i="1"/>
  <c r="M3965" i="1"/>
  <c r="L3965" i="1"/>
  <c r="K3965" i="1"/>
  <c r="J3965" i="1"/>
  <c r="U3964" i="1"/>
  <c r="T3964" i="1"/>
  <c r="R3964" i="1"/>
  <c r="S3964" i="1" s="1"/>
  <c r="Q3964" i="1"/>
  <c r="P3964" i="1"/>
  <c r="O3964" i="1"/>
  <c r="N3964" i="1"/>
  <c r="M3964" i="1"/>
  <c r="L3964" i="1"/>
  <c r="K3964" i="1"/>
  <c r="J3964" i="1"/>
  <c r="U3963" i="1"/>
  <c r="T3963" i="1"/>
  <c r="R3963" i="1"/>
  <c r="S3963" i="1" s="1"/>
  <c r="Q3963" i="1"/>
  <c r="P3963" i="1"/>
  <c r="O3963" i="1"/>
  <c r="N3963" i="1"/>
  <c r="M3963" i="1"/>
  <c r="L3963" i="1"/>
  <c r="K3963" i="1"/>
  <c r="J3963" i="1"/>
  <c r="U3962" i="1"/>
  <c r="T3962" i="1"/>
  <c r="R3962" i="1"/>
  <c r="S3962" i="1" s="1"/>
  <c r="Q3962" i="1"/>
  <c r="P3962" i="1"/>
  <c r="O3962" i="1"/>
  <c r="N3962" i="1"/>
  <c r="M3962" i="1"/>
  <c r="L3962" i="1"/>
  <c r="K3962" i="1"/>
  <c r="J3962" i="1"/>
  <c r="U3961" i="1"/>
  <c r="T3961" i="1"/>
  <c r="R3961" i="1"/>
  <c r="S3961" i="1" s="1"/>
  <c r="Q3961" i="1"/>
  <c r="P3961" i="1"/>
  <c r="O3961" i="1"/>
  <c r="N3961" i="1"/>
  <c r="M3961" i="1"/>
  <c r="L3961" i="1"/>
  <c r="K3961" i="1"/>
  <c r="J3961" i="1"/>
  <c r="U3960" i="1"/>
  <c r="T3960" i="1"/>
  <c r="R3960" i="1"/>
  <c r="S3960" i="1" s="1"/>
  <c r="Q3960" i="1"/>
  <c r="P3960" i="1"/>
  <c r="O3960" i="1"/>
  <c r="N3960" i="1"/>
  <c r="M3960" i="1"/>
  <c r="L3960" i="1"/>
  <c r="K3960" i="1"/>
  <c r="J3960" i="1"/>
  <c r="U3959" i="1"/>
  <c r="T3959" i="1"/>
  <c r="R3959" i="1"/>
  <c r="S3959" i="1" s="1"/>
  <c r="Q3959" i="1"/>
  <c r="P3959" i="1"/>
  <c r="O3959" i="1"/>
  <c r="N3959" i="1"/>
  <c r="M3959" i="1"/>
  <c r="L3959" i="1"/>
  <c r="K3959" i="1"/>
  <c r="J3959" i="1"/>
  <c r="U3958" i="1"/>
  <c r="T3958" i="1"/>
  <c r="R3958" i="1"/>
  <c r="S3958" i="1" s="1"/>
  <c r="Q3958" i="1"/>
  <c r="P3958" i="1"/>
  <c r="O3958" i="1"/>
  <c r="N3958" i="1"/>
  <c r="M3958" i="1"/>
  <c r="L3958" i="1"/>
  <c r="K3958" i="1"/>
  <c r="J3958" i="1"/>
  <c r="U3957" i="1"/>
  <c r="T3957" i="1"/>
  <c r="R3957" i="1"/>
  <c r="S3957" i="1" s="1"/>
  <c r="Q3957" i="1"/>
  <c r="P3957" i="1"/>
  <c r="O3957" i="1"/>
  <c r="N3957" i="1"/>
  <c r="M3957" i="1"/>
  <c r="L3957" i="1"/>
  <c r="K3957" i="1"/>
  <c r="J3957" i="1"/>
  <c r="U3956" i="1"/>
  <c r="T3956" i="1"/>
  <c r="R3956" i="1"/>
  <c r="S3956" i="1" s="1"/>
  <c r="Q3956" i="1"/>
  <c r="P3956" i="1"/>
  <c r="O3956" i="1"/>
  <c r="N3956" i="1"/>
  <c r="M3956" i="1"/>
  <c r="L3956" i="1"/>
  <c r="K3956" i="1"/>
  <c r="J3956" i="1"/>
  <c r="U3955" i="1"/>
  <c r="T3955" i="1"/>
  <c r="R3955" i="1"/>
  <c r="S3955" i="1" s="1"/>
  <c r="Q3955" i="1"/>
  <c r="P3955" i="1"/>
  <c r="O3955" i="1"/>
  <c r="N3955" i="1"/>
  <c r="M3955" i="1"/>
  <c r="L3955" i="1"/>
  <c r="K3955" i="1"/>
  <c r="J3955" i="1"/>
  <c r="U3954" i="1"/>
  <c r="T3954" i="1"/>
  <c r="R3954" i="1"/>
  <c r="S3954" i="1" s="1"/>
  <c r="Q3954" i="1"/>
  <c r="P3954" i="1"/>
  <c r="O3954" i="1"/>
  <c r="N3954" i="1"/>
  <c r="M3954" i="1"/>
  <c r="L3954" i="1"/>
  <c r="K3954" i="1"/>
  <c r="J3954" i="1"/>
  <c r="U3953" i="1"/>
  <c r="T3953" i="1"/>
  <c r="R3953" i="1"/>
  <c r="S3953" i="1" s="1"/>
  <c r="Q3953" i="1"/>
  <c r="P3953" i="1"/>
  <c r="O3953" i="1"/>
  <c r="N3953" i="1"/>
  <c r="M3953" i="1"/>
  <c r="L3953" i="1"/>
  <c r="K3953" i="1"/>
  <c r="J3953" i="1"/>
  <c r="U3952" i="1"/>
  <c r="T3952" i="1"/>
  <c r="R3952" i="1"/>
  <c r="S3952" i="1" s="1"/>
  <c r="Q3952" i="1"/>
  <c r="P3952" i="1"/>
  <c r="O3952" i="1"/>
  <c r="N3952" i="1"/>
  <c r="M3952" i="1"/>
  <c r="L3952" i="1"/>
  <c r="K3952" i="1"/>
  <c r="J3952" i="1"/>
  <c r="U3951" i="1"/>
  <c r="T3951" i="1"/>
  <c r="R3951" i="1"/>
  <c r="S3951" i="1" s="1"/>
  <c r="Q3951" i="1"/>
  <c r="P3951" i="1"/>
  <c r="O3951" i="1"/>
  <c r="N3951" i="1"/>
  <c r="M3951" i="1"/>
  <c r="L3951" i="1"/>
  <c r="K3951" i="1"/>
  <c r="J3951" i="1"/>
  <c r="U3950" i="1"/>
  <c r="T3950" i="1"/>
  <c r="R3950" i="1"/>
  <c r="S3950" i="1" s="1"/>
  <c r="Q3950" i="1"/>
  <c r="P3950" i="1"/>
  <c r="O3950" i="1"/>
  <c r="N3950" i="1"/>
  <c r="M3950" i="1"/>
  <c r="L3950" i="1"/>
  <c r="K3950" i="1"/>
  <c r="J3950" i="1"/>
  <c r="U3949" i="1"/>
  <c r="T3949" i="1"/>
  <c r="R3949" i="1"/>
  <c r="S3949" i="1" s="1"/>
  <c r="Q3949" i="1"/>
  <c r="P3949" i="1"/>
  <c r="O3949" i="1"/>
  <c r="N3949" i="1"/>
  <c r="M3949" i="1"/>
  <c r="L3949" i="1"/>
  <c r="K3949" i="1"/>
  <c r="J3949" i="1"/>
  <c r="U3948" i="1"/>
  <c r="T3948" i="1"/>
  <c r="R3948" i="1"/>
  <c r="S3948" i="1" s="1"/>
  <c r="Q3948" i="1"/>
  <c r="P3948" i="1"/>
  <c r="O3948" i="1"/>
  <c r="N3948" i="1"/>
  <c r="M3948" i="1"/>
  <c r="L3948" i="1"/>
  <c r="K3948" i="1"/>
  <c r="J3948" i="1"/>
  <c r="U3947" i="1"/>
  <c r="T3947" i="1"/>
  <c r="R3947" i="1"/>
  <c r="S3947" i="1" s="1"/>
  <c r="Q3947" i="1"/>
  <c r="P3947" i="1"/>
  <c r="O3947" i="1"/>
  <c r="N3947" i="1"/>
  <c r="M3947" i="1"/>
  <c r="L3947" i="1"/>
  <c r="K3947" i="1"/>
  <c r="J3947" i="1"/>
  <c r="U3946" i="1"/>
  <c r="T3946" i="1"/>
  <c r="R3946" i="1"/>
  <c r="S3946" i="1" s="1"/>
  <c r="Q3946" i="1"/>
  <c r="P3946" i="1"/>
  <c r="O3946" i="1"/>
  <c r="N3946" i="1"/>
  <c r="M3946" i="1"/>
  <c r="L3946" i="1"/>
  <c r="K3946" i="1"/>
  <c r="J3946" i="1"/>
  <c r="U3945" i="1"/>
  <c r="T3945" i="1"/>
  <c r="R3945" i="1"/>
  <c r="S3945" i="1" s="1"/>
  <c r="Q3945" i="1"/>
  <c r="P3945" i="1"/>
  <c r="O3945" i="1"/>
  <c r="N3945" i="1"/>
  <c r="M3945" i="1"/>
  <c r="L3945" i="1"/>
  <c r="K3945" i="1"/>
  <c r="J3945" i="1"/>
  <c r="U3944" i="1"/>
  <c r="T3944" i="1"/>
  <c r="R3944" i="1"/>
  <c r="S3944" i="1" s="1"/>
  <c r="Q3944" i="1"/>
  <c r="P3944" i="1"/>
  <c r="O3944" i="1"/>
  <c r="N3944" i="1"/>
  <c r="M3944" i="1"/>
  <c r="L3944" i="1"/>
  <c r="K3944" i="1"/>
  <c r="J3944" i="1"/>
  <c r="U3943" i="1"/>
  <c r="T3943" i="1"/>
  <c r="R3943" i="1"/>
  <c r="S3943" i="1" s="1"/>
  <c r="Q3943" i="1"/>
  <c r="P3943" i="1"/>
  <c r="O3943" i="1"/>
  <c r="N3943" i="1"/>
  <c r="M3943" i="1"/>
  <c r="L3943" i="1"/>
  <c r="K3943" i="1"/>
  <c r="J3943" i="1"/>
  <c r="U3942" i="1"/>
  <c r="T3942" i="1"/>
  <c r="R3942" i="1"/>
  <c r="S3942" i="1" s="1"/>
  <c r="Q3942" i="1"/>
  <c r="P3942" i="1"/>
  <c r="O3942" i="1"/>
  <c r="N3942" i="1"/>
  <c r="M3942" i="1"/>
  <c r="L3942" i="1"/>
  <c r="K3942" i="1"/>
  <c r="J3942" i="1"/>
  <c r="K3941" i="1"/>
  <c r="P3941" i="1" s="1"/>
  <c r="J3941" i="1"/>
  <c r="K3940" i="1"/>
  <c r="P3940" i="1" s="1"/>
  <c r="J3940" i="1"/>
  <c r="O3940" i="1" s="1"/>
  <c r="L3939" i="1"/>
  <c r="K3939" i="1"/>
  <c r="P3939" i="1" s="1"/>
  <c r="J3939" i="1"/>
  <c r="O3939" i="1" s="1"/>
  <c r="K3938" i="1"/>
  <c r="P3938" i="1" s="1"/>
  <c r="J3938" i="1"/>
  <c r="O3938" i="1" s="1"/>
  <c r="K3937" i="1"/>
  <c r="P3937" i="1" s="1"/>
  <c r="J3937" i="1"/>
  <c r="O3937" i="1" s="1"/>
  <c r="Q3936" i="1"/>
  <c r="L3936" i="1"/>
  <c r="K3936" i="1"/>
  <c r="P3936" i="1" s="1"/>
  <c r="J3936" i="1"/>
  <c r="O3936" i="1" s="1"/>
  <c r="P3935" i="1"/>
  <c r="L3935" i="1"/>
  <c r="K3935" i="1"/>
  <c r="J3935" i="1"/>
  <c r="O3935" i="1" s="1"/>
  <c r="P3934" i="1"/>
  <c r="O3934" i="1"/>
  <c r="K3934" i="1"/>
  <c r="J3934" i="1"/>
  <c r="P3933" i="1"/>
  <c r="O3933" i="1"/>
  <c r="K3933" i="1"/>
  <c r="J3933" i="1"/>
  <c r="P3932" i="1"/>
  <c r="O3932" i="1"/>
  <c r="K3932" i="1"/>
  <c r="J3932" i="1"/>
  <c r="L3932" i="1" s="1"/>
  <c r="Q3932" i="1" s="1"/>
  <c r="O3931" i="1"/>
  <c r="L3931" i="1"/>
  <c r="K3931" i="1"/>
  <c r="J3931" i="1"/>
  <c r="K3930" i="1"/>
  <c r="J3930" i="1"/>
  <c r="K3929" i="1"/>
  <c r="P3929" i="1" s="1"/>
  <c r="J3929" i="1"/>
  <c r="K3928" i="1"/>
  <c r="P3928" i="1" s="1"/>
  <c r="J3928" i="1"/>
  <c r="O3928" i="1" s="1"/>
  <c r="L3927" i="1"/>
  <c r="K3927" i="1"/>
  <c r="P3927" i="1" s="1"/>
  <c r="J3927" i="1"/>
  <c r="O3927" i="1" s="1"/>
  <c r="K3926" i="1"/>
  <c r="P3926" i="1" s="1"/>
  <c r="J3926" i="1"/>
  <c r="O3926" i="1" s="1"/>
  <c r="K3925" i="1"/>
  <c r="P3925" i="1" s="1"/>
  <c r="J3925" i="1"/>
  <c r="O3925" i="1" s="1"/>
  <c r="L3924" i="1"/>
  <c r="K3924" i="1"/>
  <c r="J3924" i="1"/>
  <c r="O3924" i="1" s="1"/>
  <c r="P3923" i="1"/>
  <c r="K3923" i="1"/>
  <c r="P3924" i="1" s="1"/>
  <c r="J3923" i="1"/>
  <c r="P3922" i="1"/>
  <c r="O3922" i="1"/>
  <c r="K3922" i="1"/>
  <c r="J3922" i="1"/>
  <c r="O3923" i="1" s="1"/>
  <c r="P3921" i="1"/>
  <c r="O3921" i="1"/>
  <c r="K3921" i="1"/>
  <c r="J3921" i="1"/>
  <c r="P3920" i="1"/>
  <c r="O3920" i="1"/>
  <c r="K3920" i="1"/>
  <c r="J3920" i="1"/>
  <c r="L3920" i="1" s="1"/>
  <c r="Q3920" i="1" s="1"/>
  <c r="O3919" i="1"/>
  <c r="L3919" i="1"/>
  <c r="K3919" i="1"/>
  <c r="J3919" i="1"/>
  <c r="K3918" i="1"/>
  <c r="J3918" i="1"/>
  <c r="K3917" i="1"/>
  <c r="P3917" i="1" s="1"/>
  <c r="J3917" i="1"/>
  <c r="K3916" i="1"/>
  <c r="P3916" i="1" s="1"/>
  <c r="J3916" i="1"/>
  <c r="O3916" i="1" s="1"/>
  <c r="L3915" i="1"/>
  <c r="K3915" i="1"/>
  <c r="J3915" i="1"/>
  <c r="O3915" i="1" s="1"/>
  <c r="K3914" i="1"/>
  <c r="P3914" i="1" s="1"/>
  <c r="J3914" i="1"/>
  <c r="K3913" i="1"/>
  <c r="P3913" i="1" s="1"/>
  <c r="J3913" i="1"/>
  <c r="O3913" i="1" s="1"/>
  <c r="L3912" i="1"/>
  <c r="K3912" i="1"/>
  <c r="J3912" i="1"/>
  <c r="O3912" i="1" s="1"/>
  <c r="P3911" i="1"/>
  <c r="K3911" i="1"/>
  <c r="P3912" i="1" s="1"/>
  <c r="J3911" i="1"/>
  <c r="P3910" i="1"/>
  <c r="O3910" i="1"/>
  <c r="K3910" i="1"/>
  <c r="J3910" i="1"/>
  <c r="O3911" i="1" s="1"/>
  <c r="P3909" i="1"/>
  <c r="O3909" i="1"/>
  <c r="K3909" i="1"/>
  <c r="J3909" i="1"/>
  <c r="P3908" i="1"/>
  <c r="O3908" i="1"/>
  <c r="K3908" i="1"/>
  <c r="J3908" i="1"/>
  <c r="L3908" i="1" s="1"/>
  <c r="Q3908" i="1" s="1"/>
  <c r="O3907" i="1"/>
  <c r="L3907" i="1"/>
  <c r="K3907" i="1"/>
  <c r="J3907" i="1"/>
  <c r="K3906" i="1"/>
  <c r="J3906" i="1"/>
  <c r="K3905" i="1"/>
  <c r="P3905" i="1" s="1"/>
  <c r="J3905" i="1"/>
  <c r="K3904" i="1"/>
  <c r="P3904" i="1" s="1"/>
  <c r="J3904" i="1"/>
  <c r="O3904" i="1" s="1"/>
  <c r="L3903" i="1"/>
  <c r="K3903" i="1"/>
  <c r="J3903" i="1"/>
  <c r="O3903" i="1" s="1"/>
  <c r="K3902" i="1"/>
  <c r="P3902" i="1" s="1"/>
  <c r="J3902" i="1"/>
  <c r="O3902" i="1" s="1"/>
  <c r="K3901" i="1"/>
  <c r="J3901" i="1"/>
  <c r="O3901" i="1" s="1"/>
  <c r="L3900" i="1"/>
  <c r="K3900" i="1"/>
  <c r="P3901" i="1" s="1"/>
  <c r="J3900" i="1"/>
  <c r="P3899" i="1"/>
  <c r="K3899" i="1"/>
  <c r="P3900" i="1" s="1"/>
  <c r="J3899" i="1"/>
  <c r="O3899" i="1" s="1"/>
  <c r="P3898" i="1"/>
  <c r="O3898" i="1"/>
  <c r="K3898" i="1"/>
  <c r="J3898" i="1"/>
  <c r="P3897" i="1"/>
  <c r="O3897" i="1"/>
  <c r="K3897" i="1"/>
  <c r="J3897" i="1"/>
  <c r="P3896" i="1"/>
  <c r="O3896" i="1"/>
  <c r="K3896" i="1"/>
  <c r="J3896" i="1"/>
  <c r="L3896" i="1" s="1"/>
  <c r="O3895" i="1"/>
  <c r="L3895" i="1"/>
  <c r="K3895" i="1"/>
  <c r="J3895" i="1"/>
  <c r="K3894" i="1"/>
  <c r="J3894" i="1"/>
  <c r="K3893" i="1"/>
  <c r="P3893" i="1" s="1"/>
  <c r="J3893" i="1"/>
  <c r="K3892" i="1"/>
  <c r="P3892" i="1" s="1"/>
  <c r="J3892" i="1"/>
  <c r="O3892" i="1" s="1"/>
  <c r="L3891" i="1"/>
  <c r="K3891" i="1"/>
  <c r="P3891" i="1" s="1"/>
  <c r="J3891" i="1"/>
  <c r="K3890" i="1"/>
  <c r="J3890" i="1"/>
  <c r="K3889" i="1"/>
  <c r="J3889" i="1"/>
  <c r="K3888" i="1"/>
  <c r="J3888" i="1"/>
  <c r="K3887" i="1"/>
  <c r="J3887" i="1"/>
  <c r="K3886" i="1"/>
  <c r="J3886" i="1"/>
  <c r="K3885" i="1"/>
  <c r="J3885" i="1"/>
  <c r="K3884" i="1"/>
  <c r="J3884" i="1"/>
  <c r="K3883" i="1"/>
  <c r="J3883" i="1"/>
  <c r="K3882" i="1"/>
  <c r="J3882" i="1"/>
  <c r="K3881" i="1"/>
  <c r="J3881" i="1"/>
  <c r="K3880" i="1"/>
  <c r="J3880" i="1"/>
  <c r="K3879" i="1"/>
  <c r="J3879" i="1"/>
  <c r="K3878" i="1"/>
  <c r="J3878" i="1"/>
  <c r="K3877" i="1"/>
  <c r="J3877" i="1"/>
  <c r="K3876" i="1"/>
  <c r="J3876" i="1"/>
  <c r="K3875" i="1"/>
  <c r="J3875" i="1"/>
  <c r="K3874" i="1"/>
  <c r="J3874" i="1"/>
  <c r="K3873" i="1"/>
  <c r="J3873" i="1"/>
  <c r="K3872" i="1"/>
  <c r="J3872" i="1"/>
  <c r="K3871" i="1"/>
  <c r="J3871" i="1"/>
  <c r="K3870" i="1"/>
  <c r="J3870" i="1"/>
  <c r="K3869" i="1"/>
  <c r="J3869" i="1"/>
  <c r="K3868" i="1"/>
  <c r="J3868" i="1"/>
  <c r="K3867" i="1"/>
  <c r="J3867" i="1"/>
  <c r="K3866" i="1"/>
  <c r="J3866" i="1"/>
  <c r="K3865" i="1"/>
  <c r="J3865" i="1"/>
  <c r="K3864" i="1"/>
  <c r="J3864" i="1"/>
  <c r="K3863" i="1"/>
  <c r="J3863" i="1"/>
  <c r="K3862" i="1"/>
  <c r="J3862" i="1"/>
  <c r="K3861" i="1"/>
  <c r="J3861" i="1"/>
  <c r="K3860" i="1"/>
  <c r="J3860" i="1"/>
  <c r="K3859" i="1"/>
  <c r="J3859" i="1"/>
  <c r="K3858" i="1"/>
  <c r="J3858" i="1"/>
  <c r="K3857" i="1"/>
  <c r="J3857" i="1"/>
  <c r="K3856" i="1"/>
  <c r="J3856" i="1"/>
  <c r="K3855" i="1"/>
  <c r="J3855" i="1"/>
  <c r="K3854" i="1"/>
  <c r="J3854" i="1"/>
  <c r="K3853" i="1"/>
  <c r="J3853" i="1"/>
  <c r="K3852" i="1"/>
  <c r="J3852" i="1"/>
  <c r="K3851" i="1"/>
  <c r="J3851" i="1"/>
  <c r="K3850" i="1"/>
  <c r="J3850" i="1"/>
  <c r="K3849" i="1"/>
  <c r="J3849" i="1"/>
  <c r="K3848" i="1"/>
  <c r="J3848" i="1"/>
  <c r="K3847" i="1"/>
  <c r="J3847" i="1"/>
  <c r="K3846" i="1"/>
  <c r="J3846" i="1"/>
  <c r="K3845" i="1"/>
  <c r="J3845" i="1"/>
  <c r="K3844" i="1"/>
  <c r="J3844" i="1"/>
  <c r="K3843" i="1"/>
  <c r="J3843" i="1"/>
  <c r="K3842" i="1"/>
  <c r="J3842" i="1"/>
  <c r="K3841" i="1"/>
  <c r="J3841" i="1"/>
  <c r="K3840" i="1"/>
  <c r="J3840" i="1"/>
  <c r="K3839" i="1"/>
  <c r="J3839" i="1"/>
  <c r="K3838" i="1"/>
  <c r="J3838" i="1"/>
  <c r="K3837" i="1"/>
  <c r="J3837" i="1"/>
  <c r="K3836" i="1"/>
  <c r="J3836" i="1"/>
  <c r="K3835" i="1"/>
  <c r="J3835" i="1"/>
  <c r="K3834" i="1"/>
  <c r="J3834" i="1"/>
  <c r="K3833" i="1"/>
  <c r="J3833" i="1"/>
  <c r="K3832" i="1"/>
  <c r="J3832" i="1"/>
  <c r="K3831" i="1"/>
  <c r="J3831" i="1"/>
  <c r="K3830" i="1"/>
  <c r="J3830" i="1"/>
  <c r="K3829" i="1"/>
  <c r="J3829" i="1"/>
  <c r="K3828" i="1"/>
  <c r="J3828" i="1"/>
  <c r="K3827" i="1"/>
  <c r="J3827" i="1"/>
  <c r="K3826" i="1"/>
  <c r="J3826" i="1"/>
  <c r="K3825" i="1"/>
  <c r="J3825" i="1"/>
  <c r="K3824" i="1"/>
  <c r="J3824" i="1"/>
  <c r="K3823" i="1"/>
  <c r="J3823" i="1"/>
  <c r="K3822" i="1"/>
  <c r="J3822" i="1"/>
  <c r="K3821" i="1"/>
  <c r="J3821" i="1"/>
  <c r="K3820" i="1"/>
  <c r="J3820" i="1"/>
  <c r="K3819" i="1"/>
  <c r="J3819" i="1"/>
  <c r="K3818" i="1"/>
  <c r="J3818" i="1"/>
  <c r="K3817" i="1"/>
  <c r="J3817" i="1"/>
  <c r="K3816" i="1"/>
  <c r="J3816" i="1"/>
  <c r="K3815" i="1"/>
  <c r="J3815" i="1"/>
  <c r="K3814" i="1"/>
  <c r="J3814" i="1"/>
  <c r="K3813" i="1"/>
  <c r="J3813" i="1"/>
  <c r="K3812" i="1"/>
  <c r="J3812" i="1"/>
  <c r="K3811" i="1"/>
  <c r="J3811" i="1"/>
  <c r="K3810" i="1"/>
  <c r="J3810" i="1"/>
  <c r="K3809" i="1"/>
  <c r="J3809" i="1"/>
  <c r="K3808" i="1"/>
  <c r="J3808" i="1"/>
  <c r="K3807" i="1"/>
  <c r="J3807" i="1"/>
  <c r="K3806" i="1"/>
  <c r="J3806" i="1"/>
  <c r="K3805" i="1"/>
  <c r="J3805" i="1"/>
  <c r="K3804" i="1"/>
  <c r="J3804" i="1"/>
  <c r="K3803" i="1"/>
  <c r="J3803" i="1"/>
  <c r="K3802" i="1"/>
  <c r="J3802" i="1"/>
  <c r="K3801" i="1"/>
  <c r="J3801" i="1"/>
  <c r="K3800" i="1"/>
  <c r="J3800" i="1"/>
  <c r="K3799" i="1"/>
  <c r="J3799" i="1"/>
  <c r="K3798" i="1"/>
  <c r="J3798" i="1"/>
  <c r="K3797" i="1"/>
  <c r="J3797" i="1"/>
  <c r="K3796" i="1"/>
  <c r="J3796" i="1"/>
  <c r="K3795" i="1"/>
  <c r="J3795" i="1"/>
  <c r="K3794" i="1"/>
  <c r="J3794" i="1"/>
  <c r="K3793" i="1"/>
  <c r="J3793" i="1"/>
  <c r="K3792" i="1"/>
  <c r="J3792" i="1"/>
  <c r="K3791" i="1"/>
  <c r="J3791" i="1"/>
  <c r="K3790" i="1"/>
  <c r="J3790" i="1"/>
  <c r="K3789" i="1"/>
  <c r="J3789" i="1"/>
  <c r="K3788" i="1"/>
  <c r="J3788" i="1"/>
  <c r="K3787" i="1"/>
  <c r="J3787" i="1"/>
  <c r="K3786" i="1"/>
  <c r="J3786" i="1"/>
  <c r="K3785" i="1"/>
  <c r="J3785" i="1"/>
  <c r="K3784" i="1"/>
  <c r="J3784" i="1"/>
  <c r="K3783" i="1"/>
  <c r="J3783" i="1"/>
  <c r="K3782" i="1"/>
  <c r="J3782" i="1"/>
  <c r="K3781" i="1"/>
  <c r="J3781" i="1"/>
  <c r="K3780" i="1"/>
  <c r="J3780" i="1"/>
  <c r="K3779" i="1"/>
  <c r="J3779" i="1"/>
  <c r="K3778" i="1"/>
  <c r="J3778" i="1"/>
  <c r="K3777" i="1"/>
  <c r="J3777" i="1"/>
  <c r="K3776" i="1"/>
  <c r="J3776" i="1"/>
  <c r="K3775" i="1"/>
  <c r="J3775" i="1"/>
  <c r="K3774" i="1"/>
  <c r="J3774" i="1"/>
  <c r="K3773" i="1"/>
  <c r="J3773" i="1"/>
  <c r="K3772" i="1"/>
  <c r="J3772" i="1"/>
  <c r="K3771" i="1"/>
  <c r="J3771" i="1"/>
  <c r="K3770" i="1"/>
  <c r="J3770" i="1"/>
  <c r="K3769" i="1"/>
  <c r="J3769" i="1"/>
  <c r="K3768" i="1"/>
  <c r="J3768" i="1"/>
  <c r="K3767" i="1"/>
  <c r="J3767" i="1"/>
  <c r="K3766" i="1"/>
  <c r="J3766" i="1"/>
  <c r="K3765" i="1"/>
  <c r="J3765" i="1"/>
  <c r="K3764" i="1"/>
  <c r="J3764" i="1"/>
  <c r="K3763" i="1"/>
  <c r="J3763" i="1"/>
  <c r="K3762" i="1"/>
  <c r="J3762" i="1"/>
  <c r="K3761" i="1"/>
  <c r="J3761" i="1"/>
  <c r="K3760" i="1"/>
  <c r="J3760" i="1"/>
  <c r="K3759" i="1"/>
  <c r="J3759" i="1"/>
  <c r="K3758" i="1"/>
  <c r="J3758" i="1"/>
  <c r="L3758" i="1" s="1"/>
  <c r="K3757" i="1"/>
  <c r="J3757" i="1"/>
  <c r="K3756" i="1"/>
  <c r="J3756" i="1"/>
  <c r="K3755" i="1"/>
  <c r="J3755" i="1"/>
  <c r="K3754" i="1"/>
  <c r="J3754" i="1"/>
  <c r="K3753" i="1"/>
  <c r="J3753" i="1"/>
  <c r="K3752" i="1"/>
  <c r="J3752" i="1"/>
  <c r="K3751" i="1"/>
  <c r="J3751" i="1"/>
  <c r="K3750" i="1"/>
  <c r="J3750" i="1"/>
  <c r="K3749" i="1"/>
  <c r="J3749" i="1"/>
  <c r="K3748" i="1"/>
  <c r="J3748" i="1"/>
  <c r="K3747" i="1"/>
  <c r="J3747" i="1"/>
  <c r="K3746" i="1"/>
  <c r="J3746" i="1"/>
  <c r="K3745" i="1"/>
  <c r="J3745" i="1"/>
  <c r="K3744" i="1"/>
  <c r="J3744" i="1"/>
  <c r="K3743" i="1"/>
  <c r="J3743" i="1"/>
  <c r="K3742" i="1"/>
  <c r="J3742" i="1"/>
  <c r="K3741" i="1"/>
  <c r="J3741" i="1"/>
  <c r="K3740" i="1"/>
  <c r="J3740" i="1"/>
  <c r="L3740" i="1" s="1"/>
  <c r="K3739" i="1"/>
  <c r="J3739" i="1"/>
  <c r="K3738" i="1"/>
  <c r="J3738" i="1"/>
  <c r="K3737" i="1"/>
  <c r="J3737" i="1"/>
  <c r="K3736" i="1"/>
  <c r="J3736" i="1"/>
  <c r="K3735" i="1"/>
  <c r="J3735" i="1"/>
  <c r="K3734" i="1"/>
  <c r="J3734" i="1"/>
  <c r="K3733" i="1"/>
  <c r="J3733" i="1"/>
  <c r="K3732" i="1"/>
  <c r="J3732" i="1"/>
  <c r="K3731" i="1"/>
  <c r="J3731" i="1"/>
  <c r="K3730" i="1"/>
  <c r="J3730" i="1"/>
  <c r="K3729" i="1"/>
  <c r="J3729" i="1"/>
  <c r="K3728" i="1"/>
  <c r="J3728" i="1"/>
  <c r="K3727" i="1"/>
  <c r="J3727" i="1"/>
  <c r="K3726" i="1"/>
  <c r="J3726" i="1"/>
  <c r="K3725" i="1"/>
  <c r="J3725" i="1"/>
  <c r="K3724" i="1"/>
  <c r="J3724" i="1"/>
  <c r="K3723" i="1"/>
  <c r="J3723" i="1"/>
  <c r="K3722" i="1"/>
  <c r="J3722" i="1"/>
  <c r="K3721" i="1"/>
  <c r="J3721" i="1"/>
  <c r="K3720" i="1"/>
  <c r="J3720" i="1"/>
  <c r="K3719" i="1"/>
  <c r="J3719" i="1"/>
  <c r="K3718" i="1"/>
  <c r="J3718" i="1"/>
  <c r="K3717" i="1"/>
  <c r="J3717" i="1"/>
  <c r="K3716" i="1"/>
  <c r="J3716" i="1"/>
  <c r="K3715" i="1"/>
  <c r="J3715" i="1"/>
  <c r="K3714" i="1"/>
  <c r="J3714" i="1"/>
  <c r="K3713" i="1"/>
  <c r="J3713" i="1"/>
  <c r="K3712" i="1"/>
  <c r="J3712" i="1"/>
  <c r="K3711" i="1"/>
  <c r="J3711" i="1"/>
  <c r="K3710" i="1"/>
  <c r="J3710" i="1"/>
  <c r="K3709" i="1"/>
  <c r="J3709" i="1"/>
  <c r="K3708" i="1"/>
  <c r="J3708" i="1"/>
  <c r="K3707" i="1"/>
  <c r="J3707" i="1"/>
  <c r="K3706" i="1"/>
  <c r="J3706" i="1"/>
  <c r="K3705" i="1"/>
  <c r="J3705" i="1"/>
  <c r="K3704" i="1"/>
  <c r="J3704" i="1"/>
  <c r="K3703" i="1"/>
  <c r="J3703" i="1"/>
  <c r="K3702" i="1"/>
  <c r="J3702" i="1"/>
  <c r="K3701" i="1"/>
  <c r="J3701" i="1"/>
  <c r="K3700" i="1"/>
  <c r="J3700" i="1"/>
  <c r="K3699" i="1"/>
  <c r="J3699" i="1"/>
  <c r="K3698" i="1"/>
  <c r="J3698" i="1"/>
  <c r="K3697" i="1"/>
  <c r="J3697" i="1"/>
  <c r="K3696" i="1"/>
  <c r="J3696" i="1"/>
  <c r="K3695" i="1"/>
  <c r="J3695" i="1"/>
  <c r="K3694" i="1"/>
  <c r="J3694" i="1"/>
  <c r="K3693" i="1"/>
  <c r="J3693" i="1"/>
  <c r="K3692" i="1"/>
  <c r="J3692" i="1"/>
  <c r="K3691" i="1"/>
  <c r="J3691" i="1"/>
  <c r="K3690" i="1"/>
  <c r="J3690" i="1"/>
  <c r="K3689" i="1"/>
  <c r="J3689" i="1"/>
  <c r="K3688" i="1"/>
  <c r="J3688" i="1"/>
  <c r="K3687" i="1"/>
  <c r="J3687" i="1"/>
  <c r="K3686" i="1"/>
  <c r="J3686" i="1"/>
  <c r="K3685" i="1"/>
  <c r="J3685" i="1"/>
  <c r="K3684" i="1"/>
  <c r="J3684" i="1"/>
  <c r="K3683" i="1"/>
  <c r="J3683" i="1"/>
  <c r="K3682" i="1"/>
  <c r="J3682" i="1"/>
  <c r="K3681" i="1"/>
  <c r="J3681" i="1"/>
  <c r="K3680" i="1"/>
  <c r="J3680" i="1"/>
  <c r="K3679" i="1"/>
  <c r="J3679" i="1"/>
  <c r="K3678" i="1"/>
  <c r="J3678" i="1"/>
  <c r="K3677" i="1"/>
  <c r="J3677" i="1"/>
  <c r="K3676" i="1"/>
  <c r="J3676" i="1"/>
  <c r="K3675" i="1"/>
  <c r="J3675" i="1"/>
  <c r="K3674" i="1"/>
  <c r="J3674" i="1"/>
  <c r="K3673" i="1"/>
  <c r="J3673" i="1"/>
  <c r="K3672" i="1"/>
  <c r="J3672" i="1"/>
  <c r="K3671" i="1"/>
  <c r="J3671" i="1"/>
  <c r="K3670" i="1"/>
  <c r="J3670" i="1"/>
  <c r="K3669" i="1"/>
  <c r="J3669" i="1"/>
  <c r="K3668" i="1"/>
  <c r="J3668" i="1"/>
  <c r="K3667" i="1"/>
  <c r="J3667" i="1"/>
  <c r="K3666" i="1"/>
  <c r="J3666" i="1"/>
  <c r="K3665" i="1"/>
  <c r="J3665" i="1"/>
  <c r="K3664" i="1"/>
  <c r="J3664" i="1"/>
  <c r="K3663" i="1"/>
  <c r="J3663" i="1"/>
  <c r="K3662" i="1"/>
  <c r="J3662" i="1"/>
  <c r="K3661" i="1"/>
  <c r="J3661" i="1"/>
  <c r="K3660" i="1"/>
  <c r="J3660" i="1"/>
  <c r="K3659" i="1"/>
  <c r="J3659" i="1"/>
  <c r="K3658" i="1"/>
  <c r="J3658" i="1"/>
  <c r="K3657" i="1"/>
  <c r="J3657" i="1"/>
  <c r="K3656" i="1"/>
  <c r="J3656" i="1"/>
  <c r="K3655" i="1"/>
  <c r="J3655" i="1"/>
  <c r="K3654" i="1"/>
  <c r="J3654" i="1"/>
  <c r="K3653" i="1"/>
  <c r="J3653" i="1"/>
  <c r="K3652" i="1"/>
  <c r="J3652" i="1"/>
  <c r="K3651" i="1"/>
  <c r="J3651" i="1"/>
  <c r="K3650" i="1"/>
  <c r="J3650" i="1"/>
  <c r="K3649" i="1"/>
  <c r="J3649" i="1"/>
  <c r="K3648" i="1"/>
  <c r="J3648" i="1"/>
  <c r="K3647" i="1"/>
  <c r="J3647" i="1"/>
  <c r="K3646" i="1"/>
  <c r="J3646" i="1"/>
  <c r="K3645" i="1"/>
  <c r="J3645" i="1"/>
  <c r="K3644" i="1"/>
  <c r="J3644" i="1"/>
  <c r="K3643" i="1"/>
  <c r="J3643" i="1"/>
  <c r="K3642" i="1"/>
  <c r="J3642" i="1"/>
  <c r="K3641" i="1"/>
  <c r="J3641" i="1"/>
  <c r="K3640" i="1"/>
  <c r="J3640" i="1"/>
  <c r="K3639" i="1"/>
  <c r="J3639" i="1"/>
  <c r="K3638" i="1"/>
  <c r="J3638" i="1"/>
  <c r="K3637" i="1"/>
  <c r="J3637" i="1"/>
  <c r="K3636" i="1"/>
  <c r="J3636" i="1"/>
  <c r="K3635" i="1"/>
  <c r="J3635" i="1"/>
  <c r="K3634" i="1"/>
  <c r="J3634" i="1"/>
  <c r="K3633" i="1"/>
  <c r="J3633" i="1"/>
  <c r="K3632" i="1"/>
  <c r="J3632" i="1"/>
  <c r="K3631" i="1"/>
  <c r="J3631" i="1"/>
  <c r="K3630" i="1"/>
  <c r="J3630" i="1"/>
  <c r="K3629" i="1"/>
  <c r="J3629" i="1"/>
  <c r="K3628" i="1"/>
  <c r="J3628" i="1"/>
  <c r="K3627" i="1"/>
  <c r="J3627" i="1"/>
  <c r="K3626" i="1"/>
  <c r="J3626" i="1"/>
  <c r="K3625" i="1"/>
  <c r="J3625" i="1"/>
  <c r="K3624" i="1"/>
  <c r="J3624" i="1"/>
  <c r="K3623" i="1"/>
  <c r="J3623" i="1"/>
  <c r="K3622" i="1"/>
  <c r="J3622" i="1"/>
  <c r="K3621" i="1"/>
  <c r="J3621" i="1"/>
  <c r="K3620" i="1"/>
  <c r="J3620" i="1"/>
  <c r="K3619" i="1"/>
  <c r="J3619" i="1"/>
  <c r="K3618" i="1"/>
  <c r="J3618" i="1"/>
  <c r="K3617" i="1"/>
  <c r="J3617" i="1"/>
  <c r="K3616" i="1"/>
  <c r="J3616" i="1"/>
  <c r="K3615" i="1"/>
  <c r="J3615" i="1"/>
  <c r="K3614" i="1"/>
  <c r="J3614" i="1"/>
  <c r="K3613" i="1"/>
  <c r="J3613" i="1"/>
  <c r="K3612" i="1"/>
  <c r="J3612" i="1"/>
  <c r="K3611" i="1"/>
  <c r="J3611" i="1"/>
  <c r="K3610" i="1"/>
  <c r="J3610" i="1"/>
  <c r="K3609" i="1"/>
  <c r="J3609" i="1"/>
  <c r="K3608" i="1"/>
  <c r="J3608" i="1"/>
  <c r="K3607" i="1"/>
  <c r="J3607" i="1"/>
  <c r="K3606" i="1"/>
  <c r="J3606" i="1"/>
  <c r="K3605" i="1"/>
  <c r="J3605" i="1"/>
  <c r="K3604" i="1"/>
  <c r="J3604" i="1"/>
  <c r="K3603" i="1"/>
  <c r="J3603" i="1"/>
  <c r="K3602" i="1"/>
  <c r="J3602" i="1"/>
  <c r="K3601" i="1"/>
  <c r="J3601" i="1"/>
  <c r="K3600" i="1"/>
  <c r="J3600" i="1"/>
  <c r="K3599" i="1"/>
  <c r="J3599" i="1"/>
  <c r="K3598" i="1"/>
  <c r="J3598" i="1"/>
  <c r="K3597" i="1"/>
  <c r="J3597" i="1"/>
  <c r="K3596" i="1"/>
  <c r="J3596" i="1"/>
  <c r="K3595" i="1"/>
  <c r="J3595" i="1"/>
  <c r="K3594" i="1"/>
  <c r="J3594" i="1"/>
  <c r="K3593" i="1"/>
  <c r="J3593" i="1"/>
  <c r="K3592" i="1"/>
  <c r="J3592" i="1"/>
  <c r="K3591" i="1"/>
  <c r="J3591" i="1"/>
  <c r="K3590" i="1"/>
  <c r="J3590" i="1"/>
  <c r="K3589" i="1"/>
  <c r="J3589" i="1"/>
  <c r="K3588" i="1"/>
  <c r="J3588" i="1"/>
  <c r="K3587" i="1"/>
  <c r="J3587" i="1"/>
  <c r="K3586" i="1"/>
  <c r="J3586" i="1"/>
  <c r="K3585" i="1"/>
  <c r="J3585" i="1"/>
  <c r="K3584" i="1"/>
  <c r="J3584" i="1"/>
  <c r="K3583" i="1"/>
  <c r="J3583" i="1"/>
  <c r="K3582" i="1"/>
  <c r="J3582" i="1"/>
  <c r="K3581" i="1"/>
  <c r="J3581" i="1"/>
  <c r="K3580" i="1"/>
  <c r="J3580" i="1"/>
  <c r="K3579" i="1"/>
  <c r="P3579" i="1" s="1"/>
  <c r="J3579" i="1"/>
  <c r="K3578" i="1"/>
  <c r="J3578" i="1"/>
  <c r="K3577" i="1"/>
  <c r="J3577" i="1"/>
  <c r="K3576" i="1"/>
  <c r="J3576" i="1"/>
  <c r="K3575" i="1"/>
  <c r="J3575" i="1"/>
  <c r="K3574" i="1"/>
  <c r="J3574" i="1"/>
  <c r="K3573" i="1"/>
  <c r="J3573" i="1"/>
  <c r="K3572" i="1"/>
  <c r="J3572" i="1"/>
  <c r="K3571" i="1"/>
  <c r="J3571" i="1"/>
  <c r="K3570" i="1"/>
  <c r="J3570" i="1"/>
  <c r="K3569" i="1"/>
  <c r="J3569" i="1"/>
  <c r="K3568" i="1"/>
  <c r="J3568" i="1"/>
  <c r="K3567" i="1"/>
  <c r="J3567" i="1"/>
  <c r="K3566" i="1"/>
  <c r="J3566" i="1"/>
  <c r="K3565" i="1"/>
  <c r="J3565" i="1"/>
  <c r="K3564" i="1"/>
  <c r="J3564" i="1"/>
  <c r="K3563" i="1"/>
  <c r="J3563" i="1"/>
  <c r="K3562" i="1"/>
  <c r="J3562" i="1"/>
  <c r="K3561" i="1"/>
  <c r="J3561" i="1"/>
  <c r="K3560" i="1"/>
  <c r="J3560" i="1"/>
  <c r="K3559" i="1"/>
  <c r="J3559" i="1"/>
  <c r="K3558" i="1"/>
  <c r="J3558" i="1"/>
  <c r="K3557" i="1"/>
  <c r="J3557" i="1"/>
  <c r="K3556" i="1"/>
  <c r="J3556" i="1"/>
  <c r="K3555" i="1"/>
  <c r="J3555" i="1"/>
  <c r="K3554" i="1"/>
  <c r="J3554" i="1"/>
  <c r="K3553" i="1"/>
  <c r="J3553" i="1"/>
  <c r="K3552" i="1"/>
  <c r="J3552" i="1"/>
  <c r="K3551" i="1"/>
  <c r="J3551" i="1"/>
  <c r="K3550" i="1"/>
  <c r="J3550" i="1"/>
  <c r="K3549" i="1"/>
  <c r="J3549" i="1"/>
  <c r="K3548" i="1"/>
  <c r="J3548" i="1"/>
  <c r="K3547" i="1"/>
  <c r="J3547" i="1"/>
  <c r="K3546" i="1"/>
  <c r="J3546" i="1"/>
  <c r="K3545" i="1"/>
  <c r="J3545" i="1"/>
  <c r="K3544" i="1"/>
  <c r="J3544" i="1"/>
  <c r="K3543" i="1"/>
  <c r="J3543" i="1"/>
  <c r="K3542" i="1"/>
  <c r="J3542" i="1"/>
  <c r="K3541" i="1"/>
  <c r="J3541" i="1"/>
  <c r="K3540" i="1"/>
  <c r="J3540" i="1"/>
  <c r="K3539" i="1"/>
  <c r="J3539" i="1"/>
  <c r="K3538" i="1"/>
  <c r="J3538" i="1"/>
  <c r="K3537" i="1"/>
  <c r="J3537" i="1"/>
  <c r="K3536" i="1"/>
  <c r="J3536" i="1"/>
  <c r="K3535" i="1"/>
  <c r="J3535" i="1"/>
  <c r="K3534" i="1"/>
  <c r="J3534" i="1"/>
  <c r="K3533" i="1"/>
  <c r="J3533" i="1"/>
  <c r="K3532" i="1"/>
  <c r="J3532" i="1"/>
  <c r="K3531" i="1"/>
  <c r="J3531" i="1"/>
  <c r="K3530" i="1"/>
  <c r="J3530" i="1"/>
  <c r="K3529" i="1"/>
  <c r="J3529" i="1"/>
  <c r="K3528" i="1"/>
  <c r="J3528" i="1"/>
  <c r="K3527" i="1"/>
  <c r="J3527" i="1"/>
  <c r="K3526" i="1"/>
  <c r="J3526" i="1"/>
  <c r="K3525" i="1"/>
  <c r="J3525" i="1"/>
  <c r="K3524" i="1"/>
  <c r="J3524" i="1"/>
  <c r="K3523" i="1"/>
  <c r="J3523" i="1"/>
  <c r="K3522" i="1"/>
  <c r="J3522" i="1"/>
  <c r="K3521" i="1"/>
  <c r="J3521" i="1"/>
  <c r="K3520" i="1"/>
  <c r="J3520" i="1"/>
  <c r="K3519" i="1"/>
  <c r="J3519" i="1"/>
  <c r="K3518" i="1"/>
  <c r="J3518" i="1"/>
  <c r="K3517" i="1"/>
  <c r="J3517" i="1"/>
  <c r="K3516" i="1"/>
  <c r="J3516" i="1"/>
  <c r="O3516" i="1" s="1"/>
  <c r="K3515" i="1"/>
  <c r="J3515" i="1"/>
  <c r="K3514" i="1"/>
  <c r="J3514" i="1"/>
  <c r="K3513" i="1"/>
  <c r="P3513" i="1" s="1"/>
  <c r="J3513" i="1"/>
  <c r="K3512" i="1"/>
  <c r="J3512" i="1"/>
  <c r="K3511" i="1"/>
  <c r="J3511" i="1"/>
  <c r="K3510" i="1"/>
  <c r="J3510" i="1"/>
  <c r="K3509" i="1"/>
  <c r="J3509" i="1"/>
  <c r="K3508" i="1"/>
  <c r="J3508" i="1"/>
  <c r="K3507" i="1"/>
  <c r="J3507" i="1"/>
  <c r="K3506" i="1"/>
  <c r="J3506" i="1"/>
  <c r="K3505" i="1"/>
  <c r="J3505" i="1"/>
  <c r="K3504" i="1"/>
  <c r="J3504" i="1"/>
  <c r="K3503" i="1"/>
  <c r="J3503" i="1"/>
  <c r="K3502" i="1"/>
  <c r="J3502" i="1"/>
  <c r="K3501" i="1"/>
  <c r="J3501" i="1"/>
  <c r="K3500" i="1"/>
  <c r="J3500" i="1"/>
  <c r="K3499" i="1"/>
  <c r="J3499" i="1"/>
  <c r="K3498" i="1"/>
  <c r="J3498" i="1"/>
  <c r="K3497" i="1"/>
  <c r="J3497" i="1"/>
  <c r="K3496" i="1"/>
  <c r="J3496" i="1"/>
  <c r="K3495" i="1"/>
  <c r="J3495" i="1"/>
  <c r="K3494" i="1"/>
  <c r="J3494" i="1"/>
  <c r="K3493" i="1"/>
  <c r="J3493" i="1"/>
  <c r="K3492" i="1"/>
  <c r="J3492" i="1"/>
  <c r="K3491" i="1"/>
  <c r="J3491" i="1"/>
  <c r="K3490" i="1"/>
  <c r="J3490" i="1"/>
  <c r="K3489" i="1"/>
  <c r="J3489" i="1"/>
  <c r="K3488" i="1"/>
  <c r="J3488" i="1"/>
  <c r="K3487" i="1"/>
  <c r="J3487" i="1"/>
  <c r="K3486" i="1"/>
  <c r="J3486" i="1"/>
  <c r="K3485" i="1"/>
  <c r="J3485" i="1"/>
  <c r="K3484" i="1"/>
  <c r="J3484" i="1"/>
  <c r="K3483" i="1"/>
  <c r="J3483" i="1"/>
  <c r="K3482" i="1"/>
  <c r="J3482" i="1"/>
  <c r="K3481" i="1"/>
  <c r="J3481" i="1"/>
  <c r="K3480" i="1"/>
  <c r="J3480" i="1"/>
  <c r="K3479" i="1"/>
  <c r="J3479" i="1"/>
  <c r="K3478" i="1"/>
  <c r="J3478" i="1"/>
  <c r="K3477" i="1"/>
  <c r="J3477" i="1"/>
  <c r="K3476" i="1"/>
  <c r="J3476" i="1"/>
  <c r="K3475" i="1"/>
  <c r="J3475" i="1"/>
  <c r="K3474" i="1"/>
  <c r="J3474" i="1"/>
  <c r="K3473" i="1"/>
  <c r="J3473" i="1"/>
  <c r="K3472" i="1"/>
  <c r="J3472" i="1"/>
  <c r="K3471" i="1"/>
  <c r="J3471" i="1"/>
  <c r="K3470" i="1"/>
  <c r="J3470" i="1"/>
  <c r="K3469" i="1"/>
  <c r="J3469" i="1"/>
  <c r="K3468" i="1"/>
  <c r="J3468" i="1"/>
  <c r="K3467" i="1"/>
  <c r="J3467" i="1"/>
  <c r="K3466" i="1"/>
  <c r="J3466" i="1"/>
  <c r="K3465" i="1"/>
  <c r="J3465" i="1"/>
  <c r="K3464" i="1"/>
  <c r="J3464" i="1"/>
  <c r="K3463" i="1"/>
  <c r="J3463" i="1"/>
  <c r="K3462" i="1"/>
  <c r="J3462" i="1"/>
  <c r="K3461" i="1"/>
  <c r="J3461" i="1"/>
  <c r="K3460" i="1"/>
  <c r="J3460" i="1"/>
  <c r="K3459" i="1"/>
  <c r="J3459" i="1"/>
  <c r="K3458" i="1"/>
  <c r="J3458" i="1"/>
  <c r="K3457" i="1"/>
  <c r="J3457" i="1"/>
  <c r="K3456" i="1"/>
  <c r="J3456" i="1"/>
  <c r="K3455" i="1"/>
  <c r="J3455" i="1"/>
  <c r="K3454" i="1"/>
  <c r="J3454" i="1"/>
  <c r="K3453" i="1"/>
  <c r="J3453" i="1"/>
  <c r="K3452" i="1"/>
  <c r="J3452" i="1"/>
  <c r="K3451" i="1"/>
  <c r="J3451" i="1"/>
  <c r="K3450" i="1"/>
  <c r="J3450" i="1"/>
  <c r="K3449" i="1"/>
  <c r="J3449" i="1"/>
  <c r="K3448" i="1"/>
  <c r="J3448" i="1"/>
  <c r="K3447" i="1"/>
  <c r="J3447" i="1"/>
  <c r="K3446" i="1"/>
  <c r="J3446" i="1"/>
  <c r="K3445" i="1"/>
  <c r="J3445" i="1"/>
  <c r="K3444" i="1"/>
  <c r="J3444" i="1"/>
  <c r="K3443" i="1"/>
  <c r="J3443" i="1"/>
  <c r="K3442" i="1"/>
  <c r="J3442" i="1"/>
  <c r="K3441" i="1"/>
  <c r="J3441" i="1"/>
  <c r="K3440" i="1"/>
  <c r="J3440" i="1"/>
  <c r="K3439" i="1"/>
  <c r="J3439" i="1"/>
  <c r="K3438" i="1"/>
  <c r="J3438" i="1"/>
  <c r="K3437" i="1"/>
  <c r="J3437" i="1"/>
  <c r="K3436" i="1"/>
  <c r="J3436" i="1"/>
  <c r="K3435" i="1"/>
  <c r="J3435" i="1"/>
  <c r="K3434" i="1"/>
  <c r="J3434" i="1"/>
  <c r="L3434" i="1" s="1"/>
  <c r="K3433" i="1"/>
  <c r="J3433" i="1"/>
  <c r="K3432" i="1"/>
  <c r="J3432" i="1"/>
  <c r="K3431" i="1"/>
  <c r="J3431" i="1"/>
  <c r="K3430" i="1"/>
  <c r="J3430" i="1"/>
  <c r="K3429" i="1"/>
  <c r="J3429" i="1"/>
  <c r="L3429" i="1" s="1"/>
  <c r="K3428" i="1"/>
  <c r="J3428" i="1"/>
  <c r="K3427" i="1"/>
  <c r="J3427" i="1"/>
  <c r="K3426" i="1"/>
  <c r="J3426" i="1"/>
  <c r="K3425" i="1"/>
  <c r="J3425" i="1"/>
  <c r="K3424" i="1"/>
  <c r="P3424" i="1" s="1"/>
  <c r="J3424" i="1"/>
  <c r="K3423" i="1"/>
  <c r="J3423" i="1"/>
  <c r="K3422" i="1"/>
  <c r="J3422" i="1"/>
  <c r="L3422" i="1" s="1"/>
  <c r="K3421" i="1"/>
  <c r="J3421" i="1"/>
  <c r="K3420" i="1"/>
  <c r="J3420" i="1"/>
  <c r="K3419" i="1"/>
  <c r="J3419" i="1"/>
  <c r="K3418" i="1"/>
  <c r="J3418" i="1"/>
  <c r="K3417" i="1"/>
  <c r="J3417" i="1"/>
  <c r="K3416" i="1"/>
  <c r="J3416" i="1"/>
  <c r="L3416" i="1" s="1"/>
  <c r="K3415" i="1"/>
  <c r="J3415" i="1"/>
  <c r="K3414" i="1"/>
  <c r="J3414" i="1"/>
  <c r="K3413" i="1"/>
  <c r="J3413" i="1"/>
  <c r="K3412" i="1"/>
  <c r="J3412" i="1"/>
  <c r="K3411" i="1"/>
  <c r="J3411" i="1"/>
  <c r="K3410" i="1"/>
  <c r="J3410" i="1"/>
  <c r="K3409" i="1"/>
  <c r="J3409" i="1"/>
  <c r="K3408" i="1"/>
  <c r="J3408" i="1"/>
  <c r="K3407" i="1"/>
  <c r="J3407" i="1"/>
  <c r="K3406" i="1"/>
  <c r="J3406" i="1"/>
  <c r="K3405" i="1"/>
  <c r="J3405" i="1"/>
  <c r="K3404" i="1"/>
  <c r="J3404" i="1"/>
  <c r="K3403" i="1"/>
  <c r="J3403" i="1"/>
  <c r="K3402" i="1"/>
  <c r="J3402" i="1"/>
  <c r="K3401" i="1"/>
  <c r="J3401" i="1"/>
  <c r="K3400" i="1"/>
  <c r="J3400" i="1"/>
  <c r="K3399" i="1"/>
  <c r="J3399" i="1"/>
  <c r="K3398" i="1"/>
  <c r="J3398" i="1"/>
  <c r="K3397" i="1"/>
  <c r="J3397" i="1"/>
  <c r="K3396" i="1"/>
  <c r="J3396" i="1"/>
  <c r="K3395" i="1"/>
  <c r="J3395" i="1"/>
  <c r="K3394" i="1"/>
  <c r="J3394" i="1"/>
  <c r="K3393" i="1"/>
  <c r="J3393" i="1"/>
  <c r="K3392" i="1"/>
  <c r="J3392" i="1"/>
  <c r="K3391" i="1"/>
  <c r="J3391" i="1"/>
  <c r="K3390" i="1"/>
  <c r="J3390" i="1"/>
  <c r="K3389" i="1"/>
  <c r="J3389" i="1"/>
  <c r="K3388" i="1"/>
  <c r="J3388" i="1"/>
  <c r="K3387" i="1"/>
  <c r="J3387" i="1"/>
  <c r="K3386" i="1"/>
  <c r="J3386" i="1"/>
  <c r="K3385" i="1"/>
  <c r="J3385" i="1"/>
  <c r="K3384" i="1"/>
  <c r="J3384" i="1"/>
  <c r="K3383" i="1"/>
  <c r="J3383" i="1"/>
  <c r="K3382" i="1"/>
  <c r="J3382" i="1"/>
  <c r="K3381" i="1"/>
  <c r="J3381" i="1"/>
  <c r="K3380" i="1"/>
  <c r="J3380" i="1"/>
  <c r="O3381" i="1" s="1"/>
  <c r="K3379" i="1"/>
  <c r="J3379" i="1"/>
  <c r="K3378" i="1"/>
  <c r="J3378" i="1"/>
  <c r="K3377" i="1"/>
  <c r="J3377" i="1"/>
  <c r="K3376" i="1"/>
  <c r="J3376" i="1"/>
  <c r="K3375" i="1"/>
  <c r="J3375" i="1"/>
  <c r="K3374" i="1"/>
  <c r="J3374" i="1"/>
  <c r="L3374" i="1" s="1"/>
  <c r="K3373" i="1"/>
  <c r="J3373" i="1"/>
  <c r="K3372" i="1"/>
  <c r="J3372" i="1"/>
  <c r="K3371" i="1"/>
  <c r="J3371" i="1"/>
  <c r="K3370" i="1"/>
  <c r="J3370" i="1"/>
  <c r="K3369" i="1"/>
  <c r="J3369" i="1"/>
  <c r="K3368" i="1"/>
  <c r="J3368" i="1"/>
  <c r="L3368" i="1" s="1"/>
  <c r="K3367" i="1"/>
  <c r="J3367" i="1"/>
  <c r="K3366" i="1"/>
  <c r="J3366" i="1"/>
  <c r="K3365" i="1"/>
  <c r="J3365" i="1"/>
  <c r="K3364" i="1"/>
  <c r="J3364" i="1"/>
  <c r="K3363" i="1"/>
  <c r="J3363" i="1"/>
  <c r="K3362" i="1"/>
  <c r="J3362" i="1"/>
  <c r="L3362" i="1" s="1"/>
  <c r="K3361" i="1"/>
  <c r="J3361" i="1"/>
  <c r="K3360" i="1"/>
  <c r="J3360" i="1"/>
  <c r="K3359" i="1"/>
  <c r="J3359" i="1"/>
  <c r="K3358" i="1"/>
  <c r="J3358" i="1"/>
  <c r="K3357" i="1"/>
  <c r="J3357" i="1"/>
  <c r="K3356" i="1"/>
  <c r="J3356" i="1"/>
  <c r="K3355" i="1"/>
  <c r="J3355" i="1"/>
  <c r="K3354" i="1"/>
  <c r="J3354" i="1"/>
  <c r="K3353" i="1"/>
  <c r="J3353" i="1"/>
  <c r="K3352" i="1"/>
  <c r="J3352" i="1"/>
  <c r="K3351" i="1"/>
  <c r="J3351" i="1"/>
  <c r="K3350" i="1"/>
  <c r="J3350" i="1"/>
  <c r="K3349" i="1"/>
  <c r="J3349" i="1"/>
  <c r="K3348" i="1"/>
  <c r="J3348" i="1"/>
  <c r="K3347" i="1"/>
  <c r="J3347" i="1"/>
  <c r="K3346" i="1"/>
  <c r="J3346" i="1"/>
  <c r="K3345" i="1"/>
  <c r="J3345" i="1"/>
  <c r="K3344" i="1"/>
  <c r="J3344" i="1"/>
  <c r="L3344" i="1" s="1"/>
  <c r="K3343" i="1"/>
  <c r="J3343" i="1"/>
  <c r="K3342" i="1"/>
  <c r="J3342" i="1"/>
  <c r="K3341" i="1"/>
  <c r="J3341" i="1"/>
  <c r="K3340" i="1"/>
  <c r="P3340" i="1" s="1"/>
  <c r="J3340" i="1"/>
  <c r="K3339" i="1"/>
  <c r="J3339" i="1"/>
  <c r="K3338" i="1"/>
  <c r="J3338" i="1"/>
  <c r="K3337" i="1"/>
  <c r="J3337" i="1"/>
  <c r="K3336" i="1"/>
  <c r="J3336" i="1"/>
  <c r="K3335" i="1"/>
  <c r="J3335" i="1"/>
  <c r="K3334" i="1"/>
  <c r="J3334" i="1"/>
  <c r="K3333" i="1"/>
  <c r="J3333" i="1"/>
  <c r="K3332" i="1"/>
  <c r="J3332" i="1"/>
  <c r="K3331" i="1"/>
  <c r="J3331" i="1"/>
  <c r="K3330" i="1"/>
  <c r="J3330" i="1"/>
  <c r="K3329" i="1"/>
  <c r="J3329" i="1"/>
  <c r="K3328" i="1"/>
  <c r="J3328" i="1"/>
  <c r="O3328" i="1" s="1"/>
  <c r="K3327" i="1"/>
  <c r="P3327" i="1" s="1"/>
  <c r="J3327" i="1"/>
  <c r="K3326" i="1"/>
  <c r="J3326" i="1"/>
  <c r="K3325" i="1"/>
  <c r="J3325" i="1"/>
  <c r="K3324" i="1"/>
  <c r="J3324" i="1"/>
  <c r="K3323" i="1"/>
  <c r="J3323" i="1"/>
  <c r="K3322" i="1"/>
  <c r="J3322" i="1"/>
  <c r="K3321" i="1"/>
  <c r="J3321" i="1"/>
  <c r="K3320" i="1"/>
  <c r="J3320" i="1"/>
  <c r="K3319" i="1"/>
  <c r="J3319" i="1"/>
  <c r="K3318" i="1"/>
  <c r="J3318" i="1"/>
  <c r="K3317" i="1"/>
  <c r="J3317" i="1"/>
  <c r="K3316" i="1"/>
  <c r="J3316" i="1"/>
  <c r="K3315" i="1"/>
  <c r="J3315" i="1"/>
  <c r="K3314" i="1"/>
  <c r="J3314" i="1"/>
  <c r="K3313" i="1"/>
  <c r="J3313" i="1"/>
  <c r="K3312" i="1"/>
  <c r="J3312" i="1"/>
  <c r="K3311" i="1"/>
  <c r="J3311" i="1"/>
  <c r="K3310" i="1"/>
  <c r="J3310" i="1"/>
  <c r="K3309" i="1"/>
  <c r="J3309" i="1"/>
  <c r="L3309" i="1" s="1"/>
  <c r="K3308" i="1"/>
  <c r="J3308" i="1"/>
  <c r="K3307" i="1"/>
  <c r="J3307" i="1"/>
  <c r="K3306" i="1"/>
  <c r="J3306" i="1"/>
  <c r="K3305" i="1"/>
  <c r="J3305" i="1"/>
  <c r="K3304" i="1"/>
  <c r="J3304" i="1"/>
  <c r="K3303" i="1"/>
  <c r="J3303" i="1"/>
  <c r="K3302" i="1"/>
  <c r="J3302" i="1"/>
  <c r="K3301" i="1"/>
  <c r="J3301" i="1"/>
  <c r="K3300" i="1"/>
  <c r="J3300" i="1"/>
  <c r="K3299" i="1"/>
  <c r="J3299" i="1"/>
  <c r="K3298" i="1"/>
  <c r="J3298" i="1"/>
  <c r="K3297" i="1"/>
  <c r="J3297" i="1"/>
  <c r="K3296" i="1"/>
  <c r="J3296" i="1"/>
  <c r="K3295" i="1"/>
  <c r="J3295" i="1"/>
  <c r="K3294" i="1"/>
  <c r="J3294" i="1"/>
  <c r="K3293" i="1"/>
  <c r="J3293" i="1"/>
  <c r="K3292" i="1"/>
  <c r="J3292" i="1"/>
  <c r="K3291" i="1"/>
  <c r="J3291" i="1"/>
  <c r="K3290" i="1"/>
  <c r="J3290" i="1"/>
  <c r="K3289" i="1"/>
  <c r="J3289" i="1"/>
  <c r="K3288" i="1"/>
  <c r="J3288" i="1"/>
  <c r="K3287" i="1"/>
  <c r="J3287" i="1"/>
  <c r="K3286" i="1"/>
  <c r="J3286" i="1"/>
  <c r="K3285" i="1"/>
  <c r="J3285" i="1"/>
  <c r="K3284" i="1"/>
  <c r="J3284" i="1"/>
  <c r="K3283" i="1"/>
  <c r="J3283" i="1"/>
  <c r="K3282" i="1"/>
  <c r="J3282" i="1"/>
  <c r="K3281" i="1"/>
  <c r="J3281" i="1"/>
  <c r="K3280" i="1"/>
  <c r="J3280" i="1"/>
  <c r="K3279" i="1"/>
  <c r="J3279" i="1"/>
  <c r="K3278" i="1"/>
  <c r="J3278" i="1"/>
  <c r="K3277" i="1"/>
  <c r="J3277" i="1"/>
  <c r="K3276" i="1"/>
  <c r="J3276" i="1"/>
  <c r="K3275" i="1"/>
  <c r="J3275" i="1"/>
  <c r="K3274" i="1"/>
  <c r="J3274" i="1"/>
  <c r="K3273" i="1"/>
  <c r="J3273" i="1"/>
  <c r="K3272" i="1"/>
  <c r="J3272" i="1"/>
  <c r="K3271" i="1"/>
  <c r="J3271" i="1"/>
  <c r="K3270" i="1"/>
  <c r="J3270" i="1"/>
  <c r="K3269" i="1"/>
  <c r="J3269" i="1"/>
  <c r="K3268" i="1"/>
  <c r="J3268" i="1"/>
  <c r="K3267" i="1"/>
  <c r="J3267" i="1"/>
  <c r="K3266" i="1"/>
  <c r="J3266" i="1"/>
  <c r="K3265" i="1"/>
  <c r="J3265" i="1"/>
  <c r="K3264" i="1"/>
  <c r="J3264" i="1"/>
  <c r="K3263" i="1"/>
  <c r="J3263" i="1"/>
  <c r="K3262" i="1"/>
  <c r="J3262" i="1"/>
  <c r="K3261" i="1"/>
  <c r="J3261" i="1"/>
  <c r="K3260" i="1"/>
  <c r="J3260" i="1"/>
  <c r="K3259" i="1"/>
  <c r="J3259" i="1"/>
  <c r="K3258" i="1"/>
  <c r="J3258" i="1"/>
  <c r="K3257" i="1"/>
  <c r="J3257" i="1"/>
  <c r="K3256" i="1"/>
  <c r="J3256" i="1"/>
  <c r="O3257" i="1" s="1"/>
  <c r="K3255" i="1"/>
  <c r="J3255" i="1"/>
  <c r="K3254" i="1"/>
  <c r="J3254" i="1"/>
  <c r="K3253" i="1"/>
  <c r="J3253" i="1"/>
  <c r="K3252" i="1"/>
  <c r="J3252" i="1"/>
  <c r="K3251" i="1"/>
  <c r="J3251" i="1"/>
  <c r="K3250" i="1"/>
  <c r="J3250" i="1"/>
  <c r="K3249" i="1"/>
  <c r="J3249" i="1"/>
  <c r="K3248" i="1"/>
  <c r="J3248" i="1"/>
  <c r="K3247" i="1"/>
  <c r="J3247" i="1"/>
  <c r="K3246" i="1"/>
  <c r="J3246" i="1"/>
  <c r="K3245" i="1"/>
  <c r="J3245" i="1"/>
  <c r="K3244" i="1"/>
  <c r="J3244" i="1"/>
  <c r="K3243" i="1"/>
  <c r="J3243" i="1"/>
  <c r="K3242" i="1"/>
  <c r="J3242" i="1"/>
  <c r="K3241" i="1"/>
  <c r="J3241" i="1"/>
  <c r="K3240" i="1"/>
  <c r="J3240" i="1"/>
  <c r="K3239" i="1"/>
  <c r="J3239" i="1"/>
  <c r="K3238" i="1"/>
  <c r="J3238" i="1"/>
  <c r="K3237" i="1"/>
  <c r="J3237" i="1"/>
  <c r="K3236" i="1"/>
  <c r="J3236" i="1"/>
  <c r="K3235" i="1"/>
  <c r="J3235" i="1"/>
  <c r="K3234" i="1"/>
  <c r="J3234" i="1"/>
  <c r="K3233" i="1"/>
  <c r="J3233" i="1"/>
  <c r="K3232" i="1"/>
  <c r="J3232" i="1"/>
  <c r="K3231" i="1"/>
  <c r="J3231" i="1"/>
  <c r="K3230" i="1"/>
  <c r="J3230" i="1"/>
  <c r="K3229" i="1"/>
  <c r="J3229" i="1"/>
  <c r="K3228" i="1"/>
  <c r="J3228" i="1"/>
  <c r="K3227" i="1"/>
  <c r="J3227" i="1"/>
  <c r="K3226" i="1"/>
  <c r="J3226" i="1"/>
  <c r="K3225" i="1"/>
  <c r="J3225" i="1"/>
  <c r="K3224" i="1"/>
  <c r="J3224" i="1"/>
  <c r="K3223" i="1"/>
  <c r="J3223" i="1"/>
  <c r="K3222" i="1"/>
  <c r="J3222" i="1"/>
  <c r="K3221" i="1"/>
  <c r="J3221" i="1"/>
  <c r="K3220" i="1"/>
  <c r="J3220" i="1"/>
  <c r="K3219" i="1"/>
  <c r="J3219" i="1"/>
  <c r="K3218" i="1"/>
  <c r="J3218" i="1"/>
  <c r="K3217" i="1"/>
  <c r="J3217" i="1"/>
  <c r="K3216" i="1"/>
  <c r="J3216" i="1"/>
  <c r="K3215" i="1"/>
  <c r="J3215" i="1"/>
  <c r="K3214" i="1"/>
  <c r="J3214" i="1"/>
  <c r="K3213" i="1"/>
  <c r="J3213" i="1"/>
  <c r="K3212" i="1"/>
  <c r="J3212" i="1"/>
  <c r="K3211" i="1"/>
  <c r="J3211" i="1"/>
  <c r="K3210" i="1"/>
  <c r="J3210" i="1"/>
  <c r="K3209" i="1"/>
  <c r="J3209" i="1"/>
  <c r="K3208" i="1"/>
  <c r="J3208" i="1"/>
  <c r="K3207" i="1"/>
  <c r="J3207" i="1"/>
  <c r="K3206" i="1"/>
  <c r="J3206" i="1"/>
  <c r="K3205" i="1"/>
  <c r="J3205" i="1"/>
  <c r="K3204" i="1"/>
  <c r="J3204" i="1"/>
  <c r="K3203" i="1"/>
  <c r="J3203" i="1"/>
  <c r="K3202" i="1"/>
  <c r="J3202" i="1"/>
  <c r="K3201" i="1"/>
  <c r="J3201" i="1"/>
  <c r="K3200" i="1"/>
  <c r="J3200" i="1"/>
  <c r="K3199" i="1"/>
  <c r="J3199" i="1"/>
  <c r="K3198" i="1"/>
  <c r="J3198" i="1"/>
  <c r="K3197" i="1"/>
  <c r="J3197" i="1"/>
  <c r="K3196" i="1"/>
  <c r="J3196" i="1"/>
  <c r="K3195" i="1"/>
  <c r="J3195" i="1"/>
  <c r="K3194" i="1"/>
  <c r="J3194" i="1"/>
  <c r="K3193" i="1"/>
  <c r="J3193" i="1"/>
  <c r="K3192" i="1"/>
  <c r="J3192" i="1"/>
  <c r="K3191" i="1"/>
  <c r="J3191" i="1"/>
  <c r="K3190" i="1"/>
  <c r="J3190" i="1"/>
  <c r="K3189" i="1"/>
  <c r="J3189" i="1"/>
  <c r="K3188" i="1"/>
  <c r="J3188" i="1"/>
  <c r="K3187" i="1"/>
  <c r="J3187" i="1"/>
  <c r="K3186" i="1"/>
  <c r="J3186" i="1"/>
  <c r="K3185" i="1"/>
  <c r="J3185" i="1"/>
  <c r="K3184" i="1"/>
  <c r="J3184" i="1"/>
  <c r="K3183" i="1"/>
  <c r="J3183" i="1"/>
  <c r="K3182" i="1"/>
  <c r="J3182" i="1"/>
  <c r="K3181" i="1"/>
  <c r="J3181" i="1"/>
  <c r="K3180" i="1"/>
  <c r="J3180" i="1"/>
  <c r="K3179" i="1"/>
  <c r="J3179" i="1"/>
  <c r="K3178" i="1"/>
  <c r="J3178" i="1"/>
  <c r="K3177" i="1"/>
  <c r="J3177" i="1"/>
  <c r="K3176" i="1"/>
  <c r="J3176" i="1"/>
  <c r="K3175" i="1"/>
  <c r="J3175" i="1"/>
  <c r="K3174" i="1"/>
  <c r="J3174" i="1"/>
  <c r="K3173" i="1"/>
  <c r="J3173" i="1"/>
  <c r="K3172" i="1"/>
  <c r="J3172" i="1"/>
  <c r="K3171" i="1"/>
  <c r="J3171" i="1"/>
  <c r="K3170" i="1"/>
  <c r="J3170" i="1"/>
  <c r="K3169" i="1"/>
  <c r="J3169" i="1"/>
  <c r="K3168" i="1"/>
  <c r="J3168" i="1"/>
  <c r="K3167" i="1"/>
  <c r="J3167" i="1"/>
  <c r="K3166" i="1"/>
  <c r="J3166" i="1"/>
  <c r="K3165" i="1"/>
  <c r="J3165" i="1"/>
  <c r="K3164" i="1"/>
  <c r="J3164" i="1"/>
  <c r="L3164" i="1" s="1"/>
  <c r="K3163" i="1"/>
  <c r="J3163" i="1"/>
  <c r="K3162" i="1"/>
  <c r="J3162" i="1"/>
  <c r="K3161" i="1"/>
  <c r="J3161" i="1"/>
  <c r="K3160" i="1"/>
  <c r="J3160" i="1"/>
  <c r="K3159" i="1"/>
  <c r="J3159" i="1"/>
  <c r="K3158" i="1"/>
  <c r="J3158" i="1"/>
  <c r="L3158" i="1" s="1"/>
  <c r="K3157" i="1"/>
  <c r="J3157" i="1"/>
  <c r="K3156" i="1"/>
  <c r="J3156" i="1"/>
  <c r="K3155" i="1"/>
  <c r="J3155" i="1"/>
  <c r="K3154" i="1"/>
  <c r="J3154" i="1"/>
  <c r="K3153" i="1"/>
  <c r="J3153" i="1"/>
  <c r="K3152" i="1"/>
  <c r="J3152" i="1"/>
  <c r="L3152" i="1" s="1"/>
  <c r="K3151" i="1"/>
  <c r="J3151" i="1"/>
  <c r="K3150" i="1"/>
  <c r="J3150" i="1"/>
  <c r="K3149" i="1"/>
  <c r="J3149" i="1"/>
  <c r="K3148" i="1"/>
  <c r="J3148" i="1"/>
  <c r="K3147" i="1"/>
  <c r="J3147" i="1"/>
  <c r="K3146" i="1"/>
  <c r="J3146" i="1"/>
  <c r="L3146" i="1" s="1"/>
  <c r="K3145" i="1"/>
  <c r="J3145" i="1"/>
  <c r="K3144" i="1"/>
  <c r="J3144" i="1"/>
  <c r="K3143" i="1"/>
  <c r="J3143" i="1"/>
  <c r="K3142" i="1"/>
  <c r="J3142" i="1"/>
  <c r="K3141" i="1"/>
  <c r="J3141" i="1"/>
  <c r="K3140" i="1"/>
  <c r="J3140" i="1"/>
  <c r="K3139" i="1"/>
  <c r="J3139" i="1"/>
  <c r="K3138" i="1"/>
  <c r="J3138" i="1"/>
  <c r="K3137" i="1"/>
  <c r="J3137" i="1"/>
  <c r="K3136" i="1"/>
  <c r="J3136" i="1"/>
  <c r="K3135" i="1"/>
  <c r="J3135" i="1"/>
  <c r="K3134" i="1"/>
  <c r="J3134" i="1"/>
  <c r="K3133" i="1"/>
  <c r="J3133" i="1"/>
  <c r="K3132" i="1"/>
  <c r="J3132" i="1"/>
  <c r="K3131" i="1"/>
  <c r="J3131" i="1"/>
  <c r="K3130" i="1"/>
  <c r="J3130" i="1"/>
  <c r="K3129" i="1"/>
  <c r="J3129" i="1"/>
  <c r="K3128" i="1"/>
  <c r="J3128" i="1"/>
  <c r="K3127" i="1"/>
  <c r="J3127" i="1"/>
  <c r="K3126" i="1"/>
  <c r="J3126" i="1"/>
  <c r="K3125" i="1"/>
  <c r="J3125" i="1"/>
  <c r="K3124" i="1"/>
  <c r="J3124" i="1"/>
  <c r="K3123" i="1"/>
  <c r="J3123" i="1"/>
  <c r="K3122" i="1"/>
  <c r="J3122" i="1"/>
  <c r="K3121" i="1"/>
  <c r="J3121" i="1"/>
  <c r="K3120" i="1"/>
  <c r="J3120" i="1"/>
  <c r="K3119" i="1"/>
  <c r="J3119" i="1"/>
  <c r="K3118" i="1"/>
  <c r="J3118" i="1"/>
  <c r="K3117" i="1"/>
  <c r="P3117" i="1" s="1"/>
  <c r="J3117" i="1"/>
  <c r="K3116" i="1"/>
  <c r="J3116" i="1"/>
  <c r="K3115" i="1"/>
  <c r="J3115" i="1"/>
  <c r="K3114" i="1"/>
  <c r="J3114" i="1"/>
  <c r="K3113" i="1"/>
  <c r="J3113" i="1"/>
  <c r="K3112" i="1"/>
  <c r="J3112" i="1"/>
  <c r="K3111" i="1"/>
  <c r="J3111" i="1"/>
  <c r="K3110" i="1"/>
  <c r="J3110" i="1"/>
  <c r="K3109" i="1"/>
  <c r="J3109" i="1"/>
  <c r="K3108" i="1"/>
  <c r="J3108" i="1"/>
  <c r="K3107" i="1"/>
  <c r="J3107" i="1"/>
  <c r="K3106" i="1"/>
  <c r="J3106" i="1"/>
  <c r="K3105" i="1"/>
  <c r="J3105" i="1"/>
  <c r="K3104" i="1"/>
  <c r="J3104" i="1"/>
  <c r="L3104" i="1" s="1"/>
  <c r="K3103" i="1"/>
  <c r="J3103" i="1"/>
  <c r="K3102" i="1"/>
  <c r="J3102" i="1"/>
  <c r="K3101" i="1"/>
  <c r="J3101" i="1"/>
  <c r="K3100" i="1"/>
  <c r="J3100" i="1"/>
  <c r="K3099" i="1"/>
  <c r="J3099" i="1"/>
  <c r="K3098" i="1"/>
  <c r="J3098" i="1"/>
  <c r="K3097" i="1"/>
  <c r="J3097" i="1"/>
  <c r="O3098" i="1" s="1"/>
  <c r="K3096" i="1"/>
  <c r="J3096" i="1"/>
  <c r="K3095" i="1"/>
  <c r="J3095" i="1"/>
  <c r="K3094" i="1"/>
  <c r="J3094" i="1"/>
  <c r="K3093" i="1"/>
  <c r="J3093" i="1"/>
  <c r="K3092" i="1"/>
  <c r="J3092" i="1"/>
  <c r="L3092" i="1" s="1"/>
  <c r="K3091" i="1"/>
  <c r="J3091" i="1"/>
  <c r="K3090" i="1"/>
  <c r="J3090" i="1"/>
  <c r="K3089" i="1"/>
  <c r="J3089" i="1"/>
  <c r="K3088" i="1"/>
  <c r="J3088" i="1"/>
  <c r="K3087" i="1"/>
  <c r="J3087" i="1"/>
  <c r="K3086" i="1"/>
  <c r="J3086" i="1"/>
  <c r="K3085" i="1"/>
  <c r="J3085" i="1"/>
  <c r="K3084" i="1"/>
  <c r="J3084" i="1"/>
  <c r="K3083" i="1"/>
  <c r="J3083" i="1"/>
  <c r="K3082" i="1"/>
  <c r="J3082" i="1"/>
  <c r="K3081" i="1"/>
  <c r="J3081" i="1"/>
  <c r="K3080" i="1"/>
  <c r="J3080" i="1"/>
  <c r="K3079" i="1"/>
  <c r="J3079" i="1"/>
  <c r="K3078" i="1"/>
  <c r="J3078" i="1"/>
  <c r="K3077" i="1"/>
  <c r="J3077" i="1"/>
  <c r="K3076" i="1"/>
  <c r="J3076" i="1"/>
  <c r="K3075" i="1"/>
  <c r="J3075" i="1"/>
  <c r="K3074" i="1"/>
  <c r="J3074" i="1"/>
  <c r="L3074" i="1" s="1"/>
  <c r="K3073" i="1"/>
  <c r="J3073" i="1"/>
  <c r="O3074" i="1" s="1"/>
  <c r="K3072" i="1"/>
  <c r="J3072" i="1"/>
  <c r="O3072" i="1" s="1"/>
  <c r="K3071" i="1"/>
  <c r="J3071" i="1"/>
  <c r="K3070" i="1"/>
  <c r="J3070" i="1"/>
  <c r="K3069" i="1"/>
  <c r="J3069" i="1"/>
  <c r="K3068" i="1"/>
  <c r="J3068" i="1"/>
  <c r="K3067" i="1"/>
  <c r="J3067" i="1"/>
  <c r="K3066" i="1"/>
  <c r="J3066" i="1"/>
  <c r="K3065" i="1"/>
  <c r="J3065" i="1"/>
  <c r="K3064" i="1"/>
  <c r="J3064" i="1"/>
  <c r="K3063" i="1"/>
  <c r="J3063" i="1"/>
  <c r="K3062" i="1"/>
  <c r="J3062" i="1"/>
  <c r="L3062" i="1" s="1"/>
  <c r="K3061" i="1"/>
  <c r="J3061" i="1"/>
  <c r="K3060" i="1"/>
  <c r="J3060" i="1"/>
  <c r="K3059" i="1"/>
  <c r="J3059" i="1"/>
  <c r="K3058" i="1"/>
  <c r="J3058" i="1"/>
  <c r="K3057" i="1"/>
  <c r="J3057" i="1"/>
  <c r="K3056" i="1"/>
  <c r="J3056" i="1"/>
  <c r="K3055" i="1"/>
  <c r="J3055" i="1"/>
  <c r="K3054" i="1"/>
  <c r="J3054" i="1"/>
  <c r="K3053" i="1"/>
  <c r="J3053" i="1"/>
  <c r="K3052" i="1"/>
  <c r="J3052" i="1"/>
  <c r="K3051" i="1"/>
  <c r="J3051" i="1"/>
  <c r="K3050" i="1"/>
  <c r="J3050" i="1"/>
  <c r="L3050" i="1" s="1"/>
  <c r="K3049" i="1"/>
  <c r="J3049" i="1"/>
  <c r="O3050" i="1" s="1"/>
  <c r="K3048" i="1"/>
  <c r="J3048" i="1"/>
  <c r="K3047" i="1"/>
  <c r="J3047" i="1"/>
  <c r="K3046" i="1"/>
  <c r="J3046" i="1"/>
  <c r="K3045" i="1"/>
  <c r="J3045" i="1"/>
  <c r="K3044" i="1"/>
  <c r="J3044" i="1"/>
  <c r="K3043" i="1"/>
  <c r="J3043" i="1"/>
  <c r="K3042" i="1"/>
  <c r="J3042" i="1"/>
  <c r="K3041" i="1"/>
  <c r="J3041" i="1"/>
  <c r="K3040" i="1"/>
  <c r="J3040" i="1"/>
  <c r="K3039" i="1"/>
  <c r="J3039" i="1"/>
  <c r="K3038" i="1"/>
  <c r="P3039" i="1" s="1"/>
  <c r="J3038" i="1"/>
  <c r="L3038" i="1" s="1"/>
  <c r="K3037" i="1"/>
  <c r="J3037" i="1"/>
  <c r="K3036" i="1"/>
  <c r="J3036" i="1"/>
  <c r="K3035" i="1"/>
  <c r="J3035" i="1"/>
  <c r="K3034" i="1"/>
  <c r="J3034" i="1"/>
  <c r="O3035" i="1" s="1"/>
  <c r="K3033" i="1"/>
  <c r="J3033" i="1"/>
  <c r="K3032" i="1"/>
  <c r="J3032" i="1"/>
  <c r="K3031" i="1"/>
  <c r="J3031" i="1"/>
  <c r="K3030" i="1"/>
  <c r="J3030" i="1"/>
  <c r="K3029" i="1"/>
  <c r="J3029" i="1"/>
  <c r="K3028" i="1"/>
  <c r="J3028" i="1"/>
  <c r="K3027" i="1"/>
  <c r="J3027" i="1"/>
  <c r="K3026" i="1"/>
  <c r="J3026" i="1"/>
  <c r="K3025" i="1"/>
  <c r="J3025" i="1"/>
  <c r="O3026" i="1" s="1"/>
  <c r="K3024" i="1"/>
  <c r="J3024" i="1"/>
  <c r="O3025" i="1" s="1"/>
  <c r="K3023" i="1"/>
  <c r="J3023" i="1"/>
  <c r="K3022" i="1"/>
  <c r="J3022" i="1"/>
  <c r="K3021" i="1"/>
  <c r="J3021" i="1"/>
  <c r="K3020" i="1"/>
  <c r="J3020" i="1"/>
  <c r="K3019" i="1"/>
  <c r="J3019" i="1"/>
  <c r="O3020" i="1" s="1"/>
  <c r="K3018" i="1"/>
  <c r="J3018" i="1"/>
  <c r="K3017" i="1"/>
  <c r="J3017" i="1"/>
  <c r="K3016" i="1"/>
  <c r="J3016" i="1"/>
  <c r="K3015" i="1"/>
  <c r="J3015" i="1"/>
  <c r="K3014" i="1"/>
  <c r="J3014" i="1"/>
  <c r="K3013" i="1"/>
  <c r="J3013" i="1"/>
  <c r="K3012" i="1"/>
  <c r="J3012" i="1"/>
  <c r="K3011" i="1"/>
  <c r="J3011" i="1"/>
  <c r="K3010" i="1"/>
  <c r="J3010" i="1"/>
  <c r="K3009" i="1"/>
  <c r="J3009" i="1"/>
  <c r="K3008" i="1"/>
  <c r="J3008" i="1"/>
  <c r="K3007" i="1"/>
  <c r="J3007" i="1"/>
  <c r="K3006" i="1"/>
  <c r="J3006" i="1"/>
  <c r="K3005" i="1"/>
  <c r="J3005" i="1"/>
  <c r="K3004" i="1"/>
  <c r="J3004" i="1"/>
  <c r="K3003" i="1"/>
  <c r="J3003" i="1"/>
  <c r="K3002" i="1"/>
  <c r="J3002" i="1"/>
  <c r="K3001" i="1"/>
  <c r="J3001" i="1"/>
  <c r="K3000" i="1"/>
  <c r="J3000" i="1"/>
  <c r="K2999" i="1"/>
  <c r="J2999" i="1"/>
  <c r="K2998" i="1"/>
  <c r="J2998" i="1"/>
  <c r="K2997" i="1"/>
  <c r="J2997" i="1"/>
  <c r="K2996" i="1"/>
  <c r="J2996" i="1"/>
  <c r="K2995" i="1"/>
  <c r="J2995" i="1"/>
  <c r="K2994" i="1"/>
  <c r="J2994" i="1"/>
  <c r="K2993" i="1"/>
  <c r="J2993" i="1"/>
  <c r="K2992" i="1"/>
  <c r="J2992" i="1"/>
  <c r="K2991" i="1"/>
  <c r="J2991" i="1"/>
  <c r="O2991" i="1" s="1"/>
  <c r="K2990" i="1"/>
  <c r="J2990" i="1"/>
  <c r="K2989" i="1"/>
  <c r="J2989" i="1"/>
  <c r="K2988" i="1"/>
  <c r="J2988" i="1"/>
  <c r="K2987" i="1"/>
  <c r="J2987" i="1"/>
  <c r="K2986" i="1"/>
  <c r="J2986" i="1"/>
  <c r="K2985" i="1"/>
  <c r="J2985" i="1"/>
  <c r="K2984" i="1"/>
  <c r="J2984" i="1"/>
  <c r="K2983" i="1"/>
  <c r="J2983" i="1"/>
  <c r="K2982" i="1"/>
  <c r="J2982" i="1"/>
  <c r="K2981" i="1"/>
  <c r="J2981" i="1"/>
  <c r="K2980" i="1"/>
  <c r="J2980" i="1"/>
  <c r="K2979" i="1"/>
  <c r="J2979" i="1"/>
  <c r="K2978" i="1"/>
  <c r="J2978" i="1"/>
  <c r="K2977" i="1"/>
  <c r="J2977" i="1"/>
  <c r="K2976" i="1"/>
  <c r="J2976" i="1"/>
  <c r="K2975" i="1"/>
  <c r="J2975" i="1"/>
  <c r="K2974" i="1"/>
  <c r="J2974" i="1"/>
  <c r="K2973" i="1"/>
  <c r="J2973" i="1"/>
  <c r="K2972" i="1"/>
  <c r="J2972" i="1"/>
  <c r="K2971" i="1"/>
  <c r="J2971" i="1"/>
  <c r="K2970" i="1"/>
  <c r="J2970" i="1"/>
  <c r="K2969" i="1"/>
  <c r="J2969" i="1"/>
  <c r="K2968" i="1"/>
  <c r="J2968" i="1"/>
  <c r="K2967" i="1"/>
  <c r="J2967" i="1"/>
  <c r="K2966" i="1"/>
  <c r="J2966" i="1"/>
  <c r="K2965" i="1"/>
  <c r="J2965" i="1"/>
  <c r="K2964" i="1"/>
  <c r="J2964" i="1"/>
  <c r="K2963" i="1"/>
  <c r="J2963" i="1"/>
  <c r="K2962" i="1"/>
  <c r="J2962" i="1"/>
  <c r="K2961" i="1"/>
  <c r="J2961" i="1"/>
  <c r="K2960" i="1"/>
  <c r="J2960" i="1"/>
  <c r="K2959" i="1"/>
  <c r="J2959" i="1"/>
  <c r="K2958" i="1"/>
  <c r="J2958" i="1"/>
  <c r="K2957" i="1"/>
  <c r="J2957" i="1"/>
  <c r="K2956" i="1"/>
  <c r="J2956" i="1"/>
  <c r="K2955" i="1"/>
  <c r="J2955" i="1"/>
  <c r="K2954" i="1"/>
  <c r="J2954" i="1"/>
  <c r="K2953" i="1"/>
  <c r="J2953" i="1"/>
  <c r="K2952" i="1"/>
  <c r="J2952" i="1"/>
  <c r="K2951" i="1"/>
  <c r="J2951" i="1"/>
  <c r="K2950" i="1"/>
  <c r="J2950" i="1"/>
  <c r="K2949" i="1"/>
  <c r="J2949" i="1"/>
  <c r="K2948" i="1"/>
  <c r="J2948" i="1"/>
  <c r="K2947" i="1"/>
  <c r="J2947" i="1"/>
  <c r="K2946" i="1"/>
  <c r="J2946" i="1"/>
  <c r="K2945" i="1"/>
  <c r="J2945" i="1"/>
  <c r="K2944" i="1"/>
  <c r="J2944" i="1"/>
  <c r="K2943" i="1"/>
  <c r="J2943" i="1"/>
  <c r="K2942" i="1"/>
  <c r="J2942" i="1"/>
  <c r="K2941" i="1"/>
  <c r="J2941" i="1"/>
  <c r="K2940" i="1"/>
  <c r="J2940" i="1"/>
  <c r="K2939" i="1"/>
  <c r="J2939" i="1"/>
  <c r="K2938" i="1"/>
  <c r="J2938" i="1"/>
  <c r="K2937" i="1"/>
  <c r="J2937" i="1"/>
  <c r="K2936" i="1"/>
  <c r="J2936" i="1"/>
  <c r="K2935" i="1"/>
  <c r="J2935" i="1"/>
  <c r="K2934" i="1"/>
  <c r="J2934" i="1"/>
  <c r="K2933" i="1"/>
  <c r="J2933" i="1"/>
  <c r="K2932" i="1"/>
  <c r="J2932" i="1"/>
  <c r="K2931" i="1"/>
  <c r="J2931" i="1"/>
  <c r="K2930" i="1"/>
  <c r="J2930" i="1"/>
  <c r="K2929" i="1"/>
  <c r="J2929" i="1"/>
  <c r="K2928" i="1"/>
  <c r="J2928" i="1"/>
  <c r="K2927" i="1"/>
  <c r="J2927" i="1"/>
  <c r="K2926" i="1"/>
  <c r="J2926" i="1"/>
  <c r="K2925" i="1"/>
  <c r="J2925" i="1"/>
  <c r="K2924" i="1"/>
  <c r="J2924" i="1"/>
  <c r="K2923" i="1"/>
  <c r="J2923" i="1"/>
  <c r="K2922" i="1"/>
  <c r="J2922" i="1"/>
  <c r="O2922" i="1" s="1"/>
  <c r="K2921" i="1"/>
  <c r="J2921" i="1"/>
  <c r="K2920" i="1"/>
  <c r="J2920" i="1"/>
  <c r="K2919" i="1"/>
  <c r="J2919" i="1"/>
  <c r="K2918" i="1"/>
  <c r="J2918" i="1"/>
  <c r="K2917" i="1"/>
  <c r="J2917" i="1"/>
  <c r="K2916" i="1"/>
  <c r="J2916" i="1"/>
  <c r="K2915" i="1"/>
  <c r="J2915" i="1"/>
  <c r="K2914" i="1"/>
  <c r="J2914" i="1"/>
  <c r="K2913" i="1"/>
  <c r="J2913" i="1"/>
  <c r="K2912" i="1"/>
  <c r="J2912" i="1"/>
  <c r="K2911" i="1"/>
  <c r="J2911" i="1"/>
  <c r="K2910" i="1"/>
  <c r="J2910" i="1"/>
  <c r="K2909" i="1"/>
  <c r="J2909" i="1"/>
  <c r="K2908" i="1"/>
  <c r="J2908" i="1"/>
  <c r="K2907" i="1"/>
  <c r="J2907" i="1"/>
  <c r="K2906" i="1"/>
  <c r="J2906" i="1"/>
  <c r="K2905" i="1"/>
  <c r="J2905" i="1"/>
  <c r="K2904" i="1"/>
  <c r="J2904" i="1"/>
  <c r="K2903" i="1"/>
  <c r="J2903" i="1"/>
  <c r="K2902" i="1"/>
  <c r="J2902" i="1"/>
  <c r="K2901" i="1"/>
  <c r="J2901" i="1"/>
  <c r="K2900" i="1"/>
  <c r="J2900" i="1"/>
  <c r="K2899" i="1"/>
  <c r="J2899" i="1"/>
  <c r="K2898" i="1"/>
  <c r="J2898" i="1"/>
  <c r="K2897" i="1"/>
  <c r="J2897" i="1"/>
  <c r="K2896" i="1"/>
  <c r="J2896" i="1"/>
  <c r="K2895" i="1"/>
  <c r="J2895" i="1"/>
  <c r="K2894" i="1"/>
  <c r="J2894" i="1"/>
  <c r="K2893" i="1"/>
  <c r="J2893" i="1"/>
  <c r="K2892" i="1"/>
  <c r="J2892" i="1"/>
  <c r="K2891" i="1"/>
  <c r="J2891" i="1"/>
  <c r="K2890" i="1"/>
  <c r="J2890" i="1"/>
  <c r="K2889" i="1"/>
  <c r="J2889" i="1"/>
  <c r="K2888" i="1"/>
  <c r="J2888" i="1"/>
  <c r="K2887" i="1"/>
  <c r="J2887" i="1"/>
  <c r="K2886" i="1"/>
  <c r="J2886" i="1"/>
  <c r="K2885" i="1"/>
  <c r="J2885" i="1"/>
  <c r="K2884" i="1"/>
  <c r="P2884" i="1" s="1"/>
  <c r="J2884" i="1"/>
  <c r="K2883" i="1"/>
  <c r="J2883" i="1"/>
  <c r="K2882" i="1"/>
  <c r="J2882" i="1"/>
  <c r="K2881" i="1"/>
  <c r="J2881" i="1"/>
  <c r="K2880" i="1"/>
  <c r="J2880" i="1"/>
  <c r="K2879" i="1"/>
  <c r="J2879" i="1"/>
  <c r="K2878" i="1"/>
  <c r="P2878" i="1" s="1"/>
  <c r="J2878" i="1"/>
  <c r="K2877" i="1"/>
  <c r="J2877" i="1"/>
  <c r="K2876" i="1"/>
  <c r="J2876" i="1"/>
  <c r="K2875" i="1"/>
  <c r="J2875" i="1"/>
  <c r="K2874" i="1"/>
  <c r="J2874" i="1"/>
  <c r="K2873" i="1"/>
  <c r="J2873" i="1"/>
  <c r="K2872" i="1"/>
  <c r="J2872" i="1"/>
  <c r="K2871" i="1"/>
  <c r="J2871" i="1"/>
  <c r="K2870" i="1"/>
  <c r="J2870" i="1"/>
  <c r="K2869" i="1"/>
  <c r="J2869" i="1"/>
  <c r="K2868" i="1"/>
  <c r="J2868" i="1"/>
  <c r="K2867" i="1"/>
  <c r="J2867" i="1"/>
  <c r="K2866" i="1"/>
  <c r="J2866" i="1"/>
  <c r="K2865" i="1"/>
  <c r="J2865" i="1"/>
  <c r="K2864" i="1"/>
  <c r="J2864" i="1"/>
  <c r="K2863" i="1"/>
  <c r="J2863" i="1"/>
  <c r="K2862" i="1"/>
  <c r="J2862" i="1"/>
  <c r="K2861" i="1"/>
  <c r="J2861" i="1"/>
  <c r="K2860" i="1"/>
  <c r="J2860" i="1"/>
  <c r="K2859" i="1"/>
  <c r="J2859" i="1"/>
  <c r="K2858" i="1"/>
  <c r="J2858" i="1"/>
  <c r="K2857" i="1"/>
  <c r="J2857" i="1"/>
  <c r="K2856" i="1"/>
  <c r="J2856" i="1"/>
  <c r="K2855" i="1"/>
  <c r="J2855" i="1"/>
  <c r="K2854" i="1"/>
  <c r="P2854" i="1" s="1"/>
  <c r="J2854" i="1"/>
  <c r="K2853" i="1"/>
  <c r="J2853" i="1"/>
  <c r="K2852" i="1"/>
  <c r="J2852" i="1"/>
  <c r="K2851" i="1"/>
  <c r="J2851" i="1"/>
  <c r="K2850" i="1"/>
  <c r="J2850" i="1"/>
  <c r="K2849" i="1"/>
  <c r="J2849" i="1"/>
  <c r="K2848" i="1"/>
  <c r="J2848" i="1"/>
  <c r="K2847" i="1"/>
  <c r="J2847" i="1"/>
  <c r="K2846" i="1"/>
  <c r="J2846" i="1"/>
  <c r="K2845" i="1"/>
  <c r="J2845" i="1"/>
  <c r="K2844" i="1"/>
  <c r="J2844" i="1"/>
  <c r="K2843" i="1"/>
  <c r="J2843" i="1"/>
  <c r="K2842" i="1"/>
  <c r="J2842" i="1"/>
  <c r="K2841" i="1"/>
  <c r="J2841" i="1"/>
  <c r="K2840" i="1"/>
  <c r="J2840" i="1"/>
  <c r="K2839" i="1"/>
  <c r="J2839" i="1"/>
  <c r="K2838" i="1"/>
  <c r="J2838" i="1"/>
  <c r="K2837" i="1"/>
  <c r="J2837" i="1"/>
  <c r="K2836" i="1"/>
  <c r="J2836" i="1"/>
  <c r="K2835" i="1"/>
  <c r="J2835" i="1"/>
  <c r="K2834" i="1"/>
  <c r="J2834" i="1"/>
  <c r="K2833" i="1"/>
  <c r="J2833" i="1"/>
  <c r="K2832" i="1"/>
  <c r="J2832" i="1"/>
  <c r="O2832" i="1" s="1"/>
  <c r="K2831" i="1"/>
  <c r="J2831" i="1"/>
  <c r="K2830" i="1"/>
  <c r="J2830" i="1"/>
  <c r="K2829" i="1"/>
  <c r="J2829" i="1"/>
  <c r="K2828" i="1"/>
  <c r="J2828" i="1"/>
  <c r="K2827" i="1"/>
  <c r="J2827" i="1"/>
  <c r="K2826" i="1"/>
  <c r="J2826" i="1"/>
  <c r="O2826" i="1" s="1"/>
  <c r="K2825" i="1"/>
  <c r="J2825" i="1"/>
  <c r="K2824" i="1"/>
  <c r="J2824" i="1"/>
  <c r="K2823" i="1"/>
  <c r="J2823" i="1"/>
  <c r="K2822" i="1"/>
  <c r="J2822" i="1"/>
  <c r="K2821" i="1"/>
  <c r="J2821" i="1"/>
  <c r="K2820" i="1"/>
  <c r="J2820" i="1"/>
  <c r="K2819" i="1"/>
  <c r="J2819" i="1"/>
  <c r="K2818" i="1"/>
  <c r="J2818" i="1"/>
  <c r="K2817" i="1"/>
  <c r="J2817" i="1"/>
  <c r="K2816" i="1"/>
  <c r="J2816" i="1"/>
  <c r="K2815" i="1"/>
  <c r="J2815" i="1"/>
  <c r="K2814" i="1"/>
  <c r="J2814" i="1"/>
  <c r="K2813" i="1"/>
  <c r="J2813" i="1"/>
  <c r="K2812" i="1"/>
  <c r="J2812" i="1"/>
  <c r="K2811" i="1"/>
  <c r="J2811" i="1"/>
  <c r="K2810" i="1"/>
  <c r="J2810" i="1"/>
  <c r="K2809" i="1"/>
  <c r="J2809" i="1"/>
  <c r="K2808" i="1"/>
  <c r="J2808" i="1"/>
  <c r="K2807" i="1"/>
  <c r="J2807" i="1"/>
  <c r="K2806" i="1"/>
  <c r="J2806" i="1"/>
  <c r="K2805" i="1"/>
  <c r="J2805" i="1"/>
  <c r="K2804" i="1"/>
  <c r="J2804" i="1"/>
  <c r="K2803" i="1"/>
  <c r="J2803" i="1"/>
  <c r="K2802" i="1"/>
  <c r="J2802" i="1"/>
  <c r="K2801" i="1"/>
  <c r="J2801" i="1"/>
  <c r="K2800" i="1"/>
  <c r="J2800" i="1"/>
  <c r="K2799" i="1"/>
  <c r="J2799" i="1"/>
  <c r="K2798" i="1"/>
  <c r="J2798" i="1"/>
  <c r="K2797" i="1"/>
  <c r="J2797" i="1"/>
  <c r="K2796" i="1"/>
  <c r="J2796" i="1"/>
  <c r="K2795" i="1"/>
  <c r="J2795" i="1"/>
  <c r="K2794" i="1"/>
  <c r="J2794" i="1"/>
  <c r="K2793" i="1"/>
  <c r="J2793" i="1"/>
  <c r="K2792" i="1"/>
  <c r="J2792" i="1"/>
  <c r="K2791" i="1"/>
  <c r="J2791" i="1"/>
  <c r="K2790" i="1"/>
  <c r="J2790" i="1"/>
  <c r="K2789" i="1"/>
  <c r="J2789" i="1"/>
  <c r="K2788" i="1"/>
  <c r="J2788" i="1"/>
  <c r="K2787" i="1"/>
  <c r="J2787" i="1"/>
  <c r="K2786" i="1"/>
  <c r="J2786" i="1"/>
  <c r="K2785" i="1"/>
  <c r="J2785" i="1"/>
  <c r="K2784" i="1"/>
  <c r="J2784" i="1"/>
  <c r="K2783" i="1"/>
  <c r="J2783" i="1"/>
  <c r="K2782" i="1"/>
  <c r="J2782" i="1"/>
  <c r="K2781" i="1"/>
  <c r="J2781" i="1"/>
  <c r="K2780" i="1"/>
  <c r="J2780" i="1"/>
  <c r="K2779" i="1"/>
  <c r="J2779" i="1"/>
  <c r="K2778" i="1"/>
  <c r="J2778" i="1"/>
  <c r="K2777" i="1"/>
  <c r="J2777" i="1"/>
  <c r="K2776" i="1"/>
  <c r="J2776" i="1"/>
  <c r="K2775" i="1"/>
  <c r="J2775" i="1"/>
  <c r="K2774" i="1"/>
  <c r="J2774" i="1"/>
  <c r="K2773" i="1"/>
  <c r="J2773" i="1"/>
  <c r="K2772" i="1"/>
  <c r="J2772" i="1"/>
  <c r="K2771" i="1"/>
  <c r="J2771" i="1"/>
  <c r="K2770" i="1"/>
  <c r="J2770" i="1"/>
  <c r="K2769" i="1"/>
  <c r="J2769" i="1"/>
  <c r="K2768" i="1"/>
  <c r="J2768" i="1"/>
  <c r="K2767" i="1"/>
  <c r="J2767" i="1"/>
  <c r="K2766" i="1"/>
  <c r="J2766" i="1"/>
  <c r="K2765" i="1"/>
  <c r="J2765" i="1"/>
  <c r="K2764" i="1"/>
  <c r="J2764" i="1"/>
  <c r="K2763" i="1"/>
  <c r="J2763" i="1"/>
  <c r="K2762" i="1"/>
  <c r="J2762" i="1"/>
  <c r="K2761" i="1"/>
  <c r="J2761" i="1"/>
  <c r="K2760" i="1"/>
  <c r="J2760" i="1"/>
  <c r="K2759" i="1"/>
  <c r="J2759" i="1"/>
  <c r="K2758" i="1"/>
  <c r="J2758" i="1"/>
  <c r="K2757" i="1"/>
  <c r="J2757" i="1"/>
  <c r="K2756" i="1"/>
  <c r="J2756" i="1"/>
  <c r="K2755" i="1"/>
  <c r="J2755" i="1"/>
  <c r="K2754" i="1"/>
  <c r="J2754" i="1"/>
  <c r="K2753" i="1"/>
  <c r="J2753" i="1"/>
  <c r="K2752" i="1"/>
  <c r="J2752" i="1"/>
  <c r="K2751" i="1"/>
  <c r="J2751" i="1"/>
  <c r="K2750" i="1"/>
  <c r="J2750" i="1"/>
  <c r="K2749" i="1"/>
  <c r="J2749" i="1"/>
  <c r="K2748" i="1"/>
  <c r="J2748" i="1"/>
  <c r="K2747" i="1"/>
  <c r="J2747" i="1"/>
  <c r="K2746" i="1"/>
  <c r="J2746" i="1"/>
  <c r="K2745" i="1"/>
  <c r="J2745" i="1"/>
  <c r="K2744" i="1"/>
  <c r="J2744" i="1"/>
  <c r="K2743" i="1"/>
  <c r="J2743" i="1"/>
  <c r="K2742" i="1"/>
  <c r="J2742" i="1"/>
  <c r="K2741" i="1"/>
  <c r="J2741" i="1"/>
  <c r="K2740" i="1"/>
  <c r="J2740" i="1"/>
  <c r="K2739" i="1"/>
  <c r="J2739" i="1"/>
  <c r="K2738" i="1"/>
  <c r="J2738" i="1"/>
  <c r="K2737" i="1"/>
  <c r="J2737" i="1"/>
  <c r="K2736" i="1"/>
  <c r="J2736" i="1"/>
  <c r="K2735" i="1"/>
  <c r="J2735" i="1"/>
  <c r="K2734" i="1"/>
  <c r="J2734" i="1"/>
  <c r="K2733" i="1"/>
  <c r="J2733" i="1"/>
  <c r="K2732" i="1"/>
  <c r="J2732" i="1"/>
  <c r="K2731" i="1"/>
  <c r="P2732" i="1" s="1"/>
  <c r="J2731" i="1"/>
  <c r="K2730" i="1"/>
  <c r="J2730" i="1"/>
  <c r="K2729" i="1"/>
  <c r="J2729" i="1"/>
  <c r="K2728" i="1"/>
  <c r="J2728" i="1"/>
  <c r="K2727" i="1"/>
  <c r="J2727" i="1"/>
  <c r="K2726" i="1"/>
  <c r="J2726" i="1"/>
  <c r="K2725" i="1"/>
  <c r="J2725" i="1"/>
  <c r="K2724" i="1"/>
  <c r="J2724" i="1"/>
  <c r="K2723" i="1"/>
  <c r="J2723" i="1"/>
  <c r="K2722" i="1"/>
  <c r="J2722" i="1"/>
  <c r="K2721" i="1"/>
  <c r="J2721" i="1"/>
  <c r="K2720" i="1"/>
  <c r="J2720" i="1"/>
  <c r="K2719" i="1"/>
  <c r="J2719" i="1"/>
  <c r="K2718" i="1"/>
  <c r="J2718" i="1"/>
  <c r="K2717" i="1"/>
  <c r="J2717" i="1"/>
  <c r="K2716" i="1"/>
  <c r="J2716" i="1"/>
  <c r="K2715" i="1"/>
  <c r="J2715" i="1"/>
  <c r="K2714" i="1"/>
  <c r="J2714" i="1"/>
  <c r="K2713" i="1"/>
  <c r="J2713" i="1"/>
  <c r="K2712" i="1"/>
  <c r="J2712" i="1"/>
  <c r="K2711" i="1"/>
  <c r="J2711" i="1"/>
  <c r="K2710" i="1"/>
  <c r="J2710" i="1"/>
  <c r="K2709" i="1"/>
  <c r="J2709" i="1"/>
  <c r="K2708" i="1"/>
  <c r="J2708" i="1"/>
  <c r="K2707" i="1"/>
  <c r="J2707" i="1"/>
  <c r="K2706" i="1"/>
  <c r="J2706" i="1"/>
  <c r="K2705" i="1"/>
  <c r="J2705" i="1"/>
  <c r="K2704" i="1"/>
  <c r="J2704" i="1"/>
  <c r="K2703" i="1"/>
  <c r="J2703" i="1"/>
  <c r="K2702" i="1"/>
  <c r="J2702" i="1"/>
  <c r="K2701" i="1"/>
  <c r="J2701" i="1"/>
  <c r="K2700" i="1"/>
  <c r="J2700" i="1"/>
  <c r="K2699" i="1"/>
  <c r="J2699" i="1"/>
  <c r="K2698" i="1"/>
  <c r="J2698" i="1"/>
  <c r="K2697" i="1"/>
  <c r="J2697" i="1"/>
  <c r="K2696" i="1"/>
  <c r="J2696" i="1"/>
  <c r="K2695" i="1"/>
  <c r="J2695" i="1"/>
  <c r="K2694" i="1"/>
  <c r="J2694" i="1"/>
  <c r="K2693" i="1"/>
  <c r="J2693" i="1"/>
  <c r="K2692" i="1"/>
  <c r="J2692" i="1"/>
  <c r="K2691" i="1"/>
  <c r="J2691" i="1"/>
  <c r="K2690" i="1"/>
  <c r="J2690" i="1"/>
  <c r="K2689" i="1"/>
  <c r="J2689" i="1"/>
  <c r="K2688" i="1"/>
  <c r="J2688" i="1"/>
  <c r="K2687" i="1"/>
  <c r="J2687" i="1"/>
  <c r="K2686" i="1"/>
  <c r="J2686" i="1"/>
  <c r="K2685" i="1"/>
  <c r="J2685" i="1"/>
  <c r="K2684" i="1"/>
  <c r="J2684" i="1"/>
  <c r="K2683" i="1"/>
  <c r="J2683" i="1"/>
  <c r="K2682" i="1"/>
  <c r="J2682" i="1"/>
  <c r="K2681" i="1"/>
  <c r="J2681" i="1"/>
  <c r="K2680" i="1"/>
  <c r="J2680" i="1"/>
  <c r="K2679" i="1"/>
  <c r="J2679" i="1"/>
  <c r="K2678" i="1"/>
  <c r="J2678" i="1"/>
  <c r="K2677" i="1"/>
  <c r="J2677" i="1"/>
  <c r="K2676" i="1"/>
  <c r="J2676" i="1"/>
  <c r="K2675" i="1"/>
  <c r="J2675" i="1"/>
  <c r="K2674" i="1"/>
  <c r="J2674" i="1"/>
  <c r="K2673" i="1"/>
  <c r="J2673" i="1"/>
  <c r="K2672" i="1"/>
  <c r="J2672" i="1"/>
  <c r="K2671" i="1"/>
  <c r="J2671" i="1"/>
  <c r="K2670" i="1"/>
  <c r="J2670" i="1"/>
  <c r="K2669" i="1"/>
  <c r="J2669" i="1"/>
  <c r="K2668" i="1"/>
  <c r="J2668" i="1"/>
  <c r="K2667" i="1"/>
  <c r="J2667" i="1"/>
  <c r="K2666" i="1"/>
  <c r="J2666" i="1"/>
  <c r="K2665" i="1"/>
  <c r="J2665" i="1"/>
  <c r="K2664" i="1"/>
  <c r="J2664" i="1"/>
  <c r="K2663" i="1"/>
  <c r="J2663" i="1"/>
  <c r="K2662" i="1"/>
  <c r="J2662" i="1"/>
  <c r="K2661" i="1"/>
  <c r="J2661" i="1"/>
  <c r="K2660" i="1"/>
  <c r="J2660" i="1"/>
  <c r="K2659" i="1"/>
  <c r="J2659" i="1"/>
  <c r="K2658" i="1"/>
  <c r="J2658" i="1"/>
  <c r="K2657" i="1"/>
  <c r="J2657" i="1"/>
  <c r="K2656" i="1"/>
  <c r="J2656" i="1"/>
  <c r="K2655" i="1"/>
  <c r="J2655" i="1"/>
  <c r="K2654" i="1"/>
  <c r="J2654" i="1"/>
  <c r="K2653" i="1"/>
  <c r="J2653" i="1"/>
  <c r="K2652" i="1"/>
  <c r="J2652" i="1"/>
  <c r="K2651" i="1"/>
  <c r="J2651" i="1"/>
  <c r="K2650" i="1"/>
  <c r="J2650" i="1"/>
  <c r="K2649" i="1"/>
  <c r="J2649" i="1"/>
  <c r="K2648" i="1"/>
  <c r="J2648" i="1"/>
  <c r="K2647" i="1"/>
  <c r="J2647" i="1"/>
  <c r="K2646" i="1"/>
  <c r="J2646" i="1"/>
  <c r="K2645" i="1"/>
  <c r="J2645" i="1"/>
  <c r="K2644" i="1"/>
  <c r="J2644" i="1"/>
  <c r="K2643" i="1"/>
  <c r="J2643" i="1"/>
  <c r="K2642" i="1"/>
  <c r="J2642" i="1"/>
  <c r="K2641" i="1"/>
  <c r="J2641" i="1"/>
  <c r="K2640" i="1"/>
  <c r="J2640" i="1"/>
  <c r="K2639" i="1"/>
  <c r="J2639" i="1"/>
  <c r="K2638" i="1"/>
  <c r="J2638" i="1"/>
  <c r="K2637" i="1"/>
  <c r="J2637" i="1"/>
  <c r="K2636" i="1"/>
  <c r="J2636" i="1"/>
  <c r="K2635" i="1"/>
  <c r="J2635" i="1"/>
  <c r="K2634" i="1"/>
  <c r="J2634" i="1"/>
  <c r="K2633" i="1"/>
  <c r="J2633" i="1"/>
  <c r="K2632" i="1"/>
  <c r="J2632" i="1"/>
  <c r="K2631" i="1"/>
  <c r="J2631" i="1"/>
  <c r="K2630" i="1"/>
  <c r="J2630" i="1"/>
  <c r="L2630" i="1" s="1"/>
  <c r="K2629" i="1"/>
  <c r="J2629" i="1"/>
  <c r="K2628" i="1"/>
  <c r="J2628" i="1"/>
  <c r="K2627" i="1"/>
  <c r="J2627" i="1"/>
  <c r="K2626" i="1"/>
  <c r="J2626" i="1"/>
  <c r="K2625" i="1"/>
  <c r="J2625" i="1"/>
  <c r="K2624" i="1"/>
  <c r="J2624" i="1"/>
  <c r="L2624" i="1" s="1"/>
  <c r="K2623" i="1"/>
  <c r="J2623" i="1"/>
  <c r="K2622" i="1"/>
  <c r="J2622" i="1"/>
  <c r="K2621" i="1"/>
  <c r="J2621" i="1"/>
  <c r="K2620" i="1"/>
  <c r="J2620" i="1"/>
  <c r="K2619" i="1"/>
  <c r="J2619" i="1"/>
  <c r="K2618" i="1"/>
  <c r="J2618" i="1"/>
  <c r="K2617" i="1"/>
  <c r="J2617" i="1"/>
  <c r="K2616" i="1"/>
  <c r="J2616" i="1"/>
  <c r="K2615" i="1"/>
  <c r="J2615" i="1"/>
  <c r="K2614" i="1"/>
  <c r="J2614" i="1"/>
  <c r="K2613" i="1"/>
  <c r="J2613" i="1"/>
  <c r="K2612" i="1"/>
  <c r="J2612" i="1"/>
  <c r="L2612" i="1" s="1"/>
  <c r="K2611" i="1"/>
  <c r="J2611" i="1"/>
  <c r="K2610" i="1"/>
  <c r="J2610" i="1"/>
  <c r="K2609" i="1"/>
  <c r="J2609" i="1"/>
  <c r="K2608" i="1"/>
  <c r="J2608" i="1"/>
  <c r="K2607" i="1"/>
  <c r="J2607" i="1"/>
  <c r="K2606" i="1"/>
  <c r="J2606" i="1"/>
  <c r="L2606" i="1" s="1"/>
  <c r="K2605" i="1"/>
  <c r="J2605" i="1"/>
  <c r="K2604" i="1"/>
  <c r="J2604" i="1"/>
  <c r="K2603" i="1"/>
  <c r="J2603" i="1"/>
  <c r="K2602" i="1"/>
  <c r="J2602" i="1"/>
  <c r="K2601" i="1"/>
  <c r="J2601" i="1"/>
  <c r="K2600" i="1"/>
  <c r="J2600" i="1"/>
  <c r="L2600" i="1" s="1"/>
  <c r="K2599" i="1"/>
  <c r="J2599" i="1"/>
  <c r="K2598" i="1"/>
  <c r="J2598" i="1"/>
  <c r="K2597" i="1"/>
  <c r="J2597" i="1"/>
  <c r="K2596" i="1"/>
  <c r="J2596" i="1"/>
  <c r="K2595" i="1"/>
  <c r="J2595" i="1"/>
  <c r="K2594" i="1"/>
  <c r="J2594" i="1"/>
  <c r="L2594" i="1" s="1"/>
  <c r="K2593" i="1"/>
  <c r="J2593" i="1"/>
  <c r="K2592" i="1"/>
  <c r="J2592" i="1"/>
  <c r="K2591" i="1"/>
  <c r="J2591" i="1"/>
  <c r="K2590" i="1"/>
  <c r="J2590" i="1"/>
  <c r="K2589" i="1"/>
  <c r="P2589" i="1" s="1"/>
  <c r="J2589" i="1"/>
  <c r="K2588" i="1"/>
  <c r="J2588" i="1"/>
  <c r="K2587" i="1"/>
  <c r="J2587" i="1"/>
  <c r="K2586" i="1"/>
  <c r="J2586" i="1"/>
  <c r="K2585" i="1"/>
  <c r="J2585" i="1"/>
  <c r="K2584" i="1"/>
  <c r="J2584" i="1"/>
  <c r="K2583" i="1"/>
  <c r="J2583" i="1"/>
  <c r="K2582" i="1"/>
  <c r="J2582" i="1"/>
  <c r="K2581" i="1"/>
  <c r="J2581" i="1"/>
  <c r="K2580" i="1"/>
  <c r="J2580" i="1"/>
  <c r="K2579" i="1"/>
  <c r="J2579" i="1"/>
  <c r="K2578" i="1"/>
  <c r="J2578" i="1"/>
  <c r="K2577" i="1"/>
  <c r="J2577" i="1"/>
  <c r="K2576" i="1"/>
  <c r="J2576" i="1"/>
  <c r="L2576" i="1" s="1"/>
  <c r="K2575" i="1"/>
  <c r="J2575" i="1"/>
  <c r="K2574" i="1"/>
  <c r="J2574" i="1"/>
  <c r="K2573" i="1"/>
  <c r="J2573" i="1"/>
  <c r="K2572" i="1"/>
  <c r="P2572" i="1" s="1"/>
  <c r="J2572" i="1"/>
  <c r="K2571" i="1"/>
  <c r="J2571" i="1"/>
  <c r="K2570" i="1"/>
  <c r="J2570" i="1"/>
  <c r="L2570" i="1" s="1"/>
  <c r="K2569" i="1"/>
  <c r="J2569" i="1"/>
  <c r="K2568" i="1"/>
  <c r="J2568" i="1"/>
  <c r="K2567" i="1"/>
  <c r="J2567" i="1"/>
  <c r="K2566" i="1"/>
  <c r="J2566" i="1"/>
  <c r="K2565" i="1"/>
  <c r="J2565" i="1"/>
  <c r="K2564" i="1"/>
  <c r="J2564" i="1"/>
  <c r="K2563" i="1"/>
  <c r="J2563" i="1"/>
  <c r="K2562" i="1"/>
  <c r="J2562" i="1"/>
  <c r="K2561" i="1"/>
  <c r="J2561" i="1"/>
  <c r="K2560" i="1"/>
  <c r="J2560" i="1"/>
  <c r="O2560" i="1" s="1"/>
  <c r="K2559" i="1"/>
  <c r="J2559" i="1"/>
  <c r="K2558" i="1"/>
  <c r="J2558" i="1"/>
  <c r="K2557" i="1"/>
  <c r="J2557" i="1"/>
  <c r="K2556" i="1"/>
  <c r="J2556" i="1"/>
  <c r="K2555" i="1"/>
  <c r="J2555" i="1"/>
  <c r="K2554" i="1"/>
  <c r="J2554" i="1"/>
  <c r="K2553" i="1"/>
  <c r="J2553" i="1"/>
  <c r="K2552" i="1"/>
  <c r="J2552" i="1"/>
  <c r="K2551" i="1"/>
  <c r="J2551" i="1"/>
  <c r="K2550" i="1"/>
  <c r="J2550" i="1"/>
  <c r="K2549" i="1"/>
  <c r="J2549" i="1"/>
  <c r="K2548" i="1"/>
  <c r="J2548" i="1"/>
  <c r="K2547" i="1"/>
  <c r="J2547" i="1"/>
  <c r="K2546" i="1"/>
  <c r="J2546" i="1"/>
  <c r="K2545" i="1"/>
  <c r="J2545" i="1"/>
  <c r="K2544" i="1"/>
  <c r="J2544" i="1"/>
  <c r="K2543" i="1"/>
  <c r="J2543" i="1"/>
  <c r="K2542" i="1"/>
  <c r="J2542" i="1"/>
  <c r="K2541" i="1"/>
  <c r="J2541" i="1"/>
  <c r="K2540" i="1"/>
  <c r="J2540" i="1"/>
  <c r="K2539" i="1"/>
  <c r="J2539" i="1"/>
  <c r="K2538" i="1"/>
  <c r="J2538" i="1"/>
  <c r="K2537" i="1"/>
  <c r="J2537" i="1"/>
  <c r="K2536" i="1"/>
  <c r="J2536" i="1"/>
  <c r="K2535" i="1"/>
  <c r="J2535" i="1"/>
  <c r="K2534" i="1"/>
  <c r="J2534" i="1"/>
  <c r="K2533" i="1"/>
  <c r="J2533" i="1"/>
  <c r="K2532" i="1"/>
  <c r="J2532" i="1"/>
  <c r="K2531" i="1"/>
  <c r="J2531" i="1"/>
  <c r="K2530" i="1"/>
  <c r="J2530" i="1"/>
  <c r="K2529" i="1"/>
  <c r="J2529" i="1"/>
  <c r="K2528" i="1"/>
  <c r="J2528" i="1"/>
  <c r="K2527" i="1"/>
  <c r="J2527" i="1"/>
  <c r="K2526" i="1"/>
  <c r="J2526" i="1"/>
  <c r="K2525" i="1"/>
  <c r="J2525" i="1"/>
  <c r="K2524" i="1"/>
  <c r="J2524" i="1"/>
  <c r="K2523" i="1"/>
  <c r="J2523" i="1"/>
  <c r="K2522" i="1"/>
  <c r="J2522" i="1"/>
  <c r="K2521" i="1"/>
  <c r="J2521" i="1"/>
  <c r="K2520" i="1"/>
  <c r="J2520" i="1"/>
  <c r="K2519" i="1"/>
  <c r="J2519" i="1"/>
  <c r="K2518" i="1"/>
  <c r="J2518" i="1"/>
  <c r="K2517" i="1"/>
  <c r="J2517" i="1"/>
  <c r="K2516" i="1"/>
  <c r="J2516" i="1"/>
  <c r="K2515" i="1"/>
  <c r="J2515" i="1"/>
  <c r="K2514" i="1"/>
  <c r="J2514" i="1"/>
  <c r="K2513" i="1"/>
  <c r="J2513" i="1"/>
  <c r="K2512" i="1"/>
  <c r="J2512" i="1"/>
  <c r="K2511" i="1"/>
  <c r="J2511" i="1"/>
  <c r="K2510" i="1"/>
  <c r="J2510" i="1"/>
  <c r="K2509" i="1"/>
  <c r="J2509" i="1"/>
  <c r="K2508" i="1"/>
  <c r="J2508" i="1"/>
  <c r="K2507" i="1"/>
  <c r="J2507" i="1"/>
  <c r="K2506" i="1"/>
  <c r="J2506" i="1"/>
  <c r="K2505" i="1"/>
  <c r="J2505" i="1"/>
  <c r="K2504" i="1"/>
  <c r="J2504" i="1"/>
  <c r="K2503" i="1"/>
  <c r="J2503" i="1"/>
  <c r="K2502" i="1"/>
  <c r="J2502" i="1"/>
  <c r="K2501" i="1"/>
  <c r="J2501" i="1"/>
  <c r="K2500" i="1"/>
  <c r="J2500" i="1"/>
  <c r="K2499" i="1"/>
  <c r="J2499" i="1"/>
  <c r="K2498" i="1"/>
  <c r="J2498" i="1"/>
  <c r="K2497" i="1"/>
  <c r="J2497" i="1"/>
  <c r="K2496" i="1"/>
  <c r="J2496" i="1"/>
  <c r="K2495" i="1"/>
  <c r="J2495" i="1"/>
  <c r="K2494" i="1"/>
  <c r="J2494" i="1"/>
  <c r="K2493" i="1"/>
  <c r="J2493" i="1"/>
  <c r="K2492" i="1"/>
  <c r="J2492" i="1"/>
  <c r="K2491" i="1"/>
  <c r="J2491" i="1"/>
  <c r="K2490" i="1"/>
  <c r="J2490" i="1"/>
  <c r="K2489" i="1"/>
  <c r="J2489" i="1"/>
  <c r="K2488" i="1"/>
  <c r="J2488" i="1"/>
  <c r="K2487" i="1"/>
  <c r="J2487" i="1"/>
  <c r="K2486" i="1"/>
  <c r="P2487" i="1" s="1"/>
  <c r="J2486" i="1"/>
  <c r="K2485" i="1"/>
  <c r="J2485" i="1"/>
  <c r="K2484" i="1"/>
  <c r="J2484" i="1"/>
  <c r="K2483" i="1"/>
  <c r="J2483" i="1"/>
  <c r="K2482" i="1"/>
  <c r="J2482" i="1"/>
  <c r="K2481" i="1"/>
  <c r="J2481" i="1"/>
  <c r="K2480" i="1"/>
  <c r="J2480" i="1"/>
  <c r="K2479" i="1"/>
  <c r="J2479" i="1"/>
  <c r="K2478" i="1"/>
  <c r="J2478" i="1"/>
  <c r="K2477" i="1"/>
  <c r="J2477" i="1"/>
  <c r="K2476" i="1"/>
  <c r="J2476" i="1"/>
  <c r="K2475" i="1"/>
  <c r="J2475" i="1"/>
  <c r="K2474" i="1"/>
  <c r="J2474" i="1"/>
  <c r="K2473" i="1"/>
  <c r="J2473" i="1"/>
  <c r="K2472" i="1"/>
  <c r="J2472" i="1"/>
  <c r="K2471" i="1"/>
  <c r="J2471" i="1"/>
  <c r="K2470" i="1"/>
  <c r="J2470" i="1"/>
  <c r="K2469" i="1"/>
  <c r="J2469" i="1"/>
  <c r="K2468" i="1"/>
  <c r="J2468" i="1"/>
  <c r="K2467" i="1"/>
  <c r="J2467" i="1"/>
  <c r="K2466" i="1"/>
  <c r="J2466" i="1"/>
  <c r="K2465" i="1"/>
  <c r="J2465" i="1"/>
  <c r="K2464" i="1"/>
  <c r="J2464" i="1"/>
  <c r="K2463" i="1"/>
  <c r="J2463" i="1"/>
  <c r="K2462" i="1"/>
  <c r="J2462" i="1"/>
  <c r="K2461" i="1"/>
  <c r="J2461" i="1"/>
  <c r="K2460" i="1"/>
  <c r="J2460" i="1"/>
  <c r="K2459" i="1"/>
  <c r="J2459" i="1"/>
  <c r="K2458" i="1"/>
  <c r="J2458" i="1"/>
  <c r="K2457" i="1"/>
  <c r="J2457" i="1"/>
  <c r="K2456" i="1"/>
  <c r="J2456" i="1"/>
  <c r="K2455" i="1"/>
  <c r="J2455" i="1"/>
  <c r="K2454" i="1"/>
  <c r="J2454" i="1"/>
  <c r="K2453" i="1"/>
  <c r="J2453" i="1"/>
  <c r="K2452" i="1"/>
  <c r="J2452" i="1"/>
  <c r="K2451" i="1"/>
  <c r="J2451" i="1"/>
  <c r="K2450" i="1"/>
  <c r="J2450" i="1"/>
  <c r="K2449" i="1"/>
  <c r="J2449" i="1"/>
  <c r="K2448" i="1"/>
  <c r="J2448" i="1"/>
  <c r="K2447" i="1"/>
  <c r="J2447" i="1"/>
  <c r="K2446" i="1"/>
  <c r="J2446" i="1"/>
  <c r="K2445" i="1"/>
  <c r="J2445" i="1"/>
  <c r="K2444" i="1"/>
  <c r="J2444" i="1"/>
  <c r="K2443" i="1"/>
  <c r="J2443" i="1"/>
  <c r="K2442" i="1"/>
  <c r="J2442" i="1"/>
  <c r="K2441" i="1"/>
  <c r="J2441" i="1"/>
  <c r="K2440" i="1"/>
  <c r="J2440" i="1"/>
  <c r="K2439" i="1"/>
  <c r="J2439" i="1"/>
  <c r="K2438" i="1"/>
  <c r="J2438" i="1"/>
  <c r="K2437" i="1"/>
  <c r="J2437" i="1"/>
  <c r="K2436" i="1"/>
  <c r="J2436" i="1"/>
  <c r="O2436" i="1" s="1"/>
  <c r="K2435" i="1"/>
  <c r="J2435" i="1"/>
  <c r="K2434" i="1"/>
  <c r="P2434" i="1" s="1"/>
  <c r="J2434" i="1"/>
  <c r="K2433" i="1"/>
  <c r="J2433" i="1"/>
  <c r="K2432" i="1"/>
  <c r="J2432" i="1"/>
  <c r="K2431" i="1"/>
  <c r="J2431" i="1"/>
  <c r="K2430" i="1"/>
  <c r="J2430" i="1"/>
  <c r="K2429" i="1"/>
  <c r="J2429" i="1"/>
  <c r="K2428" i="1"/>
  <c r="J2428" i="1"/>
  <c r="K2427" i="1"/>
  <c r="J2427" i="1"/>
  <c r="K2426" i="1"/>
  <c r="J2426" i="1"/>
  <c r="K2425" i="1"/>
  <c r="J2425" i="1"/>
  <c r="K2424" i="1"/>
  <c r="J2424" i="1"/>
  <c r="K2423" i="1"/>
  <c r="J2423" i="1"/>
  <c r="K2422" i="1"/>
  <c r="J2422" i="1"/>
  <c r="K2421" i="1"/>
  <c r="J2421" i="1"/>
  <c r="K2420" i="1"/>
  <c r="J2420" i="1"/>
  <c r="K2419" i="1"/>
  <c r="J2419" i="1"/>
  <c r="K2418" i="1"/>
  <c r="J2418" i="1"/>
  <c r="K2417" i="1"/>
  <c r="J2417" i="1"/>
  <c r="K2416" i="1"/>
  <c r="J2416" i="1"/>
  <c r="K2415" i="1"/>
  <c r="J2415" i="1"/>
  <c r="K2414" i="1"/>
  <c r="J2414" i="1"/>
  <c r="K2413" i="1"/>
  <c r="J2413" i="1"/>
  <c r="K2412" i="1"/>
  <c r="J2412" i="1"/>
  <c r="K2411" i="1"/>
  <c r="J2411" i="1"/>
  <c r="K2410" i="1"/>
  <c r="J2410" i="1"/>
  <c r="K2409" i="1"/>
  <c r="J2409" i="1"/>
  <c r="K2408" i="1"/>
  <c r="J2408" i="1"/>
  <c r="K2407" i="1"/>
  <c r="J2407" i="1"/>
  <c r="K2406" i="1"/>
  <c r="J2406" i="1"/>
  <c r="K2405" i="1"/>
  <c r="J2405" i="1"/>
  <c r="K2404" i="1"/>
  <c r="J2404" i="1"/>
  <c r="K2403" i="1"/>
  <c r="J2403" i="1"/>
  <c r="K2402" i="1"/>
  <c r="J2402" i="1"/>
  <c r="K2401" i="1"/>
  <c r="J2401" i="1"/>
  <c r="K2400" i="1"/>
  <c r="J2400" i="1"/>
  <c r="K2399" i="1"/>
  <c r="J2399" i="1"/>
  <c r="K2398" i="1"/>
  <c r="J2398" i="1"/>
  <c r="K2397" i="1"/>
  <c r="J2397" i="1"/>
  <c r="K2396" i="1"/>
  <c r="J2396" i="1"/>
  <c r="K2395" i="1"/>
  <c r="J2395" i="1"/>
  <c r="K2394" i="1"/>
  <c r="J2394" i="1"/>
  <c r="K2393" i="1"/>
  <c r="J2393" i="1"/>
  <c r="K2392" i="1"/>
  <c r="J2392" i="1"/>
  <c r="K2391" i="1"/>
  <c r="P2391" i="1" s="1"/>
  <c r="J2391" i="1"/>
  <c r="K2390" i="1"/>
  <c r="J2390" i="1"/>
  <c r="K2389" i="1"/>
  <c r="J2389" i="1"/>
  <c r="K2388" i="1"/>
  <c r="J2388" i="1"/>
  <c r="K2387" i="1"/>
  <c r="J2387" i="1"/>
  <c r="K2386" i="1"/>
  <c r="J2386" i="1"/>
  <c r="K2385" i="1"/>
  <c r="J2385" i="1"/>
  <c r="K2384" i="1"/>
  <c r="J2384" i="1"/>
  <c r="K2383" i="1"/>
  <c r="J2383" i="1"/>
  <c r="K2382" i="1"/>
  <c r="J2382" i="1"/>
  <c r="K2381" i="1"/>
  <c r="J2381" i="1"/>
  <c r="K2380" i="1"/>
  <c r="J2380" i="1"/>
  <c r="K2379" i="1"/>
  <c r="J2379" i="1"/>
  <c r="K2378" i="1"/>
  <c r="J2378" i="1"/>
  <c r="K2377" i="1"/>
  <c r="J2377" i="1"/>
  <c r="K2376" i="1"/>
  <c r="J2376" i="1"/>
  <c r="K2375" i="1"/>
  <c r="J2375" i="1"/>
  <c r="K2374" i="1"/>
  <c r="J2374" i="1"/>
  <c r="K2373" i="1"/>
  <c r="J2373" i="1"/>
  <c r="K2372" i="1"/>
  <c r="J2372" i="1"/>
  <c r="K2371" i="1"/>
  <c r="J2371" i="1"/>
  <c r="K2370" i="1"/>
  <c r="J2370" i="1"/>
  <c r="K2369" i="1"/>
  <c r="J2369" i="1"/>
  <c r="K2368" i="1"/>
  <c r="J2368" i="1"/>
  <c r="K2367" i="1"/>
  <c r="J2367" i="1"/>
  <c r="K2366" i="1"/>
  <c r="J2366" i="1"/>
  <c r="K2365" i="1"/>
  <c r="J2365" i="1"/>
  <c r="K2364" i="1"/>
  <c r="J2364" i="1"/>
  <c r="K2363" i="1"/>
  <c r="J2363" i="1"/>
  <c r="K2362" i="1"/>
  <c r="J2362" i="1"/>
  <c r="K2361" i="1"/>
  <c r="J2361" i="1"/>
  <c r="K2360" i="1"/>
  <c r="J2360" i="1"/>
  <c r="K2359" i="1"/>
  <c r="J2359" i="1"/>
  <c r="K2358" i="1"/>
  <c r="J2358" i="1"/>
  <c r="K2357" i="1"/>
  <c r="J2357" i="1"/>
  <c r="K2356" i="1"/>
  <c r="J2356" i="1"/>
  <c r="K2355" i="1"/>
  <c r="J2355" i="1"/>
  <c r="K2354" i="1"/>
  <c r="J2354" i="1"/>
  <c r="K2353" i="1"/>
  <c r="J2353" i="1"/>
  <c r="K2352" i="1"/>
  <c r="J2352" i="1"/>
  <c r="K2351" i="1"/>
  <c r="J2351" i="1"/>
  <c r="K2350" i="1"/>
  <c r="J2350" i="1"/>
  <c r="K2349" i="1"/>
  <c r="J2349" i="1"/>
  <c r="K2348" i="1"/>
  <c r="J2348" i="1"/>
  <c r="K2347" i="1"/>
  <c r="J2347" i="1"/>
  <c r="K2346" i="1"/>
  <c r="J2346" i="1"/>
  <c r="K2345" i="1"/>
  <c r="J2345" i="1"/>
  <c r="K2344" i="1"/>
  <c r="J2344" i="1"/>
  <c r="K2343" i="1"/>
  <c r="J2343" i="1"/>
  <c r="L2343" i="1" s="1"/>
  <c r="K2342" i="1"/>
  <c r="J2342" i="1"/>
  <c r="K2341" i="1"/>
  <c r="J2341" i="1"/>
  <c r="K2340" i="1"/>
  <c r="J2340" i="1"/>
  <c r="K2339" i="1"/>
  <c r="J2339" i="1"/>
  <c r="K2338" i="1"/>
  <c r="J2338" i="1"/>
  <c r="K2337" i="1"/>
  <c r="J2337" i="1"/>
  <c r="K2336" i="1"/>
  <c r="J2336" i="1"/>
  <c r="K2335" i="1"/>
  <c r="J2335" i="1"/>
  <c r="K2334" i="1"/>
  <c r="J2334" i="1"/>
  <c r="K2333" i="1"/>
  <c r="J2333" i="1"/>
  <c r="K2332" i="1"/>
  <c r="J2332" i="1"/>
  <c r="K2331" i="1"/>
  <c r="J2331" i="1"/>
  <c r="K2330" i="1"/>
  <c r="J2330" i="1"/>
  <c r="K2329" i="1"/>
  <c r="J2329" i="1"/>
  <c r="K2328" i="1"/>
  <c r="J2328" i="1"/>
  <c r="O2328" i="1" s="1"/>
  <c r="K2327" i="1"/>
  <c r="J2327" i="1"/>
  <c r="K2326" i="1"/>
  <c r="J2326" i="1"/>
  <c r="K2325" i="1"/>
  <c r="J2325" i="1"/>
  <c r="K2324" i="1"/>
  <c r="J2324" i="1"/>
  <c r="K2323" i="1"/>
  <c r="J2323" i="1"/>
  <c r="K2322" i="1"/>
  <c r="J2322" i="1"/>
  <c r="K2321" i="1"/>
  <c r="J2321" i="1"/>
  <c r="K2320" i="1"/>
  <c r="P2320" i="1" s="1"/>
  <c r="J2320" i="1"/>
  <c r="K2319" i="1"/>
  <c r="J2319" i="1"/>
  <c r="K2318" i="1"/>
  <c r="J2318" i="1"/>
  <c r="K2317" i="1"/>
  <c r="J2317" i="1"/>
  <c r="K2316" i="1"/>
  <c r="J2316" i="1"/>
  <c r="K2315" i="1"/>
  <c r="J2315" i="1"/>
  <c r="K2314" i="1"/>
  <c r="J2314" i="1"/>
  <c r="K2313" i="1"/>
  <c r="J2313" i="1"/>
  <c r="L2313" i="1" s="1"/>
  <c r="K2312" i="1"/>
  <c r="J2312" i="1"/>
  <c r="K2311" i="1"/>
  <c r="J2311" i="1"/>
  <c r="K2310" i="1"/>
  <c r="J2310" i="1"/>
  <c r="K2309" i="1"/>
  <c r="J2309" i="1"/>
  <c r="K2308" i="1"/>
  <c r="J2308" i="1"/>
  <c r="K2307" i="1"/>
  <c r="J2307" i="1"/>
  <c r="K2306" i="1"/>
  <c r="J2306" i="1"/>
  <c r="K2305" i="1"/>
  <c r="J2305" i="1"/>
  <c r="K2304" i="1"/>
  <c r="J2304" i="1"/>
  <c r="K2303" i="1"/>
  <c r="J2303" i="1"/>
  <c r="K2302" i="1"/>
  <c r="J2302" i="1"/>
  <c r="K2301" i="1"/>
  <c r="P2301" i="1" s="1"/>
  <c r="J2301" i="1"/>
  <c r="K2300" i="1"/>
  <c r="J2300" i="1"/>
  <c r="K2299" i="1"/>
  <c r="J2299" i="1"/>
  <c r="K2298" i="1"/>
  <c r="J2298" i="1"/>
  <c r="K2297" i="1"/>
  <c r="J2297" i="1"/>
  <c r="K2296" i="1"/>
  <c r="J2296" i="1"/>
  <c r="K2295" i="1"/>
  <c r="P2295" i="1" s="1"/>
  <c r="J2295" i="1"/>
  <c r="K2294" i="1"/>
  <c r="J2294" i="1"/>
  <c r="K2293" i="1"/>
  <c r="J2293" i="1"/>
  <c r="K2292" i="1"/>
  <c r="J2292" i="1"/>
  <c r="K2291" i="1"/>
  <c r="J2291" i="1"/>
  <c r="K2290" i="1"/>
  <c r="J2290" i="1"/>
  <c r="K2289" i="1"/>
  <c r="J2289" i="1"/>
  <c r="K2288" i="1"/>
  <c r="J2288" i="1"/>
  <c r="K2287" i="1"/>
  <c r="J2287" i="1"/>
  <c r="K2286" i="1"/>
  <c r="J2286" i="1"/>
  <c r="K2285" i="1"/>
  <c r="J2285" i="1"/>
  <c r="K2284" i="1"/>
  <c r="J2284" i="1"/>
  <c r="K2283" i="1"/>
  <c r="J2283" i="1"/>
  <c r="K2282" i="1"/>
  <c r="J2282" i="1"/>
  <c r="K2281" i="1"/>
  <c r="J2281" i="1"/>
  <c r="K2280" i="1"/>
  <c r="J2280" i="1"/>
  <c r="K2279" i="1"/>
  <c r="J2279" i="1"/>
  <c r="K2278" i="1"/>
  <c r="J2278" i="1"/>
  <c r="K2277" i="1"/>
  <c r="J2277" i="1"/>
  <c r="K2276" i="1"/>
  <c r="J2276" i="1"/>
  <c r="K2275" i="1"/>
  <c r="J2275" i="1"/>
  <c r="K2274" i="1"/>
  <c r="J2274" i="1"/>
  <c r="K2273" i="1"/>
  <c r="J2273" i="1"/>
  <c r="K2272" i="1"/>
  <c r="J2272" i="1"/>
  <c r="K2271" i="1"/>
  <c r="J2271" i="1"/>
  <c r="K2270" i="1"/>
  <c r="J2270" i="1"/>
  <c r="K2269" i="1"/>
  <c r="J2269" i="1"/>
  <c r="K2268" i="1"/>
  <c r="J2268" i="1"/>
  <c r="K2267" i="1"/>
  <c r="J2267" i="1"/>
  <c r="K2266" i="1"/>
  <c r="J2266" i="1"/>
  <c r="K2265" i="1"/>
  <c r="J2265" i="1"/>
  <c r="K2264" i="1"/>
  <c r="J2264" i="1"/>
  <c r="K2263" i="1"/>
  <c r="J2263" i="1"/>
  <c r="K2262" i="1"/>
  <c r="J2262" i="1"/>
  <c r="K2261" i="1"/>
  <c r="J2261" i="1"/>
  <c r="K2260" i="1"/>
  <c r="J2260" i="1"/>
  <c r="K2259" i="1"/>
  <c r="J2259" i="1"/>
  <c r="K2258" i="1"/>
  <c r="J2258" i="1"/>
  <c r="K2257" i="1"/>
  <c r="J2257" i="1"/>
  <c r="K2256" i="1"/>
  <c r="J2256" i="1"/>
  <c r="K2255" i="1"/>
  <c r="J2255" i="1"/>
  <c r="K2254" i="1"/>
  <c r="J2254" i="1"/>
  <c r="K2253" i="1"/>
  <c r="J2253" i="1"/>
  <c r="K2252" i="1"/>
  <c r="J2252" i="1"/>
  <c r="K2251" i="1"/>
  <c r="J2251" i="1"/>
  <c r="K2250" i="1"/>
  <c r="J2250" i="1"/>
  <c r="K2249" i="1"/>
  <c r="J2249" i="1"/>
  <c r="K2248" i="1"/>
  <c r="J2248" i="1"/>
  <c r="K2247" i="1"/>
  <c r="J2247" i="1"/>
  <c r="K2246" i="1"/>
  <c r="J2246" i="1"/>
  <c r="K2245" i="1"/>
  <c r="J2245" i="1"/>
  <c r="K2244" i="1"/>
  <c r="J2244" i="1"/>
  <c r="K2243" i="1"/>
  <c r="J2243" i="1"/>
  <c r="K2242" i="1"/>
  <c r="J2242" i="1"/>
  <c r="K2241" i="1"/>
  <c r="J2241" i="1"/>
  <c r="K2240" i="1"/>
  <c r="J2240" i="1"/>
  <c r="K2239" i="1"/>
  <c r="J2239" i="1"/>
  <c r="K2238" i="1"/>
  <c r="J2238" i="1"/>
  <c r="K2237" i="1"/>
  <c r="J2237" i="1"/>
  <c r="K2236" i="1"/>
  <c r="J2236" i="1"/>
  <c r="K2235" i="1"/>
  <c r="J2235" i="1"/>
  <c r="K2234" i="1"/>
  <c r="J2234" i="1"/>
  <c r="K2233" i="1"/>
  <c r="J2233" i="1"/>
  <c r="K2232" i="1"/>
  <c r="J2232" i="1"/>
  <c r="K2231" i="1"/>
  <c r="J2231" i="1"/>
  <c r="K2230" i="1"/>
  <c r="J2230" i="1"/>
  <c r="K2229" i="1"/>
  <c r="J2229" i="1"/>
  <c r="K2228" i="1"/>
  <c r="J2228" i="1"/>
  <c r="K2227" i="1"/>
  <c r="J2227" i="1"/>
  <c r="K2226" i="1"/>
  <c r="J2226" i="1"/>
  <c r="K2225" i="1"/>
  <c r="J2225" i="1"/>
  <c r="K2224" i="1"/>
  <c r="J2224" i="1"/>
  <c r="K2223" i="1"/>
  <c r="J2223" i="1"/>
  <c r="K2222" i="1"/>
  <c r="J2222" i="1"/>
  <c r="K2221" i="1"/>
  <c r="J2221" i="1"/>
  <c r="K2220" i="1"/>
  <c r="J2220" i="1"/>
  <c r="K2219" i="1"/>
  <c r="J2219" i="1"/>
  <c r="K2218" i="1"/>
  <c r="J2218" i="1"/>
  <c r="K2217" i="1"/>
  <c r="J2217" i="1"/>
  <c r="K2216" i="1"/>
  <c r="J2216" i="1"/>
  <c r="K2215" i="1"/>
  <c r="J2215" i="1"/>
  <c r="K2214" i="1"/>
  <c r="J2214" i="1"/>
  <c r="K2213" i="1"/>
  <c r="J2213" i="1"/>
  <c r="K2212" i="1"/>
  <c r="J2212" i="1"/>
  <c r="K2211" i="1"/>
  <c r="J2211" i="1"/>
  <c r="K2210" i="1"/>
  <c r="J2210" i="1"/>
  <c r="K2209" i="1"/>
  <c r="J2209" i="1"/>
  <c r="K2208" i="1"/>
  <c r="J2208" i="1"/>
  <c r="K2207" i="1"/>
  <c r="J2207" i="1"/>
  <c r="K2206" i="1"/>
  <c r="J2206" i="1"/>
  <c r="K2205" i="1"/>
  <c r="J2205" i="1"/>
  <c r="K2204" i="1"/>
  <c r="J2204" i="1"/>
  <c r="K2203" i="1"/>
  <c r="J2203" i="1"/>
  <c r="K2202" i="1"/>
  <c r="J2202" i="1"/>
  <c r="K2201" i="1"/>
  <c r="J2201" i="1"/>
  <c r="K2200" i="1"/>
  <c r="J2200" i="1"/>
  <c r="K2199" i="1"/>
  <c r="J2199" i="1"/>
  <c r="K2198" i="1"/>
  <c r="J2198" i="1"/>
  <c r="K2197" i="1"/>
  <c r="J2197" i="1"/>
  <c r="K2196" i="1"/>
  <c r="J2196" i="1"/>
  <c r="K2195" i="1"/>
  <c r="J2195" i="1"/>
  <c r="K2194" i="1"/>
  <c r="J2194" i="1"/>
  <c r="K2193" i="1"/>
  <c r="J2193" i="1"/>
  <c r="K2192" i="1"/>
  <c r="J2192" i="1"/>
  <c r="K2191" i="1"/>
  <c r="J2191" i="1"/>
  <c r="K2190" i="1"/>
  <c r="J2190" i="1"/>
  <c r="K2189" i="1"/>
  <c r="J2189" i="1"/>
  <c r="K2188" i="1"/>
  <c r="J2188" i="1"/>
  <c r="O2188" i="1" s="1"/>
  <c r="K2187" i="1"/>
  <c r="J2187" i="1"/>
  <c r="K2186" i="1"/>
  <c r="J2186" i="1"/>
  <c r="K2185" i="1"/>
  <c r="J2185" i="1"/>
  <c r="K2184" i="1"/>
  <c r="J2184" i="1"/>
  <c r="K2183" i="1"/>
  <c r="J2183" i="1"/>
  <c r="K2182" i="1"/>
  <c r="J2182" i="1"/>
  <c r="K2181" i="1"/>
  <c r="J2181" i="1"/>
  <c r="K2180" i="1"/>
  <c r="J2180" i="1"/>
  <c r="K2179" i="1"/>
  <c r="J2179" i="1"/>
  <c r="K2178" i="1"/>
  <c r="J2178" i="1"/>
  <c r="K2177" i="1"/>
  <c r="J2177" i="1"/>
  <c r="K2176" i="1"/>
  <c r="J2176" i="1"/>
  <c r="K2175" i="1"/>
  <c r="J2175" i="1"/>
  <c r="K2174" i="1"/>
  <c r="J2174" i="1"/>
  <c r="K2173" i="1"/>
  <c r="J2173" i="1"/>
  <c r="K2172" i="1"/>
  <c r="J2172" i="1"/>
  <c r="K2171" i="1"/>
  <c r="J2171" i="1"/>
  <c r="K2170" i="1"/>
  <c r="J2170" i="1"/>
  <c r="K2169" i="1"/>
  <c r="J2169" i="1"/>
  <c r="K2168" i="1"/>
  <c r="J2168" i="1"/>
  <c r="K2167" i="1"/>
  <c r="J2167" i="1"/>
  <c r="K2166" i="1"/>
  <c r="J2166" i="1"/>
  <c r="K2165" i="1"/>
  <c r="J2165" i="1"/>
  <c r="K2164" i="1"/>
  <c r="J2164" i="1"/>
  <c r="K2163" i="1"/>
  <c r="J2163" i="1"/>
  <c r="K2162" i="1"/>
  <c r="J2162" i="1"/>
  <c r="K2161" i="1"/>
  <c r="J2161" i="1"/>
  <c r="K2160" i="1"/>
  <c r="J2160" i="1"/>
  <c r="O2160" i="1" s="1"/>
  <c r="K2159" i="1"/>
  <c r="J2159" i="1"/>
  <c r="K2158" i="1"/>
  <c r="J2158" i="1"/>
  <c r="K2157" i="1"/>
  <c r="J2157" i="1"/>
  <c r="K2156" i="1"/>
  <c r="J2156" i="1"/>
  <c r="K2155" i="1"/>
  <c r="J2155" i="1"/>
  <c r="K2154" i="1"/>
  <c r="J2154" i="1"/>
  <c r="K2153" i="1"/>
  <c r="J2153" i="1"/>
  <c r="K2152" i="1"/>
  <c r="J2152" i="1"/>
  <c r="K2151" i="1"/>
  <c r="J2151" i="1"/>
  <c r="K2150" i="1"/>
  <c r="J2150" i="1"/>
  <c r="K2149" i="1"/>
  <c r="J2149" i="1"/>
  <c r="K2148" i="1"/>
  <c r="J2148" i="1"/>
  <c r="K2147" i="1"/>
  <c r="J2147" i="1"/>
  <c r="K2146" i="1"/>
  <c r="J2146" i="1"/>
  <c r="K2145" i="1"/>
  <c r="J2145" i="1"/>
  <c r="K2144" i="1"/>
  <c r="J2144" i="1"/>
  <c r="K2143" i="1"/>
  <c r="J2143" i="1"/>
  <c r="K2142" i="1"/>
  <c r="J2142" i="1"/>
  <c r="K2141" i="1"/>
  <c r="J2141" i="1"/>
  <c r="K2140" i="1"/>
  <c r="J2140" i="1"/>
  <c r="O2140" i="1" s="1"/>
  <c r="K2139" i="1"/>
  <c r="J2139" i="1"/>
  <c r="K2138" i="1"/>
  <c r="J2138" i="1"/>
  <c r="K2137" i="1"/>
  <c r="J2137" i="1"/>
  <c r="K2136" i="1"/>
  <c r="J2136" i="1"/>
  <c r="K2135" i="1"/>
  <c r="J2135" i="1"/>
  <c r="K2134" i="1"/>
  <c r="J2134" i="1"/>
  <c r="O2134" i="1" s="1"/>
  <c r="K2133" i="1"/>
  <c r="J2133" i="1"/>
  <c r="K2132" i="1"/>
  <c r="J2132" i="1"/>
  <c r="K2131" i="1"/>
  <c r="J2131" i="1"/>
  <c r="K2130" i="1"/>
  <c r="J2130" i="1"/>
  <c r="K2129" i="1"/>
  <c r="J2129" i="1"/>
  <c r="K2128" i="1"/>
  <c r="J2128" i="1"/>
  <c r="O2128" i="1" s="1"/>
  <c r="K2127" i="1"/>
  <c r="P2127" i="1" s="1"/>
  <c r="J2127" i="1"/>
  <c r="K2126" i="1"/>
  <c r="J2126" i="1"/>
  <c r="K2125" i="1"/>
  <c r="J2125" i="1"/>
  <c r="K2124" i="1"/>
  <c r="J2124" i="1"/>
  <c r="O2124" i="1" s="1"/>
  <c r="K2123" i="1"/>
  <c r="J2123" i="1"/>
  <c r="K2122" i="1"/>
  <c r="J2122" i="1"/>
  <c r="O2122" i="1" s="1"/>
  <c r="K2121" i="1"/>
  <c r="P2121" i="1" s="1"/>
  <c r="J2121" i="1"/>
  <c r="K2120" i="1"/>
  <c r="J2120" i="1"/>
  <c r="K2119" i="1"/>
  <c r="J2119" i="1"/>
  <c r="K2118" i="1"/>
  <c r="J2118" i="1"/>
  <c r="K2117" i="1"/>
  <c r="J2117" i="1"/>
  <c r="K2116" i="1"/>
  <c r="J2116" i="1"/>
  <c r="K2115" i="1"/>
  <c r="P2115" i="1" s="1"/>
  <c r="J2115" i="1"/>
  <c r="K2114" i="1"/>
  <c r="J2114" i="1"/>
  <c r="K2113" i="1"/>
  <c r="J2113" i="1"/>
  <c r="K2112" i="1"/>
  <c r="J2112" i="1"/>
  <c r="K2111" i="1"/>
  <c r="J2111" i="1"/>
  <c r="K2110" i="1"/>
  <c r="J2110" i="1"/>
  <c r="K2109" i="1"/>
  <c r="P2109" i="1" s="1"/>
  <c r="J2109" i="1"/>
  <c r="K2108" i="1"/>
  <c r="J2108" i="1"/>
  <c r="K2107" i="1"/>
  <c r="J2107" i="1"/>
  <c r="K2106" i="1"/>
  <c r="J2106" i="1"/>
  <c r="K2105" i="1"/>
  <c r="J2105" i="1"/>
  <c r="K2104" i="1"/>
  <c r="J2104" i="1"/>
  <c r="K2103" i="1"/>
  <c r="J2103" i="1"/>
  <c r="K2102" i="1"/>
  <c r="J2102" i="1"/>
  <c r="K2101" i="1"/>
  <c r="J2101" i="1"/>
  <c r="K2100" i="1"/>
  <c r="J2100" i="1"/>
  <c r="K2099" i="1"/>
  <c r="J2099" i="1"/>
  <c r="K2098" i="1"/>
  <c r="J2098" i="1"/>
  <c r="K2097" i="1"/>
  <c r="J2097" i="1"/>
  <c r="K2096" i="1"/>
  <c r="J2096" i="1"/>
  <c r="K2095" i="1"/>
  <c r="J2095" i="1"/>
  <c r="K2094" i="1"/>
  <c r="J2094" i="1"/>
  <c r="K2093" i="1"/>
  <c r="J2093" i="1"/>
  <c r="K2092" i="1"/>
  <c r="J2092" i="1"/>
  <c r="K2091" i="1"/>
  <c r="J2091" i="1"/>
  <c r="K2090" i="1"/>
  <c r="J2090" i="1"/>
  <c r="K2089" i="1"/>
  <c r="J2089" i="1"/>
  <c r="K2088" i="1"/>
  <c r="J2088" i="1"/>
  <c r="K2087" i="1"/>
  <c r="J2087" i="1"/>
  <c r="K2086" i="1"/>
  <c r="J2086" i="1"/>
  <c r="K2085" i="1"/>
  <c r="J2085" i="1"/>
  <c r="L2085" i="1" s="1"/>
  <c r="K2084" i="1"/>
  <c r="J2084" i="1"/>
  <c r="K2083" i="1"/>
  <c r="J2083" i="1"/>
  <c r="K2082" i="1"/>
  <c r="J2082" i="1"/>
  <c r="K2081" i="1"/>
  <c r="J2081" i="1"/>
  <c r="K2080" i="1"/>
  <c r="J2080" i="1"/>
  <c r="K2079" i="1"/>
  <c r="J2079" i="1"/>
  <c r="K2078" i="1"/>
  <c r="J2078" i="1"/>
  <c r="K2077" i="1"/>
  <c r="J2077" i="1"/>
  <c r="K2076" i="1"/>
  <c r="J2076" i="1"/>
  <c r="K2075" i="1"/>
  <c r="J2075" i="1"/>
  <c r="K2074" i="1"/>
  <c r="J2074" i="1"/>
  <c r="K2073" i="1"/>
  <c r="J2073" i="1"/>
  <c r="K2072" i="1"/>
  <c r="J2072" i="1"/>
  <c r="K2071" i="1"/>
  <c r="J2071" i="1"/>
  <c r="K2070" i="1"/>
  <c r="J2070" i="1"/>
  <c r="K2069" i="1"/>
  <c r="J2069" i="1"/>
  <c r="K2068" i="1"/>
  <c r="J2068" i="1"/>
  <c r="K2067" i="1"/>
  <c r="J2067" i="1"/>
  <c r="K2066" i="1"/>
  <c r="J2066" i="1"/>
  <c r="K2065" i="1"/>
  <c r="J2065" i="1"/>
  <c r="K2064" i="1"/>
  <c r="J2064" i="1"/>
  <c r="K2063" i="1"/>
  <c r="J2063" i="1"/>
  <c r="K2062" i="1"/>
  <c r="J2062" i="1"/>
  <c r="K2061" i="1"/>
  <c r="J2061" i="1"/>
  <c r="L2061" i="1" s="1"/>
  <c r="K2060" i="1"/>
  <c r="J2060" i="1"/>
  <c r="L2060" i="1" s="1"/>
  <c r="K2059" i="1"/>
  <c r="J2059" i="1"/>
  <c r="K2058" i="1"/>
  <c r="J2058" i="1"/>
  <c r="K2057" i="1"/>
  <c r="J2057" i="1"/>
  <c r="K2056" i="1"/>
  <c r="J2056" i="1"/>
  <c r="K2055" i="1"/>
  <c r="J2055" i="1"/>
  <c r="K2054" i="1"/>
  <c r="J2054" i="1"/>
  <c r="K2053" i="1"/>
  <c r="J2053" i="1"/>
  <c r="K2052" i="1"/>
  <c r="J2052" i="1"/>
  <c r="K2051" i="1"/>
  <c r="J2051" i="1"/>
  <c r="K2050" i="1"/>
  <c r="J2050" i="1"/>
  <c r="K2049" i="1"/>
  <c r="J2049" i="1"/>
  <c r="K2048" i="1"/>
  <c r="J2048" i="1"/>
  <c r="K2047" i="1"/>
  <c r="J2047" i="1"/>
  <c r="K2046" i="1"/>
  <c r="J2046" i="1"/>
  <c r="K2045" i="1"/>
  <c r="J2045" i="1"/>
  <c r="K2044" i="1"/>
  <c r="J2044" i="1"/>
  <c r="K2043" i="1"/>
  <c r="J2043" i="1"/>
  <c r="K2042" i="1"/>
  <c r="J2042" i="1"/>
  <c r="K2041" i="1"/>
  <c r="J2041" i="1"/>
  <c r="K2040" i="1"/>
  <c r="J2040" i="1"/>
  <c r="K2039" i="1"/>
  <c r="J2039" i="1"/>
  <c r="K2038" i="1"/>
  <c r="J2038" i="1"/>
  <c r="K2037" i="1"/>
  <c r="J2037" i="1"/>
  <c r="K2036" i="1"/>
  <c r="J2036" i="1"/>
  <c r="K2035" i="1"/>
  <c r="J2035" i="1"/>
  <c r="K2034" i="1"/>
  <c r="J2034" i="1"/>
  <c r="K2033" i="1"/>
  <c r="J2033" i="1"/>
  <c r="K2032" i="1"/>
  <c r="J2032" i="1"/>
  <c r="K2031" i="1"/>
  <c r="J2031" i="1"/>
  <c r="K2030" i="1"/>
  <c r="J2030" i="1"/>
  <c r="K2029" i="1"/>
  <c r="J2029" i="1"/>
  <c r="K2028" i="1"/>
  <c r="J2028" i="1"/>
  <c r="K2027" i="1"/>
  <c r="J2027" i="1"/>
  <c r="K2026" i="1"/>
  <c r="J2026" i="1"/>
  <c r="K2025" i="1"/>
  <c r="J2025" i="1"/>
  <c r="K2024" i="1"/>
  <c r="J2024" i="1"/>
  <c r="K2023" i="1"/>
  <c r="J2023" i="1"/>
  <c r="K2022" i="1"/>
  <c r="J2022" i="1"/>
  <c r="K2021" i="1"/>
  <c r="J2021" i="1"/>
  <c r="K2020" i="1"/>
  <c r="J2020" i="1"/>
  <c r="K2019" i="1"/>
  <c r="J2019" i="1"/>
  <c r="K2018" i="1"/>
  <c r="J2018" i="1"/>
  <c r="K2017" i="1"/>
  <c r="J2017" i="1"/>
  <c r="K2016" i="1"/>
  <c r="J2016" i="1"/>
  <c r="K2015" i="1"/>
  <c r="J2015" i="1"/>
  <c r="K2014" i="1"/>
  <c r="J2014" i="1"/>
  <c r="K2013" i="1"/>
  <c r="J2013" i="1"/>
  <c r="K2012" i="1"/>
  <c r="J2012" i="1"/>
  <c r="K2011" i="1"/>
  <c r="J2011" i="1"/>
  <c r="K2010" i="1"/>
  <c r="J2010" i="1"/>
  <c r="K2009" i="1"/>
  <c r="J2009" i="1"/>
  <c r="K2008" i="1"/>
  <c r="J2008" i="1"/>
  <c r="K2007" i="1"/>
  <c r="P2007" i="1" s="1"/>
  <c r="J2007" i="1"/>
  <c r="K2006" i="1"/>
  <c r="J2006" i="1"/>
  <c r="K2005" i="1"/>
  <c r="J2005" i="1"/>
  <c r="K2004" i="1"/>
  <c r="J2004" i="1"/>
  <c r="K2003" i="1"/>
  <c r="J2003" i="1"/>
  <c r="K2002" i="1"/>
  <c r="J2002" i="1"/>
  <c r="K2001" i="1"/>
  <c r="J2001" i="1"/>
  <c r="K2000" i="1"/>
  <c r="J2000" i="1"/>
  <c r="K1999" i="1"/>
  <c r="J1999" i="1"/>
  <c r="K1998" i="1"/>
  <c r="J1998" i="1"/>
  <c r="K1997" i="1"/>
  <c r="J1997" i="1"/>
  <c r="K1996" i="1"/>
  <c r="J1996" i="1"/>
  <c r="K1995" i="1"/>
  <c r="J1995" i="1"/>
  <c r="K1994" i="1"/>
  <c r="J1994" i="1"/>
  <c r="K1993" i="1"/>
  <c r="J1993" i="1"/>
  <c r="K1992" i="1"/>
  <c r="J1992" i="1"/>
  <c r="K1991" i="1"/>
  <c r="J1991" i="1"/>
  <c r="K1990" i="1"/>
  <c r="J1990" i="1"/>
  <c r="K1989" i="1"/>
  <c r="J1989" i="1"/>
  <c r="K1988" i="1"/>
  <c r="J1988" i="1"/>
  <c r="K1987" i="1"/>
  <c r="J1987" i="1"/>
  <c r="K1986" i="1"/>
  <c r="J1986" i="1"/>
  <c r="K1985" i="1"/>
  <c r="J1985" i="1"/>
  <c r="K1984" i="1"/>
  <c r="J1984" i="1"/>
  <c r="K1983" i="1"/>
  <c r="J1983" i="1"/>
  <c r="K1982" i="1"/>
  <c r="J1982" i="1"/>
  <c r="K1981" i="1"/>
  <c r="J1981" i="1"/>
  <c r="K1980" i="1"/>
  <c r="J1980" i="1"/>
  <c r="K1979" i="1"/>
  <c r="J1979" i="1"/>
  <c r="K1978" i="1"/>
  <c r="J1978" i="1"/>
  <c r="K1977" i="1"/>
  <c r="J1977" i="1"/>
  <c r="K1976" i="1"/>
  <c r="J1976" i="1"/>
  <c r="K1975" i="1"/>
  <c r="J1975" i="1"/>
  <c r="K1974" i="1"/>
  <c r="J1974" i="1"/>
  <c r="K1973" i="1"/>
  <c r="J1973" i="1"/>
  <c r="K1972" i="1"/>
  <c r="J1972" i="1"/>
  <c r="K1971" i="1"/>
  <c r="J1971" i="1"/>
  <c r="L1971" i="1" s="1"/>
  <c r="K1970" i="1"/>
  <c r="J1970" i="1"/>
  <c r="K1969" i="1"/>
  <c r="J1969" i="1"/>
  <c r="K1968" i="1"/>
  <c r="J1968" i="1"/>
  <c r="K1967" i="1"/>
  <c r="J1967" i="1"/>
  <c r="K1966" i="1"/>
  <c r="J1966" i="1"/>
  <c r="K1965" i="1"/>
  <c r="J1965" i="1"/>
  <c r="K1964" i="1"/>
  <c r="J1964" i="1"/>
  <c r="K1963" i="1"/>
  <c r="J1963" i="1"/>
  <c r="K1962" i="1"/>
  <c r="J1962" i="1"/>
  <c r="K1961" i="1"/>
  <c r="J1961" i="1"/>
  <c r="K1960" i="1"/>
  <c r="J1960" i="1"/>
  <c r="K1959" i="1"/>
  <c r="J1959" i="1"/>
  <c r="K1958" i="1"/>
  <c r="J1958" i="1"/>
  <c r="K1957" i="1"/>
  <c r="J1957" i="1"/>
  <c r="K1956" i="1"/>
  <c r="J1956" i="1"/>
  <c r="K1955" i="1"/>
  <c r="J1955" i="1"/>
  <c r="K1954" i="1"/>
  <c r="J1954" i="1"/>
  <c r="K1953" i="1"/>
  <c r="J1953" i="1"/>
  <c r="K1952" i="1"/>
  <c r="J1952" i="1"/>
  <c r="K1951" i="1"/>
  <c r="J1951" i="1"/>
  <c r="K1950" i="1"/>
  <c r="J1950" i="1"/>
  <c r="K1949" i="1"/>
  <c r="J1949" i="1"/>
  <c r="K1948" i="1"/>
  <c r="J1948" i="1"/>
  <c r="K1947" i="1"/>
  <c r="J1947" i="1"/>
  <c r="K1946" i="1"/>
  <c r="J1946" i="1"/>
  <c r="K1945" i="1"/>
  <c r="J1945" i="1"/>
  <c r="K1944" i="1"/>
  <c r="J1944" i="1"/>
  <c r="K1943" i="1"/>
  <c r="J1943" i="1"/>
  <c r="K1942" i="1"/>
  <c r="J1942" i="1"/>
  <c r="K1941" i="1"/>
  <c r="J1941" i="1"/>
  <c r="K1940" i="1"/>
  <c r="J1940" i="1"/>
  <c r="K1939" i="1"/>
  <c r="J1939" i="1"/>
  <c r="K1938" i="1"/>
  <c r="J1938" i="1"/>
  <c r="K1937" i="1"/>
  <c r="J1937" i="1"/>
  <c r="K1936" i="1"/>
  <c r="J1936" i="1"/>
  <c r="K1935" i="1"/>
  <c r="J1935" i="1"/>
  <c r="K1934" i="1"/>
  <c r="J1934" i="1"/>
  <c r="K1933" i="1"/>
  <c r="J1933" i="1"/>
  <c r="K1932" i="1"/>
  <c r="J1932" i="1"/>
  <c r="K1931" i="1"/>
  <c r="J1931" i="1"/>
  <c r="K1930" i="1"/>
  <c r="J1930" i="1"/>
  <c r="K1929" i="1"/>
  <c r="J1929" i="1"/>
  <c r="L1929" i="1" s="1"/>
  <c r="K1928" i="1"/>
  <c r="J1928" i="1"/>
  <c r="K1927" i="1"/>
  <c r="J1927" i="1"/>
  <c r="K1926" i="1"/>
  <c r="J1926" i="1"/>
  <c r="K1925" i="1"/>
  <c r="J1925" i="1"/>
  <c r="K1924" i="1"/>
  <c r="J1924" i="1"/>
  <c r="K1923" i="1"/>
  <c r="J1923" i="1"/>
  <c r="L1923" i="1" s="1"/>
  <c r="K1922" i="1"/>
  <c r="J1922" i="1"/>
  <c r="K1921" i="1"/>
  <c r="J1921" i="1"/>
  <c r="K1920" i="1"/>
  <c r="J1920" i="1"/>
  <c r="K1919" i="1"/>
  <c r="J1919" i="1"/>
  <c r="K1918" i="1"/>
  <c r="J1918" i="1"/>
  <c r="K1917" i="1"/>
  <c r="J1917" i="1"/>
  <c r="L1917" i="1" s="1"/>
  <c r="K1916" i="1"/>
  <c r="J1916" i="1"/>
  <c r="K1915" i="1"/>
  <c r="J1915" i="1"/>
  <c r="K1914" i="1"/>
  <c r="J1914" i="1"/>
  <c r="K1913" i="1"/>
  <c r="J1913" i="1"/>
  <c r="K1912" i="1"/>
  <c r="P1912" i="1" s="1"/>
  <c r="J1912" i="1"/>
  <c r="K1911" i="1"/>
  <c r="J1911" i="1"/>
  <c r="L1911" i="1" s="1"/>
  <c r="K1910" i="1"/>
  <c r="J1910" i="1"/>
  <c r="K1909" i="1"/>
  <c r="J1909" i="1"/>
  <c r="K1908" i="1"/>
  <c r="J1908" i="1"/>
  <c r="K1907" i="1"/>
  <c r="J1907" i="1"/>
  <c r="K1906" i="1"/>
  <c r="P1906" i="1" s="1"/>
  <c r="J1906" i="1"/>
  <c r="K1905" i="1"/>
  <c r="J1905" i="1"/>
  <c r="L1905" i="1" s="1"/>
  <c r="K1904" i="1"/>
  <c r="J1904" i="1"/>
  <c r="K1903" i="1"/>
  <c r="J1903" i="1"/>
  <c r="K1902" i="1"/>
  <c r="J1902" i="1"/>
  <c r="K1901" i="1"/>
  <c r="J1901" i="1"/>
  <c r="K1900" i="1"/>
  <c r="P1900" i="1" s="1"/>
  <c r="J1900" i="1"/>
  <c r="K1899" i="1"/>
  <c r="J1899" i="1"/>
  <c r="L1899" i="1" s="1"/>
  <c r="K1898" i="1"/>
  <c r="J1898" i="1"/>
  <c r="K1897" i="1"/>
  <c r="J1897" i="1"/>
  <c r="K1896" i="1"/>
  <c r="J1896" i="1"/>
  <c r="K1895" i="1"/>
  <c r="J1895" i="1"/>
  <c r="K1894" i="1"/>
  <c r="J1894" i="1"/>
  <c r="K1893" i="1"/>
  <c r="J1893" i="1"/>
  <c r="L1893" i="1" s="1"/>
  <c r="K1892" i="1"/>
  <c r="J1892" i="1"/>
  <c r="K1891" i="1"/>
  <c r="J1891" i="1"/>
  <c r="K1890" i="1"/>
  <c r="J1890" i="1"/>
  <c r="K1889" i="1"/>
  <c r="J1889" i="1"/>
  <c r="K1888" i="1"/>
  <c r="J1888" i="1"/>
  <c r="K1887" i="1"/>
  <c r="J1887" i="1"/>
  <c r="L1887" i="1" s="1"/>
  <c r="K1886" i="1"/>
  <c r="J1886" i="1"/>
  <c r="K1885" i="1"/>
  <c r="J1885" i="1"/>
  <c r="K1884" i="1"/>
  <c r="J1884" i="1"/>
  <c r="K1883" i="1"/>
  <c r="J1883" i="1"/>
  <c r="K1882" i="1"/>
  <c r="J1882" i="1"/>
  <c r="K1881" i="1"/>
  <c r="J1881" i="1"/>
  <c r="K1880" i="1"/>
  <c r="J1880" i="1"/>
  <c r="K1879" i="1"/>
  <c r="J1879" i="1"/>
  <c r="K1878" i="1"/>
  <c r="J1878" i="1"/>
  <c r="K1877" i="1"/>
  <c r="J1877" i="1"/>
  <c r="K1876" i="1"/>
  <c r="J1876" i="1"/>
  <c r="K1875" i="1"/>
  <c r="J1875" i="1"/>
  <c r="K1874" i="1"/>
  <c r="J1874" i="1"/>
  <c r="K1873" i="1"/>
  <c r="J1873" i="1"/>
  <c r="K1872" i="1"/>
  <c r="J1872" i="1"/>
  <c r="K1871" i="1"/>
  <c r="J1871" i="1"/>
  <c r="K1870" i="1"/>
  <c r="J1870" i="1"/>
  <c r="K1869" i="1"/>
  <c r="J1869" i="1"/>
  <c r="K1868" i="1"/>
  <c r="J1868" i="1"/>
  <c r="K1867" i="1"/>
  <c r="J1867" i="1"/>
  <c r="K1866" i="1"/>
  <c r="J1866" i="1"/>
  <c r="K1865" i="1"/>
  <c r="J1865" i="1"/>
  <c r="K1864" i="1"/>
  <c r="J1864" i="1"/>
  <c r="K1863" i="1"/>
  <c r="J1863" i="1"/>
  <c r="K1862" i="1"/>
  <c r="J1862" i="1"/>
  <c r="K1861" i="1"/>
  <c r="J1861" i="1"/>
  <c r="K1860" i="1"/>
  <c r="J1860" i="1"/>
  <c r="K1859" i="1"/>
  <c r="J1859" i="1"/>
  <c r="K1858" i="1"/>
  <c r="J1858" i="1"/>
  <c r="K1857" i="1"/>
  <c r="J1857" i="1"/>
  <c r="K1856" i="1"/>
  <c r="J1856" i="1"/>
  <c r="K1855" i="1"/>
  <c r="J1855" i="1"/>
  <c r="K1854" i="1"/>
  <c r="J1854" i="1"/>
  <c r="K1853" i="1"/>
  <c r="J1853" i="1"/>
  <c r="K1852" i="1"/>
  <c r="J1852" i="1"/>
  <c r="K1851" i="1"/>
  <c r="J1851" i="1"/>
  <c r="K1850" i="1"/>
  <c r="J1850" i="1"/>
  <c r="K1849" i="1"/>
  <c r="J1849" i="1"/>
  <c r="K1848" i="1"/>
  <c r="J1848" i="1"/>
  <c r="K1847" i="1"/>
  <c r="J1847" i="1"/>
  <c r="K1846" i="1"/>
  <c r="J1846" i="1"/>
  <c r="K1845" i="1"/>
  <c r="J1845" i="1"/>
  <c r="K1844" i="1"/>
  <c r="J1844" i="1"/>
  <c r="L1844" i="1" s="1"/>
  <c r="K1843" i="1"/>
  <c r="J1843" i="1"/>
  <c r="K1842" i="1"/>
  <c r="J1842" i="1"/>
  <c r="K1841" i="1"/>
  <c r="J1841" i="1"/>
  <c r="K1840" i="1"/>
  <c r="J1840" i="1"/>
  <c r="O1841" i="1" s="1"/>
  <c r="K1839" i="1"/>
  <c r="J1839" i="1"/>
  <c r="K1838" i="1"/>
  <c r="J1838" i="1"/>
  <c r="K1837" i="1"/>
  <c r="J1837" i="1"/>
  <c r="K1836" i="1"/>
  <c r="J1836" i="1"/>
  <c r="K1835" i="1"/>
  <c r="J1835" i="1"/>
  <c r="K1834" i="1"/>
  <c r="J1834" i="1"/>
  <c r="K1833" i="1"/>
  <c r="J1833" i="1"/>
  <c r="L1833" i="1" s="1"/>
  <c r="K1832" i="1"/>
  <c r="J1832" i="1"/>
  <c r="L1832" i="1" s="1"/>
  <c r="K1831" i="1"/>
  <c r="J1831" i="1"/>
  <c r="K1830" i="1"/>
  <c r="J1830" i="1"/>
  <c r="K1829" i="1"/>
  <c r="J1829" i="1"/>
  <c r="K1828" i="1"/>
  <c r="J1828" i="1"/>
  <c r="K1827" i="1"/>
  <c r="J1827" i="1"/>
  <c r="K1826" i="1"/>
  <c r="J1826" i="1"/>
  <c r="K1825" i="1"/>
  <c r="J1825" i="1"/>
  <c r="K1824" i="1"/>
  <c r="J1824" i="1"/>
  <c r="K1823" i="1"/>
  <c r="J1823" i="1"/>
  <c r="K1822" i="1"/>
  <c r="J1822" i="1"/>
  <c r="K1821" i="1"/>
  <c r="J1821" i="1"/>
  <c r="K1820" i="1"/>
  <c r="J1820" i="1"/>
  <c r="K1819" i="1"/>
  <c r="J1819" i="1"/>
  <c r="K1818" i="1"/>
  <c r="J1818" i="1"/>
  <c r="K1817" i="1"/>
  <c r="J1817" i="1"/>
  <c r="K1816" i="1"/>
  <c r="J1816" i="1"/>
  <c r="K1815" i="1"/>
  <c r="J1815" i="1"/>
  <c r="K1814" i="1"/>
  <c r="J1814" i="1"/>
  <c r="K1813" i="1"/>
  <c r="J1813" i="1"/>
  <c r="K1812" i="1"/>
  <c r="J1812" i="1"/>
  <c r="K1811" i="1"/>
  <c r="J1811" i="1"/>
  <c r="K1810" i="1"/>
  <c r="J1810" i="1"/>
  <c r="K1809" i="1"/>
  <c r="J1809" i="1"/>
  <c r="K1808" i="1"/>
  <c r="J1808" i="1"/>
  <c r="K1807" i="1"/>
  <c r="J1807" i="1"/>
  <c r="K1806" i="1"/>
  <c r="J1806" i="1"/>
  <c r="K1805" i="1"/>
  <c r="J1805" i="1"/>
  <c r="K1804" i="1"/>
  <c r="J1804" i="1"/>
  <c r="K1803" i="1"/>
  <c r="J1803" i="1"/>
  <c r="K1802" i="1"/>
  <c r="J1802" i="1"/>
  <c r="K1801" i="1"/>
  <c r="J1801" i="1"/>
  <c r="K1800" i="1"/>
  <c r="J1800" i="1"/>
  <c r="K1799" i="1"/>
  <c r="J1799" i="1"/>
  <c r="K1798" i="1"/>
  <c r="J1798" i="1"/>
  <c r="K1797" i="1"/>
  <c r="J1797" i="1"/>
  <c r="K1796" i="1"/>
  <c r="J1796" i="1"/>
  <c r="K1795" i="1"/>
  <c r="J1795" i="1"/>
  <c r="K1794" i="1"/>
  <c r="J1794" i="1"/>
  <c r="K1793" i="1"/>
  <c r="J1793" i="1"/>
  <c r="K1792" i="1"/>
  <c r="J1792" i="1"/>
  <c r="K1791" i="1"/>
  <c r="J1791" i="1"/>
  <c r="K1790" i="1"/>
  <c r="J1790" i="1"/>
  <c r="K1789" i="1"/>
  <c r="J1789" i="1"/>
  <c r="K1788" i="1"/>
  <c r="J1788" i="1"/>
  <c r="K1787" i="1"/>
  <c r="J1787" i="1"/>
  <c r="K1786" i="1"/>
  <c r="J1786" i="1"/>
  <c r="K1785" i="1"/>
  <c r="J1785" i="1"/>
  <c r="K1784" i="1"/>
  <c r="J1784" i="1"/>
  <c r="K1783" i="1"/>
  <c r="J1783" i="1"/>
  <c r="K1782" i="1"/>
  <c r="J1782" i="1"/>
  <c r="K1781" i="1"/>
  <c r="J1781" i="1"/>
  <c r="K1780" i="1"/>
  <c r="J1780" i="1"/>
  <c r="K1779" i="1"/>
  <c r="J1779" i="1"/>
  <c r="K1778" i="1"/>
  <c r="J1778" i="1"/>
  <c r="K1777" i="1"/>
  <c r="J1777" i="1"/>
  <c r="K1776" i="1"/>
  <c r="J1776" i="1"/>
  <c r="K1775" i="1"/>
  <c r="J1775" i="1"/>
  <c r="K1774" i="1"/>
  <c r="J1774" i="1"/>
  <c r="K1773" i="1"/>
  <c r="J1773" i="1"/>
  <c r="K1772" i="1"/>
  <c r="J1772" i="1"/>
  <c r="K1771" i="1"/>
  <c r="J1771" i="1"/>
  <c r="K1770" i="1"/>
  <c r="J1770" i="1"/>
  <c r="K1769" i="1"/>
  <c r="J1769" i="1"/>
  <c r="K1768" i="1"/>
  <c r="J1768" i="1"/>
  <c r="K1767" i="1"/>
  <c r="J1767" i="1"/>
  <c r="K1766" i="1"/>
  <c r="J1766" i="1"/>
  <c r="K1765" i="1"/>
  <c r="J1765" i="1"/>
  <c r="K1764" i="1"/>
  <c r="J1764" i="1"/>
  <c r="K1763" i="1"/>
  <c r="J1763" i="1"/>
  <c r="K1762" i="1"/>
  <c r="J1762" i="1"/>
  <c r="K1761" i="1"/>
  <c r="J1761" i="1"/>
  <c r="K1760" i="1"/>
  <c r="J1760" i="1"/>
  <c r="K1759" i="1"/>
  <c r="J1759" i="1"/>
  <c r="K1758" i="1"/>
  <c r="J1758" i="1"/>
  <c r="K1757" i="1"/>
  <c r="J1757" i="1"/>
  <c r="K1756" i="1"/>
  <c r="J1756" i="1"/>
  <c r="K1755" i="1"/>
  <c r="J1755" i="1"/>
  <c r="K1754" i="1"/>
  <c r="J1754" i="1"/>
  <c r="K1753" i="1"/>
  <c r="J1753" i="1"/>
  <c r="K1752" i="1"/>
  <c r="J1752" i="1"/>
  <c r="K1751" i="1"/>
  <c r="J1751" i="1"/>
  <c r="K1750" i="1"/>
  <c r="J1750" i="1"/>
  <c r="K1749" i="1"/>
  <c r="J1749" i="1"/>
  <c r="K1748" i="1"/>
  <c r="J1748" i="1"/>
  <c r="K1747" i="1"/>
  <c r="J1747" i="1"/>
  <c r="K1746" i="1"/>
  <c r="J1746" i="1"/>
  <c r="K1745" i="1"/>
  <c r="J1745" i="1"/>
  <c r="K1744" i="1"/>
  <c r="J1744" i="1"/>
  <c r="K1743" i="1"/>
  <c r="J1743" i="1"/>
  <c r="L1743" i="1" s="1"/>
  <c r="K1742" i="1"/>
  <c r="J1742" i="1"/>
  <c r="K1741" i="1"/>
  <c r="J1741" i="1"/>
  <c r="K1740" i="1"/>
  <c r="J1740" i="1"/>
  <c r="K1739" i="1"/>
  <c r="J1739" i="1"/>
  <c r="K1738" i="1"/>
  <c r="J1738" i="1"/>
  <c r="K1737" i="1"/>
  <c r="J1737" i="1"/>
  <c r="K1736" i="1"/>
  <c r="J1736" i="1"/>
  <c r="K1735" i="1"/>
  <c r="J1735" i="1"/>
  <c r="K1734" i="1"/>
  <c r="J1734" i="1"/>
  <c r="K1733" i="1"/>
  <c r="J1733" i="1"/>
  <c r="K1732" i="1"/>
  <c r="J1732" i="1"/>
  <c r="K1731" i="1"/>
  <c r="P1731" i="1" s="1"/>
  <c r="J1731" i="1"/>
  <c r="K1730" i="1"/>
  <c r="J1730" i="1"/>
  <c r="K1729" i="1"/>
  <c r="J1729" i="1"/>
  <c r="K1728" i="1"/>
  <c r="J1728" i="1"/>
  <c r="K1727" i="1"/>
  <c r="J1727" i="1"/>
  <c r="K1726" i="1"/>
  <c r="J1726" i="1"/>
  <c r="K1725" i="1"/>
  <c r="P1725" i="1" s="1"/>
  <c r="J1725" i="1"/>
  <c r="K1724" i="1"/>
  <c r="J1724" i="1"/>
  <c r="K1723" i="1"/>
  <c r="J1723" i="1"/>
  <c r="K1722" i="1"/>
  <c r="J1722" i="1"/>
  <c r="K1721" i="1"/>
  <c r="J1721" i="1"/>
  <c r="K1720" i="1"/>
  <c r="J1720" i="1"/>
  <c r="K1719" i="1"/>
  <c r="P1719" i="1" s="1"/>
  <c r="J1719" i="1"/>
  <c r="K1718" i="1"/>
  <c r="J1718" i="1"/>
  <c r="K1717" i="1"/>
  <c r="J1717" i="1"/>
  <c r="K1716" i="1"/>
  <c r="J1716" i="1"/>
  <c r="K1715" i="1"/>
  <c r="J1715" i="1"/>
  <c r="K1714" i="1"/>
  <c r="J1714" i="1"/>
  <c r="K1713" i="1"/>
  <c r="J1713" i="1"/>
  <c r="K1712" i="1"/>
  <c r="J1712" i="1"/>
  <c r="K1711" i="1"/>
  <c r="J1711" i="1"/>
  <c r="K1710" i="1"/>
  <c r="J1710" i="1"/>
  <c r="K1709" i="1"/>
  <c r="J1709" i="1"/>
  <c r="K1708" i="1"/>
  <c r="J1708" i="1"/>
  <c r="K1707" i="1"/>
  <c r="J1707" i="1"/>
  <c r="K1706" i="1"/>
  <c r="J1706" i="1"/>
  <c r="K1705" i="1"/>
  <c r="J1705" i="1"/>
  <c r="K1704" i="1"/>
  <c r="J1704" i="1"/>
  <c r="K1703" i="1"/>
  <c r="J1703" i="1"/>
  <c r="K1702" i="1"/>
  <c r="J1702" i="1"/>
  <c r="K1701" i="1"/>
  <c r="J1701" i="1"/>
  <c r="K1700" i="1"/>
  <c r="J1700" i="1"/>
  <c r="K1699" i="1"/>
  <c r="J1699" i="1"/>
  <c r="K1698" i="1"/>
  <c r="J1698" i="1"/>
  <c r="K1697" i="1"/>
  <c r="J1697" i="1"/>
  <c r="K1696" i="1"/>
  <c r="J1696" i="1"/>
  <c r="K1695" i="1"/>
  <c r="J1695" i="1"/>
  <c r="K1694" i="1"/>
  <c r="J1694" i="1"/>
  <c r="K1693" i="1"/>
  <c r="J1693" i="1"/>
  <c r="K1692" i="1"/>
  <c r="J1692" i="1"/>
  <c r="K1691" i="1"/>
  <c r="J1691" i="1"/>
  <c r="K1690" i="1"/>
  <c r="J1690" i="1"/>
  <c r="K1689" i="1"/>
  <c r="J1689" i="1"/>
  <c r="K1688" i="1"/>
  <c r="J1688" i="1"/>
  <c r="K1687" i="1"/>
  <c r="J1687" i="1"/>
  <c r="K1686" i="1"/>
  <c r="J1686" i="1"/>
  <c r="K1685" i="1"/>
  <c r="J1685" i="1"/>
  <c r="K1684" i="1"/>
  <c r="J1684" i="1"/>
  <c r="K1683" i="1"/>
  <c r="J1683" i="1"/>
  <c r="L1683" i="1" s="1"/>
  <c r="K1682" i="1"/>
  <c r="J1682" i="1"/>
  <c r="L1682" i="1" s="1"/>
  <c r="K1681" i="1"/>
  <c r="J1681" i="1"/>
  <c r="K1680" i="1"/>
  <c r="J1680" i="1"/>
  <c r="K1679" i="1"/>
  <c r="J1679" i="1"/>
  <c r="K1678" i="1"/>
  <c r="J1678" i="1"/>
  <c r="K1677" i="1"/>
  <c r="J1677" i="1"/>
  <c r="K1676" i="1"/>
  <c r="J1676" i="1"/>
  <c r="K1675" i="1"/>
  <c r="J1675" i="1"/>
  <c r="K1674" i="1"/>
  <c r="J1674" i="1"/>
  <c r="K1673" i="1"/>
  <c r="J1673" i="1"/>
  <c r="K1672" i="1"/>
  <c r="J1672" i="1"/>
  <c r="K1671" i="1"/>
  <c r="J1671" i="1"/>
  <c r="L1671" i="1" s="1"/>
  <c r="K1670" i="1"/>
  <c r="J1670" i="1"/>
  <c r="L1670" i="1" s="1"/>
  <c r="K1669" i="1"/>
  <c r="J1669" i="1"/>
  <c r="K1668" i="1"/>
  <c r="J1668" i="1"/>
  <c r="K1667" i="1"/>
  <c r="J1667" i="1"/>
  <c r="K1666" i="1"/>
  <c r="J1666" i="1"/>
  <c r="K1665" i="1"/>
  <c r="J1665" i="1"/>
  <c r="L1665" i="1" s="1"/>
  <c r="K1664" i="1"/>
  <c r="J1664" i="1"/>
  <c r="K1663" i="1"/>
  <c r="J1663" i="1"/>
  <c r="K1662" i="1"/>
  <c r="J1662" i="1"/>
  <c r="K1661" i="1"/>
  <c r="J1661" i="1"/>
  <c r="K1660" i="1"/>
  <c r="J1660" i="1"/>
  <c r="K1659" i="1"/>
  <c r="J1659" i="1"/>
  <c r="L1659" i="1" s="1"/>
  <c r="K1658" i="1"/>
  <c r="J1658" i="1"/>
  <c r="L1658" i="1" s="1"/>
  <c r="K1657" i="1"/>
  <c r="J1657" i="1"/>
  <c r="K1656" i="1"/>
  <c r="J1656" i="1"/>
  <c r="K1655" i="1"/>
  <c r="J1655" i="1"/>
  <c r="K1654" i="1"/>
  <c r="J1654" i="1"/>
  <c r="K1653" i="1"/>
  <c r="J1653" i="1"/>
  <c r="L1653" i="1" s="1"/>
  <c r="K1652" i="1"/>
  <c r="J1652" i="1"/>
  <c r="L1652" i="1" s="1"/>
  <c r="K1651" i="1"/>
  <c r="J1651" i="1"/>
  <c r="K1650" i="1"/>
  <c r="J1650" i="1"/>
  <c r="K1649" i="1"/>
  <c r="J1649" i="1"/>
  <c r="K1648" i="1"/>
  <c r="J1648" i="1"/>
  <c r="K1647" i="1"/>
  <c r="J1647" i="1"/>
  <c r="L1647" i="1" s="1"/>
  <c r="K1646" i="1"/>
  <c r="J1646" i="1"/>
  <c r="K1645" i="1"/>
  <c r="J1645" i="1"/>
  <c r="K1644" i="1"/>
  <c r="J1644" i="1"/>
  <c r="K1643" i="1"/>
  <c r="J1643" i="1"/>
  <c r="K1642" i="1"/>
  <c r="J1642" i="1"/>
  <c r="K1641" i="1"/>
  <c r="J1641" i="1"/>
  <c r="L1641" i="1" s="1"/>
  <c r="K1640" i="1"/>
  <c r="J1640" i="1"/>
  <c r="L1640" i="1" s="1"/>
  <c r="K1639" i="1"/>
  <c r="J1639" i="1"/>
  <c r="K1638" i="1"/>
  <c r="J1638" i="1"/>
  <c r="K1637" i="1"/>
  <c r="J1637" i="1"/>
  <c r="K1636" i="1"/>
  <c r="J1636" i="1"/>
  <c r="K1635" i="1"/>
  <c r="J1635" i="1"/>
  <c r="K1634" i="1"/>
  <c r="J1634" i="1"/>
  <c r="K1633" i="1"/>
  <c r="J1633" i="1"/>
  <c r="K1632" i="1"/>
  <c r="J1632" i="1"/>
  <c r="K1631" i="1"/>
  <c r="J1631" i="1"/>
  <c r="K1630" i="1"/>
  <c r="J1630" i="1"/>
  <c r="K1629" i="1"/>
  <c r="J1629" i="1"/>
  <c r="K1628" i="1"/>
  <c r="J1628" i="1"/>
  <c r="K1627" i="1"/>
  <c r="J1627" i="1"/>
  <c r="K1626" i="1"/>
  <c r="J1626" i="1"/>
  <c r="K1625" i="1"/>
  <c r="J1625" i="1"/>
  <c r="K1624" i="1"/>
  <c r="J1624" i="1"/>
  <c r="K1623" i="1"/>
  <c r="J1623" i="1"/>
  <c r="K1622" i="1"/>
  <c r="J1622" i="1"/>
  <c r="K1621" i="1"/>
  <c r="J1621" i="1"/>
  <c r="K1620" i="1"/>
  <c r="J1620" i="1"/>
  <c r="K1619" i="1"/>
  <c r="J1619" i="1"/>
  <c r="K1618" i="1"/>
  <c r="J1618" i="1"/>
  <c r="K1617" i="1"/>
  <c r="J1617" i="1"/>
  <c r="K1616" i="1"/>
  <c r="J1616" i="1"/>
  <c r="K1615" i="1"/>
  <c r="J1615" i="1"/>
  <c r="K1614" i="1"/>
  <c r="J1614" i="1"/>
  <c r="K1613" i="1"/>
  <c r="J1613" i="1"/>
  <c r="K1612" i="1"/>
  <c r="J1612" i="1"/>
  <c r="K1611" i="1"/>
  <c r="J1611" i="1"/>
  <c r="K1610" i="1"/>
  <c r="J1610" i="1"/>
  <c r="K1609" i="1"/>
  <c r="J1609" i="1"/>
  <c r="K1608" i="1"/>
  <c r="J1608" i="1"/>
  <c r="K1607" i="1"/>
  <c r="J1607" i="1"/>
  <c r="K1606" i="1"/>
  <c r="J1606" i="1"/>
  <c r="K1605" i="1"/>
  <c r="J1605" i="1"/>
  <c r="K1604" i="1"/>
  <c r="J1604" i="1"/>
  <c r="K1603" i="1"/>
  <c r="J1603" i="1"/>
  <c r="K1602" i="1"/>
  <c r="J1602" i="1"/>
  <c r="K1601" i="1"/>
  <c r="J1601" i="1"/>
  <c r="K1600" i="1"/>
  <c r="J1600" i="1"/>
  <c r="K1599" i="1"/>
  <c r="J1599" i="1"/>
  <c r="L1599" i="1" s="1"/>
  <c r="K1598" i="1"/>
  <c r="J1598" i="1"/>
  <c r="K1597" i="1"/>
  <c r="J1597" i="1"/>
  <c r="K1596" i="1"/>
  <c r="J1596" i="1"/>
  <c r="K1595" i="1"/>
  <c r="J1595" i="1"/>
  <c r="K1594" i="1"/>
  <c r="J1594" i="1"/>
  <c r="K1593" i="1"/>
  <c r="J1593" i="1"/>
  <c r="K1592" i="1"/>
  <c r="J1592" i="1"/>
  <c r="K1591" i="1"/>
  <c r="J1591" i="1"/>
  <c r="K1590" i="1"/>
  <c r="J1590" i="1"/>
  <c r="K1589" i="1"/>
  <c r="J1589" i="1"/>
  <c r="K1588" i="1"/>
  <c r="J1588" i="1"/>
  <c r="K1587" i="1"/>
  <c r="J1587" i="1"/>
  <c r="K1586" i="1"/>
  <c r="J1586" i="1"/>
  <c r="K1585" i="1"/>
  <c r="J1585" i="1"/>
  <c r="K1584" i="1"/>
  <c r="J1584" i="1"/>
  <c r="K1583" i="1"/>
  <c r="J1583" i="1"/>
  <c r="K1582" i="1"/>
  <c r="J1582" i="1"/>
  <c r="K1581" i="1"/>
  <c r="J1581" i="1"/>
  <c r="K1580" i="1"/>
  <c r="J1580" i="1"/>
  <c r="K1579" i="1"/>
  <c r="J1579" i="1"/>
  <c r="K1578" i="1"/>
  <c r="J1578" i="1"/>
  <c r="K1577" i="1"/>
  <c r="J1577" i="1"/>
  <c r="K1576" i="1"/>
  <c r="J1576" i="1"/>
  <c r="K1575" i="1"/>
  <c r="J1575" i="1"/>
  <c r="K1574" i="1"/>
  <c r="J1574" i="1"/>
  <c r="K1573" i="1"/>
  <c r="J1573" i="1"/>
  <c r="K1572" i="1"/>
  <c r="J1572" i="1"/>
  <c r="K1571" i="1"/>
  <c r="J1571" i="1"/>
  <c r="K1570" i="1"/>
  <c r="J1570" i="1"/>
  <c r="K1569" i="1"/>
  <c r="J1569" i="1"/>
  <c r="K1568" i="1"/>
  <c r="J1568" i="1"/>
  <c r="K1567" i="1"/>
  <c r="J1567" i="1"/>
  <c r="K1566" i="1"/>
  <c r="J1566" i="1"/>
  <c r="K1565" i="1"/>
  <c r="J1565" i="1"/>
  <c r="K1564" i="1"/>
  <c r="J1564" i="1"/>
  <c r="K1563" i="1"/>
  <c r="J1563" i="1"/>
  <c r="K1562" i="1"/>
  <c r="J1562" i="1"/>
  <c r="K1561" i="1"/>
  <c r="J1561" i="1"/>
  <c r="K1560" i="1"/>
  <c r="J1560" i="1"/>
  <c r="K1559" i="1"/>
  <c r="J1559" i="1"/>
  <c r="K1558" i="1"/>
  <c r="J1558" i="1"/>
  <c r="K1557" i="1"/>
  <c r="J1557" i="1"/>
  <c r="K1556" i="1"/>
  <c r="J1556" i="1"/>
  <c r="K1555" i="1"/>
  <c r="J1555" i="1"/>
  <c r="K1554" i="1"/>
  <c r="J1554" i="1"/>
  <c r="O1554" i="1" s="1"/>
  <c r="K1553" i="1"/>
  <c r="J1553" i="1"/>
  <c r="K1552" i="1"/>
  <c r="J1552" i="1"/>
  <c r="K1551" i="1"/>
  <c r="J1551" i="1"/>
  <c r="K1550" i="1"/>
  <c r="J1550" i="1"/>
  <c r="K1549" i="1"/>
  <c r="J1549" i="1"/>
  <c r="K1548" i="1"/>
  <c r="J1548" i="1"/>
  <c r="O1548" i="1" s="1"/>
  <c r="K1547" i="1"/>
  <c r="J1547" i="1"/>
  <c r="K1546" i="1"/>
  <c r="J1546" i="1"/>
  <c r="K1545" i="1"/>
  <c r="P1545" i="1" s="1"/>
  <c r="J1545" i="1"/>
  <c r="K1544" i="1"/>
  <c r="J1544" i="1"/>
  <c r="K1543" i="1"/>
  <c r="J1543" i="1"/>
  <c r="K1542" i="1"/>
  <c r="J1542" i="1"/>
  <c r="O1542" i="1" s="1"/>
  <c r="K1541" i="1"/>
  <c r="J1541" i="1"/>
  <c r="K1540" i="1"/>
  <c r="J1540" i="1"/>
  <c r="K1539" i="1"/>
  <c r="J1539" i="1"/>
  <c r="K1538" i="1"/>
  <c r="J1538" i="1"/>
  <c r="K1537" i="1"/>
  <c r="J1537" i="1"/>
  <c r="K1536" i="1"/>
  <c r="J1536" i="1"/>
  <c r="K1535" i="1"/>
  <c r="J1535" i="1"/>
  <c r="K1534" i="1"/>
  <c r="J1534" i="1"/>
  <c r="K1533" i="1"/>
  <c r="J1533" i="1"/>
  <c r="K1532" i="1"/>
  <c r="J1532" i="1"/>
  <c r="K1531" i="1"/>
  <c r="J1531" i="1"/>
  <c r="K1530" i="1"/>
  <c r="J1530" i="1"/>
  <c r="O1530" i="1" s="1"/>
  <c r="K1529" i="1"/>
  <c r="J1529" i="1"/>
  <c r="K1528" i="1"/>
  <c r="J1528" i="1"/>
  <c r="K1527" i="1"/>
  <c r="P1527" i="1" s="1"/>
  <c r="J1527" i="1"/>
  <c r="K1526" i="1"/>
  <c r="J1526" i="1"/>
  <c r="K1525" i="1"/>
  <c r="J1525" i="1"/>
  <c r="K1524" i="1"/>
  <c r="J1524" i="1"/>
  <c r="K1523" i="1"/>
  <c r="J1523" i="1"/>
  <c r="K1522" i="1"/>
  <c r="J1522" i="1"/>
  <c r="K1521" i="1"/>
  <c r="J1521" i="1"/>
  <c r="K1520" i="1"/>
  <c r="J1520" i="1"/>
  <c r="K1519" i="1"/>
  <c r="J1519" i="1"/>
  <c r="K1518" i="1"/>
  <c r="J1518" i="1"/>
  <c r="K1517" i="1"/>
  <c r="J1517" i="1"/>
  <c r="K1516" i="1"/>
  <c r="J1516" i="1"/>
  <c r="K1515" i="1"/>
  <c r="J1515" i="1"/>
  <c r="K1514" i="1"/>
  <c r="J1514" i="1"/>
  <c r="K1513" i="1"/>
  <c r="J1513" i="1"/>
  <c r="K1512" i="1"/>
  <c r="J1512" i="1"/>
  <c r="K1511" i="1"/>
  <c r="J1511" i="1"/>
  <c r="K1510" i="1"/>
  <c r="J1510" i="1"/>
  <c r="K1509" i="1"/>
  <c r="J1509" i="1"/>
  <c r="K1508" i="1"/>
  <c r="J1508" i="1"/>
  <c r="K1507" i="1"/>
  <c r="J1507" i="1"/>
  <c r="K1506" i="1"/>
  <c r="J1506" i="1"/>
  <c r="K1505" i="1"/>
  <c r="J1505" i="1"/>
  <c r="K1504" i="1"/>
  <c r="J1504" i="1"/>
  <c r="K1503" i="1"/>
  <c r="J1503" i="1"/>
  <c r="K1502" i="1"/>
  <c r="J1502" i="1"/>
  <c r="K1501" i="1"/>
  <c r="J1501" i="1"/>
  <c r="K1500" i="1"/>
  <c r="J1500" i="1"/>
  <c r="K1499" i="1"/>
  <c r="J1499" i="1"/>
  <c r="K1498" i="1"/>
  <c r="J1498" i="1"/>
  <c r="K1497" i="1"/>
  <c r="J1497" i="1"/>
  <c r="K1496" i="1"/>
  <c r="J1496" i="1"/>
  <c r="K1495" i="1"/>
  <c r="J1495" i="1"/>
  <c r="K1494" i="1"/>
  <c r="J1494" i="1"/>
  <c r="K1493" i="1"/>
  <c r="J1493" i="1"/>
  <c r="K1492" i="1"/>
  <c r="J1492" i="1"/>
  <c r="K1491" i="1"/>
  <c r="J1491" i="1"/>
  <c r="K1490" i="1"/>
  <c r="J1490" i="1"/>
  <c r="K1489" i="1"/>
  <c r="J1489" i="1"/>
  <c r="K1488" i="1"/>
  <c r="J1488" i="1"/>
  <c r="K1487" i="1"/>
  <c r="J1487" i="1"/>
  <c r="K1486" i="1"/>
  <c r="J1486" i="1"/>
  <c r="K1485" i="1"/>
  <c r="J1485" i="1"/>
  <c r="K1484" i="1"/>
  <c r="J1484" i="1"/>
  <c r="K1483" i="1"/>
  <c r="J1483" i="1"/>
  <c r="K1482" i="1"/>
  <c r="J1482" i="1"/>
  <c r="K1481" i="1"/>
  <c r="J1481" i="1"/>
  <c r="K1480" i="1"/>
  <c r="J1480" i="1"/>
  <c r="K1479" i="1"/>
  <c r="J1479" i="1"/>
  <c r="K1478" i="1"/>
  <c r="J1478" i="1"/>
  <c r="K1477" i="1"/>
  <c r="J1477" i="1"/>
  <c r="K1476" i="1"/>
  <c r="J1476" i="1"/>
  <c r="K1475" i="1"/>
  <c r="J1475" i="1"/>
  <c r="K1474" i="1"/>
  <c r="J1474" i="1"/>
  <c r="K1473" i="1"/>
  <c r="J1473" i="1"/>
  <c r="K1472" i="1"/>
  <c r="J1472" i="1"/>
  <c r="K1471" i="1"/>
  <c r="J1471" i="1"/>
  <c r="K1470" i="1"/>
  <c r="J1470" i="1"/>
  <c r="K1469" i="1"/>
  <c r="J1469" i="1"/>
  <c r="K1468" i="1"/>
  <c r="J1468" i="1"/>
  <c r="K1467" i="1"/>
  <c r="J1467" i="1"/>
  <c r="K1466" i="1"/>
  <c r="J1466" i="1"/>
  <c r="K1465" i="1"/>
  <c r="J1465" i="1"/>
  <c r="K1464" i="1"/>
  <c r="J1464" i="1"/>
  <c r="K1463" i="1"/>
  <c r="J1463" i="1"/>
  <c r="K1462" i="1"/>
  <c r="J1462" i="1"/>
  <c r="K1461" i="1"/>
  <c r="J1461" i="1"/>
  <c r="K1460" i="1"/>
  <c r="J1460" i="1"/>
  <c r="K1459" i="1"/>
  <c r="J1459" i="1"/>
  <c r="K1458" i="1"/>
  <c r="J1458" i="1"/>
  <c r="K1457" i="1"/>
  <c r="J1457" i="1"/>
  <c r="K1456" i="1"/>
  <c r="J1456" i="1"/>
  <c r="K1455" i="1"/>
  <c r="J1455" i="1"/>
  <c r="K1454" i="1"/>
  <c r="J1454" i="1"/>
  <c r="K1453" i="1"/>
  <c r="J1453" i="1"/>
  <c r="K1452" i="1"/>
  <c r="J1452" i="1"/>
  <c r="K1451" i="1"/>
  <c r="J1451" i="1"/>
  <c r="K1450" i="1"/>
  <c r="J1450" i="1"/>
  <c r="K1449" i="1"/>
  <c r="P1449" i="1" s="1"/>
  <c r="J1449" i="1"/>
  <c r="K1448" i="1"/>
  <c r="J1448" i="1"/>
  <c r="K1447" i="1"/>
  <c r="J1447" i="1"/>
  <c r="K1446" i="1"/>
  <c r="J1446" i="1"/>
  <c r="K1445" i="1"/>
  <c r="J1445" i="1"/>
  <c r="K1444" i="1"/>
  <c r="J1444" i="1"/>
  <c r="K1443" i="1"/>
  <c r="J1443" i="1"/>
  <c r="K1442" i="1"/>
  <c r="J1442" i="1"/>
  <c r="K1441" i="1"/>
  <c r="J1441" i="1"/>
  <c r="K1440" i="1"/>
  <c r="J1440" i="1"/>
  <c r="K1439" i="1"/>
  <c r="J1439" i="1"/>
  <c r="K1438" i="1"/>
  <c r="J1438" i="1"/>
  <c r="K1437" i="1"/>
  <c r="J1437" i="1"/>
  <c r="K1436" i="1"/>
  <c r="J1436" i="1"/>
  <c r="K1435" i="1"/>
  <c r="J1435" i="1"/>
  <c r="K1434" i="1"/>
  <c r="J1434" i="1"/>
  <c r="K1433" i="1"/>
  <c r="J1433" i="1"/>
  <c r="K1432" i="1"/>
  <c r="J1432" i="1"/>
  <c r="K1431" i="1"/>
  <c r="J1431" i="1"/>
  <c r="K1430" i="1"/>
  <c r="J1430" i="1"/>
  <c r="K1429" i="1"/>
  <c r="J1429" i="1"/>
  <c r="K1428" i="1"/>
  <c r="J1428" i="1"/>
  <c r="K1427" i="1"/>
  <c r="J1427" i="1"/>
  <c r="K1426" i="1"/>
  <c r="J1426" i="1"/>
  <c r="K1425" i="1"/>
  <c r="J1425" i="1"/>
  <c r="K1424" i="1"/>
  <c r="J1424" i="1"/>
  <c r="K1423" i="1"/>
  <c r="J1423" i="1"/>
  <c r="K1422" i="1"/>
  <c r="J1422" i="1"/>
  <c r="K1421" i="1"/>
  <c r="J1421" i="1"/>
  <c r="K1420" i="1"/>
  <c r="J1420" i="1"/>
  <c r="K1419" i="1"/>
  <c r="J1419" i="1"/>
  <c r="K1418" i="1"/>
  <c r="J1418" i="1"/>
  <c r="K1417" i="1"/>
  <c r="J1417" i="1"/>
  <c r="K1416" i="1"/>
  <c r="J1416" i="1"/>
  <c r="K1415" i="1"/>
  <c r="J1415" i="1"/>
  <c r="K1414" i="1"/>
  <c r="J1414" i="1"/>
  <c r="K1413" i="1"/>
  <c r="J1413" i="1"/>
  <c r="K1412" i="1"/>
  <c r="J1412" i="1"/>
  <c r="K1411" i="1"/>
  <c r="J1411" i="1"/>
  <c r="K1410" i="1"/>
  <c r="J1410" i="1"/>
  <c r="K1409" i="1"/>
  <c r="J1409" i="1"/>
  <c r="K1408" i="1"/>
  <c r="J1408" i="1"/>
  <c r="K1407" i="1"/>
  <c r="J1407" i="1"/>
  <c r="K1406" i="1"/>
  <c r="J1406" i="1"/>
  <c r="K1405" i="1"/>
  <c r="J1405" i="1"/>
  <c r="K1404" i="1"/>
  <c r="J1404" i="1"/>
  <c r="K1403" i="1"/>
  <c r="J1403" i="1"/>
  <c r="K1402" i="1"/>
  <c r="J1402" i="1"/>
  <c r="K1401" i="1"/>
  <c r="J1401" i="1"/>
  <c r="K1400" i="1"/>
  <c r="J1400" i="1"/>
  <c r="K1399" i="1"/>
  <c r="J1399" i="1"/>
  <c r="K1398" i="1"/>
  <c r="J1398" i="1"/>
  <c r="K1397" i="1"/>
  <c r="J1397" i="1"/>
  <c r="K1396" i="1"/>
  <c r="J1396" i="1"/>
  <c r="K1395" i="1"/>
  <c r="J1395" i="1"/>
  <c r="K1394" i="1"/>
  <c r="J1394" i="1"/>
  <c r="K1393" i="1"/>
  <c r="J1393" i="1"/>
  <c r="K1392" i="1"/>
  <c r="J1392" i="1"/>
  <c r="K1391" i="1"/>
  <c r="J1391" i="1"/>
  <c r="K1390" i="1"/>
  <c r="J1390" i="1"/>
  <c r="K1389" i="1"/>
  <c r="J1389" i="1"/>
  <c r="K1388" i="1"/>
  <c r="J1388" i="1"/>
  <c r="K1387" i="1"/>
  <c r="J1387" i="1"/>
  <c r="K1386" i="1"/>
  <c r="J1386" i="1"/>
  <c r="K1385" i="1"/>
  <c r="J1385" i="1"/>
  <c r="K1384" i="1"/>
  <c r="J1384" i="1"/>
  <c r="K1383" i="1"/>
  <c r="J1383" i="1"/>
  <c r="K1382" i="1"/>
  <c r="J1382" i="1"/>
  <c r="K1381" i="1"/>
  <c r="J1381" i="1"/>
  <c r="K1380" i="1"/>
  <c r="J1380" i="1"/>
  <c r="K1379" i="1"/>
  <c r="J1379" i="1"/>
  <c r="K1378" i="1"/>
  <c r="J1378" i="1"/>
  <c r="K1377" i="1"/>
  <c r="J1377" i="1"/>
  <c r="K1376" i="1"/>
  <c r="J1376" i="1"/>
  <c r="K1375" i="1"/>
  <c r="J1375" i="1"/>
  <c r="K1374" i="1"/>
  <c r="J1374" i="1"/>
  <c r="K1373" i="1"/>
  <c r="J1373" i="1"/>
  <c r="K1372" i="1"/>
  <c r="J1372" i="1"/>
  <c r="K1371" i="1"/>
  <c r="J1371" i="1"/>
  <c r="K1370" i="1"/>
  <c r="J1370" i="1"/>
  <c r="K1369" i="1"/>
  <c r="P1370" i="1" s="1"/>
  <c r="J1369" i="1"/>
  <c r="K1368" i="1"/>
  <c r="J1368" i="1"/>
  <c r="K1367" i="1"/>
  <c r="J1367" i="1"/>
  <c r="K1366" i="1"/>
  <c r="J1366" i="1"/>
  <c r="K1365" i="1"/>
  <c r="J1365" i="1"/>
  <c r="K1364" i="1"/>
  <c r="J1364" i="1"/>
  <c r="K1363" i="1"/>
  <c r="J1363" i="1"/>
  <c r="K1362" i="1"/>
  <c r="J1362" i="1"/>
  <c r="K1361" i="1"/>
  <c r="J1361" i="1"/>
  <c r="K1360" i="1"/>
  <c r="J1360" i="1"/>
  <c r="K1359" i="1"/>
  <c r="J1359" i="1"/>
  <c r="K1358" i="1"/>
  <c r="J1358" i="1"/>
  <c r="K1357" i="1"/>
  <c r="J1357" i="1"/>
  <c r="K1356" i="1"/>
  <c r="J1356" i="1"/>
  <c r="K1355" i="1"/>
  <c r="J1355" i="1"/>
  <c r="K1354" i="1"/>
  <c r="J1354" i="1"/>
  <c r="K1353" i="1"/>
  <c r="J1353" i="1"/>
  <c r="K1352" i="1"/>
  <c r="J1352" i="1"/>
  <c r="K1351" i="1"/>
  <c r="J1351" i="1"/>
  <c r="K1350" i="1"/>
  <c r="J1350" i="1"/>
  <c r="K1349" i="1"/>
  <c r="J1349" i="1"/>
  <c r="K1348" i="1"/>
  <c r="J1348" i="1"/>
  <c r="K1347" i="1"/>
  <c r="J1347" i="1"/>
  <c r="K1346" i="1"/>
  <c r="J1346" i="1"/>
  <c r="K1345" i="1"/>
  <c r="P1346" i="1" s="1"/>
  <c r="J1345" i="1"/>
  <c r="K1344" i="1"/>
  <c r="J1344" i="1"/>
  <c r="K1343" i="1"/>
  <c r="J1343" i="1"/>
  <c r="K1342" i="1"/>
  <c r="J1342" i="1"/>
  <c r="K1341" i="1"/>
  <c r="J1341" i="1"/>
  <c r="K1340" i="1"/>
  <c r="J1340" i="1"/>
  <c r="K1339" i="1"/>
  <c r="J1339" i="1"/>
  <c r="K1338" i="1"/>
  <c r="J1338" i="1"/>
  <c r="K1337" i="1"/>
  <c r="J1337" i="1"/>
  <c r="K1336" i="1"/>
  <c r="J1336" i="1"/>
  <c r="K1335" i="1"/>
  <c r="J1335" i="1"/>
  <c r="K1334" i="1"/>
  <c r="J1334" i="1"/>
  <c r="K1333" i="1"/>
  <c r="J1333" i="1"/>
  <c r="K1332" i="1"/>
  <c r="J1332" i="1"/>
  <c r="K1331" i="1"/>
  <c r="J1331" i="1"/>
  <c r="K1330" i="1"/>
  <c r="J1330" i="1"/>
  <c r="K1329" i="1"/>
  <c r="J1329" i="1"/>
  <c r="K1328" i="1"/>
  <c r="J1328" i="1"/>
  <c r="K1327" i="1"/>
  <c r="J1327" i="1"/>
  <c r="K1326" i="1"/>
  <c r="J1326" i="1"/>
  <c r="K1325" i="1"/>
  <c r="J1325" i="1"/>
  <c r="K1324" i="1"/>
  <c r="J1324" i="1"/>
  <c r="K1323" i="1"/>
  <c r="J1323" i="1"/>
  <c r="K1322" i="1"/>
  <c r="J1322" i="1"/>
  <c r="K1321" i="1"/>
  <c r="J1321" i="1"/>
  <c r="K1320" i="1"/>
  <c r="J1320" i="1"/>
  <c r="K1319" i="1"/>
  <c r="J1319" i="1"/>
  <c r="K1318" i="1"/>
  <c r="J1318" i="1"/>
  <c r="K1317" i="1"/>
  <c r="J1317" i="1"/>
  <c r="K1316" i="1"/>
  <c r="J1316" i="1"/>
  <c r="K1315" i="1"/>
  <c r="J1315" i="1"/>
  <c r="K1314" i="1"/>
  <c r="J1314" i="1"/>
  <c r="K1313" i="1"/>
  <c r="J1313" i="1"/>
  <c r="K1312" i="1"/>
  <c r="J1312" i="1"/>
  <c r="O1312" i="1" s="1"/>
  <c r="K1311" i="1"/>
  <c r="J1311" i="1"/>
  <c r="K1310" i="1"/>
  <c r="J1310" i="1"/>
  <c r="K1309" i="1"/>
  <c r="J1309" i="1"/>
  <c r="K1308" i="1"/>
  <c r="J1308" i="1"/>
  <c r="K1307" i="1"/>
  <c r="J1307" i="1"/>
  <c r="K1306" i="1"/>
  <c r="J1306" i="1"/>
  <c r="K1305" i="1"/>
  <c r="J1305" i="1"/>
  <c r="K1304" i="1"/>
  <c r="J1304" i="1"/>
  <c r="K1303" i="1"/>
  <c r="J1303" i="1"/>
  <c r="K1302" i="1"/>
  <c r="J1302" i="1"/>
  <c r="K1301" i="1"/>
  <c r="J1301" i="1"/>
  <c r="K1300" i="1"/>
  <c r="J1300" i="1"/>
  <c r="K1299" i="1"/>
  <c r="J1299" i="1"/>
  <c r="K1298" i="1"/>
  <c r="J1298" i="1"/>
  <c r="K1297" i="1"/>
  <c r="J1297" i="1"/>
  <c r="K1296" i="1"/>
  <c r="J1296" i="1"/>
  <c r="K1295" i="1"/>
  <c r="J1295" i="1"/>
  <c r="K1294" i="1"/>
  <c r="P1294" i="1" s="1"/>
  <c r="J1294" i="1"/>
  <c r="K1293" i="1"/>
  <c r="J1293" i="1"/>
  <c r="K1292" i="1"/>
  <c r="J1292" i="1"/>
  <c r="K1291" i="1"/>
  <c r="P1292" i="1" s="1"/>
  <c r="J1291" i="1"/>
  <c r="K1290" i="1"/>
  <c r="J1290" i="1"/>
  <c r="K1289" i="1"/>
  <c r="J1289" i="1"/>
  <c r="K1288" i="1"/>
  <c r="P1288" i="1" s="1"/>
  <c r="J1288" i="1"/>
  <c r="K1287" i="1"/>
  <c r="P1287" i="1" s="1"/>
  <c r="J1287" i="1"/>
  <c r="K1286" i="1"/>
  <c r="J1286" i="1"/>
  <c r="K1285" i="1"/>
  <c r="J1285" i="1"/>
  <c r="K1284" i="1"/>
  <c r="J1284" i="1"/>
  <c r="K1283" i="1"/>
  <c r="J1283" i="1"/>
  <c r="K1282" i="1"/>
  <c r="J1282" i="1"/>
  <c r="K1281" i="1"/>
  <c r="J1281" i="1"/>
  <c r="K1280" i="1"/>
  <c r="J1280" i="1"/>
  <c r="K1279" i="1"/>
  <c r="J1279" i="1"/>
  <c r="K1278" i="1"/>
  <c r="J1278" i="1"/>
  <c r="K1277" i="1"/>
  <c r="J1277" i="1"/>
  <c r="K1276" i="1"/>
  <c r="J1276" i="1"/>
  <c r="K1275" i="1"/>
  <c r="J1275" i="1"/>
  <c r="K1274" i="1"/>
  <c r="J1274" i="1"/>
  <c r="K1273" i="1"/>
  <c r="J1273" i="1"/>
  <c r="K1272" i="1"/>
  <c r="J1272" i="1"/>
  <c r="K1271" i="1"/>
  <c r="J1271" i="1"/>
  <c r="K1270" i="1"/>
  <c r="P1270" i="1" s="1"/>
  <c r="J1270" i="1"/>
  <c r="K1269" i="1"/>
  <c r="J1269" i="1"/>
  <c r="K1268" i="1"/>
  <c r="J1268" i="1"/>
  <c r="K1267" i="1"/>
  <c r="J1267" i="1"/>
  <c r="K1266" i="1"/>
  <c r="J1266" i="1"/>
  <c r="K1265" i="1"/>
  <c r="J1265" i="1"/>
  <c r="K1264" i="1"/>
  <c r="J1264" i="1"/>
  <c r="K1263" i="1"/>
  <c r="J1263" i="1"/>
  <c r="K1262" i="1"/>
  <c r="J1262" i="1"/>
  <c r="K1261" i="1"/>
  <c r="J1261" i="1"/>
  <c r="K1260" i="1"/>
  <c r="J1260" i="1"/>
  <c r="K1259" i="1"/>
  <c r="J1259" i="1"/>
  <c r="K1258" i="1"/>
  <c r="P1258" i="1" s="1"/>
  <c r="J1258" i="1"/>
  <c r="K1257" i="1"/>
  <c r="J1257" i="1"/>
  <c r="K1256" i="1"/>
  <c r="J1256" i="1"/>
  <c r="K1255" i="1"/>
  <c r="J1255" i="1"/>
  <c r="K1254" i="1"/>
  <c r="J1254" i="1"/>
  <c r="K1253" i="1"/>
  <c r="J1253" i="1"/>
  <c r="K1252" i="1"/>
  <c r="P1252" i="1" s="1"/>
  <c r="J1252" i="1"/>
  <c r="K1251" i="1"/>
  <c r="J1251" i="1"/>
  <c r="K1250" i="1"/>
  <c r="J1250" i="1"/>
  <c r="K1249" i="1"/>
  <c r="J1249" i="1"/>
  <c r="K1248" i="1"/>
  <c r="J1248" i="1"/>
  <c r="K1247" i="1"/>
  <c r="J1247" i="1"/>
  <c r="K1246" i="1"/>
  <c r="J1246" i="1"/>
  <c r="K1245" i="1"/>
  <c r="J1245" i="1"/>
  <c r="K1244" i="1"/>
  <c r="J1244" i="1"/>
  <c r="K1243" i="1"/>
  <c r="J1243" i="1"/>
  <c r="K1242" i="1"/>
  <c r="J1242" i="1"/>
  <c r="K1241" i="1"/>
  <c r="J1241" i="1"/>
  <c r="K1240" i="1"/>
  <c r="J1240" i="1"/>
  <c r="K1239" i="1"/>
  <c r="J1239" i="1"/>
  <c r="K1238" i="1"/>
  <c r="J1238" i="1"/>
  <c r="K1237" i="1"/>
  <c r="J1237" i="1"/>
  <c r="K1236" i="1"/>
  <c r="J1236" i="1"/>
  <c r="K1235" i="1"/>
  <c r="J1235" i="1"/>
  <c r="K1234" i="1"/>
  <c r="J1234" i="1"/>
  <c r="K1233" i="1"/>
  <c r="J1233" i="1"/>
  <c r="K1232" i="1"/>
  <c r="J1232" i="1"/>
  <c r="K1231" i="1"/>
  <c r="J1231" i="1"/>
  <c r="K1230" i="1"/>
  <c r="J1230" i="1"/>
  <c r="K1229" i="1"/>
  <c r="J1229" i="1"/>
  <c r="K1228" i="1"/>
  <c r="J1228" i="1"/>
  <c r="K1227" i="1"/>
  <c r="J1227" i="1"/>
  <c r="K1226" i="1"/>
  <c r="J1226" i="1"/>
  <c r="K1225" i="1"/>
  <c r="J1225" i="1"/>
  <c r="K1224" i="1"/>
  <c r="J1224" i="1"/>
  <c r="K1223" i="1"/>
  <c r="J1223" i="1"/>
  <c r="K1222" i="1"/>
  <c r="J1222" i="1"/>
  <c r="K1221" i="1"/>
  <c r="J1221" i="1"/>
  <c r="K1220" i="1"/>
  <c r="J1220" i="1"/>
  <c r="K1219" i="1"/>
  <c r="J1219" i="1"/>
  <c r="K1218" i="1"/>
  <c r="J1218" i="1"/>
  <c r="K1217" i="1"/>
  <c r="J1217" i="1"/>
  <c r="K1216" i="1"/>
  <c r="P1216" i="1" s="1"/>
  <c r="J1216" i="1"/>
  <c r="K1215" i="1"/>
  <c r="J1215" i="1"/>
  <c r="K1214" i="1"/>
  <c r="J1214" i="1"/>
  <c r="K1213" i="1"/>
  <c r="J1213" i="1"/>
  <c r="K1212" i="1"/>
  <c r="J1212" i="1"/>
  <c r="K1211" i="1"/>
  <c r="J1211" i="1"/>
  <c r="K1210" i="1"/>
  <c r="J1210" i="1"/>
  <c r="K1209" i="1"/>
  <c r="J1209" i="1"/>
  <c r="K1208" i="1"/>
  <c r="J1208" i="1"/>
  <c r="K1207" i="1"/>
  <c r="J1207" i="1"/>
  <c r="K1206" i="1"/>
  <c r="J1206" i="1"/>
  <c r="K1205" i="1"/>
  <c r="J1205" i="1"/>
  <c r="K1204" i="1"/>
  <c r="J1204" i="1"/>
  <c r="K1203" i="1"/>
  <c r="J1203" i="1"/>
  <c r="K1202" i="1"/>
  <c r="J1202" i="1"/>
  <c r="K1201" i="1"/>
  <c r="J1201" i="1"/>
  <c r="K1200" i="1"/>
  <c r="J1200" i="1"/>
  <c r="K1199" i="1"/>
  <c r="J1199" i="1"/>
  <c r="K1198" i="1"/>
  <c r="J1198" i="1"/>
  <c r="K1197" i="1"/>
  <c r="J1197" i="1"/>
  <c r="K1196" i="1"/>
  <c r="J1196" i="1"/>
  <c r="K1195" i="1"/>
  <c r="J1195" i="1"/>
  <c r="K1194" i="1"/>
  <c r="J1194" i="1"/>
  <c r="K1193" i="1"/>
  <c r="J1193" i="1"/>
  <c r="K1192" i="1"/>
  <c r="J1192" i="1"/>
  <c r="K1191" i="1"/>
  <c r="J1191" i="1"/>
  <c r="K1190" i="1"/>
  <c r="J1190" i="1"/>
  <c r="K1189" i="1"/>
  <c r="J1189" i="1"/>
  <c r="K1188" i="1"/>
  <c r="J1188" i="1"/>
  <c r="K1187" i="1"/>
  <c r="J1187" i="1"/>
  <c r="K1186" i="1"/>
  <c r="J1186" i="1"/>
  <c r="K1185" i="1"/>
  <c r="J1185" i="1"/>
  <c r="K1184" i="1"/>
  <c r="J1184" i="1"/>
  <c r="K1183" i="1"/>
  <c r="J1183" i="1"/>
  <c r="K1182" i="1"/>
  <c r="J1182" i="1"/>
  <c r="K1181" i="1"/>
  <c r="J1181" i="1"/>
  <c r="K1180" i="1"/>
  <c r="J1180" i="1"/>
  <c r="K1179" i="1"/>
  <c r="J1179" i="1"/>
  <c r="K1178" i="1"/>
  <c r="J1178" i="1"/>
  <c r="K1177" i="1"/>
  <c r="J1177" i="1"/>
  <c r="K1176" i="1"/>
  <c r="J1176" i="1"/>
  <c r="K1175" i="1"/>
  <c r="J1175" i="1"/>
  <c r="K1174" i="1"/>
  <c r="J1174" i="1"/>
  <c r="K1173" i="1"/>
  <c r="J1173" i="1"/>
  <c r="K1172" i="1"/>
  <c r="J1172" i="1"/>
  <c r="K1171" i="1"/>
  <c r="J1171" i="1"/>
  <c r="K1170" i="1"/>
  <c r="J1170" i="1"/>
  <c r="K1169" i="1"/>
  <c r="J1169" i="1"/>
  <c r="K1168" i="1"/>
  <c r="J1168" i="1"/>
  <c r="K1167" i="1"/>
  <c r="J1167" i="1"/>
  <c r="K1166" i="1"/>
  <c r="J1166" i="1"/>
  <c r="K1165" i="1"/>
  <c r="J1165" i="1"/>
  <c r="K1164" i="1"/>
  <c r="J1164" i="1"/>
  <c r="K1163" i="1"/>
  <c r="J1163" i="1"/>
  <c r="K1162" i="1"/>
  <c r="J1162" i="1"/>
  <c r="K1161" i="1"/>
  <c r="J1161" i="1"/>
  <c r="K1160" i="1"/>
  <c r="J1160" i="1"/>
  <c r="K1159" i="1"/>
  <c r="J1159" i="1"/>
  <c r="K1158" i="1"/>
  <c r="J1158" i="1"/>
  <c r="K1157" i="1"/>
  <c r="J1157" i="1"/>
  <c r="K1156" i="1"/>
  <c r="J1156" i="1"/>
  <c r="K1155" i="1"/>
  <c r="J1155" i="1"/>
  <c r="K1154" i="1"/>
  <c r="J1154" i="1"/>
  <c r="K1153" i="1"/>
  <c r="J1153" i="1"/>
  <c r="K1152" i="1"/>
  <c r="J1152" i="1"/>
  <c r="K1151" i="1"/>
  <c r="J1151" i="1"/>
  <c r="K1150" i="1"/>
  <c r="J1150" i="1"/>
  <c r="K1149" i="1"/>
  <c r="J1149" i="1"/>
  <c r="K1148" i="1"/>
  <c r="J1148" i="1"/>
  <c r="K1147" i="1"/>
  <c r="J1147" i="1"/>
  <c r="K1146" i="1"/>
  <c r="J1146" i="1"/>
  <c r="K1145" i="1"/>
  <c r="J1145" i="1"/>
  <c r="K1144" i="1"/>
  <c r="J1144" i="1"/>
  <c r="K1143" i="1"/>
  <c r="J1143" i="1"/>
  <c r="K1142" i="1"/>
  <c r="J1142" i="1"/>
  <c r="K1141" i="1"/>
  <c r="J1141" i="1"/>
  <c r="K1140" i="1"/>
  <c r="J1140" i="1"/>
  <c r="K1139" i="1"/>
  <c r="J1139" i="1"/>
  <c r="K1138" i="1"/>
  <c r="J1138" i="1"/>
  <c r="K1137" i="1"/>
  <c r="J1137" i="1"/>
  <c r="K1136" i="1"/>
  <c r="J1136" i="1"/>
  <c r="K1135" i="1"/>
  <c r="J1135" i="1"/>
  <c r="K1134" i="1"/>
  <c r="J1134" i="1"/>
  <c r="K1133" i="1"/>
  <c r="J1133" i="1"/>
  <c r="K1132" i="1"/>
  <c r="J1132" i="1"/>
  <c r="K1131" i="1"/>
  <c r="J1131" i="1"/>
  <c r="K1130" i="1"/>
  <c r="J1130" i="1"/>
  <c r="K1129" i="1"/>
  <c r="J1129" i="1"/>
  <c r="K1128" i="1"/>
  <c r="J1128" i="1"/>
  <c r="K1127" i="1"/>
  <c r="J1127" i="1"/>
  <c r="K1126" i="1"/>
  <c r="J1126" i="1"/>
  <c r="K1125" i="1"/>
  <c r="J1125" i="1"/>
  <c r="K1124" i="1"/>
  <c r="J1124" i="1"/>
  <c r="K1123" i="1"/>
  <c r="J1123" i="1"/>
  <c r="K1122" i="1"/>
  <c r="J1122" i="1"/>
  <c r="K1121" i="1"/>
  <c r="J1121" i="1"/>
  <c r="K1120" i="1"/>
  <c r="J1120" i="1"/>
  <c r="K1119" i="1"/>
  <c r="J1119" i="1"/>
  <c r="K1118" i="1"/>
  <c r="J1118" i="1"/>
  <c r="K1117" i="1"/>
  <c r="J1117" i="1"/>
  <c r="K1116" i="1"/>
  <c r="J1116" i="1"/>
  <c r="K1115" i="1"/>
  <c r="J1115" i="1"/>
  <c r="K1114" i="1"/>
  <c r="J1114" i="1"/>
  <c r="K1113" i="1"/>
  <c r="J1113" i="1"/>
  <c r="K1112" i="1"/>
  <c r="J1112" i="1"/>
  <c r="K1111" i="1"/>
  <c r="J1111" i="1"/>
  <c r="K1110" i="1"/>
  <c r="J1110" i="1"/>
  <c r="K1109" i="1"/>
  <c r="J1109" i="1"/>
  <c r="K1108" i="1"/>
  <c r="J1108" i="1"/>
  <c r="K1107" i="1"/>
  <c r="J1107" i="1"/>
  <c r="K1106" i="1"/>
  <c r="J1106" i="1"/>
  <c r="K1105" i="1"/>
  <c r="J1105" i="1"/>
  <c r="K1104" i="1"/>
  <c r="J1104" i="1"/>
  <c r="K1103" i="1"/>
  <c r="J1103" i="1"/>
  <c r="K1102" i="1"/>
  <c r="J1102" i="1"/>
  <c r="K1101" i="1"/>
  <c r="J1101" i="1"/>
  <c r="K1100" i="1"/>
  <c r="J1100" i="1"/>
  <c r="K1099" i="1"/>
  <c r="J1099" i="1"/>
  <c r="K1098" i="1"/>
  <c r="J1098" i="1"/>
  <c r="K1097" i="1"/>
  <c r="J1097" i="1"/>
  <c r="K1096" i="1"/>
  <c r="J1096" i="1"/>
  <c r="K1095" i="1"/>
  <c r="J1095" i="1"/>
  <c r="K1094" i="1"/>
  <c r="J1094" i="1"/>
  <c r="K1093" i="1"/>
  <c r="J1093" i="1"/>
  <c r="K1092" i="1"/>
  <c r="J1092" i="1"/>
  <c r="K1091" i="1"/>
  <c r="J1091" i="1"/>
  <c r="K1090" i="1"/>
  <c r="J1090" i="1"/>
  <c r="K1089" i="1"/>
  <c r="J1089" i="1"/>
  <c r="K1088" i="1"/>
  <c r="J1088" i="1"/>
  <c r="K1087" i="1"/>
  <c r="J1087" i="1"/>
  <c r="K1086" i="1"/>
  <c r="J1086" i="1"/>
  <c r="K1085" i="1"/>
  <c r="J1085" i="1"/>
  <c r="K1084" i="1"/>
  <c r="J1084" i="1"/>
  <c r="K1083" i="1"/>
  <c r="J1083" i="1"/>
  <c r="K1082" i="1"/>
  <c r="J1082" i="1"/>
  <c r="K1081" i="1"/>
  <c r="J1081" i="1"/>
  <c r="K1080" i="1"/>
  <c r="J1080" i="1"/>
  <c r="K1079" i="1"/>
  <c r="J1079" i="1"/>
  <c r="K1078" i="1"/>
  <c r="J1078" i="1"/>
  <c r="K1077" i="1"/>
  <c r="J1077" i="1"/>
  <c r="K1076" i="1"/>
  <c r="J1076" i="1"/>
  <c r="K1075" i="1"/>
  <c r="J1075" i="1"/>
  <c r="K1074" i="1"/>
  <c r="J1074" i="1"/>
  <c r="K1073" i="1"/>
  <c r="J1073" i="1"/>
  <c r="K1072" i="1"/>
  <c r="P1072" i="1" s="1"/>
  <c r="J1072" i="1"/>
  <c r="K1071" i="1"/>
  <c r="J1071" i="1"/>
  <c r="K1070" i="1"/>
  <c r="J1070" i="1"/>
  <c r="K1069" i="1"/>
  <c r="J1069" i="1"/>
  <c r="K1068" i="1"/>
  <c r="J1068" i="1"/>
  <c r="K1067" i="1"/>
  <c r="J1067" i="1"/>
  <c r="K1066" i="1"/>
  <c r="J1066" i="1"/>
  <c r="K1065" i="1"/>
  <c r="J1065" i="1"/>
  <c r="K1064" i="1"/>
  <c r="J1064" i="1"/>
  <c r="K1063" i="1"/>
  <c r="J1063" i="1"/>
  <c r="K1062" i="1"/>
  <c r="J1062" i="1"/>
  <c r="K1061" i="1"/>
  <c r="J1061" i="1"/>
  <c r="K1060" i="1"/>
  <c r="P1060" i="1" s="1"/>
  <c r="J1060" i="1"/>
  <c r="K1059" i="1"/>
  <c r="J1059" i="1"/>
  <c r="K1058" i="1"/>
  <c r="J1058" i="1"/>
  <c r="K1057" i="1"/>
  <c r="J1057" i="1"/>
  <c r="K1056" i="1"/>
  <c r="J1056" i="1"/>
  <c r="K1055" i="1"/>
  <c r="J1055" i="1"/>
  <c r="K1054" i="1"/>
  <c r="J1054" i="1"/>
  <c r="K1053" i="1"/>
  <c r="J1053" i="1"/>
  <c r="K1052" i="1"/>
  <c r="J1052" i="1"/>
  <c r="K1051" i="1"/>
  <c r="J1051" i="1"/>
  <c r="K1050" i="1"/>
  <c r="J1050" i="1"/>
  <c r="K1049" i="1"/>
  <c r="J1049" i="1"/>
  <c r="K1048" i="1"/>
  <c r="P1048" i="1" s="1"/>
  <c r="J1048" i="1"/>
  <c r="K1047" i="1"/>
  <c r="J1047" i="1"/>
  <c r="K1046" i="1"/>
  <c r="J1046" i="1"/>
  <c r="K1045" i="1"/>
  <c r="J1045" i="1"/>
  <c r="K1044" i="1"/>
  <c r="J1044" i="1"/>
  <c r="K1043" i="1"/>
  <c r="J1043" i="1"/>
  <c r="K1042" i="1"/>
  <c r="J1042" i="1"/>
  <c r="K1041" i="1"/>
  <c r="J1041" i="1"/>
  <c r="K1040" i="1"/>
  <c r="J1040" i="1"/>
  <c r="K1039" i="1"/>
  <c r="J1039" i="1"/>
  <c r="K1038" i="1"/>
  <c r="J1038" i="1"/>
  <c r="K1037" i="1"/>
  <c r="J1037" i="1"/>
  <c r="K1036" i="1"/>
  <c r="J1036" i="1"/>
  <c r="K1035" i="1"/>
  <c r="J1035" i="1"/>
  <c r="K1034" i="1"/>
  <c r="J1034" i="1"/>
  <c r="K1033" i="1"/>
  <c r="J1033" i="1"/>
  <c r="K1032" i="1"/>
  <c r="J1032" i="1"/>
  <c r="K1031" i="1"/>
  <c r="J1031" i="1"/>
  <c r="K1030" i="1"/>
  <c r="J1030" i="1"/>
  <c r="K1029" i="1"/>
  <c r="J1029" i="1"/>
  <c r="K1028" i="1"/>
  <c r="J1028" i="1"/>
  <c r="K1027" i="1"/>
  <c r="J1027" i="1"/>
  <c r="K1026" i="1"/>
  <c r="J1026" i="1"/>
  <c r="K1025" i="1"/>
  <c r="J1025" i="1"/>
  <c r="K1024" i="1"/>
  <c r="P1024" i="1" s="1"/>
  <c r="J1024" i="1"/>
  <c r="K1023" i="1"/>
  <c r="P1023" i="1" s="1"/>
  <c r="J1023" i="1"/>
  <c r="L1023" i="1" s="1"/>
  <c r="K1022" i="1"/>
  <c r="J1022" i="1"/>
  <c r="K1021" i="1"/>
  <c r="J1021" i="1"/>
  <c r="K1020" i="1"/>
  <c r="J1020" i="1"/>
  <c r="K1019" i="1"/>
  <c r="J1019" i="1"/>
  <c r="K1018" i="1"/>
  <c r="J1018" i="1"/>
  <c r="K1017" i="1"/>
  <c r="J1017" i="1"/>
  <c r="K1016" i="1"/>
  <c r="J1016" i="1"/>
  <c r="K1015" i="1"/>
  <c r="J1015" i="1"/>
  <c r="K1014" i="1"/>
  <c r="J1014" i="1"/>
  <c r="K1013" i="1"/>
  <c r="J1013" i="1"/>
  <c r="K1012" i="1"/>
  <c r="J1012" i="1"/>
  <c r="K1011" i="1"/>
  <c r="P1011" i="1" s="1"/>
  <c r="J1011" i="1"/>
  <c r="K1010" i="1"/>
  <c r="J1010" i="1"/>
  <c r="K1009" i="1"/>
  <c r="J1009" i="1"/>
  <c r="K1008" i="1"/>
  <c r="J1008" i="1"/>
  <c r="K1007" i="1"/>
  <c r="J1007" i="1"/>
  <c r="K1006" i="1"/>
  <c r="J1006" i="1"/>
  <c r="K1005" i="1"/>
  <c r="J1005" i="1"/>
  <c r="K1004" i="1"/>
  <c r="J1004" i="1"/>
  <c r="K1003" i="1"/>
  <c r="J1003" i="1"/>
  <c r="K1002" i="1"/>
  <c r="J1002" i="1"/>
  <c r="K1001" i="1"/>
  <c r="J1001" i="1"/>
  <c r="K1000" i="1"/>
  <c r="J1000" i="1"/>
  <c r="K999" i="1"/>
  <c r="J999" i="1"/>
  <c r="L999" i="1" s="1"/>
  <c r="K998" i="1"/>
  <c r="J998" i="1"/>
  <c r="K997" i="1"/>
  <c r="J997" i="1"/>
  <c r="K996" i="1"/>
  <c r="J996" i="1"/>
  <c r="K995" i="1"/>
  <c r="J995" i="1"/>
  <c r="K994" i="1"/>
  <c r="J994" i="1"/>
  <c r="K993" i="1"/>
  <c r="J993" i="1"/>
  <c r="K992" i="1"/>
  <c r="J992" i="1"/>
  <c r="K991" i="1"/>
  <c r="J991" i="1"/>
  <c r="K990" i="1"/>
  <c r="J990" i="1"/>
  <c r="K989" i="1"/>
  <c r="J989" i="1"/>
  <c r="K988" i="1"/>
  <c r="J988" i="1"/>
  <c r="K987" i="1"/>
  <c r="J987" i="1"/>
  <c r="K986" i="1"/>
  <c r="J986" i="1"/>
  <c r="K985" i="1"/>
  <c r="J985" i="1"/>
  <c r="K984" i="1"/>
  <c r="J984" i="1"/>
  <c r="K983" i="1"/>
  <c r="J983" i="1"/>
  <c r="K982" i="1"/>
  <c r="J982" i="1"/>
  <c r="K981" i="1"/>
  <c r="J981" i="1"/>
  <c r="K980" i="1"/>
  <c r="J980" i="1"/>
  <c r="K979" i="1"/>
  <c r="J979" i="1"/>
  <c r="K978" i="1"/>
  <c r="J978" i="1"/>
  <c r="K977" i="1"/>
  <c r="J977" i="1"/>
  <c r="K976" i="1"/>
  <c r="J976" i="1"/>
  <c r="K975" i="1"/>
  <c r="J975" i="1"/>
  <c r="L975" i="1" s="1"/>
  <c r="K974" i="1"/>
  <c r="J974" i="1"/>
  <c r="K973" i="1"/>
  <c r="J973" i="1"/>
  <c r="K972" i="1"/>
  <c r="J972" i="1"/>
  <c r="K971" i="1"/>
  <c r="J971" i="1"/>
  <c r="K970" i="1"/>
  <c r="J970" i="1"/>
  <c r="K969" i="1"/>
  <c r="J969" i="1"/>
  <c r="K968" i="1"/>
  <c r="J968" i="1"/>
  <c r="K967" i="1"/>
  <c r="J967" i="1"/>
  <c r="K966" i="1"/>
  <c r="J966" i="1"/>
  <c r="K965" i="1"/>
  <c r="J965" i="1"/>
  <c r="K964" i="1"/>
  <c r="J964" i="1"/>
  <c r="K963" i="1"/>
  <c r="P963" i="1" s="1"/>
  <c r="J963" i="1"/>
  <c r="K962" i="1"/>
  <c r="J962" i="1"/>
  <c r="K961" i="1"/>
  <c r="J961" i="1"/>
  <c r="K960" i="1"/>
  <c r="J960" i="1"/>
  <c r="K959" i="1"/>
  <c r="J959" i="1"/>
  <c r="K958" i="1"/>
  <c r="J958" i="1"/>
  <c r="K957" i="1"/>
  <c r="P957" i="1" s="1"/>
  <c r="J957" i="1"/>
  <c r="K956" i="1"/>
  <c r="J956" i="1"/>
  <c r="K955" i="1"/>
  <c r="J955" i="1"/>
  <c r="K954" i="1"/>
  <c r="J954" i="1"/>
  <c r="K953" i="1"/>
  <c r="J953" i="1"/>
  <c r="K952" i="1"/>
  <c r="J952" i="1"/>
  <c r="K951" i="1"/>
  <c r="J951" i="1"/>
  <c r="K950" i="1"/>
  <c r="J950" i="1"/>
  <c r="K949" i="1"/>
  <c r="J949" i="1"/>
  <c r="K948" i="1"/>
  <c r="J948" i="1"/>
  <c r="K947" i="1"/>
  <c r="J947" i="1"/>
  <c r="K946" i="1"/>
  <c r="J946" i="1"/>
  <c r="K945" i="1"/>
  <c r="J945" i="1"/>
  <c r="K944" i="1"/>
  <c r="J944" i="1"/>
  <c r="K943" i="1"/>
  <c r="J943" i="1"/>
  <c r="K942" i="1"/>
  <c r="J942" i="1"/>
  <c r="K941" i="1"/>
  <c r="J941" i="1"/>
  <c r="K940" i="1"/>
  <c r="J940" i="1"/>
  <c r="K939" i="1"/>
  <c r="J939" i="1"/>
  <c r="K938" i="1"/>
  <c r="J938" i="1"/>
  <c r="K937" i="1"/>
  <c r="J937" i="1"/>
  <c r="K936" i="1"/>
  <c r="J936" i="1"/>
  <c r="K935" i="1"/>
  <c r="J935" i="1"/>
  <c r="K934" i="1"/>
  <c r="P934" i="1" s="1"/>
  <c r="J934" i="1"/>
  <c r="K933" i="1"/>
  <c r="J933" i="1"/>
  <c r="K932" i="1"/>
  <c r="J932" i="1"/>
  <c r="K931" i="1"/>
  <c r="J931" i="1"/>
  <c r="K930" i="1"/>
  <c r="J930" i="1"/>
  <c r="K929" i="1"/>
  <c r="J929" i="1"/>
  <c r="K928" i="1"/>
  <c r="J928" i="1"/>
  <c r="K927" i="1"/>
  <c r="J927" i="1"/>
  <c r="K926" i="1"/>
  <c r="J926" i="1"/>
  <c r="K925" i="1"/>
  <c r="J925" i="1"/>
  <c r="K924" i="1"/>
  <c r="J924" i="1"/>
  <c r="K923" i="1"/>
  <c r="J923" i="1"/>
  <c r="K922" i="1"/>
  <c r="J922" i="1"/>
  <c r="K921" i="1"/>
  <c r="J921" i="1"/>
  <c r="K920" i="1"/>
  <c r="J920" i="1"/>
  <c r="L920" i="1" s="1"/>
  <c r="K919" i="1"/>
  <c r="J919" i="1"/>
  <c r="K918" i="1"/>
  <c r="J918" i="1"/>
  <c r="K917" i="1"/>
  <c r="J917" i="1"/>
  <c r="K916" i="1"/>
  <c r="J916" i="1"/>
  <c r="K915" i="1"/>
  <c r="J915" i="1"/>
  <c r="K914" i="1"/>
  <c r="J914" i="1"/>
  <c r="K913" i="1"/>
  <c r="J913" i="1"/>
  <c r="K912" i="1"/>
  <c r="J912" i="1"/>
  <c r="K911" i="1"/>
  <c r="J911" i="1"/>
  <c r="K910" i="1"/>
  <c r="J910" i="1"/>
  <c r="K909" i="1"/>
  <c r="J909" i="1"/>
  <c r="K908" i="1"/>
  <c r="J908" i="1"/>
  <c r="K907" i="1"/>
  <c r="J907" i="1"/>
  <c r="K906" i="1"/>
  <c r="J906" i="1"/>
  <c r="K905" i="1"/>
  <c r="J905" i="1"/>
  <c r="K904" i="1"/>
  <c r="J904" i="1"/>
  <c r="K903" i="1"/>
  <c r="J903" i="1"/>
  <c r="K902" i="1"/>
  <c r="J902" i="1"/>
  <c r="K901" i="1"/>
  <c r="J901" i="1"/>
  <c r="K900" i="1"/>
  <c r="J900" i="1"/>
  <c r="K899" i="1"/>
  <c r="J899" i="1"/>
  <c r="K898" i="1"/>
  <c r="J898" i="1"/>
  <c r="K897" i="1"/>
  <c r="J897" i="1"/>
  <c r="K896" i="1"/>
  <c r="J896" i="1"/>
  <c r="K895" i="1"/>
  <c r="J895" i="1"/>
  <c r="K894" i="1"/>
  <c r="J894" i="1"/>
  <c r="K893" i="1"/>
  <c r="J893" i="1"/>
  <c r="K892" i="1"/>
  <c r="J892" i="1"/>
  <c r="K891" i="1"/>
  <c r="J891" i="1"/>
  <c r="K890" i="1"/>
  <c r="J890" i="1"/>
  <c r="K889" i="1"/>
  <c r="J889" i="1"/>
  <c r="K888" i="1"/>
  <c r="J888" i="1"/>
  <c r="K887" i="1"/>
  <c r="J887" i="1"/>
  <c r="K886" i="1"/>
  <c r="J886" i="1"/>
  <c r="K885" i="1"/>
  <c r="J885" i="1"/>
  <c r="K884" i="1"/>
  <c r="J884" i="1"/>
  <c r="K883" i="1"/>
  <c r="J883" i="1"/>
  <c r="K882" i="1"/>
  <c r="J882" i="1"/>
  <c r="K881" i="1"/>
  <c r="J881" i="1"/>
  <c r="K880" i="1"/>
  <c r="J880" i="1"/>
  <c r="K879" i="1"/>
  <c r="J879" i="1"/>
  <c r="O879" i="1" s="1"/>
  <c r="K878" i="1"/>
  <c r="J878" i="1"/>
  <c r="K877" i="1"/>
  <c r="J877" i="1"/>
  <c r="K876" i="1"/>
  <c r="J876" i="1"/>
  <c r="K875" i="1"/>
  <c r="J875" i="1"/>
  <c r="K874" i="1"/>
  <c r="J874" i="1"/>
  <c r="K873" i="1"/>
  <c r="J873" i="1"/>
  <c r="O873" i="1" s="1"/>
  <c r="K872" i="1"/>
  <c r="J872" i="1"/>
  <c r="K871" i="1"/>
  <c r="J871" i="1"/>
  <c r="K870" i="1"/>
  <c r="J870" i="1"/>
  <c r="K869" i="1"/>
  <c r="J869" i="1"/>
  <c r="K868" i="1"/>
  <c r="P868" i="1" s="1"/>
  <c r="J868" i="1"/>
  <c r="K867" i="1"/>
  <c r="J867" i="1"/>
  <c r="K866" i="1"/>
  <c r="J866" i="1"/>
  <c r="K865" i="1"/>
  <c r="J865" i="1"/>
  <c r="K864" i="1"/>
  <c r="J864" i="1"/>
  <c r="K863" i="1"/>
  <c r="J863" i="1"/>
  <c r="K862" i="1"/>
  <c r="P862" i="1" s="1"/>
  <c r="J862" i="1"/>
  <c r="K861" i="1"/>
  <c r="J861" i="1"/>
  <c r="K860" i="1"/>
  <c r="J860" i="1"/>
  <c r="K859" i="1"/>
  <c r="J859" i="1"/>
  <c r="K858" i="1"/>
  <c r="J858" i="1"/>
  <c r="K857" i="1"/>
  <c r="J857" i="1"/>
  <c r="K856" i="1"/>
  <c r="P856" i="1" s="1"/>
  <c r="J856" i="1"/>
  <c r="K855" i="1"/>
  <c r="J855" i="1"/>
  <c r="K854" i="1"/>
  <c r="J854" i="1"/>
  <c r="K853" i="1"/>
  <c r="J853" i="1"/>
  <c r="K852" i="1"/>
  <c r="J852" i="1"/>
  <c r="K851" i="1"/>
  <c r="J851" i="1"/>
  <c r="K850" i="1"/>
  <c r="P850" i="1" s="1"/>
  <c r="J850" i="1"/>
  <c r="K849" i="1"/>
  <c r="J849" i="1"/>
  <c r="K848" i="1"/>
  <c r="J848" i="1"/>
  <c r="K847" i="1"/>
  <c r="J847" i="1"/>
  <c r="K846" i="1"/>
  <c r="J846" i="1"/>
  <c r="K845" i="1"/>
  <c r="J845" i="1"/>
  <c r="K844" i="1"/>
  <c r="J844" i="1"/>
  <c r="K843" i="1"/>
  <c r="J843" i="1"/>
  <c r="K842" i="1"/>
  <c r="J842" i="1"/>
  <c r="K841" i="1"/>
  <c r="J841" i="1"/>
  <c r="K840" i="1"/>
  <c r="J840" i="1"/>
  <c r="K839" i="1"/>
  <c r="J839" i="1"/>
  <c r="K838" i="1"/>
  <c r="J838" i="1"/>
  <c r="K837" i="1"/>
  <c r="J837" i="1"/>
  <c r="K836" i="1"/>
  <c r="J836" i="1"/>
  <c r="K835" i="1"/>
  <c r="J835" i="1"/>
  <c r="K834" i="1"/>
  <c r="J834" i="1"/>
  <c r="K833" i="1"/>
  <c r="J833" i="1"/>
  <c r="K832" i="1"/>
  <c r="J832" i="1"/>
  <c r="K831" i="1"/>
  <c r="P831" i="1" s="1"/>
  <c r="J831" i="1"/>
  <c r="O831" i="1" s="1"/>
  <c r="K830" i="1"/>
  <c r="J830" i="1"/>
  <c r="K829" i="1"/>
  <c r="J829" i="1"/>
  <c r="K828" i="1"/>
  <c r="J828" i="1"/>
  <c r="K827" i="1"/>
  <c r="J827" i="1"/>
  <c r="K826" i="1"/>
  <c r="J826" i="1"/>
  <c r="K825" i="1"/>
  <c r="J825" i="1"/>
  <c r="K824" i="1"/>
  <c r="J824" i="1"/>
  <c r="K823" i="1"/>
  <c r="J823" i="1"/>
  <c r="K822" i="1"/>
  <c r="J822" i="1"/>
  <c r="K821" i="1"/>
  <c r="J821" i="1"/>
  <c r="K820" i="1"/>
  <c r="J820" i="1"/>
  <c r="K819" i="1"/>
  <c r="J819" i="1"/>
  <c r="K818" i="1"/>
  <c r="J818" i="1"/>
  <c r="K817" i="1"/>
  <c r="J817" i="1"/>
  <c r="K816" i="1"/>
  <c r="J816" i="1"/>
  <c r="K815" i="1"/>
  <c r="J815" i="1"/>
  <c r="K814" i="1"/>
  <c r="J814" i="1"/>
  <c r="K813" i="1"/>
  <c r="J813" i="1"/>
  <c r="K812" i="1"/>
  <c r="J812" i="1"/>
  <c r="K811" i="1"/>
  <c r="J811" i="1"/>
  <c r="K810" i="1"/>
  <c r="J810" i="1"/>
  <c r="K809" i="1"/>
  <c r="J809" i="1"/>
  <c r="K808" i="1"/>
  <c r="J808" i="1"/>
  <c r="K807" i="1"/>
  <c r="P807" i="1" s="1"/>
  <c r="J807" i="1"/>
  <c r="K806" i="1"/>
  <c r="J806" i="1"/>
  <c r="K805" i="1"/>
  <c r="J805" i="1"/>
  <c r="K804" i="1"/>
  <c r="J804" i="1"/>
  <c r="K803" i="1"/>
  <c r="J803" i="1"/>
  <c r="K802" i="1"/>
  <c r="J802" i="1"/>
  <c r="K801" i="1"/>
  <c r="J801" i="1"/>
  <c r="K800" i="1"/>
  <c r="J800" i="1"/>
  <c r="K799" i="1"/>
  <c r="J799" i="1"/>
  <c r="K798" i="1"/>
  <c r="J798" i="1"/>
  <c r="K797" i="1"/>
  <c r="J797" i="1"/>
  <c r="K796" i="1"/>
  <c r="J796" i="1"/>
  <c r="K795" i="1"/>
  <c r="J795" i="1"/>
  <c r="K794" i="1"/>
  <c r="J794" i="1"/>
  <c r="K793" i="1"/>
  <c r="J793" i="1"/>
  <c r="K792" i="1"/>
  <c r="J792" i="1"/>
  <c r="K791" i="1"/>
  <c r="J791" i="1"/>
  <c r="K790" i="1"/>
  <c r="J790" i="1"/>
  <c r="K789" i="1"/>
  <c r="J789" i="1"/>
  <c r="K788" i="1"/>
  <c r="J788" i="1"/>
  <c r="K787" i="1"/>
  <c r="J787" i="1"/>
  <c r="K786" i="1"/>
  <c r="J786" i="1"/>
  <c r="K785" i="1"/>
  <c r="J785" i="1"/>
  <c r="K784" i="1"/>
  <c r="J784" i="1"/>
  <c r="K783" i="1"/>
  <c r="J783" i="1"/>
  <c r="K782" i="1"/>
  <c r="J782" i="1"/>
  <c r="K781" i="1"/>
  <c r="J781" i="1"/>
  <c r="K780" i="1"/>
  <c r="J780" i="1"/>
  <c r="K779" i="1"/>
  <c r="J779" i="1"/>
  <c r="K778" i="1"/>
  <c r="J778" i="1"/>
  <c r="K777" i="1"/>
  <c r="J777" i="1"/>
  <c r="K776" i="1"/>
  <c r="J776" i="1"/>
  <c r="K775" i="1"/>
  <c r="J775" i="1"/>
  <c r="K774" i="1"/>
  <c r="J774" i="1"/>
  <c r="K773" i="1"/>
  <c r="J773" i="1"/>
  <c r="K772" i="1"/>
  <c r="J772" i="1"/>
  <c r="K771" i="1"/>
  <c r="J771" i="1"/>
  <c r="K770" i="1"/>
  <c r="J770" i="1"/>
  <c r="K769" i="1"/>
  <c r="J769" i="1"/>
  <c r="K768" i="1"/>
  <c r="J768" i="1"/>
  <c r="K767" i="1"/>
  <c r="J767" i="1"/>
  <c r="K766" i="1"/>
  <c r="J766" i="1"/>
  <c r="K765" i="1"/>
  <c r="J765" i="1"/>
  <c r="K764" i="1"/>
  <c r="J764" i="1"/>
  <c r="K763" i="1"/>
  <c r="J763" i="1"/>
  <c r="K762" i="1"/>
  <c r="J762" i="1"/>
  <c r="K761" i="1"/>
  <c r="J761" i="1"/>
  <c r="K760" i="1"/>
  <c r="J760" i="1"/>
  <c r="K759" i="1"/>
  <c r="J759" i="1"/>
  <c r="K758" i="1"/>
  <c r="J758" i="1"/>
  <c r="K757" i="1"/>
  <c r="J757" i="1"/>
  <c r="K756" i="1"/>
  <c r="J756" i="1"/>
  <c r="K755" i="1"/>
  <c r="J755" i="1"/>
  <c r="K754" i="1"/>
  <c r="J754" i="1"/>
  <c r="K753" i="1"/>
  <c r="J753" i="1"/>
  <c r="K752" i="1"/>
  <c r="J752" i="1"/>
  <c r="K751" i="1"/>
  <c r="J751" i="1"/>
  <c r="K750" i="1"/>
  <c r="J750" i="1"/>
  <c r="K749" i="1"/>
  <c r="J749" i="1"/>
  <c r="K748" i="1"/>
  <c r="J748" i="1"/>
  <c r="K747" i="1"/>
  <c r="J747" i="1"/>
  <c r="K746" i="1"/>
  <c r="J746" i="1"/>
  <c r="K745" i="1"/>
  <c r="J745" i="1"/>
  <c r="K744" i="1"/>
  <c r="J744" i="1"/>
  <c r="K743" i="1"/>
  <c r="J743" i="1"/>
  <c r="K742" i="1"/>
  <c r="J742" i="1"/>
  <c r="K741" i="1"/>
  <c r="J741" i="1"/>
  <c r="K740" i="1"/>
  <c r="J740" i="1"/>
  <c r="K739" i="1"/>
  <c r="J739" i="1"/>
  <c r="K738" i="1"/>
  <c r="J738" i="1"/>
  <c r="K737" i="1"/>
  <c r="J737" i="1"/>
  <c r="K736" i="1"/>
  <c r="J736" i="1"/>
  <c r="K735" i="1"/>
  <c r="J735" i="1"/>
  <c r="K734" i="1"/>
  <c r="J734" i="1"/>
  <c r="K733" i="1"/>
  <c r="J733" i="1"/>
  <c r="K732" i="1"/>
  <c r="J732" i="1"/>
  <c r="K731" i="1"/>
  <c r="J731" i="1"/>
  <c r="K730" i="1"/>
  <c r="J730" i="1"/>
  <c r="K729" i="1"/>
  <c r="J729" i="1"/>
  <c r="K728" i="1"/>
  <c r="J728" i="1"/>
  <c r="K727" i="1"/>
  <c r="J727" i="1"/>
  <c r="K726" i="1"/>
  <c r="J726" i="1"/>
  <c r="K725" i="1"/>
  <c r="J725" i="1"/>
  <c r="K724" i="1"/>
  <c r="J724" i="1"/>
  <c r="K723" i="1"/>
  <c r="J723" i="1"/>
  <c r="K722" i="1"/>
  <c r="J722" i="1"/>
  <c r="K721" i="1"/>
  <c r="J721" i="1"/>
  <c r="K720" i="1"/>
  <c r="J720" i="1"/>
  <c r="K719" i="1"/>
  <c r="J719" i="1"/>
  <c r="K718" i="1"/>
  <c r="J718" i="1"/>
  <c r="K717" i="1"/>
  <c r="J717" i="1"/>
  <c r="K716" i="1"/>
  <c r="J716" i="1"/>
  <c r="K715" i="1"/>
  <c r="J715" i="1"/>
  <c r="K714" i="1"/>
  <c r="J714" i="1"/>
  <c r="K713" i="1"/>
  <c r="J713" i="1"/>
  <c r="K712" i="1"/>
  <c r="J712" i="1"/>
  <c r="K711" i="1"/>
  <c r="J711" i="1"/>
  <c r="K710" i="1"/>
  <c r="J710" i="1"/>
  <c r="K709" i="1"/>
  <c r="J709" i="1"/>
  <c r="K708" i="1"/>
  <c r="J708" i="1"/>
  <c r="K707" i="1"/>
  <c r="J707" i="1"/>
  <c r="K706" i="1"/>
  <c r="J706" i="1"/>
  <c r="K705" i="1"/>
  <c r="J705" i="1"/>
  <c r="K704" i="1"/>
  <c r="J704" i="1"/>
  <c r="K703" i="1"/>
  <c r="J703" i="1"/>
  <c r="K702" i="1"/>
  <c r="J702" i="1"/>
  <c r="K701" i="1"/>
  <c r="J701" i="1"/>
  <c r="K700" i="1"/>
  <c r="J700" i="1"/>
  <c r="K699" i="1"/>
  <c r="J699" i="1"/>
  <c r="K698" i="1"/>
  <c r="J698" i="1"/>
  <c r="K697" i="1"/>
  <c r="J697" i="1"/>
  <c r="K696" i="1"/>
  <c r="J696" i="1"/>
  <c r="K695" i="1"/>
  <c r="J695" i="1"/>
  <c r="K694" i="1"/>
  <c r="J694" i="1"/>
  <c r="K693" i="1"/>
  <c r="J693" i="1"/>
  <c r="K692" i="1"/>
  <c r="J692" i="1"/>
  <c r="K691" i="1"/>
  <c r="J691" i="1"/>
  <c r="K690" i="1"/>
  <c r="J690" i="1"/>
  <c r="K689" i="1"/>
  <c r="J689" i="1"/>
  <c r="K688" i="1"/>
  <c r="J688" i="1"/>
  <c r="K687" i="1"/>
  <c r="J687" i="1"/>
  <c r="K686" i="1"/>
  <c r="J686" i="1"/>
  <c r="K685" i="1"/>
  <c r="J685" i="1"/>
  <c r="K684" i="1"/>
  <c r="J684" i="1"/>
  <c r="K683" i="1"/>
  <c r="J683" i="1"/>
  <c r="K682" i="1"/>
  <c r="J682" i="1"/>
  <c r="K681" i="1"/>
  <c r="J681" i="1"/>
  <c r="K680" i="1"/>
  <c r="J680" i="1"/>
  <c r="K679" i="1"/>
  <c r="J679" i="1"/>
  <c r="K678" i="1"/>
  <c r="J678" i="1"/>
  <c r="K677" i="1"/>
  <c r="J677" i="1"/>
  <c r="K676" i="1"/>
  <c r="J676" i="1"/>
  <c r="K675" i="1"/>
  <c r="J675" i="1"/>
  <c r="K674" i="1"/>
  <c r="J674" i="1"/>
  <c r="K673" i="1"/>
  <c r="J673" i="1"/>
  <c r="K672" i="1"/>
  <c r="J672" i="1"/>
  <c r="K671" i="1"/>
  <c r="J671" i="1"/>
  <c r="K670" i="1"/>
  <c r="J670" i="1"/>
  <c r="K669" i="1"/>
  <c r="J669" i="1"/>
  <c r="K668" i="1"/>
  <c r="J668" i="1"/>
  <c r="K667" i="1"/>
  <c r="J667" i="1"/>
  <c r="K666" i="1"/>
  <c r="J666" i="1"/>
  <c r="K665" i="1"/>
  <c r="J665" i="1"/>
  <c r="K664" i="1"/>
  <c r="J664" i="1"/>
  <c r="K663" i="1"/>
  <c r="J663" i="1"/>
  <c r="K662" i="1"/>
  <c r="J662" i="1"/>
  <c r="K661" i="1"/>
  <c r="J661" i="1"/>
  <c r="K660" i="1"/>
  <c r="J660" i="1"/>
  <c r="K659" i="1"/>
  <c r="J659" i="1"/>
  <c r="K658" i="1"/>
  <c r="J658" i="1"/>
  <c r="K657" i="1"/>
  <c r="J657" i="1"/>
  <c r="K656" i="1"/>
  <c r="J656" i="1"/>
  <c r="K655" i="1"/>
  <c r="J655" i="1"/>
  <c r="K654" i="1"/>
  <c r="J654" i="1"/>
  <c r="K653" i="1"/>
  <c r="J653" i="1"/>
  <c r="K652" i="1"/>
  <c r="J652" i="1"/>
  <c r="K651" i="1"/>
  <c r="J651" i="1"/>
  <c r="K650" i="1"/>
  <c r="J650" i="1"/>
  <c r="K649" i="1"/>
  <c r="J649" i="1"/>
  <c r="K648" i="1"/>
  <c r="J648" i="1"/>
  <c r="K647" i="1"/>
  <c r="J647" i="1"/>
  <c r="K646" i="1"/>
  <c r="J646" i="1"/>
  <c r="K645" i="1"/>
  <c r="J645" i="1"/>
  <c r="K644" i="1"/>
  <c r="J644" i="1"/>
  <c r="K643" i="1"/>
  <c r="J643" i="1"/>
  <c r="K642" i="1"/>
  <c r="J642" i="1"/>
  <c r="K641" i="1"/>
  <c r="J641" i="1"/>
  <c r="K640" i="1"/>
  <c r="J640" i="1"/>
  <c r="K639" i="1"/>
  <c r="J639" i="1"/>
  <c r="K638" i="1"/>
  <c r="J638" i="1"/>
  <c r="K637" i="1"/>
  <c r="J637" i="1"/>
  <c r="K636" i="1"/>
  <c r="J636" i="1"/>
  <c r="K635" i="1"/>
  <c r="J635" i="1"/>
  <c r="K634" i="1"/>
  <c r="J634" i="1"/>
  <c r="K633" i="1"/>
  <c r="J633" i="1"/>
  <c r="K632" i="1"/>
  <c r="J632" i="1"/>
  <c r="K631" i="1"/>
  <c r="J631" i="1"/>
  <c r="K630" i="1"/>
  <c r="J630" i="1"/>
  <c r="K629" i="1"/>
  <c r="J629" i="1"/>
  <c r="K628" i="1"/>
  <c r="J628" i="1"/>
  <c r="K627" i="1"/>
  <c r="J627" i="1"/>
  <c r="K626" i="1"/>
  <c r="J626" i="1"/>
  <c r="K625" i="1"/>
  <c r="J625" i="1"/>
  <c r="K624" i="1"/>
  <c r="J624" i="1"/>
  <c r="K623" i="1"/>
  <c r="J623" i="1"/>
  <c r="K622" i="1"/>
  <c r="J622" i="1"/>
  <c r="K621" i="1"/>
  <c r="J621" i="1"/>
  <c r="K620" i="1"/>
  <c r="J620" i="1"/>
  <c r="K619" i="1"/>
  <c r="J619" i="1"/>
  <c r="K618" i="1"/>
  <c r="J618" i="1"/>
  <c r="K617" i="1"/>
  <c r="J617" i="1"/>
  <c r="K616" i="1"/>
  <c r="J616" i="1"/>
  <c r="K615" i="1"/>
  <c r="J615" i="1"/>
  <c r="K614" i="1"/>
  <c r="J614" i="1"/>
  <c r="K613" i="1"/>
  <c r="J613" i="1"/>
  <c r="K612" i="1"/>
  <c r="J612" i="1"/>
  <c r="K611" i="1"/>
  <c r="J611" i="1"/>
  <c r="K610" i="1"/>
  <c r="J610" i="1"/>
  <c r="K609" i="1"/>
  <c r="J609" i="1"/>
  <c r="K608" i="1"/>
  <c r="J608" i="1"/>
  <c r="K607" i="1"/>
  <c r="J607" i="1"/>
  <c r="K606" i="1"/>
  <c r="J606" i="1"/>
  <c r="K605" i="1"/>
  <c r="J605" i="1"/>
  <c r="K604" i="1"/>
  <c r="J604" i="1"/>
  <c r="K603" i="1"/>
  <c r="J603" i="1"/>
  <c r="K602" i="1"/>
  <c r="J602" i="1"/>
  <c r="K601" i="1"/>
  <c r="J601" i="1"/>
  <c r="K600" i="1"/>
  <c r="J600" i="1"/>
  <c r="K599" i="1"/>
  <c r="J599" i="1"/>
  <c r="K598" i="1"/>
  <c r="J598" i="1"/>
  <c r="K597" i="1"/>
  <c r="J597" i="1"/>
  <c r="K596" i="1"/>
  <c r="J596" i="1"/>
  <c r="K595" i="1"/>
  <c r="J595" i="1"/>
  <c r="K594" i="1"/>
  <c r="J594" i="1"/>
  <c r="K593" i="1"/>
  <c r="J593" i="1"/>
  <c r="K592" i="1"/>
  <c r="J592" i="1"/>
  <c r="K591" i="1"/>
  <c r="J591" i="1"/>
  <c r="K590" i="1"/>
  <c r="J590" i="1"/>
  <c r="K589" i="1"/>
  <c r="J589" i="1"/>
  <c r="K588" i="1"/>
  <c r="J588" i="1"/>
  <c r="K587" i="1"/>
  <c r="J587" i="1"/>
  <c r="K586" i="1"/>
  <c r="J586" i="1"/>
  <c r="K585" i="1"/>
  <c r="J585" i="1"/>
  <c r="K584" i="1"/>
  <c r="J584" i="1"/>
  <c r="K583" i="1"/>
  <c r="J583" i="1"/>
  <c r="K582" i="1"/>
  <c r="J582" i="1"/>
  <c r="K581" i="1"/>
  <c r="J581" i="1"/>
  <c r="K580" i="1"/>
  <c r="J580" i="1"/>
  <c r="K579" i="1"/>
  <c r="J579" i="1"/>
  <c r="K578" i="1"/>
  <c r="J578" i="1"/>
  <c r="K577" i="1"/>
  <c r="J577" i="1"/>
  <c r="K576" i="1"/>
  <c r="J576" i="1"/>
  <c r="K575" i="1"/>
  <c r="J575" i="1"/>
  <c r="K574" i="1"/>
  <c r="J574" i="1"/>
  <c r="K573" i="1"/>
  <c r="J573" i="1"/>
  <c r="K572" i="1"/>
  <c r="J572" i="1"/>
  <c r="K571" i="1"/>
  <c r="J571" i="1"/>
  <c r="K570" i="1"/>
  <c r="J570" i="1"/>
  <c r="K569" i="1"/>
  <c r="J569" i="1"/>
  <c r="K568" i="1"/>
  <c r="J568" i="1"/>
  <c r="K567" i="1"/>
  <c r="J567" i="1"/>
  <c r="K566" i="1"/>
  <c r="J566" i="1"/>
  <c r="K565" i="1"/>
  <c r="J565" i="1"/>
  <c r="K564" i="1"/>
  <c r="J564" i="1"/>
  <c r="K563" i="1"/>
  <c r="J563" i="1"/>
  <c r="K562" i="1"/>
  <c r="J562" i="1"/>
  <c r="K561" i="1"/>
  <c r="J561" i="1"/>
  <c r="K560" i="1"/>
  <c r="J560" i="1"/>
  <c r="K559" i="1"/>
  <c r="J559" i="1"/>
  <c r="K558" i="1"/>
  <c r="J558" i="1"/>
  <c r="K557" i="1"/>
  <c r="J557" i="1"/>
  <c r="K556" i="1"/>
  <c r="J556" i="1"/>
  <c r="K555" i="1"/>
  <c r="J555" i="1"/>
  <c r="K554" i="1"/>
  <c r="J554" i="1"/>
  <c r="K553" i="1"/>
  <c r="J553" i="1"/>
  <c r="K552" i="1"/>
  <c r="J552" i="1"/>
  <c r="K551" i="1"/>
  <c r="J551" i="1"/>
  <c r="K550" i="1"/>
  <c r="J550" i="1"/>
  <c r="K549" i="1"/>
  <c r="J549" i="1"/>
  <c r="K548" i="1"/>
  <c r="J548" i="1"/>
  <c r="K547" i="1"/>
  <c r="J547" i="1"/>
  <c r="K546" i="1"/>
  <c r="J546" i="1"/>
  <c r="K545" i="1"/>
  <c r="J545" i="1"/>
  <c r="K544" i="1"/>
  <c r="J544" i="1"/>
  <c r="K543" i="1"/>
  <c r="J543" i="1"/>
  <c r="K542" i="1"/>
  <c r="J542" i="1"/>
  <c r="K541" i="1"/>
  <c r="J541" i="1"/>
  <c r="K540" i="1"/>
  <c r="J540" i="1"/>
  <c r="K539" i="1"/>
  <c r="J539" i="1"/>
  <c r="K538" i="1"/>
  <c r="J538" i="1"/>
  <c r="K537" i="1"/>
  <c r="J537" i="1"/>
  <c r="K536" i="1"/>
  <c r="J536" i="1"/>
  <c r="K535" i="1"/>
  <c r="J535" i="1"/>
  <c r="K534" i="1"/>
  <c r="J534" i="1"/>
  <c r="K533" i="1"/>
  <c r="J533" i="1"/>
  <c r="K532" i="1"/>
  <c r="J532" i="1"/>
  <c r="K531" i="1"/>
  <c r="J531" i="1"/>
  <c r="K530" i="1"/>
  <c r="J530" i="1"/>
  <c r="K529" i="1"/>
  <c r="J529" i="1"/>
  <c r="K528" i="1"/>
  <c r="J528" i="1"/>
  <c r="K527" i="1"/>
  <c r="J527" i="1"/>
  <c r="K526" i="1"/>
  <c r="J526" i="1"/>
  <c r="K525" i="1"/>
  <c r="J525" i="1"/>
  <c r="K524" i="1"/>
  <c r="J524" i="1"/>
  <c r="K523" i="1"/>
  <c r="J523" i="1"/>
  <c r="K522" i="1"/>
  <c r="J522" i="1"/>
  <c r="K521" i="1"/>
  <c r="J521" i="1"/>
  <c r="K520" i="1"/>
  <c r="J520" i="1"/>
  <c r="K519" i="1"/>
  <c r="J519" i="1"/>
  <c r="K518" i="1"/>
  <c r="J518" i="1"/>
  <c r="K517" i="1"/>
  <c r="J517" i="1"/>
  <c r="K516" i="1"/>
  <c r="J516" i="1"/>
  <c r="K515" i="1"/>
  <c r="J515" i="1"/>
  <c r="K514" i="1"/>
  <c r="J514" i="1"/>
  <c r="K513" i="1"/>
  <c r="J513" i="1"/>
  <c r="K512" i="1"/>
  <c r="J512" i="1"/>
  <c r="K511" i="1"/>
  <c r="J511" i="1"/>
  <c r="K510" i="1"/>
  <c r="J510" i="1"/>
  <c r="K509" i="1"/>
  <c r="J509" i="1"/>
  <c r="K508" i="1"/>
  <c r="J508" i="1"/>
  <c r="K507" i="1"/>
  <c r="J507" i="1"/>
  <c r="K506" i="1"/>
  <c r="J506" i="1"/>
  <c r="K505" i="1"/>
  <c r="J505" i="1"/>
  <c r="K504" i="1"/>
  <c r="J504" i="1"/>
  <c r="K503" i="1"/>
  <c r="J503" i="1"/>
  <c r="K502" i="1"/>
  <c r="J502" i="1"/>
  <c r="K501" i="1"/>
  <c r="J501" i="1"/>
  <c r="K500" i="1"/>
  <c r="J500" i="1"/>
  <c r="K499" i="1"/>
  <c r="J499" i="1"/>
  <c r="K498" i="1"/>
  <c r="J498" i="1"/>
  <c r="K497" i="1"/>
  <c r="J497" i="1"/>
  <c r="K496" i="1"/>
  <c r="J496" i="1"/>
  <c r="K495" i="1"/>
  <c r="J495" i="1"/>
  <c r="K494" i="1"/>
  <c r="J494" i="1"/>
  <c r="K493" i="1"/>
  <c r="J493" i="1"/>
  <c r="K492" i="1"/>
  <c r="J492" i="1"/>
  <c r="K491" i="1"/>
  <c r="J491" i="1"/>
  <c r="K490" i="1"/>
  <c r="J490" i="1"/>
  <c r="K489" i="1"/>
  <c r="J489" i="1"/>
  <c r="K488" i="1"/>
  <c r="J488" i="1"/>
  <c r="K487" i="1"/>
  <c r="J487" i="1"/>
  <c r="K486" i="1"/>
  <c r="J486" i="1"/>
  <c r="K485" i="1"/>
  <c r="J485" i="1"/>
  <c r="K484" i="1"/>
  <c r="J484" i="1"/>
  <c r="K483" i="1"/>
  <c r="J483" i="1"/>
  <c r="K482" i="1"/>
  <c r="J482" i="1"/>
  <c r="K481" i="1"/>
  <c r="J481" i="1"/>
  <c r="K480" i="1"/>
  <c r="J480" i="1"/>
  <c r="K479" i="1"/>
  <c r="J479" i="1"/>
  <c r="K478" i="1"/>
  <c r="J478" i="1"/>
  <c r="K477" i="1"/>
  <c r="J477" i="1"/>
  <c r="K476" i="1"/>
  <c r="J476" i="1"/>
  <c r="K475" i="1"/>
  <c r="J475" i="1"/>
  <c r="K474" i="1"/>
  <c r="J474" i="1"/>
  <c r="K473" i="1"/>
  <c r="J473" i="1"/>
  <c r="K472" i="1"/>
  <c r="J472" i="1"/>
  <c r="K471" i="1"/>
  <c r="J471" i="1"/>
  <c r="K470" i="1"/>
  <c r="J470" i="1"/>
  <c r="K469" i="1"/>
  <c r="J469" i="1"/>
  <c r="K468" i="1"/>
  <c r="J468" i="1"/>
  <c r="K467" i="1"/>
  <c r="J467" i="1"/>
  <c r="K466" i="1"/>
  <c r="J466" i="1"/>
  <c r="K465" i="1"/>
  <c r="J465" i="1"/>
  <c r="K464" i="1"/>
  <c r="J464" i="1"/>
  <c r="K463" i="1"/>
  <c r="J463" i="1"/>
  <c r="K462" i="1"/>
  <c r="J462" i="1"/>
  <c r="K461" i="1"/>
  <c r="J461" i="1"/>
  <c r="K460" i="1"/>
  <c r="J460" i="1"/>
  <c r="K459" i="1"/>
  <c r="J459" i="1"/>
  <c r="K458" i="1"/>
  <c r="J458" i="1"/>
  <c r="K457" i="1"/>
  <c r="J457" i="1"/>
  <c r="K456" i="1"/>
  <c r="J456" i="1"/>
  <c r="K455" i="1"/>
  <c r="J455" i="1"/>
  <c r="K454" i="1"/>
  <c r="J454" i="1"/>
  <c r="K453" i="1"/>
  <c r="J453" i="1"/>
  <c r="K452" i="1"/>
  <c r="J452" i="1"/>
  <c r="K451" i="1"/>
  <c r="J451" i="1"/>
  <c r="K450" i="1"/>
  <c r="J450" i="1"/>
  <c r="K449" i="1"/>
  <c r="J449" i="1"/>
  <c r="K448" i="1"/>
  <c r="J448" i="1"/>
  <c r="K447" i="1"/>
  <c r="J447" i="1"/>
  <c r="K446" i="1"/>
  <c r="J446" i="1"/>
  <c r="K445" i="1"/>
  <c r="J445" i="1"/>
  <c r="K444" i="1"/>
  <c r="J444" i="1"/>
  <c r="K443" i="1"/>
  <c r="J443" i="1"/>
  <c r="K442" i="1"/>
  <c r="J442" i="1"/>
  <c r="K441" i="1"/>
  <c r="J441" i="1"/>
  <c r="K440" i="1"/>
  <c r="J440" i="1"/>
  <c r="K439" i="1"/>
  <c r="J439" i="1"/>
  <c r="K438" i="1"/>
  <c r="J438" i="1"/>
  <c r="K437" i="1"/>
  <c r="J437" i="1"/>
  <c r="K436" i="1"/>
  <c r="J436" i="1"/>
  <c r="K435" i="1"/>
  <c r="J435" i="1"/>
  <c r="K434" i="1"/>
  <c r="J434" i="1"/>
  <c r="K433" i="1"/>
  <c r="J433" i="1"/>
  <c r="K432" i="1"/>
  <c r="J432" i="1"/>
  <c r="K431" i="1"/>
  <c r="J431" i="1"/>
  <c r="K430" i="1"/>
  <c r="J430" i="1"/>
  <c r="K429" i="1"/>
  <c r="J429" i="1"/>
  <c r="K428" i="1"/>
  <c r="J428" i="1"/>
  <c r="K427" i="1"/>
  <c r="J427" i="1"/>
  <c r="K426" i="1"/>
  <c r="J426" i="1"/>
  <c r="K425" i="1"/>
  <c r="J425" i="1"/>
  <c r="K424" i="1"/>
  <c r="J424" i="1"/>
  <c r="K423" i="1"/>
  <c r="J423" i="1"/>
  <c r="K422" i="1"/>
  <c r="J422" i="1"/>
  <c r="K421" i="1"/>
  <c r="J421" i="1"/>
  <c r="K420" i="1"/>
  <c r="J420" i="1"/>
  <c r="K419" i="1"/>
  <c r="J419" i="1"/>
  <c r="K418" i="1"/>
  <c r="J418" i="1"/>
  <c r="K417" i="1"/>
  <c r="J417" i="1"/>
  <c r="K416" i="1"/>
  <c r="J416" i="1"/>
  <c r="K415" i="1"/>
  <c r="J415" i="1"/>
  <c r="K414" i="1"/>
  <c r="J414" i="1"/>
  <c r="K413" i="1"/>
  <c r="J413" i="1"/>
  <c r="K412" i="1"/>
  <c r="J412" i="1"/>
  <c r="K411" i="1"/>
  <c r="J411" i="1"/>
  <c r="K410" i="1"/>
  <c r="J410" i="1"/>
  <c r="K409" i="1"/>
  <c r="J409" i="1"/>
  <c r="K408" i="1"/>
  <c r="J408" i="1"/>
  <c r="K407" i="1"/>
  <c r="J407" i="1"/>
  <c r="K406" i="1"/>
  <c r="J406" i="1"/>
  <c r="K405" i="1"/>
  <c r="J405" i="1"/>
  <c r="K404" i="1"/>
  <c r="J404" i="1"/>
  <c r="K403" i="1"/>
  <c r="J403" i="1"/>
  <c r="K402" i="1"/>
  <c r="J402" i="1"/>
  <c r="K401" i="1"/>
  <c r="J401" i="1"/>
  <c r="K400" i="1"/>
  <c r="J400" i="1"/>
  <c r="K399" i="1"/>
  <c r="J399" i="1"/>
  <c r="K398" i="1"/>
  <c r="J398" i="1"/>
  <c r="K397" i="1"/>
  <c r="J397" i="1"/>
  <c r="K396" i="1"/>
  <c r="J396" i="1"/>
  <c r="K395" i="1"/>
  <c r="J395" i="1"/>
  <c r="K394" i="1"/>
  <c r="J394" i="1"/>
  <c r="K393" i="1"/>
  <c r="J393" i="1"/>
  <c r="K392" i="1"/>
  <c r="J392" i="1"/>
  <c r="K391" i="1"/>
  <c r="J391" i="1"/>
  <c r="K390" i="1"/>
  <c r="J390" i="1"/>
  <c r="K389" i="1"/>
  <c r="J389" i="1"/>
  <c r="K388" i="1"/>
  <c r="J388" i="1"/>
  <c r="K387" i="1"/>
  <c r="J387" i="1"/>
  <c r="K386" i="1"/>
  <c r="J386" i="1"/>
  <c r="K385" i="1"/>
  <c r="J385" i="1"/>
  <c r="K384" i="1"/>
  <c r="J384" i="1"/>
  <c r="K383" i="1"/>
  <c r="J383" i="1"/>
  <c r="K382" i="1"/>
  <c r="J382" i="1"/>
  <c r="K381" i="1"/>
  <c r="J381" i="1"/>
  <c r="K380" i="1"/>
  <c r="J380" i="1"/>
  <c r="K379" i="1"/>
  <c r="J379" i="1"/>
  <c r="K378" i="1"/>
  <c r="J378" i="1"/>
  <c r="K377" i="1"/>
  <c r="J377" i="1"/>
  <c r="K376" i="1"/>
  <c r="J376" i="1"/>
  <c r="K375" i="1"/>
  <c r="J375" i="1"/>
  <c r="K374" i="1"/>
  <c r="J374" i="1"/>
  <c r="K373" i="1"/>
  <c r="J373" i="1"/>
  <c r="K372" i="1"/>
  <c r="J372" i="1"/>
  <c r="K371" i="1"/>
  <c r="J371" i="1"/>
  <c r="K370" i="1"/>
  <c r="J370" i="1"/>
  <c r="K369" i="1"/>
  <c r="J369" i="1"/>
  <c r="K368" i="1"/>
  <c r="J368" i="1"/>
  <c r="K367" i="1"/>
  <c r="J367" i="1"/>
  <c r="K366" i="1"/>
  <c r="J366" i="1"/>
  <c r="K365" i="1"/>
  <c r="J365" i="1"/>
  <c r="K364" i="1"/>
  <c r="J364" i="1"/>
  <c r="K363" i="1"/>
  <c r="J363" i="1"/>
  <c r="K362" i="1"/>
  <c r="J362" i="1"/>
  <c r="K361" i="1"/>
  <c r="J361" i="1"/>
  <c r="K360" i="1"/>
  <c r="J360" i="1"/>
  <c r="K359" i="1"/>
  <c r="J359" i="1"/>
  <c r="K358" i="1"/>
  <c r="J358" i="1"/>
  <c r="K357" i="1"/>
  <c r="J357" i="1"/>
  <c r="K356" i="1"/>
  <c r="J356" i="1"/>
  <c r="K355" i="1"/>
  <c r="J355" i="1"/>
  <c r="K354" i="1"/>
  <c r="J354" i="1"/>
  <c r="K353" i="1"/>
  <c r="J353" i="1"/>
  <c r="K352" i="1"/>
  <c r="J352" i="1"/>
  <c r="K351" i="1"/>
  <c r="J351" i="1"/>
  <c r="K350" i="1"/>
  <c r="J350" i="1"/>
  <c r="K349" i="1"/>
  <c r="J349" i="1"/>
  <c r="K348" i="1"/>
  <c r="J348" i="1"/>
  <c r="K347" i="1"/>
  <c r="J347" i="1"/>
  <c r="K346" i="1"/>
  <c r="J346" i="1"/>
  <c r="K345" i="1"/>
  <c r="J345" i="1"/>
  <c r="K344" i="1"/>
  <c r="J344" i="1"/>
  <c r="K343" i="1"/>
  <c r="J343" i="1"/>
  <c r="K342" i="1"/>
  <c r="J342" i="1"/>
  <c r="K341" i="1"/>
  <c r="J341" i="1"/>
  <c r="K340" i="1"/>
  <c r="J340" i="1"/>
  <c r="K339" i="1"/>
  <c r="J339" i="1"/>
  <c r="K338" i="1"/>
  <c r="J338" i="1"/>
  <c r="K337" i="1"/>
  <c r="J337" i="1"/>
  <c r="K336" i="1"/>
  <c r="J336" i="1"/>
  <c r="K335" i="1"/>
  <c r="J335" i="1"/>
  <c r="K334" i="1"/>
  <c r="J334" i="1"/>
  <c r="K333" i="1"/>
  <c r="J333" i="1"/>
  <c r="K332" i="1"/>
  <c r="J332" i="1"/>
  <c r="K331" i="1"/>
  <c r="J331" i="1"/>
  <c r="K330" i="1"/>
  <c r="J330" i="1"/>
  <c r="K329" i="1"/>
  <c r="J329" i="1"/>
  <c r="K328" i="1"/>
  <c r="J328" i="1"/>
  <c r="K327" i="1"/>
  <c r="J327" i="1"/>
  <c r="K326" i="1"/>
  <c r="J326" i="1"/>
  <c r="K325" i="1"/>
  <c r="J325" i="1"/>
  <c r="K324" i="1"/>
  <c r="J324" i="1"/>
  <c r="K323" i="1"/>
  <c r="J323" i="1"/>
  <c r="K322" i="1"/>
  <c r="J322" i="1"/>
  <c r="K321" i="1"/>
  <c r="J321" i="1"/>
  <c r="K320" i="1"/>
  <c r="J320" i="1"/>
  <c r="K319" i="1"/>
  <c r="J319" i="1"/>
  <c r="K318" i="1"/>
  <c r="J318" i="1"/>
  <c r="K317" i="1"/>
  <c r="J317" i="1"/>
  <c r="K316" i="1"/>
  <c r="J316" i="1"/>
  <c r="K315" i="1"/>
  <c r="J315" i="1"/>
  <c r="K314" i="1"/>
  <c r="J314" i="1"/>
  <c r="K313" i="1"/>
  <c r="J313" i="1"/>
  <c r="K312" i="1"/>
  <c r="J312" i="1"/>
  <c r="K311" i="1"/>
  <c r="J311" i="1"/>
  <c r="K310" i="1"/>
  <c r="J310" i="1"/>
  <c r="K309" i="1"/>
  <c r="J309" i="1"/>
  <c r="K308" i="1"/>
  <c r="J308" i="1"/>
  <c r="K307" i="1"/>
  <c r="J307" i="1"/>
  <c r="K306" i="1"/>
  <c r="J306" i="1"/>
  <c r="K305" i="1"/>
  <c r="J305" i="1"/>
  <c r="K304" i="1"/>
  <c r="J304" i="1"/>
  <c r="K303" i="1"/>
  <c r="J303" i="1"/>
  <c r="K302" i="1"/>
  <c r="J302" i="1"/>
  <c r="K301" i="1"/>
  <c r="J301" i="1"/>
  <c r="K300" i="1"/>
  <c r="J300" i="1"/>
  <c r="K299" i="1"/>
  <c r="J299" i="1"/>
  <c r="K298" i="1"/>
  <c r="J298" i="1"/>
  <c r="K297" i="1"/>
  <c r="J297" i="1"/>
  <c r="K296" i="1"/>
  <c r="J296" i="1"/>
  <c r="K295" i="1"/>
  <c r="J295" i="1"/>
  <c r="K294" i="1"/>
  <c r="J294" i="1"/>
  <c r="K293" i="1"/>
  <c r="J293" i="1"/>
  <c r="K292" i="1"/>
  <c r="J292" i="1"/>
  <c r="K291" i="1"/>
  <c r="J291" i="1"/>
  <c r="K290" i="1"/>
  <c r="J290" i="1"/>
  <c r="K289" i="1"/>
  <c r="J289" i="1"/>
  <c r="K288" i="1"/>
  <c r="J288" i="1"/>
  <c r="K287" i="1"/>
  <c r="J287" i="1"/>
  <c r="K286" i="1"/>
  <c r="J286" i="1"/>
  <c r="K285" i="1"/>
  <c r="J285" i="1"/>
  <c r="K284" i="1"/>
  <c r="J284" i="1"/>
  <c r="K283" i="1"/>
  <c r="J283" i="1"/>
  <c r="K282" i="1"/>
  <c r="J282" i="1"/>
  <c r="K281" i="1"/>
  <c r="J281" i="1"/>
  <c r="K280" i="1"/>
  <c r="J280" i="1"/>
  <c r="K279" i="1"/>
  <c r="J279" i="1"/>
  <c r="K278" i="1"/>
  <c r="J278" i="1"/>
  <c r="K277" i="1"/>
  <c r="J277" i="1"/>
  <c r="K276" i="1"/>
  <c r="J276" i="1"/>
  <c r="K275" i="1"/>
  <c r="J275" i="1"/>
  <c r="K274" i="1"/>
  <c r="J274" i="1"/>
  <c r="K273" i="1"/>
  <c r="J273" i="1"/>
  <c r="K272" i="1"/>
  <c r="J272" i="1"/>
  <c r="K271" i="1"/>
  <c r="J271" i="1"/>
  <c r="K270" i="1"/>
  <c r="J270" i="1"/>
  <c r="K269" i="1"/>
  <c r="J269" i="1"/>
  <c r="K268" i="1"/>
  <c r="J268" i="1"/>
  <c r="K267" i="1"/>
  <c r="J267" i="1"/>
  <c r="K266" i="1"/>
  <c r="J266" i="1"/>
  <c r="K265" i="1"/>
  <c r="J265" i="1"/>
  <c r="K264" i="1"/>
  <c r="J264" i="1"/>
  <c r="K263" i="1"/>
  <c r="J263" i="1"/>
  <c r="K262" i="1"/>
  <c r="J262" i="1"/>
  <c r="K261" i="1"/>
  <c r="J261" i="1"/>
  <c r="K260" i="1"/>
  <c r="J260" i="1"/>
  <c r="K259" i="1"/>
  <c r="J259" i="1"/>
  <c r="K258" i="1"/>
  <c r="J258" i="1"/>
  <c r="K257" i="1"/>
  <c r="J257" i="1"/>
  <c r="K256" i="1"/>
  <c r="J256" i="1"/>
  <c r="K255" i="1"/>
  <c r="J255" i="1"/>
  <c r="K254" i="1"/>
  <c r="J254" i="1"/>
  <c r="K253" i="1"/>
  <c r="J253" i="1"/>
  <c r="K252" i="1"/>
  <c r="J252" i="1"/>
  <c r="K251" i="1"/>
  <c r="J251" i="1"/>
  <c r="K250" i="1"/>
  <c r="J250" i="1"/>
  <c r="K249" i="1"/>
  <c r="J249" i="1"/>
  <c r="K248" i="1"/>
  <c r="J248" i="1"/>
  <c r="K247" i="1"/>
  <c r="J247" i="1"/>
  <c r="K246" i="1"/>
  <c r="J246" i="1"/>
  <c r="K245" i="1"/>
  <c r="J245" i="1"/>
  <c r="K244" i="1"/>
  <c r="J244" i="1"/>
  <c r="K243" i="1"/>
  <c r="J243" i="1"/>
  <c r="K242" i="1"/>
  <c r="J242" i="1"/>
  <c r="K241" i="1"/>
  <c r="J241" i="1"/>
  <c r="K240" i="1"/>
  <c r="J240" i="1"/>
  <c r="K239" i="1"/>
  <c r="J239" i="1"/>
  <c r="K238" i="1"/>
  <c r="J238" i="1"/>
  <c r="K237" i="1"/>
  <c r="J237" i="1"/>
  <c r="K236" i="1"/>
  <c r="J236" i="1"/>
  <c r="K235" i="1"/>
  <c r="J235" i="1"/>
  <c r="K234" i="1"/>
  <c r="J234" i="1"/>
  <c r="K233" i="1"/>
  <c r="J233" i="1"/>
  <c r="K232" i="1"/>
  <c r="J232" i="1"/>
  <c r="K231" i="1"/>
  <c r="J231" i="1"/>
  <c r="K230" i="1"/>
  <c r="J230" i="1"/>
  <c r="K229" i="1"/>
  <c r="J229" i="1"/>
  <c r="K228" i="1"/>
  <c r="J228" i="1"/>
  <c r="K227" i="1"/>
  <c r="J227" i="1"/>
  <c r="K226" i="1"/>
  <c r="J226" i="1"/>
  <c r="K225" i="1"/>
  <c r="J225" i="1"/>
  <c r="K224" i="1"/>
  <c r="J224" i="1"/>
  <c r="K223" i="1"/>
  <c r="J223" i="1"/>
  <c r="K222" i="1"/>
  <c r="J222" i="1"/>
  <c r="K221" i="1"/>
  <c r="J221" i="1"/>
  <c r="K220" i="1"/>
  <c r="J220" i="1"/>
  <c r="K219" i="1"/>
  <c r="J219" i="1"/>
  <c r="K218" i="1"/>
  <c r="J218" i="1"/>
  <c r="K217" i="1"/>
  <c r="J217" i="1"/>
  <c r="K216" i="1"/>
  <c r="J216" i="1"/>
  <c r="K215" i="1"/>
  <c r="J215" i="1"/>
  <c r="K214" i="1"/>
  <c r="J214" i="1"/>
  <c r="K213" i="1"/>
  <c r="J213" i="1"/>
  <c r="K212" i="1"/>
  <c r="J212" i="1"/>
  <c r="K211" i="1"/>
  <c r="J211" i="1"/>
  <c r="K210" i="1"/>
  <c r="J210" i="1"/>
  <c r="K209" i="1"/>
  <c r="J209" i="1"/>
  <c r="K208" i="1"/>
  <c r="J208" i="1"/>
  <c r="K207" i="1"/>
  <c r="J207" i="1"/>
  <c r="K206" i="1"/>
  <c r="J206" i="1"/>
  <c r="K205" i="1"/>
  <c r="J205" i="1"/>
  <c r="K204" i="1"/>
  <c r="J204" i="1"/>
  <c r="K203" i="1"/>
  <c r="J203" i="1"/>
  <c r="K202" i="1"/>
  <c r="J202" i="1"/>
  <c r="K201" i="1"/>
  <c r="J201" i="1"/>
  <c r="K200" i="1"/>
  <c r="J200" i="1"/>
  <c r="K199" i="1"/>
  <c r="J199" i="1"/>
  <c r="K198" i="1"/>
  <c r="J198" i="1"/>
  <c r="K197" i="1"/>
  <c r="J197" i="1"/>
  <c r="K196" i="1"/>
  <c r="J196" i="1"/>
  <c r="K195" i="1"/>
  <c r="J195" i="1"/>
  <c r="K194" i="1"/>
  <c r="J194" i="1"/>
  <c r="K193" i="1"/>
  <c r="J193" i="1"/>
  <c r="K192" i="1"/>
  <c r="J192" i="1"/>
  <c r="K191" i="1"/>
  <c r="J191" i="1"/>
  <c r="K190" i="1"/>
  <c r="J190" i="1"/>
  <c r="K189" i="1"/>
  <c r="J189" i="1"/>
  <c r="K188" i="1"/>
  <c r="J188" i="1"/>
  <c r="K187" i="1"/>
  <c r="J187" i="1"/>
  <c r="K186" i="1"/>
  <c r="J186" i="1"/>
  <c r="K185" i="1"/>
  <c r="J185" i="1"/>
  <c r="K184" i="1"/>
  <c r="J184" i="1"/>
  <c r="K183" i="1"/>
  <c r="J183" i="1"/>
  <c r="K182" i="1"/>
  <c r="J182" i="1"/>
  <c r="K181" i="1"/>
  <c r="J181" i="1"/>
  <c r="K180" i="1"/>
  <c r="J180" i="1"/>
  <c r="K179" i="1"/>
  <c r="J179" i="1"/>
  <c r="K178" i="1"/>
  <c r="J178" i="1"/>
  <c r="K177" i="1"/>
  <c r="J177" i="1"/>
  <c r="K176" i="1"/>
  <c r="J176" i="1"/>
  <c r="K175" i="1"/>
  <c r="J175" i="1"/>
  <c r="K174" i="1"/>
  <c r="J174" i="1"/>
  <c r="K173" i="1"/>
  <c r="J173" i="1"/>
  <c r="K172" i="1"/>
  <c r="J172" i="1"/>
  <c r="K171" i="1"/>
  <c r="J171" i="1"/>
  <c r="K170" i="1"/>
  <c r="J170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K159" i="1"/>
  <c r="J159" i="1"/>
  <c r="K158" i="1"/>
  <c r="J158" i="1"/>
  <c r="K157" i="1"/>
  <c r="J157" i="1"/>
  <c r="K156" i="1"/>
  <c r="J156" i="1"/>
  <c r="K155" i="1"/>
  <c r="J155" i="1"/>
  <c r="K154" i="1"/>
  <c r="J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S123" i="1"/>
  <c r="K123" i="1"/>
  <c r="J123" i="1"/>
  <c r="S122" i="1"/>
  <c r="K122" i="1"/>
  <c r="J122" i="1"/>
  <c r="S121" i="1"/>
  <c r="K121" i="1"/>
  <c r="J121" i="1"/>
  <c r="S120" i="1"/>
  <c r="K120" i="1"/>
  <c r="J120" i="1"/>
  <c r="S119" i="1"/>
  <c r="K119" i="1"/>
  <c r="J119" i="1"/>
  <c r="S118" i="1"/>
  <c r="K118" i="1"/>
  <c r="J118" i="1"/>
  <c r="S117" i="1"/>
  <c r="K117" i="1"/>
  <c r="J117" i="1"/>
  <c r="S116" i="1"/>
  <c r="K116" i="1"/>
  <c r="J116" i="1"/>
  <c r="S115" i="1"/>
  <c r="K115" i="1"/>
  <c r="J115" i="1"/>
  <c r="S114" i="1"/>
  <c r="K114" i="1"/>
  <c r="J114" i="1"/>
  <c r="S113" i="1"/>
  <c r="K113" i="1"/>
  <c r="J113" i="1"/>
  <c r="S112" i="1"/>
  <c r="K112" i="1"/>
  <c r="J112" i="1"/>
  <c r="S111" i="1"/>
  <c r="K111" i="1"/>
  <c r="J111" i="1"/>
  <c r="S110" i="1"/>
  <c r="K110" i="1"/>
  <c r="J110" i="1"/>
  <c r="S109" i="1"/>
  <c r="K109" i="1"/>
  <c r="J109" i="1"/>
  <c r="S108" i="1"/>
  <c r="K108" i="1"/>
  <c r="J108" i="1"/>
  <c r="S107" i="1"/>
  <c r="K107" i="1"/>
  <c r="J107" i="1"/>
  <c r="S106" i="1"/>
  <c r="K106" i="1"/>
  <c r="J106" i="1"/>
  <c r="S105" i="1"/>
  <c r="K105" i="1"/>
  <c r="J105" i="1"/>
  <c r="S104" i="1"/>
  <c r="K104" i="1"/>
  <c r="J104" i="1"/>
  <c r="S103" i="1"/>
  <c r="K103" i="1"/>
  <c r="J103" i="1"/>
  <c r="S102" i="1"/>
  <c r="K102" i="1"/>
  <c r="J102" i="1"/>
  <c r="S101" i="1"/>
  <c r="K101" i="1"/>
  <c r="J101" i="1"/>
  <c r="S100" i="1"/>
  <c r="K100" i="1"/>
  <c r="J100" i="1"/>
  <c r="S99" i="1"/>
  <c r="K99" i="1"/>
  <c r="J99" i="1"/>
  <c r="S98" i="1"/>
  <c r="K98" i="1"/>
  <c r="J98" i="1"/>
  <c r="S97" i="1"/>
  <c r="K97" i="1"/>
  <c r="J97" i="1"/>
  <c r="S96" i="1"/>
  <c r="K96" i="1"/>
  <c r="J96" i="1"/>
  <c r="S95" i="1"/>
  <c r="K95" i="1"/>
  <c r="J95" i="1"/>
  <c r="S94" i="1"/>
  <c r="K94" i="1"/>
  <c r="J94" i="1"/>
  <c r="S93" i="1"/>
  <c r="K93" i="1"/>
  <c r="J93" i="1"/>
  <c r="S92" i="1"/>
  <c r="K92" i="1"/>
  <c r="J92" i="1"/>
  <c r="S91" i="1"/>
  <c r="K91" i="1"/>
  <c r="J91" i="1"/>
  <c r="S90" i="1"/>
  <c r="K90" i="1"/>
  <c r="J90" i="1"/>
  <c r="S89" i="1"/>
  <c r="K89" i="1"/>
  <c r="J89" i="1"/>
  <c r="S88" i="1"/>
  <c r="K88" i="1"/>
  <c r="J88" i="1"/>
  <c r="S87" i="1"/>
  <c r="K87" i="1"/>
  <c r="J87" i="1"/>
  <c r="S86" i="1"/>
  <c r="K86" i="1"/>
  <c r="J86" i="1"/>
  <c r="S85" i="1"/>
  <c r="K85" i="1"/>
  <c r="J85" i="1"/>
  <c r="S84" i="1"/>
  <c r="K84" i="1"/>
  <c r="J84" i="1"/>
  <c r="S83" i="1"/>
  <c r="K83" i="1"/>
  <c r="J83" i="1"/>
  <c r="S82" i="1"/>
  <c r="K82" i="1"/>
  <c r="J82" i="1"/>
  <c r="S81" i="1"/>
  <c r="K81" i="1"/>
  <c r="J81" i="1"/>
  <c r="S80" i="1"/>
  <c r="K80" i="1"/>
  <c r="J80" i="1"/>
  <c r="S79" i="1"/>
  <c r="K79" i="1"/>
  <c r="J79" i="1"/>
  <c r="S78" i="1"/>
  <c r="K78" i="1"/>
  <c r="J78" i="1"/>
  <c r="S77" i="1"/>
  <c r="K77" i="1"/>
  <c r="J77" i="1"/>
  <c r="S76" i="1"/>
  <c r="K76" i="1"/>
  <c r="J76" i="1"/>
  <c r="S75" i="1"/>
  <c r="K75" i="1"/>
  <c r="J75" i="1"/>
  <c r="S74" i="1"/>
  <c r="K74" i="1"/>
  <c r="J74" i="1"/>
  <c r="S73" i="1"/>
  <c r="K73" i="1"/>
  <c r="J73" i="1"/>
  <c r="S72" i="1"/>
  <c r="K72" i="1"/>
  <c r="J72" i="1"/>
  <c r="S71" i="1"/>
  <c r="K71" i="1"/>
  <c r="J71" i="1"/>
  <c r="S70" i="1"/>
  <c r="K70" i="1"/>
  <c r="J70" i="1"/>
  <c r="S69" i="1"/>
  <c r="K69" i="1"/>
  <c r="J69" i="1"/>
  <c r="S68" i="1"/>
  <c r="K68" i="1"/>
  <c r="J68" i="1"/>
  <c r="S67" i="1"/>
  <c r="K67" i="1"/>
  <c r="J67" i="1"/>
  <c r="S66" i="1"/>
  <c r="K66" i="1"/>
  <c r="J66" i="1"/>
  <c r="S65" i="1"/>
  <c r="K65" i="1"/>
  <c r="J65" i="1"/>
  <c r="S64" i="1"/>
  <c r="K64" i="1"/>
  <c r="J64" i="1"/>
  <c r="S63" i="1"/>
  <c r="K63" i="1"/>
  <c r="J63" i="1"/>
  <c r="S62" i="1"/>
  <c r="K62" i="1"/>
  <c r="J62" i="1"/>
  <c r="S61" i="1"/>
  <c r="K61" i="1"/>
  <c r="J61" i="1"/>
  <c r="S60" i="1"/>
  <c r="K60" i="1"/>
  <c r="J60" i="1"/>
  <c r="S59" i="1"/>
  <c r="K59" i="1"/>
  <c r="J59" i="1"/>
  <c r="S58" i="1"/>
  <c r="K58" i="1"/>
  <c r="J58" i="1"/>
  <c r="S57" i="1"/>
  <c r="K57" i="1"/>
  <c r="J57" i="1"/>
  <c r="S56" i="1"/>
  <c r="K56" i="1"/>
  <c r="J56" i="1"/>
  <c r="S55" i="1"/>
  <c r="K55" i="1"/>
  <c r="J55" i="1"/>
  <c r="S54" i="1"/>
  <c r="K54" i="1"/>
  <c r="J54" i="1"/>
  <c r="S53" i="1"/>
  <c r="K53" i="1"/>
  <c r="J53" i="1"/>
  <c r="S52" i="1"/>
  <c r="K52" i="1"/>
  <c r="J52" i="1"/>
  <c r="S51" i="1"/>
  <c r="K51" i="1"/>
  <c r="J51" i="1"/>
  <c r="S50" i="1"/>
  <c r="K50" i="1"/>
  <c r="J50" i="1"/>
  <c r="S49" i="1"/>
  <c r="K49" i="1"/>
  <c r="J49" i="1"/>
  <c r="S48" i="1"/>
  <c r="K48" i="1"/>
  <c r="J48" i="1"/>
  <c r="S47" i="1"/>
  <c r="K47" i="1"/>
  <c r="J47" i="1"/>
  <c r="S46" i="1"/>
  <c r="K46" i="1"/>
  <c r="J46" i="1"/>
  <c r="S45" i="1"/>
  <c r="K45" i="1"/>
  <c r="J45" i="1"/>
  <c r="S44" i="1"/>
  <c r="K44" i="1"/>
  <c r="J44" i="1"/>
  <c r="S43" i="1"/>
  <c r="K43" i="1"/>
  <c r="J43" i="1"/>
  <c r="S42" i="1"/>
  <c r="K42" i="1"/>
  <c r="J42" i="1"/>
  <c r="S41" i="1"/>
  <c r="K41" i="1"/>
  <c r="J41" i="1"/>
  <c r="S40" i="1"/>
  <c r="K40" i="1"/>
  <c r="J40" i="1"/>
  <c r="S39" i="1"/>
  <c r="K39" i="1"/>
  <c r="J39" i="1"/>
  <c r="S38" i="1"/>
  <c r="K38" i="1"/>
  <c r="J38" i="1"/>
  <c r="S37" i="1"/>
  <c r="K37" i="1"/>
  <c r="J37" i="1"/>
  <c r="S36" i="1"/>
  <c r="K36" i="1"/>
  <c r="J36" i="1"/>
  <c r="S35" i="1"/>
  <c r="K35" i="1"/>
  <c r="J35" i="1"/>
  <c r="S34" i="1"/>
  <c r="K34" i="1"/>
  <c r="J34" i="1"/>
  <c r="S33" i="1"/>
  <c r="K33" i="1"/>
  <c r="J33" i="1"/>
  <c r="S32" i="1"/>
  <c r="K32" i="1"/>
  <c r="J32" i="1"/>
  <c r="S31" i="1"/>
  <c r="K31" i="1"/>
  <c r="J31" i="1"/>
  <c r="S30" i="1"/>
  <c r="K30" i="1"/>
  <c r="J30" i="1"/>
  <c r="S29" i="1"/>
  <c r="K29" i="1"/>
  <c r="J29" i="1"/>
  <c r="S28" i="1"/>
  <c r="K28" i="1"/>
  <c r="J28" i="1"/>
  <c r="S27" i="1"/>
  <c r="K27" i="1"/>
  <c r="J27" i="1"/>
  <c r="S26" i="1"/>
  <c r="K26" i="1"/>
  <c r="J26" i="1"/>
  <c r="S25" i="1"/>
  <c r="K25" i="1"/>
  <c r="J25" i="1"/>
  <c r="S24" i="1"/>
  <c r="K24" i="1"/>
  <c r="J24" i="1"/>
  <c r="S23" i="1"/>
  <c r="K23" i="1"/>
  <c r="J23" i="1"/>
  <c r="S22" i="1"/>
  <c r="K22" i="1"/>
  <c r="J22" i="1"/>
  <c r="S21" i="1"/>
  <c r="K21" i="1"/>
  <c r="J21" i="1"/>
  <c r="S20" i="1"/>
  <c r="K20" i="1"/>
  <c r="J20" i="1"/>
  <c r="S19" i="1"/>
  <c r="K19" i="1"/>
  <c r="J19" i="1"/>
  <c r="S18" i="1"/>
  <c r="K18" i="1"/>
  <c r="J18" i="1"/>
  <c r="S17" i="1"/>
  <c r="K17" i="1"/>
  <c r="J17" i="1"/>
  <c r="S16" i="1"/>
  <c r="K16" i="1"/>
  <c r="J16" i="1"/>
  <c r="S15" i="1"/>
  <c r="K15" i="1"/>
  <c r="J15" i="1"/>
  <c r="S14" i="1"/>
  <c r="K14" i="1"/>
  <c r="J14" i="1"/>
  <c r="S13" i="1"/>
  <c r="K13" i="1"/>
  <c r="J13" i="1"/>
  <c r="S12" i="1"/>
  <c r="K12" i="1"/>
  <c r="J12" i="1"/>
  <c r="S11" i="1"/>
  <c r="K11" i="1"/>
  <c r="J11" i="1"/>
  <c r="S10" i="1"/>
  <c r="K10" i="1"/>
  <c r="J10" i="1"/>
  <c r="S9" i="1"/>
  <c r="K9" i="1"/>
  <c r="J9" i="1"/>
  <c r="S8" i="1"/>
  <c r="K8" i="1"/>
  <c r="J8" i="1"/>
  <c r="C8" i="1"/>
  <c r="B8" i="1"/>
  <c r="S7" i="1"/>
  <c r="K7" i="1"/>
  <c r="J7" i="1"/>
  <c r="S6" i="1"/>
  <c r="K6" i="1"/>
  <c r="J6" i="1"/>
  <c r="S5" i="1"/>
  <c r="K5" i="1"/>
  <c r="J5" i="1"/>
  <c r="S4" i="1"/>
  <c r="K4" i="1"/>
  <c r="J4" i="1"/>
  <c r="S3" i="1"/>
  <c r="B20" i="1" l="1"/>
  <c r="B16" i="1"/>
  <c r="B26" i="1"/>
  <c r="B18" i="1"/>
  <c r="B19" i="1"/>
  <c r="B17" i="1"/>
  <c r="O807" i="1"/>
  <c r="O719" i="1"/>
  <c r="O258" i="1"/>
  <c r="O300" i="1"/>
  <c r="O797" i="1"/>
  <c r="L86" i="1"/>
  <c r="L181" i="1"/>
  <c r="L187" i="1"/>
  <c r="L211" i="1"/>
  <c r="L295" i="1"/>
  <c r="O715" i="1"/>
  <c r="O727" i="1"/>
  <c r="O739" i="1"/>
  <c r="O668" i="1"/>
  <c r="O134" i="1"/>
  <c r="P6" i="1"/>
  <c r="O763" i="1"/>
  <c r="O1488" i="1"/>
  <c r="O3062" i="1"/>
  <c r="L926" i="1"/>
  <c r="L1526" i="1"/>
  <c r="L1922" i="1"/>
  <c r="O2289" i="1"/>
  <c r="L2372" i="1"/>
  <c r="L3206" i="1"/>
  <c r="L3512" i="1"/>
  <c r="L1689" i="1"/>
  <c r="O3327" i="1"/>
  <c r="L3435" i="1"/>
  <c r="P2607" i="1"/>
  <c r="P2991" i="1"/>
  <c r="P3495" i="1"/>
  <c r="P880" i="1"/>
  <c r="P1300" i="1"/>
  <c r="P1918" i="1"/>
  <c r="O803" i="1"/>
  <c r="P2316" i="1"/>
  <c r="P2322" i="1"/>
  <c r="P2346" i="1"/>
  <c r="P2562" i="1"/>
  <c r="P2730" i="1"/>
  <c r="P2736" i="1"/>
  <c r="P2748" i="1"/>
  <c r="P2760" i="1"/>
  <c r="P2784" i="1"/>
  <c r="P2856" i="1"/>
  <c r="P2964" i="1"/>
  <c r="P2976" i="1"/>
  <c r="P3054" i="1"/>
  <c r="P3060" i="1"/>
  <c r="P3066" i="1"/>
  <c r="P3072" i="1"/>
  <c r="P3084" i="1"/>
  <c r="P3090" i="1"/>
  <c r="P3150" i="1"/>
  <c r="P3180" i="1"/>
  <c r="P3192" i="1"/>
  <c r="P3198" i="1"/>
  <c r="P3780" i="1"/>
  <c r="P1020" i="1"/>
  <c r="P1044" i="1"/>
  <c r="P1074" i="1"/>
  <c r="P1290" i="1"/>
  <c r="P1320" i="1"/>
  <c r="P1488" i="1"/>
  <c r="P764" i="1"/>
  <c r="P1358" i="1"/>
  <c r="P972" i="1"/>
  <c r="P1038" i="1"/>
  <c r="P1080" i="1"/>
  <c r="P1218" i="1"/>
  <c r="P1302" i="1"/>
  <c r="P1422" i="1"/>
  <c r="P2094" i="1"/>
  <c r="P2124" i="1"/>
  <c r="P2766" i="1"/>
  <c r="P1296" i="1"/>
  <c r="P1770" i="1"/>
  <c r="O2752" i="1"/>
  <c r="O3316" i="1"/>
  <c r="O3790" i="1"/>
  <c r="O3814" i="1"/>
  <c r="P1026" i="1"/>
  <c r="P1056" i="1"/>
  <c r="P1308" i="1"/>
  <c r="P1962" i="1"/>
  <c r="P2112" i="1"/>
  <c r="P1050" i="1"/>
  <c r="P2778" i="1"/>
  <c r="P1032" i="1"/>
  <c r="P1452" i="1"/>
  <c r="P1968" i="1"/>
  <c r="P2130" i="1"/>
  <c r="P563" i="1"/>
  <c r="P611" i="1"/>
  <c r="P743" i="1"/>
  <c r="P1193" i="1"/>
  <c r="P1343" i="1"/>
  <c r="P1421" i="1"/>
  <c r="P1451" i="1"/>
  <c r="P2033" i="1"/>
  <c r="P2453" i="1"/>
  <c r="P2969" i="1"/>
  <c r="P3095" i="1"/>
  <c r="P2016" i="1"/>
  <c r="P2118" i="1"/>
  <c r="P2772" i="1"/>
  <c r="L971" i="1"/>
  <c r="L983" i="1"/>
  <c r="L995" i="1"/>
  <c r="L1007" i="1"/>
  <c r="L1715" i="1"/>
  <c r="L1739" i="1"/>
  <c r="L1745" i="1"/>
  <c r="L1769" i="1"/>
  <c r="L1805" i="1"/>
  <c r="L1829" i="1"/>
  <c r="L1841" i="1"/>
  <c r="L1961" i="1"/>
  <c r="Q1961" i="1" s="1"/>
  <c r="L1985" i="1"/>
  <c r="L1997" i="1"/>
  <c r="L2015" i="1"/>
  <c r="L2093" i="1"/>
  <c r="L2099" i="1"/>
  <c r="L2105" i="1"/>
  <c r="L2621" i="1"/>
  <c r="L2633" i="1"/>
  <c r="L2777" i="1"/>
  <c r="L2783" i="1"/>
  <c r="L2861" i="1"/>
  <c r="O3059" i="1"/>
  <c r="L3143" i="1"/>
  <c r="L3815" i="1"/>
  <c r="L3827" i="1"/>
  <c r="L3839" i="1"/>
  <c r="L3851" i="1"/>
  <c r="P984" i="1"/>
  <c r="P2106" i="1"/>
  <c r="P2328" i="1"/>
  <c r="P3036" i="1"/>
  <c r="P3228" i="1"/>
  <c r="P3234" i="1"/>
  <c r="P3240" i="1"/>
  <c r="P3246" i="1"/>
  <c r="P3270" i="1"/>
  <c r="P3438" i="1"/>
  <c r="P3678" i="1"/>
  <c r="P3690" i="1"/>
  <c r="P3702" i="1"/>
  <c r="P3708" i="1"/>
  <c r="P3714" i="1"/>
  <c r="P3720" i="1"/>
  <c r="P3726" i="1"/>
  <c r="P3732" i="1"/>
  <c r="P3738" i="1"/>
  <c r="O895" i="1"/>
  <c r="O1027" i="1"/>
  <c r="O734" i="1"/>
  <c r="O1538" i="1"/>
  <c r="O1562" i="1"/>
  <c r="O1568" i="1"/>
  <c r="O1706" i="1"/>
  <c r="O1802" i="1"/>
  <c r="O1952" i="1"/>
  <c r="L2366" i="1"/>
  <c r="O2540" i="1"/>
  <c r="L2618" i="1"/>
  <c r="O2768" i="1"/>
  <c r="O2816" i="1"/>
  <c r="L3350" i="1"/>
  <c r="L3452" i="1"/>
  <c r="Q3452" i="1" s="1"/>
  <c r="O3638" i="1"/>
  <c r="O883" i="1"/>
  <c r="P3027" i="1"/>
  <c r="P3075" i="1"/>
  <c r="P3099" i="1"/>
  <c r="P3687" i="1"/>
  <c r="P3699" i="1"/>
  <c r="L1839" i="1"/>
  <c r="L2607" i="1"/>
  <c r="L2625" i="1"/>
  <c r="L2631" i="1"/>
  <c r="L2637" i="1"/>
  <c r="O2829" i="1"/>
  <c r="L2907" i="1"/>
  <c r="L2961" i="1"/>
  <c r="O2979" i="1"/>
  <c r="L3057" i="1"/>
  <c r="L3069" i="1"/>
  <c r="L3093" i="1"/>
  <c r="L3105" i="1"/>
  <c r="Q3105" i="1" s="1"/>
  <c r="L3129" i="1"/>
  <c r="L3285" i="1"/>
  <c r="L3297" i="1"/>
  <c r="O3303" i="1"/>
  <c r="L3321" i="1"/>
  <c r="L3411" i="1"/>
  <c r="L3747" i="1"/>
  <c r="L3831" i="1"/>
  <c r="O3637" i="1"/>
  <c r="P1276" i="1"/>
  <c r="P2746" i="1"/>
  <c r="P2752" i="1"/>
  <c r="P2866" i="1"/>
  <c r="P2896" i="1"/>
  <c r="P2956" i="1"/>
  <c r="P2962" i="1"/>
  <c r="P3028" i="1"/>
  <c r="P3088" i="1"/>
  <c r="P3112" i="1"/>
  <c r="P3712" i="1"/>
  <c r="P3718" i="1"/>
  <c r="P3725" i="1"/>
  <c r="P3737" i="1"/>
  <c r="O829" i="1"/>
  <c r="O949" i="1"/>
  <c r="O912" i="1"/>
  <c r="O924" i="1"/>
  <c r="O1026" i="1"/>
  <c r="O1038" i="1"/>
  <c r="O1698" i="1"/>
  <c r="O1734" i="1"/>
  <c r="O1884" i="1"/>
  <c r="L2639" i="1"/>
  <c r="O2988" i="1"/>
  <c r="L3119" i="1"/>
  <c r="O3149" i="1"/>
  <c r="L3707" i="1"/>
  <c r="L3719" i="1"/>
  <c r="L3731" i="1"/>
  <c r="L3767" i="1"/>
  <c r="O2239" i="1"/>
  <c r="L347" i="1"/>
  <c r="O2130" i="1"/>
  <c r="P1008" i="1"/>
  <c r="P1086" i="1"/>
  <c r="P1776" i="1"/>
  <c r="P2952" i="1"/>
  <c r="P3042" i="1"/>
  <c r="O740" i="1"/>
  <c r="O2852" i="1"/>
  <c r="L2433" i="1"/>
  <c r="O2931" i="1"/>
  <c r="O3219" i="1"/>
  <c r="P2013" i="1"/>
  <c r="P2367" i="1"/>
  <c r="P3591" i="1"/>
  <c r="O1264" i="1"/>
  <c r="O2146" i="1"/>
  <c r="O3082" i="1"/>
  <c r="P874" i="1"/>
  <c r="P1234" i="1"/>
  <c r="P1330" i="1"/>
  <c r="P1558" i="1"/>
  <c r="P2057" i="1"/>
  <c r="P2446" i="1"/>
  <c r="P2584" i="1"/>
  <c r="P3118" i="1"/>
  <c r="P3292" i="1"/>
  <c r="O1890" i="1"/>
  <c r="O3071" i="1"/>
  <c r="L3155" i="1"/>
  <c r="L930" i="1"/>
  <c r="L936" i="1"/>
  <c r="L948" i="1"/>
  <c r="L1338" i="1"/>
  <c r="L1512" i="1"/>
  <c r="L1854" i="1"/>
  <c r="L1902" i="1"/>
  <c r="L1908" i="1"/>
  <c r="L1926" i="1"/>
  <c r="L1932" i="1"/>
  <c r="L1938" i="1"/>
  <c r="L1944" i="1"/>
  <c r="L1950" i="1"/>
  <c r="L1974" i="1"/>
  <c r="L2052" i="1"/>
  <c r="L2064" i="1"/>
  <c r="L2088" i="1"/>
  <c r="L2094" i="1"/>
  <c r="L2226" i="1"/>
  <c r="L2232" i="1"/>
  <c r="L2244" i="1"/>
  <c r="O2964" i="1"/>
  <c r="O3048" i="1"/>
  <c r="O403" i="1"/>
  <c r="O943" i="1"/>
  <c r="O1861" i="1"/>
  <c r="P799" i="1"/>
  <c r="P931" i="1"/>
  <c r="P1255" i="1"/>
  <c r="P1261" i="1"/>
  <c r="P1303" i="1"/>
  <c r="P1309" i="1"/>
  <c r="P1327" i="1"/>
  <c r="P1513" i="1"/>
  <c r="P1789" i="1"/>
  <c r="P1807" i="1"/>
  <c r="P1831" i="1"/>
  <c r="P1837" i="1"/>
  <c r="P1951" i="1"/>
  <c r="P1975" i="1"/>
  <c r="P2005" i="1"/>
  <c r="P2041" i="1"/>
  <c r="P2431" i="1"/>
  <c r="L1592" i="1"/>
  <c r="L1862" i="1"/>
  <c r="L3776" i="1"/>
  <c r="L1335" i="1"/>
  <c r="L1707" i="1"/>
  <c r="L1995" i="1"/>
  <c r="L2097" i="1"/>
  <c r="L2361" i="1"/>
  <c r="L2649" i="1"/>
  <c r="O2937" i="1"/>
  <c r="L3351" i="1"/>
  <c r="Q3351" i="1" s="1"/>
  <c r="P730" i="1"/>
  <c r="P1000" i="1"/>
  <c r="P1240" i="1"/>
  <c r="P1282" i="1"/>
  <c r="P1311" i="1"/>
  <c r="P1768" i="1"/>
  <c r="P1780" i="1"/>
  <c r="P1887" i="1"/>
  <c r="P2026" i="1"/>
  <c r="P2848" i="1"/>
  <c r="P3022" i="1"/>
  <c r="P3382" i="1"/>
  <c r="P3532" i="1"/>
  <c r="L124" i="1"/>
  <c r="L268" i="1"/>
  <c r="L274" i="1"/>
  <c r="L286" i="1"/>
  <c r="L478" i="1"/>
  <c r="L1108" i="1"/>
  <c r="L1720" i="1"/>
  <c r="L1744" i="1"/>
  <c r="L1804" i="1"/>
  <c r="L1846" i="1"/>
  <c r="L1864" i="1"/>
  <c r="L1876" i="1"/>
  <c r="L1948" i="1"/>
  <c r="L1960" i="1"/>
  <c r="L1984" i="1"/>
  <c r="L2032" i="1"/>
  <c r="L2056" i="1"/>
  <c r="L2080" i="1"/>
  <c r="L2182" i="1"/>
  <c r="L2308" i="1"/>
  <c r="L2332" i="1"/>
  <c r="L2650" i="1"/>
  <c r="L2788" i="1"/>
  <c r="L2800" i="1"/>
  <c r="L2812" i="1"/>
  <c r="L2842" i="1"/>
  <c r="L2848" i="1"/>
  <c r="L2854" i="1"/>
  <c r="L2896" i="1"/>
  <c r="L2902" i="1"/>
  <c r="L2908" i="1"/>
  <c r="L2938" i="1"/>
  <c r="L2986" i="1"/>
  <c r="L2998" i="1"/>
  <c r="L3094" i="1"/>
  <c r="Q3094" i="1" s="1"/>
  <c r="O3112" i="1"/>
  <c r="L3214" i="1"/>
  <c r="L3250" i="1"/>
  <c r="L3274" i="1"/>
  <c r="L3334" i="1"/>
  <c r="L3358" i="1"/>
  <c r="L3724" i="1"/>
  <c r="L3736" i="1"/>
  <c r="L3778" i="1"/>
  <c r="O893" i="1"/>
  <c r="L2645" i="1"/>
  <c r="O3209" i="1"/>
  <c r="P707" i="1"/>
  <c r="P719" i="1"/>
  <c r="P791" i="1"/>
  <c r="P797" i="1"/>
  <c r="P809" i="1"/>
  <c r="P887" i="1"/>
  <c r="P905" i="1"/>
  <c r="P911" i="1"/>
  <c r="P942" i="1"/>
  <c r="P948" i="1"/>
  <c r="P954" i="1"/>
  <c r="P960" i="1"/>
  <c r="P971" i="1"/>
  <c r="P1062" i="1"/>
  <c r="P1091" i="1"/>
  <c r="P1097" i="1"/>
  <c r="P1109" i="1"/>
  <c r="P1115" i="1"/>
  <c r="P1127" i="1"/>
  <c r="P1151" i="1"/>
  <c r="P1163" i="1"/>
  <c r="P1175" i="1"/>
  <c r="P1181" i="1"/>
  <c r="P1248" i="1"/>
  <c r="P1314" i="1"/>
  <c r="P1362" i="1"/>
  <c r="P1374" i="1"/>
  <c r="P1919" i="1"/>
  <c r="P1925" i="1"/>
  <c r="P1949" i="1"/>
  <c r="P1955" i="1"/>
  <c r="P1985" i="1"/>
  <c r="P1997" i="1"/>
  <c r="P2064" i="1"/>
  <c r="P2339" i="1"/>
  <c r="P2363" i="1"/>
  <c r="P2495" i="1"/>
  <c r="P2603" i="1"/>
  <c r="P2609" i="1"/>
  <c r="P2921" i="1"/>
  <c r="P3005" i="1"/>
  <c r="P3059" i="1"/>
  <c r="P3071" i="1"/>
  <c r="P3131" i="1"/>
  <c r="P3383" i="1"/>
  <c r="P3395" i="1"/>
  <c r="P3407" i="1"/>
  <c r="P3431" i="1"/>
  <c r="P3533" i="1"/>
  <c r="P3557" i="1"/>
  <c r="P3599" i="1"/>
  <c r="P3767" i="1"/>
  <c r="L373" i="1"/>
  <c r="L397" i="1"/>
  <c r="L427" i="1"/>
  <c r="O764" i="1"/>
  <c r="P746" i="1"/>
  <c r="P758" i="1"/>
  <c r="P770" i="1"/>
  <c r="P776" i="1"/>
  <c r="P765" i="1"/>
  <c r="P755" i="1"/>
  <c r="P761" i="1"/>
  <c r="P767" i="1"/>
  <c r="P773" i="1"/>
  <c r="P779" i="1"/>
  <c r="P785" i="1"/>
  <c r="L1692" i="1"/>
  <c r="L1698" i="1"/>
  <c r="L1710" i="1"/>
  <c r="L1734" i="1"/>
  <c r="L1752" i="1"/>
  <c r="O2118" i="1"/>
  <c r="P901" i="1"/>
  <c r="P913" i="1"/>
  <c r="P1236" i="1"/>
  <c r="P1417" i="1"/>
  <c r="P1429" i="1"/>
  <c r="P1482" i="1"/>
  <c r="P1699" i="1"/>
  <c r="P1711" i="1"/>
  <c r="P1735" i="1"/>
  <c r="P2401" i="1"/>
  <c r="P2419" i="1"/>
  <c r="P2490" i="1"/>
  <c r="P2880" i="1"/>
  <c r="P2892" i="1"/>
  <c r="P3529" i="1"/>
  <c r="P3756" i="1"/>
  <c r="L961" i="1"/>
  <c r="L991" i="1"/>
  <c r="L1003" i="1"/>
  <c r="L1021" i="1"/>
  <c r="L1603" i="1"/>
  <c r="L1705" i="1"/>
  <c r="L1723" i="1"/>
  <c r="L1969" i="1"/>
  <c r="L2011" i="1"/>
  <c r="L2029" i="1"/>
  <c r="L2041" i="1"/>
  <c r="L2047" i="1"/>
  <c r="L2107" i="1"/>
  <c r="L2161" i="1"/>
  <c r="L2173" i="1"/>
  <c r="L2185" i="1"/>
  <c r="L2221" i="1"/>
  <c r="L2233" i="1"/>
  <c r="L2245" i="1"/>
  <c r="Q2245" i="1" s="1"/>
  <c r="O2287" i="1"/>
  <c r="L2317" i="1"/>
  <c r="L2323" i="1"/>
  <c r="L2329" i="1"/>
  <c r="L2347" i="1"/>
  <c r="L2635" i="1"/>
  <c r="L2641" i="1"/>
  <c r="L2665" i="1"/>
  <c r="L2671" i="1"/>
  <c r="L3133" i="1"/>
  <c r="L3139" i="1"/>
  <c r="L3163" i="1"/>
  <c r="Q3164" i="1" s="1"/>
  <c r="L3253" i="1"/>
  <c r="L3265" i="1"/>
  <c r="L3277" i="1"/>
  <c r="L3283" i="1"/>
  <c r="L3295" i="1"/>
  <c r="L3301" i="1"/>
  <c r="L3325" i="1"/>
  <c r="L3385" i="1"/>
  <c r="L3427" i="1"/>
  <c r="L3451" i="1"/>
  <c r="L3457" i="1"/>
  <c r="L3511" i="1"/>
  <c r="Q3512" i="1" s="1"/>
  <c r="L3607" i="1"/>
  <c r="L3661" i="1"/>
  <c r="O1994" i="1"/>
  <c r="O2864" i="1"/>
  <c r="L3266" i="1"/>
  <c r="Q3266" i="1" s="1"/>
  <c r="L3440" i="1"/>
  <c r="P794" i="1"/>
  <c r="P830" i="1"/>
  <c r="P902" i="1"/>
  <c r="P914" i="1"/>
  <c r="P944" i="1"/>
  <c r="P992" i="1"/>
  <c r="P1022" i="1"/>
  <c r="P1052" i="1"/>
  <c r="P1064" i="1"/>
  <c r="P1076" i="1"/>
  <c r="P1082" i="1"/>
  <c r="P1094" i="1"/>
  <c r="P1166" i="1"/>
  <c r="P1172" i="1"/>
  <c r="P1184" i="1"/>
  <c r="P1190" i="1"/>
  <c r="P1196" i="1"/>
  <c r="P1202" i="1"/>
  <c r="P1208" i="1"/>
  <c r="P1226" i="1"/>
  <c r="P1238" i="1"/>
  <c r="P1250" i="1"/>
  <c r="P1256" i="1"/>
  <c r="P1274" i="1"/>
  <c r="P1310" i="1"/>
  <c r="P1316" i="1"/>
  <c r="P1328" i="1"/>
  <c r="P1382" i="1"/>
  <c r="P1388" i="1"/>
  <c r="P1460" i="1"/>
  <c r="P1466" i="1"/>
  <c r="P1472" i="1"/>
  <c r="P1478" i="1"/>
  <c r="P1484" i="1"/>
  <c r="P1550" i="1"/>
  <c r="P1712" i="1"/>
  <c r="P1724" i="1"/>
  <c r="P1772" i="1"/>
  <c r="P1820" i="1"/>
  <c r="P1892" i="1"/>
  <c r="P1898" i="1"/>
  <c r="P1940" i="1"/>
  <c r="P1946" i="1"/>
  <c r="P1952" i="1"/>
  <c r="P1958" i="1"/>
  <c r="P1964" i="1"/>
  <c r="P1982" i="1"/>
  <c r="P1994" i="1"/>
  <c r="P2000" i="1"/>
  <c r="P2006" i="1"/>
  <c r="P2012" i="1"/>
  <c r="P2174" i="1"/>
  <c r="P2186" i="1"/>
  <c r="P2222" i="1"/>
  <c r="P2228" i="1"/>
  <c r="P2240" i="1"/>
  <c r="P2246" i="1"/>
  <c r="P2252" i="1"/>
  <c r="P2264" i="1"/>
  <c r="P2318" i="1"/>
  <c r="P2336" i="1"/>
  <c r="P2360" i="1"/>
  <c r="P2396" i="1"/>
  <c r="P2432" i="1"/>
  <c r="P2666" i="1"/>
  <c r="P2672" i="1"/>
  <c r="P3122" i="1"/>
  <c r="P3146" i="1"/>
  <c r="P3152" i="1"/>
  <c r="P3164" i="1"/>
  <c r="P3266" i="1"/>
  <c r="P3278" i="1"/>
  <c r="P3284" i="1"/>
  <c r="P3308" i="1"/>
  <c r="P3314" i="1"/>
  <c r="P3326" i="1"/>
  <c r="P3368" i="1"/>
  <c r="P3386" i="1"/>
  <c r="P3434" i="1"/>
  <c r="P3440" i="1"/>
  <c r="P3470" i="1"/>
  <c r="P3512" i="1"/>
  <c r="P3530" i="1"/>
  <c r="P3560" i="1"/>
  <c r="P3572" i="1"/>
  <c r="O867" i="1"/>
  <c r="L1677" i="1"/>
  <c r="L2169" i="1"/>
  <c r="O3507" i="1"/>
  <c r="P813" i="1"/>
  <c r="P951" i="1"/>
  <c r="P2020" i="1"/>
  <c r="P2566" i="1"/>
  <c r="P2727" i="1"/>
  <c r="P3093" i="1"/>
  <c r="P3267" i="1"/>
  <c r="P3399" i="1"/>
  <c r="P3417" i="1"/>
  <c r="P3465" i="1"/>
  <c r="P3549" i="1"/>
  <c r="L1510" i="1"/>
  <c r="L1522" i="1"/>
  <c r="L1528" i="1"/>
  <c r="L2044" i="1"/>
  <c r="L2962" i="1"/>
  <c r="P1306" i="1"/>
  <c r="P2986" i="1"/>
  <c r="P3286" i="1"/>
  <c r="P3298" i="1"/>
  <c r="P3310" i="1"/>
  <c r="O3174" i="1"/>
  <c r="P815" i="1"/>
  <c r="P863" i="1"/>
  <c r="P1469" i="1"/>
  <c r="P1517" i="1"/>
  <c r="P1523" i="1"/>
  <c r="P1529" i="1"/>
  <c r="P1565" i="1"/>
  <c r="P1595" i="1"/>
  <c r="P1901" i="1"/>
  <c r="P2375" i="1"/>
  <c r="P2735" i="1"/>
  <c r="P3017" i="1"/>
  <c r="P3413" i="1"/>
  <c r="P3545" i="1"/>
  <c r="L762" i="1"/>
  <c r="P1068" i="1"/>
  <c r="O1482" i="1"/>
  <c r="O1494" i="1"/>
  <c r="O1572" i="1"/>
  <c r="O1788" i="1"/>
  <c r="L2004" i="1"/>
  <c r="L2250" i="1"/>
  <c r="O2262" i="1"/>
  <c r="L2598" i="1"/>
  <c r="L2658" i="1"/>
  <c r="L2820" i="1"/>
  <c r="L2994" i="1"/>
  <c r="L3006" i="1"/>
  <c r="L3126" i="1"/>
  <c r="L3312" i="1"/>
  <c r="L3336" i="1"/>
  <c r="L3360" i="1"/>
  <c r="L3366" i="1"/>
  <c r="L3444" i="1"/>
  <c r="O841" i="1"/>
  <c r="O847" i="1"/>
  <c r="O907" i="1"/>
  <c r="P1338" i="1"/>
  <c r="P1470" i="1"/>
  <c r="P1494" i="1"/>
  <c r="P1746" i="1"/>
  <c r="P2058" i="1"/>
  <c r="P2334" i="1"/>
  <c r="P2352" i="1"/>
  <c r="P2478" i="1"/>
  <c r="P937" i="1"/>
  <c r="P979" i="1"/>
  <c r="P985" i="1"/>
  <c r="P1039" i="1"/>
  <c r="L1741" i="1"/>
  <c r="O1885" i="1"/>
  <c r="L2209" i="1"/>
  <c r="L3307" i="1"/>
  <c r="L3793" i="1"/>
  <c r="P1795" i="1"/>
  <c r="P1981" i="1"/>
  <c r="P2569" i="1"/>
  <c r="P2599" i="1"/>
  <c r="P2743" i="1"/>
  <c r="P2845" i="1"/>
  <c r="P2953" i="1"/>
  <c r="P2965" i="1"/>
  <c r="P2989" i="1"/>
  <c r="P3085" i="1"/>
  <c r="P3487" i="1"/>
  <c r="P3493" i="1"/>
  <c r="P3499" i="1"/>
  <c r="P782" i="1"/>
  <c r="P824" i="1"/>
  <c r="P920" i="1"/>
  <c r="P1070" i="1"/>
  <c r="P1280" i="1"/>
  <c r="O1850" i="1"/>
  <c r="O1856" i="1"/>
  <c r="L2000" i="1"/>
  <c r="L2972" i="1"/>
  <c r="L3404" i="1"/>
  <c r="L3746" i="1"/>
  <c r="L3788" i="1"/>
  <c r="O819" i="1"/>
  <c r="O825" i="1"/>
  <c r="P1322" i="1"/>
  <c r="P1394" i="1"/>
  <c r="P1490" i="1"/>
  <c r="P1496" i="1"/>
  <c r="P1526" i="1"/>
  <c r="P1610" i="1"/>
  <c r="P1748" i="1"/>
  <c r="P1970" i="1"/>
  <c r="P3410" i="1"/>
  <c r="P3482" i="1"/>
  <c r="P3746" i="1"/>
  <c r="P3752" i="1"/>
  <c r="P3758" i="1"/>
  <c r="P3890" i="1"/>
  <c r="O754" i="1"/>
  <c r="L1719" i="1"/>
  <c r="L1881" i="1"/>
  <c r="L2007" i="1"/>
  <c r="L2307" i="1"/>
  <c r="O2854" i="1"/>
  <c r="O2901" i="1"/>
  <c r="L3363" i="1"/>
  <c r="Q3363" i="1" s="1"/>
  <c r="O3405" i="1"/>
  <c r="O3417" i="1"/>
  <c r="L3567" i="1"/>
  <c r="L3609" i="1"/>
  <c r="L3615" i="1"/>
  <c r="L3885" i="1"/>
  <c r="P1293" i="1"/>
  <c r="P1485" i="1"/>
  <c r="P1707" i="1"/>
  <c r="P1743" i="1"/>
  <c r="P2031" i="1"/>
  <c r="P2355" i="1"/>
  <c r="P2403" i="1"/>
  <c r="P3405" i="1"/>
  <c r="P3555" i="1"/>
  <c r="P3789" i="1"/>
  <c r="P3801" i="1"/>
  <c r="P3807" i="1"/>
  <c r="P3879" i="1"/>
  <c r="P808" i="1"/>
  <c r="P1078" i="1"/>
  <c r="O815" i="1"/>
  <c r="P1312" i="1"/>
  <c r="P1522" i="1"/>
  <c r="P1816" i="1"/>
  <c r="P1828" i="1"/>
  <c r="P1978" i="1"/>
  <c r="P1996" i="1"/>
  <c r="P2086" i="1"/>
  <c r="P2314" i="1"/>
  <c r="P2488" i="1"/>
  <c r="P2560" i="1"/>
  <c r="P2608" i="1"/>
  <c r="P2890" i="1"/>
  <c r="P2908" i="1"/>
  <c r="P2914" i="1"/>
  <c r="P3004" i="1"/>
  <c r="P3034" i="1"/>
  <c r="P3185" i="1"/>
  <c r="P3191" i="1"/>
  <c r="P3430" i="1"/>
  <c r="P3688" i="1"/>
  <c r="P803" i="1"/>
  <c r="P869" i="1"/>
  <c r="P875" i="1"/>
  <c r="P983" i="1"/>
  <c r="P1187" i="1"/>
  <c r="L1751" i="1"/>
  <c r="L1781" i="1"/>
  <c r="O2819" i="1"/>
  <c r="O2867" i="1"/>
  <c r="O2921" i="1"/>
  <c r="O3047" i="1"/>
  <c r="L3167" i="1"/>
  <c r="L3191" i="1"/>
  <c r="L3203" i="1"/>
  <c r="L3269" i="1"/>
  <c r="L3383" i="1"/>
  <c r="L3401" i="1"/>
  <c r="L3437" i="1"/>
  <c r="L3605" i="1"/>
  <c r="L3659" i="1"/>
  <c r="L954" i="1"/>
  <c r="P1481" i="1"/>
  <c r="P1769" i="1"/>
  <c r="P1907" i="1"/>
  <c r="P2585" i="1"/>
  <c r="P3048" i="1"/>
  <c r="P3480" i="1"/>
  <c r="P3743" i="1"/>
  <c r="L159" i="1"/>
  <c r="L735" i="1"/>
  <c r="L759" i="1"/>
  <c r="P1040" i="1"/>
  <c r="L1100" i="1"/>
  <c r="L1106" i="1"/>
  <c r="L1112" i="1"/>
  <c r="P1999" i="1"/>
  <c r="P2605" i="1"/>
  <c r="L2815" i="1"/>
  <c r="L2845" i="1"/>
  <c r="L2851" i="1"/>
  <c r="L2923" i="1"/>
  <c r="P3102" i="1"/>
  <c r="P3120" i="1"/>
  <c r="P3126" i="1"/>
  <c r="P3384" i="1"/>
  <c r="P3408" i="1"/>
  <c r="P3426" i="1"/>
  <c r="O3714" i="1"/>
  <c r="L3798" i="1"/>
  <c r="L3822" i="1"/>
  <c r="O3888" i="1"/>
  <c r="P927" i="1"/>
  <c r="P1298" i="1"/>
  <c r="P1304" i="1"/>
  <c r="P1508" i="1"/>
  <c r="P1514" i="1"/>
  <c r="P1616" i="1"/>
  <c r="P1736" i="1"/>
  <c r="P1802" i="1"/>
  <c r="P2258" i="1"/>
  <c r="P2408" i="1"/>
  <c r="P2420" i="1"/>
  <c r="P2426" i="1"/>
  <c r="P2445" i="1"/>
  <c r="P3451" i="1"/>
  <c r="O3673" i="1"/>
  <c r="O3775" i="1"/>
  <c r="P718" i="1"/>
  <c r="P736" i="1"/>
  <c r="O844" i="1"/>
  <c r="O868" i="1"/>
  <c r="O940" i="1"/>
  <c r="P1095" i="1"/>
  <c r="P1101" i="1"/>
  <c r="P1113" i="1"/>
  <c r="P1131" i="1"/>
  <c r="P1143" i="1"/>
  <c r="P1155" i="1"/>
  <c r="P1246" i="1"/>
  <c r="P1257" i="1"/>
  <c r="P1263" i="1"/>
  <c r="P1281" i="1"/>
  <c r="O1461" i="1"/>
  <c r="Q1671" i="1"/>
  <c r="Q1923" i="1"/>
  <c r="O2301" i="1"/>
  <c r="O2319" i="1"/>
  <c r="O2349" i="1"/>
  <c r="O2679" i="1"/>
  <c r="O2691" i="1"/>
  <c r="P2744" i="1"/>
  <c r="P2762" i="1"/>
  <c r="P2852" i="1"/>
  <c r="O3176" i="1"/>
  <c r="O3326" i="1"/>
  <c r="O3332" i="1"/>
  <c r="P3571" i="1"/>
  <c r="P3589" i="1"/>
  <c r="P3643" i="1"/>
  <c r="P3655" i="1"/>
  <c r="P3667" i="1"/>
  <c r="P3715" i="1"/>
  <c r="P3727" i="1"/>
  <c r="P3769" i="1"/>
  <c r="P3817" i="1"/>
  <c r="P3829" i="1"/>
  <c r="P3853" i="1"/>
  <c r="P3865" i="1"/>
  <c r="P3877" i="1"/>
  <c r="O762" i="1"/>
  <c r="P796" i="1"/>
  <c r="P940" i="1"/>
  <c r="P946" i="1"/>
  <c r="P958" i="1"/>
  <c r="P1317" i="1"/>
  <c r="P1473" i="1"/>
  <c r="P1749" i="1"/>
  <c r="P2043" i="1"/>
  <c r="P2133" i="1"/>
  <c r="P2601" i="1"/>
  <c r="P2667" i="1"/>
  <c r="P2733" i="1"/>
  <c r="O2805" i="1"/>
  <c r="P3458" i="1"/>
  <c r="L3884" i="1"/>
  <c r="O887" i="1"/>
  <c r="P1084" i="1"/>
  <c r="L2170" i="1"/>
  <c r="Q2170" i="1" s="1"/>
  <c r="O2356" i="1"/>
  <c r="O2584" i="1"/>
  <c r="P2739" i="1"/>
  <c r="P2950" i="1"/>
  <c r="L3081" i="1"/>
  <c r="O3423" i="1"/>
  <c r="P3554" i="1"/>
  <c r="P3608" i="1"/>
  <c r="P827" i="1"/>
  <c r="P839" i="1"/>
  <c r="P893" i="1"/>
  <c r="P966" i="1"/>
  <c r="L1103" i="1"/>
  <c r="P1882" i="1"/>
  <c r="P2098" i="1"/>
  <c r="P2356" i="1"/>
  <c r="P2386" i="1"/>
  <c r="L2950" i="1"/>
  <c r="P3123" i="1"/>
  <c r="P3141" i="1"/>
  <c r="P3213" i="1"/>
  <c r="P3237" i="1"/>
  <c r="P3303" i="1"/>
  <c r="P3423" i="1"/>
  <c r="P3429" i="1"/>
  <c r="P3477" i="1"/>
  <c r="L960" i="1"/>
  <c r="L984" i="1"/>
  <c r="P1253" i="1"/>
  <c r="P1271" i="1"/>
  <c r="L1973" i="1"/>
  <c r="L2615" i="1"/>
  <c r="P2776" i="1"/>
  <c r="P2926" i="1"/>
  <c r="P3040" i="1"/>
  <c r="O3130" i="1"/>
  <c r="L3280" i="1"/>
  <c r="L3298" i="1"/>
  <c r="P3537" i="1"/>
  <c r="P3663" i="1"/>
  <c r="P3675" i="1"/>
  <c r="P1457" i="1"/>
  <c r="P1553" i="1"/>
  <c r="P1787" i="1"/>
  <c r="P1961" i="1"/>
  <c r="P2051" i="1"/>
  <c r="L2771" i="1"/>
  <c r="O3011" i="1"/>
  <c r="P3262" i="1"/>
  <c r="P3436" i="1"/>
  <c r="P3442" i="1"/>
  <c r="O3689" i="1"/>
  <c r="O3713" i="1"/>
  <c r="O3856" i="1"/>
  <c r="O865" i="1"/>
  <c r="O889" i="1"/>
  <c r="O967" i="1"/>
  <c r="L979" i="1"/>
  <c r="P1092" i="1"/>
  <c r="P1230" i="1"/>
  <c r="P1266" i="1"/>
  <c r="L1914" i="1"/>
  <c r="L1920" i="1"/>
  <c r="L2100" i="1"/>
  <c r="L2238" i="1"/>
  <c r="L2256" i="1"/>
  <c r="P2855" i="1"/>
  <c r="P2867" i="1"/>
  <c r="P2939" i="1"/>
  <c r="P2951" i="1"/>
  <c r="P2963" i="1"/>
  <c r="P2981" i="1"/>
  <c r="P2999" i="1"/>
  <c r="P3011" i="1"/>
  <c r="L3233" i="1"/>
  <c r="L3395" i="1"/>
  <c r="P3755" i="1"/>
  <c r="P3766" i="1"/>
  <c r="P3832" i="1"/>
  <c r="P3838" i="1"/>
  <c r="P3850" i="1"/>
  <c r="P3856" i="1"/>
  <c r="P3862" i="1"/>
  <c r="P3874" i="1"/>
  <c r="P811" i="1"/>
  <c r="P877" i="1"/>
  <c r="P889" i="1"/>
  <c r="P1021" i="1"/>
  <c r="P1476" i="1"/>
  <c r="P1530" i="1"/>
  <c r="P1890" i="1"/>
  <c r="P1932" i="1"/>
  <c r="P1944" i="1"/>
  <c r="P1986" i="1"/>
  <c r="P2034" i="1"/>
  <c r="P2052" i="1"/>
  <c r="P2358" i="1"/>
  <c r="P2382" i="1"/>
  <c r="P2586" i="1"/>
  <c r="L2796" i="1"/>
  <c r="P3107" i="1"/>
  <c r="P3143" i="1"/>
  <c r="P3155" i="1"/>
  <c r="P3161" i="1"/>
  <c r="P3209" i="1"/>
  <c r="P3305" i="1"/>
  <c r="P3329" i="1"/>
  <c r="P3419" i="1"/>
  <c r="P3461" i="1"/>
  <c r="P321" i="1"/>
  <c r="P345" i="1"/>
  <c r="P741" i="1"/>
  <c r="L902" i="1"/>
  <c r="O993" i="1"/>
  <c r="O1041" i="1"/>
  <c r="P1244" i="1"/>
  <c r="L1789" i="1"/>
  <c r="O1849" i="1"/>
  <c r="L1993" i="1"/>
  <c r="L2119" i="1"/>
  <c r="P2923" i="1"/>
  <c r="O3108" i="1"/>
  <c r="O3414" i="1"/>
  <c r="O3427" i="1"/>
  <c r="O3451" i="1"/>
  <c r="P3677" i="1"/>
  <c r="L2384" i="1"/>
  <c r="O3229" i="1"/>
  <c r="O874" i="1"/>
  <c r="O2494" i="1"/>
  <c r="O2739" i="1"/>
  <c r="O2961" i="1"/>
  <c r="O3859" i="1"/>
  <c r="O3884" i="1"/>
  <c r="O2668" i="1"/>
  <c r="O3159" i="1"/>
  <c r="O3171" i="1"/>
  <c r="L3662" i="1"/>
  <c r="Q3662" i="1" s="1"/>
  <c r="L3716" i="1"/>
  <c r="O768" i="1"/>
  <c r="O972" i="1"/>
  <c r="O1319" i="1"/>
  <c r="O1523" i="1"/>
  <c r="O1896" i="1"/>
  <c r="O2381" i="1"/>
  <c r="O2597" i="1"/>
  <c r="O2627" i="1"/>
  <c r="O2944" i="1"/>
  <c r="O3040" i="1"/>
  <c r="O3693" i="1"/>
  <c r="O3723" i="1"/>
  <c r="O106" i="1"/>
  <c r="O3052" i="1"/>
  <c r="O3202" i="1"/>
  <c r="L3196" i="1"/>
  <c r="O1754" i="1"/>
  <c r="O1964" i="1"/>
  <c r="P996" i="1"/>
  <c r="L1104" i="1"/>
  <c r="L1110" i="1"/>
  <c r="P1340" i="1"/>
  <c r="P1400" i="1"/>
  <c r="P1502" i="1"/>
  <c r="P1574" i="1"/>
  <c r="P1598" i="1"/>
  <c r="P1796" i="1"/>
  <c r="P1808" i="1"/>
  <c r="P1832" i="1"/>
  <c r="L2053" i="1"/>
  <c r="Q2053" i="1" s="1"/>
  <c r="L2089" i="1"/>
  <c r="L2101" i="1"/>
  <c r="L2106" i="1"/>
  <c r="P2142" i="1"/>
  <c r="P2477" i="1"/>
  <c r="P2590" i="1"/>
  <c r="P2596" i="1"/>
  <c r="P2756" i="1"/>
  <c r="L2870" i="1"/>
  <c r="L2918" i="1"/>
  <c r="P3078" i="1"/>
  <c r="P3108" i="1"/>
  <c r="O3144" i="1"/>
  <c r="L3150" i="1"/>
  <c r="L3240" i="1"/>
  <c r="L3246" i="1"/>
  <c r="L3258" i="1"/>
  <c r="O3306" i="1"/>
  <c r="P3390" i="1"/>
  <c r="P3402" i="1"/>
  <c r="P3502" i="1"/>
  <c r="L3698" i="1"/>
  <c r="L3781" i="1"/>
  <c r="P706" i="1"/>
  <c r="P817" i="1"/>
  <c r="P829" i="1"/>
  <c r="P895" i="1"/>
  <c r="P943" i="1"/>
  <c r="P955" i="1"/>
  <c r="P967" i="1"/>
  <c r="P1015" i="1"/>
  <c r="P1242" i="1"/>
  <c r="P1277" i="1"/>
  <c r="O1283" i="1"/>
  <c r="P1377" i="1"/>
  <c r="P1461" i="1"/>
  <c r="P1497" i="1"/>
  <c r="P1515" i="1"/>
  <c r="P1533" i="1"/>
  <c r="P1791" i="1"/>
  <c r="P1923" i="1"/>
  <c r="P1929" i="1"/>
  <c r="P2042" i="1"/>
  <c r="L2287" i="1"/>
  <c r="O2299" i="1"/>
  <c r="O2341" i="1"/>
  <c r="P2454" i="1"/>
  <c r="O2586" i="1"/>
  <c r="O2663" i="1"/>
  <c r="P2751" i="1"/>
  <c r="O2895" i="1"/>
  <c r="L2924" i="1"/>
  <c r="L2948" i="1"/>
  <c r="O3008" i="1"/>
  <c r="L3020" i="1"/>
  <c r="L3026" i="1"/>
  <c r="P3061" i="1"/>
  <c r="P3073" i="1"/>
  <c r="P3097" i="1"/>
  <c r="P3109" i="1"/>
  <c r="P3115" i="1"/>
  <c r="O3175" i="1"/>
  <c r="P753" i="1"/>
  <c r="O908" i="1"/>
  <c r="O944" i="1"/>
  <c r="O986" i="1"/>
  <c r="O1010" i="1"/>
  <c r="P1123" i="1"/>
  <c r="P1135" i="1"/>
  <c r="P1147" i="1"/>
  <c r="P1213" i="1"/>
  <c r="P1219" i="1"/>
  <c r="P1231" i="1"/>
  <c r="P1260" i="1"/>
  <c r="P1295" i="1"/>
  <c r="P1318" i="1"/>
  <c r="P1324" i="1"/>
  <c r="O1474" i="1"/>
  <c r="O1486" i="1"/>
  <c r="O1552" i="1"/>
  <c r="O1564" i="1"/>
  <c r="O1600" i="1"/>
  <c r="O1660" i="1"/>
  <c r="O1684" i="1"/>
  <c r="O1834" i="1"/>
  <c r="O1882" i="1"/>
  <c r="O1888" i="1"/>
  <c r="O1906" i="1"/>
  <c r="O1918" i="1"/>
  <c r="O1924" i="1"/>
  <c r="P1935" i="1"/>
  <c r="P1941" i="1"/>
  <c r="P1983" i="1"/>
  <c r="P1989" i="1"/>
  <c r="P2090" i="1"/>
  <c r="P2102" i="1"/>
  <c r="O2162" i="1"/>
  <c r="O2216" i="1"/>
  <c r="O2222" i="1"/>
  <c r="O2228" i="1"/>
  <c r="O2270" i="1"/>
  <c r="P2383" i="1"/>
  <c r="P2389" i="1"/>
  <c r="P2407" i="1"/>
  <c r="P2425" i="1"/>
  <c r="O2485" i="1"/>
  <c r="P2574" i="1"/>
  <c r="P2669" i="1"/>
  <c r="P2687" i="1"/>
  <c r="P2699" i="1"/>
  <c r="O2818" i="1"/>
  <c r="P2853" i="1"/>
  <c r="P2972" i="1"/>
  <c r="P2984" i="1"/>
  <c r="L3098" i="1"/>
  <c r="P3145" i="1"/>
  <c r="P3211" i="1"/>
  <c r="P3223" i="1"/>
  <c r="P3301" i="1"/>
  <c r="O3313" i="1"/>
  <c r="L3450" i="1"/>
  <c r="O3646" i="1"/>
  <c r="O3664" i="1"/>
  <c r="O3794" i="1"/>
  <c r="O3812" i="1"/>
  <c r="O748" i="1"/>
  <c r="P788" i="1"/>
  <c r="P800" i="1"/>
  <c r="P866" i="1"/>
  <c r="P980" i="1"/>
  <c r="P1004" i="1"/>
  <c r="P1028" i="1"/>
  <c r="P1237" i="1"/>
  <c r="P1272" i="1"/>
  <c r="P1278" i="1"/>
  <c r="P1444" i="1"/>
  <c r="P1708" i="1"/>
  <c r="P1720" i="1"/>
  <c r="P1756" i="1"/>
  <c r="P1888" i="1"/>
  <c r="P2001" i="1"/>
  <c r="P2162" i="1"/>
  <c r="P2270" i="1"/>
  <c r="P2449" i="1"/>
  <c r="L2581" i="1"/>
  <c r="L2824" i="1"/>
  <c r="L2860" i="1"/>
  <c r="L2878" i="1"/>
  <c r="O3284" i="1"/>
  <c r="O3290" i="1"/>
  <c r="O3296" i="1"/>
  <c r="O3302" i="1"/>
  <c r="P3337" i="1"/>
  <c r="P3349" i="1"/>
  <c r="P3355" i="1"/>
  <c r="P3361" i="1"/>
  <c r="P3391" i="1"/>
  <c r="P3403" i="1"/>
  <c r="P3415" i="1"/>
  <c r="P3439" i="1"/>
  <c r="P3485" i="1"/>
  <c r="P3491" i="1"/>
  <c r="P3497" i="1"/>
  <c r="P3503" i="1"/>
  <c r="P3509" i="1"/>
  <c r="P3544" i="1"/>
  <c r="P3550" i="1"/>
  <c r="P3562" i="1"/>
  <c r="P3574" i="1"/>
  <c r="P3658" i="1"/>
  <c r="P3729" i="1"/>
  <c r="P3747" i="1"/>
  <c r="P3794" i="1"/>
  <c r="P3800" i="1"/>
  <c r="P3812" i="1"/>
  <c r="P3836" i="1"/>
  <c r="P3842" i="1"/>
  <c r="P3848" i="1"/>
  <c r="P3860" i="1"/>
  <c r="P754" i="1"/>
  <c r="P1088" i="1"/>
  <c r="P1100" i="1"/>
  <c r="P1106" i="1"/>
  <c r="P1112" i="1"/>
  <c r="P1284" i="1"/>
  <c r="P1319" i="1"/>
  <c r="P1325" i="1"/>
  <c r="P1930" i="1"/>
  <c r="P1972" i="1"/>
  <c r="L2002" i="1"/>
  <c r="P2306" i="1"/>
  <c r="P2324" i="1"/>
  <c r="P2402" i="1"/>
  <c r="P2575" i="1"/>
  <c r="O2765" i="1"/>
  <c r="P2902" i="1"/>
  <c r="P2943" i="1"/>
  <c r="P3296" i="1"/>
  <c r="P3302" i="1"/>
  <c r="O3320" i="1"/>
  <c r="P3445" i="1"/>
  <c r="P3462" i="1"/>
  <c r="P837" i="1"/>
  <c r="P897" i="1"/>
  <c r="P903" i="1"/>
  <c r="P909" i="1"/>
  <c r="P969" i="1"/>
  <c r="P975" i="1"/>
  <c r="P987" i="1"/>
  <c r="P1035" i="1"/>
  <c r="P1047" i="1"/>
  <c r="O1256" i="1"/>
  <c r="P1493" i="1"/>
  <c r="P1505" i="1"/>
  <c r="P1697" i="1"/>
  <c r="P1721" i="1"/>
  <c r="P1781" i="1"/>
  <c r="P1895" i="1"/>
  <c r="P1913" i="1"/>
  <c r="P2008" i="1"/>
  <c r="O2337" i="1"/>
  <c r="P2747" i="1"/>
  <c r="P3422" i="1"/>
  <c r="P3486" i="1"/>
  <c r="L3713" i="1"/>
  <c r="P749" i="1"/>
  <c r="P766" i="1"/>
  <c r="O826" i="1"/>
  <c r="P1071" i="1"/>
  <c r="P1204" i="1"/>
  <c r="P1209" i="1"/>
  <c r="P1221" i="1"/>
  <c r="P1262" i="1"/>
  <c r="P1285" i="1"/>
  <c r="O1578" i="1"/>
  <c r="O1584" i="1"/>
  <c r="O1590" i="1"/>
  <c r="L1716" i="1"/>
  <c r="Q1716" i="1" s="1"/>
  <c r="L1764" i="1"/>
  <c r="P2062" i="1"/>
  <c r="O2152" i="1"/>
  <c r="O2194" i="1"/>
  <c r="P2313" i="1"/>
  <c r="P2319" i="1"/>
  <c r="P2373" i="1"/>
  <c r="P2415" i="1"/>
  <c r="P2427" i="1"/>
  <c r="O2760" i="1"/>
  <c r="P2879" i="1"/>
  <c r="P2938" i="1"/>
  <c r="P3147" i="1"/>
  <c r="P3153" i="1"/>
  <c r="L3612" i="1"/>
  <c r="O3743" i="1"/>
  <c r="L3820" i="1"/>
  <c r="O3868" i="1"/>
  <c r="P802" i="1"/>
  <c r="P814" i="1"/>
  <c r="P898" i="1"/>
  <c r="P952" i="1"/>
  <c r="P976" i="1"/>
  <c r="P988" i="1"/>
  <c r="P1012" i="1"/>
  <c r="P1036" i="1"/>
  <c r="P1066" i="1"/>
  <c r="P1458" i="1"/>
  <c r="P1464" i="1"/>
  <c r="P1500" i="1"/>
  <c r="P1506" i="1"/>
  <c r="P1512" i="1"/>
  <c r="P1782" i="1"/>
  <c r="P1824" i="1"/>
  <c r="P1884" i="1"/>
  <c r="P1896" i="1"/>
  <c r="P1902" i="1"/>
  <c r="P2003" i="1"/>
  <c r="P2021" i="1"/>
  <c r="O2290" i="1"/>
  <c r="P2571" i="1"/>
  <c r="L2660" i="1"/>
  <c r="O2838" i="1"/>
  <c r="L2844" i="1"/>
  <c r="P3100" i="1"/>
  <c r="O3226" i="1"/>
  <c r="P3339" i="1"/>
  <c r="P3452" i="1"/>
  <c r="L409" i="1"/>
  <c r="P744" i="1"/>
  <c r="P1090" i="1"/>
  <c r="P1096" i="1"/>
  <c r="P1108" i="1"/>
  <c r="P1222" i="1"/>
  <c r="P1286" i="1"/>
  <c r="O1699" i="1"/>
  <c r="O1927" i="1"/>
  <c r="P1938" i="1"/>
  <c r="P1950" i="1"/>
  <c r="P1974" i="1"/>
  <c r="P1980" i="1"/>
  <c r="P1992" i="1"/>
  <c r="P2392" i="1"/>
  <c r="P2844" i="1"/>
  <c r="P2862" i="1"/>
  <c r="P2927" i="1"/>
  <c r="P2987" i="1"/>
  <c r="P3023" i="1"/>
  <c r="P3202" i="1"/>
  <c r="P3447" i="1"/>
  <c r="P3779" i="1"/>
  <c r="P715" i="1"/>
  <c r="P821" i="1"/>
  <c r="P833" i="1"/>
  <c r="P845" i="1"/>
  <c r="P851" i="1"/>
  <c r="P857" i="1"/>
  <c r="P881" i="1"/>
  <c r="P1019" i="1"/>
  <c r="P1031" i="1"/>
  <c r="P1055" i="1"/>
  <c r="P1423" i="1"/>
  <c r="P1465" i="1"/>
  <c r="P1477" i="1"/>
  <c r="P1801" i="1"/>
  <c r="P1843" i="1"/>
  <c r="P2428" i="1"/>
  <c r="O2728" i="1"/>
  <c r="P2761" i="1"/>
  <c r="P3322" i="1"/>
  <c r="P3406" i="1"/>
  <c r="P3412" i="1"/>
  <c r="P3418" i="1"/>
  <c r="P3453" i="1"/>
  <c r="P3553" i="1"/>
  <c r="P3565" i="1"/>
  <c r="P3631" i="1"/>
  <c r="L3679" i="1"/>
  <c r="P3745" i="1"/>
  <c r="L3803" i="1"/>
  <c r="P3852" i="1"/>
  <c r="P3888" i="1"/>
  <c r="O663" i="1"/>
  <c r="P728" i="1"/>
  <c r="P733" i="1"/>
  <c r="P740" i="1"/>
  <c r="P752" i="1"/>
  <c r="P1104" i="1"/>
  <c r="P1200" i="1"/>
  <c r="P1205" i="1"/>
  <c r="P1211" i="1"/>
  <c r="P1217" i="1"/>
  <c r="P1224" i="1"/>
  <c r="P1265" i="1"/>
  <c r="O1299" i="1"/>
  <c r="O1881" i="1"/>
  <c r="O1887" i="1"/>
  <c r="O1899" i="1"/>
  <c r="O1905" i="1"/>
  <c r="O1911" i="1"/>
  <c r="O1917" i="1"/>
  <c r="P2309" i="1"/>
  <c r="P2345" i="1"/>
  <c r="P2357" i="1"/>
  <c r="P2381" i="1"/>
  <c r="O2495" i="1"/>
  <c r="O2734" i="1"/>
  <c r="P2863" i="1"/>
  <c r="P2881" i="1"/>
  <c r="P2929" i="1"/>
  <c r="P2994" i="1"/>
  <c r="P3030" i="1"/>
  <c r="P3173" i="1"/>
  <c r="P3215" i="1"/>
  <c r="P3258" i="1"/>
  <c r="L3425" i="1"/>
  <c r="L3888" i="1"/>
  <c r="O827" i="1"/>
  <c r="O869" i="1"/>
  <c r="O875" i="1"/>
  <c r="P1003" i="1"/>
  <c r="L1015" i="1"/>
  <c r="P1063" i="1"/>
  <c r="L1342" i="1"/>
  <c r="P708" i="1"/>
  <c r="P731" i="1"/>
  <c r="P742" i="1"/>
  <c r="P763" i="1"/>
  <c r="P917" i="1"/>
  <c r="P923" i="1"/>
  <c r="O720" i="1"/>
  <c r="O918" i="1"/>
  <c r="L942" i="1"/>
  <c r="P953" i="1"/>
  <c r="P1016" i="1"/>
  <c r="P1027" i="1"/>
  <c r="P1043" i="1"/>
  <c r="P1059" i="1"/>
  <c r="P1075" i="1"/>
  <c r="P1081" i="1"/>
  <c r="P1139" i="1"/>
  <c r="P1214" i="1"/>
  <c r="P1355" i="1"/>
  <c r="P1456" i="1"/>
  <c r="P1462" i="1"/>
  <c r="P1468" i="1"/>
  <c r="P1474" i="1"/>
  <c r="P1480" i="1"/>
  <c r="P1486" i="1"/>
  <c r="P1492" i="1"/>
  <c r="P1498" i="1"/>
  <c r="P1504" i="1"/>
  <c r="L1516" i="1"/>
  <c r="P2359" i="1"/>
  <c r="O3422" i="1"/>
  <c r="O3421" i="1"/>
  <c r="P726" i="1"/>
  <c r="P906" i="1"/>
  <c r="P918" i="1"/>
  <c r="O1033" i="1"/>
  <c r="P1054" i="1"/>
  <c r="P1087" i="1"/>
  <c r="P1220" i="1"/>
  <c r="P1225" i="1"/>
  <c r="P1241" i="1"/>
  <c r="O1252" i="1"/>
  <c r="P1273" i="1"/>
  <c r="P1289" i="1"/>
  <c r="P1305" i="1"/>
  <c r="P1321" i="1"/>
  <c r="P1326" i="1"/>
  <c r="P1379" i="1"/>
  <c r="P1416" i="1"/>
  <c r="P1427" i="1"/>
  <c r="P1445" i="1"/>
  <c r="P3873" i="1"/>
  <c r="P3872" i="1"/>
  <c r="P3884" i="1"/>
  <c r="P835" i="1"/>
  <c r="O913" i="1"/>
  <c r="L966" i="1"/>
  <c r="P1034" i="1"/>
  <c r="P1049" i="1"/>
  <c r="P1065" i="1"/>
  <c r="P1268" i="1"/>
  <c r="O1311" i="1"/>
  <c r="P710" i="1"/>
  <c r="P907" i="1"/>
  <c r="P949" i="1"/>
  <c r="P977" i="1"/>
  <c r="P1169" i="1"/>
  <c r="P1279" i="1"/>
  <c r="P3416" i="1"/>
  <c r="P739" i="1"/>
  <c r="O978" i="1"/>
  <c r="P995" i="1"/>
  <c r="P1083" i="1"/>
  <c r="P1199" i="1"/>
  <c r="P1210" i="1"/>
  <c r="P1269" i="1"/>
  <c r="P1301" i="1"/>
  <c r="P1333" i="1"/>
  <c r="P1339" i="1"/>
  <c r="P1375" i="1"/>
  <c r="O3606" i="1"/>
  <c r="O766" i="1"/>
  <c r="O843" i="1"/>
  <c r="P961" i="1"/>
  <c r="P1001" i="1"/>
  <c r="P1089" i="1"/>
  <c r="P1107" i="1"/>
  <c r="P1159" i="1"/>
  <c r="P1232" i="1"/>
  <c r="P1447" i="1"/>
  <c r="P1518" i="1"/>
  <c r="P717" i="1"/>
  <c r="P843" i="1"/>
  <c r="P861" i="1"/>
  <c r="P873" i="1"/>
  <c r="P991" i="1"/>
  <c r="P1051" i="1"/>
  <c r="O1097" i="1"/>
  <c r="P1347" i="1"/>
  <c r="P1453" i="1"/>
  <c r="P1489" i="1"/>
  <c r="P1501" i="1"/>
  <c r="O1519" i="1"/>
  <c r="P723" i="1"/>
  <c r="O784" i="1"/>
  <c r="O832" i="1"/>
  <c r="P939" i="1"/>
  <c r="P1030" i="1"/>
  <c r="P1046" i="1"/>
  <c r="P1067" i="1"/>
  <c r="P1119" i="1"/>
  <c r="P1206" i="1"/>
  <c r="P1233" i="1"/>
  <c r="P1249" i="1"/>
  <c r="P1254" i="1"/>
  <c r="O1260" i="1"/>
  <c r="P1297" i="1"/>
  <c r="P1313" i="1"/>
  <c r="P1329" i="1"/>
  <c r="P1406" i="1"/>
  <c r="P1448" i="1"/>
  <c r="O1466" i="1"/>
  <c r="O1490" i="1"/>
  <c r="L1514" i="1"/>
  <c r="P1519" i="1"/>
  <c r="P2755" i="1"/>
  <c r="P820" i="1"/>
  <c r="P826" i="1"/>
  <c r="P886" i="1"/>
  <c r="P968" i="1"/>
  <c r="O1032" i="1"/>
  <c r="P1042" i="1"/>
  <c r="P1058" i="1"/>
  <c r="P1073" i="1"/>
  <c r="P1079" i="1"/>
  <c r="P1201" i="1"/>
  <c r="P1212" i="1"/>
  <c r="P1229" i="1"/>
  <c r="P1245" i="1"/>
  <c r="P1354" i="1"/>
  <c r="P1378" i="1"/>
  <c r="P1993" i="1"/>
  <c r="L1524" i="1"/>
  <c r="L1583" i="1"/>
  <c r="L1607" i="1"/>
  <c r="P1767" i="1"/>
  <c r="P1797" i="1"/>
  <c r="P1893" i="1"/>
  <c r="P1911" i="1"/>
  <c r="L1947" i="1"/>
  <c r="Q1948" i="1" s="1"/>
  <c r="L1975" i="1"/>
  <c r="Q1975" i="1" s="1"/>
  <c r="L1986" i="1"/>
  <c r="P2002" i="1"/>
  <c r="L2037" i="1"/>
  <c r="L2049" i="1"/>
  <c r="L2078" i="1"/>
  <c r="L2084" i="1"/>
  <c r="Q2085" i="1" s="1"/>
  <c r="L2090" i="1"/>
  <c r="L2096" i="1"/>
  <c r="L2102" i="1"/>
  <c r="O2292" i="1"/>
  <c r="O2334" i="1"/>
  <c r="P2380" i="1"/>
  <c r="L2397" i="1"/>
  <c r="L2403" i="1"/>
  <c r="L2421" i="1"/>
  <c r="O2533" i="1"/>
  <c r="L2557" i="1"/>
  <c r="P2597" i="1"/>
  <c r="O2603" i="1"/>
  <c r="P2679" i="1"/>
  <c r="P2782" i="1"/>
  <c r="O2927" i="1"/>
  <c r="O2939" i="1"/>
  <c r="P2944" i="1"/>
  <c r="O3100" i="1"/>
  <c r="P3129" i="1"/>
  <c r="P3135" i="1"/>
  <c r="L3182" i="1"/>
  <c r="L3188" i="1"/>
  <c r="L3288" i="1"/>
  <c r="L3387" i="1"/>
  <c r="L3399" i="1"/>
  <c r="P3404" i="1"/>
  <c r="P3425" i="1"/>
  <c r="P3441" i="1"/>
  <c r="P3481" i="1"/>
  <c r="P3521" i="1"/>
  <c r="P3527" i="1"/>
  <c r="L3692" i="1"/>
  <c r="L3710" i="1"/>
  <c r="P3778" i="1"/>
  <c r="O3789" i="1"/>
  <c r="O3801" i="1"/>
  <c r="P3818" i="1"/>
  <c r="P3824" i="1"/>
  <c r="O3842" i="1"/>
  <c r="L3848" i="1"/>
  <c r="L3860" i="1"/>
  <c r="O3866" i="1"/>
  <c r="L3872" i="1"/>
  <c r="O3877" i="1"/>
  <c r="O1536" i="1"/>
  <c r="O1560" i="1"/>
  <c r="P1709" i="1"/>
  <c r="P1745" i="1"/>
  <c r="L1757" i="1"/>
  <c r="O1930" i="1"/>
  <c r="O1936" i="1"/>
  <c r="L2091" i="1"/>
  <c r="P2749" i="1"/>
  <c r="P2859" i="1"/>
  <c r="O2865" i="1"/>
  <c r="P2967" i="1"/>
  <c r="P2979" i="1"/>
  <c r="P3083" i="1"/>
  <c r="O3154" i="1"/>
  <c r="O3160" i="1"/>
  <c r="L3183" i="1"/>
  <c r="P3259" i="1"/>
  <c r="P3317" i="1"/>
  <c r="P3358" i="1"/>
  <c r="O3629" i="1"/>
  <c r="O3641" i="1"/>
  <c r="O3653" i="1"/>
  <c r="P3670" i="1"/>
  <c r="P3681" i="1"/>
  <c r="O3705" i="1"/>
  <c r="P3813" i="1"/>
  <c r="P3825" i="1"/>
  <c r="O3889" i="1"/>
  <c r="P1525" i="1"/>
  <c r="P1542" i="1"/>
  <c r="P1566" i="1"/>
  <c r="P1602" i="1"/>
  <c r="P1614" i="1"/>
  <c r="O1859" i="1"/>
  <c r="O1871" i="1"/>
  <c r="O1877" i="1"/>
  <c r="P1965" i="1"/>
  <c r="P1976" i="1"/>
  <c r="P1998" i="1"/>
  <c r="P2009" i="1"/>
  <c r="P2015" i="1"/>
  <c r="O2121" i="1"/>
  <c r="O2127" i="1"/>
  <c r="O2139" i="1"/>
  <c r="O2199" i="1"/>
  <c r="O2211" i="1"/>
  <c r="P2276" i="1"/>
  <c r="P2282" i="1"/>
  <c r="P2311" i="1"/>
  <c r="P2323" i="1"/>
  <c r="P2335" i="1"/>
  <c r="P2341" i="1"/>
  <c r="P2347" i="1"/>
  <c r="P2353" i="1"/>
  <c r="P2398" i="1"/>
  <c r="P2404" i="1"/>
  <c r="P2410" i="1"/>
  <c r="P2416" i="1"/>
  <c r="P2422" i="1"/>
  <c r="P2604" i="1"/>
  <c r="P2663" i="1"/>
  <c r="O2675" i="1"/>
  <c r="P2728" i="1"/>
  <c r="O2761" i="1"/>
  <c r="O2766" i="1"/>
  <c r="O2784" i="1"/>
  <c r="O2790" i="1"/>
  <c r="O2808" i="1"/>
  <c r="O2814" i="1"/>
  <c r="O2825" i="1"/>
  <c r="O2831" i="1"/>
  <c r="O2837" i="1"/>
  <c r="O3022" i="1"/>
  <c r="P3038" i="1"/>
  <c r="O3096" i="1"/>
  <c r="P3189" i="1"/>
  <c r="O3242" i="1"/>
  <c r="P3277" i="1"/>
  <c r="P3283" i="1"/>
  <c r="P3289" i="1"/>
  <c r="L3324" i="1"/>
  <c r="P3388" i="1"/>
  <c r="P3394" i="1"/>
  <c r="P3400" i="1"/>
  <c r="P3459" i="1"/>
  <c r="P3494" i="1"/>
  <c r="P3540" i="1"/>
  <c r="P3546" i="1"/>
  <c r="P3552" i="1"/>
  <c r="P3558" i="1"/>
  <c r="P3564" i="1"/>
  <c r="P3570" i="1"/>
  <c r="O3600" i="1"/>
  <c r="P3623" i="1"/>
  <c r="P3635" i="1"/>
  <c r="P3647" i="1"/>
  <c r="P3653" i="1"/>
  <c r="P3676" i="1"/>
  <c r="P3705" i="1"/>
  <c r="O3768" i="1"/>
  <c r="O3780" i="1"/>
  <c r="P3802" i="1"/>
  <c r="P3855" i="1"/>
  <c r="P3867" i="1"/>
  <c r="O3873" i="1"/>
  <c r="P3889" i="1"/>
  <c r="O1531" i="1"/>
  <c r="P1799" i="1"/>
  <c r="P1811" i="1"/>
  <c r="P1883" i="1"/>
  <c r="P1971" i="1"/>
  <c r="P2004" i="1"/>
  <c r="P2139" i="1"/>
  <c r="P2145" i="1"/>
  <c r="P2151" i="1"/>
  <c r="O2336" i="1"/>
  <c r="O2423" i="1"/>
  <c r="P2457" i="1"/>
  <c r="P2582" i="1"/>
  <c r="P2610" i="1"/>
  <c r="P2843" i="1"/>
  <c r="P2940" i="1"/>
  <c r="O2952" i="1"/>
  <c r="P3096" i="1"/>
  <c r="O3196" i="1"/>
  <c r="P3254" i="1"/>
  <c r="O3411" i="1"/>
  <c r="O3433" i="1"/>
  <c r="P3444" i="1"/>
  <c r="P3471" i="1"/>
  <c r="P3665" i="1"/>
  <c r="O3718" i="1"/>
  <c r="L3735" i="1"/>
  <c r="Q3736" i="1" s="1"/>
  <c r="L3752" i="1"/>
  <c r="P3768" i="1"/>
  <c r="L3786" i="1"/>
  <c r="O3791" i="1"/>
  <c r="L3797" i="1"/>
  <c r="L3809" i="1"/>
  <c r="P3827" i="1"/>
  <c r="L3862" i="1"/>
  <c r="O3879" i="1"/>
  <c r="P1531" i="1"/>
  <c r="L1800" i="1"/>
  <c r="O1872" i="1"/>
  <c r="P1966" i="1"/>
  <c r="P1977" i="1"/>
  <c r="P1988" i="1"/>
  <c r="P2027" i="1"/>
  <c r="O2116" i="1"/>
  <c r="P2288" i="1"/>
  <c r="P2342" i="1"/>
  <c r="P2588" i="1"/>
  <c r="P2658" i="1"/>
  <c r="P2729" i="1"/>
  <c r="P2745" i="1"/>
  <c r="P2883" i="1"/>
  <c r="O3051" i="1"/>
  <c r="P3167" i="1"/>
  <c r="P3313" i="1"/>
  <c r="L3319" i="1"/>
  <c r="O3324" i="1"/>
  <c r="O3342" i="1"/>
  <c r="O3383" i="1"/>
  <c r="P3427" i="1"/>
  <c r="P3433" i="1"/>
  <c r="P3489" i="1"/>
  <c r="P3577" i="1"/>
  <c r="P3583" i="1"/>
  <c r="P3595" i="1"/>
  <c r="O3683" i="1"/>
  <c r="P1521" i="1"/>
  <c r="L1598" i="1"/>
  <c r="L1616" i="1"/>
  <c r="O1700" i="1"/>
  <c r="L1983" i="1"/>
  <c r="P2371" i="1"/>
  <c r="O2400" i="1"/>
  <c r="O2424" i="1"/>
  <c r="P2482" i="1"/>
  <c r="P2740" i="1"/>
  <c r="P2941" i="1"/>
  <c r="O3162" i="1"/>
  <c r="L3179" i="1"/>
  <c r="P3243" i="1"/>
  <c r="O3396" i="1"/>
  <c r="L3433" i="1"/>
  <c r="L3507" i="1"/>
  <c r="O3596" i="1"/>
  <c r="O1527" i="1"/>
  <c r="P1700" i="1"/>
  <c r="L1795" i="1"/>
  <c r="L1801" i="1"/>
  <c r="Q1801" i="1" s="1"/>
  <c r="L1813" i="1"/>
  <c r="O1867" i="1"/>
  <c r="P2011" i="1"/>
  <c r="P2063" i="1"/>
  <c r="P2081" i="1"/>
  <c r="P2289" i="1"/>
  <c r="P2331" i="1"/>
  <c r="P2337" i="1"/>
  <c r="P2441" i="1"/>
  <c r="O2465" i="1"/>
  <c r="O2483" i="1"/>
  <c r="P2595" i="1"/>
  <c r="O2741" i="1"/>
  <c r="O2920" i="1"/>
  <c r="L3115" i="1"/>
  <c r="P3144" i="1"/>
  <c r="P3179" i="1"/>
  <c r="L3202" i="1"/>
  <c r="P3325" i="1"/>
  <c r="O3418" i="1"/>
  <c r="P3428" i="1"/>
  <c r="P3490" i="1"/>
  <c r="L3519" i="1"/>
  <c r="P3542" i="1"/>
  <c r="P3548" i="1"/>
  <c r="P3566" i="1"/>
  <c r="O3690" i="1"/>
  <c r="P3798" i="1"/>
  <c r="P3810" i="1"/>
  <c r="P3845" i="1"/>
  <c r="O1581" i="1"/>
  <c r="P1819" i="1"/>
  <c r="P1921" i="1"/>
  <c r="O1933" i="1"/>
  <c r="L1945" i="1"/>
  <c r="O1962" i="1"/>
  <c r="P1973" i="1"/>
  <c r="P1995" i="1"/>
  <c r="P2017" i="1"/>
  <c r="O2395" i="1"/>
  <c r="P2483" i="1"/>
  <c r="O2489" i="1"/>
  <c r="O2544" i="1"/>
  <c r="L2601" i="1"/>
  <c r="Q2601" i="1" s="1"/>
  <c r="P2988" i="1"/>
  <c r="P3000" i="1"/>
  <c r="P3012" i="1"/>
  <c r="P3018" i="1"/>
  <c r="P3035" i="1"/>
  <c r="P3121" i="1"/>
  <c r="P3197" i="1"/>
  <c r="L3286" i="1"/>
  <c r="Q3286" i="1" s="1"/>
  <c r="O3314" i="1"/>
  <c r="P3320" i="1"/>
  <c r="P3367" i="1"/>
  <c r="O3445" i="1"/>
  <c r="L3597" i="1"/>
  <c r="O3656" i="1"/>
  <c r="P3742" i="1"/>
  <c r="P3770" i="1"/>
  <c r="P3776" i="1"/>
  <c r="O3799" i="1"/>
  <c r="O3811" i="1"/>
  <c r="P3822" i="1"/>
  <c r="O3828" i="1"/>
  <c r="O3864" i="1"/>
  <c r="O3876" i="1"/>
  <c r="P3886" i="1"/>
  <c r="P1701" i="1"/>
  <c r="P1760" i="1"/>
  <c r="O1778" i="1"/>
  <c r="L1808" i="1"/>
  <c r="P1933" i="1"/>
  <c r="P1945" i="1"/>
  <c r="P1984" i="1"/>
  <c r="P2326" i="1"/>
  <c r="P2350" i="1"/>
  <c r="O2373" i="1"/>
  <c r="P2395" i="1"/>
  <c r="P2413" i="1"/>
  <c r="P2437" i="1"/>
  <c r="P2561" i="1"/>
  <c r="P2661" i="1"/>
  <c r="O2834" i="1"/>
  <c r="O2840" i="1"/>
  <c r="L2926" i="1"/>
  <c r="O2943" i="1"/>
  <c r="O2971" i="1"/>
  <c r="O2983" i="1"/>
  <c r="O3013" i="1"/>
  <c r="P3024" i="1"/>
  <c r="P3203" i="1"/>
  <c r="L3245" i="1"/>
  <c r="O3304" i="1"/>
  <c r="O3434" i="1"/>
  <c r="P3561" i="1"/>
  <c r="P3585" i="1"/>
  <c r="O3662" i="1"/>
  <c r="O3668" i="1"/>
  <c r="O3674" i="1"/>
  <c r="P3731" i="1"/>
  <c r="L3760" i="1"/>
  <c r="P3782" i="1"/>
  <c r="P3805" i="1"/>
  <c r="O3817" i="1"/>
  <c r="L3823" i="1"/>
  <c r="P3835" i="1"/>
  <c r="P3840" i="1"/>
  <c r="P3881" i="1"/>
  <c r="P1528" i="1"/>
  <c r="O1570" i="1"/>
  <c r="O1696" i="1"/>
  <c r="P1737" i="1"/>
  <c r="L1755" i="1"/>
  <c r="P1784" i="1"/>
  <c r="P1790" i="1"/>
  <c r="P1928" i="1"/>
  <c r="L1963" i="1"/>
  <c r="P1979" i="1"/>
  <c r="P2018" i="1"/>
  <c r="P2053" i="1"/>
  <c r="P2136" i="1"/>
  <c r="P2148" i="1"/>
  <c r="L2280" i="1"/>
  <c r="L2339" i="1"/>
  <c r="O2351" i="1"/>
  <c r="L2385" i="1"/>
  <c r="Q2385" i="1" s="1"/>
  <c r="O2490" i="1"/>
  <c r="P2731" i="1"/>
  <c r="P2763" i="1"/>
  <c r="O2886" i="1"/>
  <c r="P2897" i="1"/>
  <c r="P2903" i="1"/>
  <c r="P2909" i="1"/>
  <c r="P3013" i="1"/>
  <c r="P3315" i="1"/>
  <c r="P3356" i="1"/>
  <c r="O3409" i="1"/>
  <c r="O3597" i="1"/>
  <c r="P3668" i="1"/>
  <c r="L3871" i="1"/>
  <c r="L1523" i="1"/>
  <c r="P1755" i="1"/>
  <c r="P1761" i="1"/>
  <c r="O1846" i="1"/>
  <c r="P1963" i="1"/>
  <c r="P1969" i="1"/>
  <c r="P2737" i="1"/>
  <c r="P2753" i="1"/>
  <c r="O2806" i="1"/>
  <c r="O2823" i="1"/>
  <c r="P2846" i="1"/>
  <c r="P2955" i="1"/>
  <c r="O3038" i="1"/>
  <c r="P3076" i="1"/>
  <c r="L3175" i="1"/>
  <c r="P3182" i="1"/>
  <c r="L3187" i="1"/>
  <c r="P3210" i="1"/>
  <c r="P3275" i="1"/>
  <c r="O3339" i="1"/>
  <c r="P3409" i="1"/>
  <c r="P3414" i="1"/>
  <c r="P3435" i="1"/>
  <c r="O3441" i="1"/>
  <c r="P3457" i="1"/>
  <c r="P3498" i="1"/>
  <c r="O3515" i="1"/>
  <c r="P3556" i="1"/>
  <c r="P3568" i="1"/>
  <c r="O3605" i="1"/>
  <c r="O3680" i="1"/>
  <c r="L729" i="1"/>
  <c r="P714" i="1"/>
  <c r="P724" i="1"/>
  <c r="P729" i="1"/>
  <c r="P734" i="1"/>
  <c r="O751" i="1"/>
  <c r="P759" i="1"/>
  <c r="P768" i="1"/>
  <c r="P774" i="1"/>
  <c r="P780" i="1"/>
  <c r="P786" i="1"/>
  <c r="P792" i="1"/>
  <c r="P798" i="1"/>
  <c r="P936" i="1"/>
  <c r="P935" i="1"/>
  <c r="P964" i="1"/>
  <c r="P1037" i="1"/>
  <c r="P1053" i="1"/>
  <c r="P1235" i="1"/>
  <c r="P1251" i="1"/>
  <c r="P1267" i="1"/>
  <c r="P1283" i="1"/>
  <c r="P1299" i="1"/>
  <c r="P1315" i="1"/>
  <c r="P1331" i="1"/>
  <c r="L2558" i="1"/>
  <c r="O709" i="1"/>
  <c r="O745" i="1"/>
  <c r="P750" i="1"/>
  <c r="O760" i="1"/>
  <c r="L764" i="1"/>
  <c r="O769" i="1"/>
  <c r="O775" i="1"/>
  <c r="O781" i="1"/>
  <c r="O787" i="1"/>
  <c r="O793" i="1"/>
  <c r="P1069" i="1"/>
  <c r="P1085" i="1"/>
  <c r="P1454" i="1"/>
  <c r="P709" i="1"/>
  <c r="P716" i="1"/>
  <c r="P735" i="1"/>
  <c r="L741" i="1"/>
  <c r="P745" i="1"/>
  <c r="L750" i="1"/>
  <c r="O755" i="1"/>
  <c r="P760" i="1"/>
  <c r="L765" i="1"/>
  <c r="P769" i="1"/>
  <c r="P775" i="1"/>
  <c r="P781" i="1"/>
  <c r="P787" i="1"/>
  <c r="P793" i="1"/>
  <c r="P1102" i="1"/>
  <c r="P1215" i="1"/>
  <c r="P1361" i="1"/>
  <c r="L925" i="1"/>
  <c r="Q926" i="1" s="1"/>
  <c r="P2348" i="1"/>
  <c r="L2348" i="1"/>
  <c r="L501" i="1"/>
  <c r="O716" i="1"/>
  <c r="P720" i="1"/>
  <c r="O706" i="1"/>
  <c r="O711" i="1"/>
  <c r="O747" i="1"/>
  <c r="P751" i="1"/>
  <c r="O771" i="1"/>
  <c r="O777" i="1"/>
  <c r="O783" i="1"/>
  <c r="O789" i="1"/>
  <c r="P1178" i="1"/>
  <c r="P1345" i="1"/>
  <c r="P711" i="1"/>
  <c r="L717" i="1"/>
  <c r="P721" i="1"/>
  <c r="P747" i="1"/>
  <c r="O752" i="1"/>
  <c r="P756" i="1"/>
  <c r="P762" i="1"/>
  <c r="P771" i="1"/>
  <c r="P777" i="1"/>
  <c r="P783" i="1"/>
  <c r="P789" i="1"/>
  <c r="P795" i="1"/>
  <c r="P1007" i="1"/>
  <c r="P1029" i="1"/>
  <c r="P1045" i="1"/>
  <c r="P1227" i="1"/>
  <c r="P1259" i="1"/>
  <c r="P1275" i="1"/>
  <c r="P1307" i="1"/>
  <c r="P1323" i="1"/>
  <c r="P1428" i="1"/>
  <c r="P727" i="1"/>
  <c r="P1077" i="1"/>
  <c r="P1093" i="1"/>
  <c r="P1110" i="1"/>
  <c r="P1446" i="1"/>
  <c r="P712" i="1"/>
  <c r="P722" i="1"/>
  <c r="P732" i="1"/>
  <c r="P738" i="1"/>
  <c r="L753" i="1"/>
  <c r="P757" i="1"/>
  <c r="P772" i="1"/>
  <c r="P778" i="1"/>
  <c r="P784" i="1"/>
  <c r="P790" i="1"/>
  <c r="P915" i="1"/>
  <c r="P921" i="1"/>
  <c r="P1207" i="1"/>
  <c r="L318" i="1"/>
  <c r="L330" i="1"/>
  <c r="O718" i="1"/>
  <c r="O723" i="1"/>
  <c r="P748" i="1"/>
  <c r="O758" i="1"/>
  <c r="O773" i="1"/>
  <c r="O779" i="1"/>
  <c r="O785" i="1"/>
  <c r="P1025" i="1"/>
  <c r="O804" i="1"/>
  <c r="O810" i="1"/>
  <c r="O816" i="1"/>
  <c r="O840" i="1"/>
  <c r="O864" i="1"/>
  <c r="O876" i="1"/>
  <c r="P899" i="1"/>
  <c r="O921" i="1"/>
  <c r="O931" i="1"/>
  <c r="O964" i="1"/>
  <c r="P973" i="1"/>
  <c r="P997" i="1"/>
  <c r="O1235" i="1"/>
  <c r="O1239" i="1"/>
  <c r="O1243" i="1"/>
  <c r="O1247" i="1"/>
  <c r="O1251" i="1"/>
  <c r="O1255" i="1"/>
  <c r="O1259" i="1"/>
  <c r="O1263" i="1"/>
  <c r="O1267" i="1"/>
  <c r="O1271" i="1"/>
  <c r="O1275" i="1"/>
  <c r="O1279" i="1"/>
  <c r="O1287" i="1"/>
  <c r="O1291" i="1"/>
  <c r="O1295" i="1"/>
  <c r="O1303" i="1"/>
  <c r="O1307" i="1"/>
  <c r="O1323" i="1"/>
  <c r="O1327" i="1"/>
  <c r="O1336" i="1"/>
  <c r="P1351" i="1"/>
  <c r="P1367" i="1"/>
  <c r="P1459" i="1"/>
  <c r="P1471" i="1"/>
  <c r="P1483" i="1"/>
  <c r="P1495" i="1"/>
  <c r="P1991" i="1"/>
  <c r="P1990" i="1"/>
  <c r="L2069" i="1"/>
  <c r="L2075" i="1"/>
  <c r="L2081" i="1"/>
  <c r="L2582" i="1"/>
  <c r="Q2582" i="1" s="1"/>
  <c r="O3751" i="1"/>
  <c r="L3751" i="1"/>
  <c r="P804" i="1"/>
  <c r="P810" i="1"/>
  <c r="P816" i="1"/>
  <c r="P822" i="1"/>
  <c r="P828" i="1"/>
  <c r="P834" i="1"/>
  <c r="P840" i="1"/>
  <c r="P846" i="1"/>
  <c r="P852" i="1"/>
  <c r="P858" i="1"/>
  <c r="P864" i="1"/>
  <c r="P870" i="1"/>
  <c r="P876" i="1"/>
  <c r="P882" i="1"/>
  <c r="P888" i="1"/>
  <c r="P894" i="1"/>
  <c r="P910" i="1"/>
  <c r="P945" i="1"/>
  <c r="P959" i="1"/>
  <c r="O974" i="1"/>
  <c r="O998" i="1"/>
  <c r="P1424" i="1"/>
  <c r="P1524" i="1"/>
  <c r="P1744" i="1"/>
  <c r="P2559" i="1"/>
  <c r="O799" i="1"/>
  <c r="O823" i="1"/>
  <c r="O835" i="1"/>
  <c r="O859" i="1"/>
  <c r="O871" i="1"/>
  <c r="O916" i="1"/>
  <c r="P926" i="1"/>
  <c r="O946" i="1"/>
  <c r="P950" i="1"/>
  <c r="P993" i="1"/>
  <c r="O1008" i="1"/>
  <c r="P1017" i="1"/>
  <c r="P1033" i="1"/>
  <c r="P1041" i="1"/>
  <c r="P1057" i="1"/>
  <c r="P1061" i="1"/>
  <c r="P1203" i="1"/>
  <c r="P1223" i="1"/>
  <c r="P1239" i="1"/>
  <c r="P1243" i="1"/>
  <c r="P1247" i="1"/>
  <c r="P1291" i="1"/>
  <c r="P1341" i="1"/>
  <c r="P1357" i="1"/>
  <c r="P1373" i="1"/>
  <c r="P1450" i="1"/>
  <c r="L1656" i="1"/>
  <c r="L1727" i="1"/>
  <c r="L2326" i="1"/>
  <c r="P3517" i="1"/>
  <c r="L3517" i="1"/>
  <c r="P3518" i="1"/>
  <c r="P805" i="1"/>
  <c r="P823" i="1"/>
  <c r="P841" i="1"/>
  <c r="P847" i="1"/>
  <c r="P853" i="1"/>
  <c r="P859" i="1"/>
  <c r="P865" i="1"/>
  <c r="P871" i="1"/>
  <c r="P883" i="1"/>
  <c r="P900" i="1"/>
  <c r="P941" i="1"/>
  <c r="O970" i="1"/>
  <c r="O1022" i="1"/>
  <c r="P1337" i="1"/>
  <c r="P1363" i="1"/>
  <c r="P1385" i="1"/>
  <c r="P1391" i="1"/>
  <c r="P1397" i="1"/>
  <c r="P1403" i="1"/>
  <c r="P1409" i="1"/>
  <c r="P1734" i="1"/>
  <c r="P1733" i="1"/>
  <c r="P2494" i="1"/>
  <c r="P2578" i="1"/>
  <c r="P2577" i="1"/>
  <c r="P2583" i="1"/>
  <c r="P3449" i="1"/>
  <c r="P3450" i="1"/>
  <c r="P3484" i="1"/>
  <c r="P3483" i="1"/>
  <c r="P922" i="1"/>
  <c r="P932" i="1"/>
  <c r="P989" i="1"/>
  <c r="P1013" i="1"/>
  <c r="P1098" i="1"/>
  <c r="P1332" i="1"/>
  <c r="P1415" i="1"/>
  <c r="P1420" i="1"/>
  <c r="P1455" i="1"/>
  <c r="P1467" i="1"/>
  <c r="P1479" i="1"/>
  <c r="P1491" i="1"/>
  <c r="P1503" i="1"/>
  <c r="P1520" i="1"/>
  <c r="L1722" i="1"/>
  <c r="P1758" i="1"/>
  <c r="P1757" i="1"/>
  <c r="O3402" i="1"/>
  <c r="L3402" i="1"/>
  <c r="O3429" i="1"/>
  <c r="O3428" i="1"/>
  <c r="P806" i="1"/>
  <c r="P812" i="1"/>
  <c r="P818" i="1"/>
  <c r="P836" i="1"/>
  <c r="P842" i="1"/>
  <c r="P848" i="1"/>
  <c r="P854" i="1"/>
  <c r="P860" i="1"/>
  <c r="P872" i="1"/>
  <c r="P878" i="1"/>
  <c r="P884" i="1"/>
  <c r="P890" i="1"/>
  <c r="P896" i="1"/>
  <c r="P956" i="1"/>
  <c r="P965" i="1"/>
  <c r="P999" i="1"/>
  <c r="L1019" i="1"/>
  <c r="P1228" i="1"/>
  <c r="P1264" i="1"/>
  <c r="P1353" i="1"/>
  <c r="P1369" i="1"/>
  <c r="P1723" i="1"/>
  <c r="P1722" i="1"/>
  <c r="O1942" i="1"/>
  <c r="L1942" i="1"/>
  <c r="P2489" i="1"/>
  <c r="P3396" i="1"/>
  <c r="P3397" i="1"/>
  <c r="O885" i="1"/>
  <c r="O897" i="1"/>
  <c r="P912" i="1"/>
  <c r="O928" i="1"/>
  <c r="P933" i="1"/>
  <c r="O1000" i="1"/>
  <c r="P1009" i="1"/>
  <c r="P1103" i="1"/>
  <c r="O1237" i="1"/>
  <c r="O1241" i="1"/>
  <c r="O1245" i="1"/>
  <c r="O1249" i="1"/>
  <c r="O1253" i="1"/>
  <c r="O1257" i="1"/>
  <c r="O1261" i="1"/>
  <c r="O1265" i="1"/>
  <c r="O1269" i="1"/>
  <c r="O1273" i="1"/>
  <c r="O1277" i="1"/>
  <c r="O1281" i="1"/>
  <c r="O1285" i="1"/>
  <c r="O1289" i="1"/>
  <c r="O1293" i="1"/>
  <c r="O1297" i="1"/>
  <c r="P1359" i="1"/>
  <c r="P1987" i="1"/>
  <c r="P2014" i="1"/>
  <c r="O2310" i="1"/>
  <c r="L2310" i="1"/>
  <c r="P2873" i="1"/>
  <c r="P2874" i="1"/>
  <c r="P3087" i="1"/>
  <c r="P3086" i="1"/>
  <c r="P801" i="1"/>
  <c r="P819" i="1"/>
  <c r="P825" i="1"/>
  <c r="P849" i="1"/>
  <c r="P855" i="1"/>
  <c r="P867" i="1"/>
  <c r="P879" i="1"/>
  <c r="P885" i="1"/>
  <c r="P891" i="1"/>
  <c r="P938" i="1"/>
  <c r="P947" i="1"/>
  <c r="P1350" i="1"/>
  <c r="P1366" i="1"/>
  <c r="L1511" i="1"/>
  <c r="Q1512" i="1" s="1"/>
  <c r="P1516" i="1"/>
  <c r="P2573" i="1"/>
  <c r="O2811" i="1"/>
  <c r="O2812" i="1"/>
  <c r="O838" i="1"/>
  <c r="P908" i="1"/>
  <c r="O920" i="1"/>
  <c r="P925" i="1"/>
  <c r="O929" i="1"/>
  <c r="L943" i="1"/>
  <c r="Q943" i="1" s="1"/>
  <c r="O958" i="1"/>
  <c r="O962" i="1"/>
  <c r="P981" i="1"/>
  <c r="P1005" i="1"/>
  <c r="P1349" i="1"/>
  <c r="P1365" i="1"/>
  <c r="P1463" i="1"/>
  <c r="P1475" i="1"/>
  <c r="P1487" i="1"/>
  <c r="P1499" i="1"/>
  <c r="L2305" i="1"/>
  <c r="O2305" i="1"/>
  <c r="P2602" i="1"/>
  <c r="P832" i="1"/>
  <c r="P838" i="1"/>
  <c r="P844" i="1"/>
  <c r="P892" i="1"/>
  <c r="L914" i="1"/>
  <c r="P919" i="1"/>
  <c r="P924" i="1"/>
  <c r="P929" i="1"/>
  <c r="P962" i="1"/>
  <c r="L987" i="1"/>
  <c r="L1011" i="1"/>
  <c r="L1109" i="1"/>
  <c r="Q1110" i="1" s="1"/>
  <c r="P1371" i="1"/>
  <c r="P1412" i="1"/>
  <c r="L1896" i="1"/>
  <c r="P2010" i="1"/>
  <c r="P2050" i="1"/>
  <c r="P2370" i="1"/>
  <c r="P2369" i="1"/>
  <c r="L1615" i="1"/>
  <c r="P1747" i="1"/>
  <c r="O1783" i="1"/>
  <c r="P1838" i="1"/>
  <c r="O1874" i="1"/>
  <c r="P1885" i="1"/>
  <c r="P1891" i="1"/>
  <c r="O1897" i="1"/>
  <c r="P1908" i="1"/>
  <c r="P1914" i="1"/>
  <c r="P1920" i="1"/>
  <c r="P1931" i="1"/>
  <c r="P1936" i="1"/>
  <c r="P1942" i="1"/>
  <c r="P1947" i="1"/>
  <c r="L2082" i="1"/>
  <c r="P2093" i="1"/>
  <c r="P2105" i="1"/>
  <c r="O2123" i="1"/>
  <c r="O2141" i="1"/>
  <c r="O2147" i="1"/>
  <c r="O2236" i="1"/>
  <c r="O2248" i="1"/>
  <c r="O2254" i="1"/>
  <c r="O2260" i="1"/>
  <c r="O2266" i="1"/>
  <c r="P2277" i="1"/>
  <c r="P2283" i="1"/>
  <c r="O2300" i="1"/>
  <c r="P2310" i="1"/>
  <c r="P2315" i="1"/>
  <c r="P2321" i="1"/>
  <c r="P2332" i="1"/>
  <c r="O2338" i="1"/>
  <c r="P2343" i="1"/>
  <c r="P2354" i="1"/>
  <c r="P2379" i="1"/>
  <c r="L2409" i="1"/>
  <c r="P2450" i="1"/>
  <c r="O2553" i="1"/>
  <c r="O2559" i="1"/>
  <c r="L2568" i="1"/>
  <c r="O2583" i="1"/>
  <c r="L2592" i="1"/>
  <c r="P2891" i="1"/>
  <c r="L3047" i="1"/>
  <c r="P3047" i="1"/>
  <c r="P3250" i="1"/>
  <c r="P3547" i="1"/>
  <c r="P3559" i="1"/>
  <c r="O1467" i="1"/>
  <c r="O1471" i="1"/>
  <c r="O1475" i="1"/>
  <c r="O1479" i="1"/>
  <c r="O1483" i="1"/>
  <c r="O1487" i="1"/>
  <c r="O1499" i="1"/>
  <c r="O1503" i="1"/>
  <c r="P1537" i="1"/>
  <c r="P1549" i="1"/>
  <c r="P1561" i="1"/>
  <c r="P1573" i="1"/>
  <c r="P1579" i="1"/>
  <c r="P1783" i="1"/>
  <c r="P1793" i="1"/>
  <c r="P1803" i="1"/>
  <c r="P1815" i="1"/>
  <c r="P1827" i="1"/>
  <c r="O1851" i="1"/>
  <c r="O1857" i="1"/>
  <c r="O1869" i="1"/>
  <c r="P1897" i="1"/>
  <c r="O1903" i="1"/>
  <c r="O1909" i="1"/>
  <c r="O1915" i="1"/>
  <c r="O1921" i="1"/>
  <c r="P1926" i="1"/>
  <c r="O1987" i="1"/>
  <c r="P2022" i="1"/>
  <c r="P2045" i="1"/>
  <c r="P2082" i="1"/>
  <c r="O2171" i="1"/>
  <c r="O2177" i="1"/>
  <c r="O2183" i="1"/>
  <c r="P2294" i="1"/>
  <c r="P2300" i="1"/>
  <c r="P2338" i="1"/>
  <c r="P2349" i="1"/>
  <c r="O2370" i="1"/>
  <c r="P2374" i="1"/>
  <c r="O2384" i="1"/>
  <c r="O2389" i="1"/>
  <c r="O2394" i="1"/>
  <c r="O2399" i="1"/>
  <c r="P2409" i="1"/>
  <c r="P2414" i="1"/>
  <c r="O2430" i="1"/>
  <c r="O2462" i="1"/>
  <c r="O2474" i="1"/>
  <c r="O2484" i="1"/>
  <c r="P2587" i="1"/>
  <c r="Q2607" i="1"/>
  <c r="O2660" i="1"/>
  <c r="P2915" i="1"/>
  <c r="P2977" i="1"/>
  <c r="P3111" i="1"/>
  <c r="P3110" i="1"/>
  <c r="P3274" i="1"/>
  <c r="P3496" i="1"/>
  <c r="P3524" i="1"/>
  <c r="P3815" i="1"/>
  <c r="P3814" i="1"/>
  <c r="P1507" i="1"/>
  <c r="O1544" i="1"/>
  <c r="P1698" i="1"/>
  <c r="L1704" i="1"/>
  <c r="P1713" i="1"/>
  <c r="P1773" i="1"/>
  <c r="O1784" i="1"/>
  <c r="O1822" i="1"/>
  <c r="O1828" i="1"/>
  <c r="O1833" i="1"/>
  <c r="P1886" i="1"/>
  <c r="P1903" i="1"/>
  <c r="P1909" i="1"/>
  <c r="P1915" i="1"/>
  <c r="P1937" i="1"/>
  <c r="L2040" i="1"/>
  <c r="P2054" i="1"/>
  <c r="L2065" i="1"/>
  <c r="Q2065" i="1" s="1"/>
  <c r="L2071" i="1"/>
  <c r="L2077" i="1"/>
  <c r="L2083" i="1"/>
  <c r="O2136" i="1"/>
  <c r="P2183" i="1"/>
  <c r="O2295" i="1"/>
  <c r="O2306" i="1"/>
  <c r="L2311" i="1"/>
  <c r="P2327" i="1"/>
  <c r="P2333" i="1"/>
  <c r="P2344" i="1"/>
  <c r="P2384" i="1"/>
  <c r="L2415" i="1"/>
  <c r="O2441" i="1"/>
  <c r="O2457" i="1"/>
  <c r="O2554" i="1"/>
  <c r="L2564" i="1"/>
  <c r="L2569" i="1"/>
  <c r="L2588" i="1"/>
  <c r="L2593" i="1"/>
  <c r="L2654" i="1"/>
  <c r="P2659" i="1"/>
  <c r="O2669" i="1"/>
  <c r="P2738" i="1"/>
  <c r="P2754" i="1"/>
  <c r="P3338" i="1"/>
  <c r="P3764" i="1"/>
  <c r="O1724" i="1"/>
  <c r="O1744" i="1"/>
  <c r="P1779" i="1"/>
  <c r="P1804" i="1"/>
  <c r="O1870" i="1"/>
  <c r="P1927" i="1"/>
  <c r="O1960" i="1"/>
  <c r="O3430" i="1"/>
  <c r="L3430" i="1"/>
  <c r="L3446" i="1"/>
  <c r="O3446" i="1"/>
  <c r="O1472" i="1"/>
  <c r="O1480" i="1"/>
  <c r="O1484" i="1"/>
  <c r="O1492" i="1"/>
  <c r="O1496" i="1"/>
  <c r="O1730" i="1"/>
  <c r="O1735" i="1"/>
  <c r="O1759" i="1"/>
  <c r="O1780" i="1"/>
  <c r="P1881" i="1"/>
  <c r="P1904" i="1"/>
  <c r="P1910" i="1"/>
  <c r="P1916" i="1"/>
  <c r="P1922" i="1"/>
  <c r="P1943" i="1"/>
  <c r="P1953" i="1"/>
  <c r="P1959" i="1"/>
  <c r="P2061" i="1"/>
  <c r="P2089" i="1"/>
  <c r="P2101" i="1"/>
  <c r="P2317" i="1"/>
  <c r="P2598" i="1"/>
  <c r="O1525" i="1"/>
  <c r="O1529" i="1"/>
  <c r="P1557" i="1"/>
  <c r="P1569" i="1"/>
  <c r="P1593" i="1"/>
  <c r="P1617" i="1"/>
  <c r="P1759" i="1"/>
  <c r="P1823" i="1"/>
  <c r="P1899" i="1"/>
  <c r="L1933" i="1"/>
  <c r="Q1933" i="1" s="1"/>
  <c r="O1939" i="1"/>
  <c r="O1977" i="1"/>
  <c r="O1981" i="1"/>
  <c r="O1984" i="1"/>
  <c r="O1996" i="1"/>
  <c r="P2019" i="1"/>
  <c r="P2046" i="1"/>
  <c r="O2062" i="1"/>
  <c r="P2078" i="1"/>
  <c r="P2155" i="1"/>
  <c r="O2191" i="1"/>
  <c r="O2197" i="1"/>
  <c r="O2274" i="1"/>
  <c r="O2286" i="1"/>
  <c r="P2307" i="1"/>
  <c r="P2312" i="1"/>
  <c r="O2335" i="1"/>
  <c r="P2351" i="1"/>
  <c r="O2357" i="1"/>
  <c r="P2361" i="1"/>
  <c r="P2366" i="1"/>
  <c r="P2385" i="1"/>
  <c r="P2390" i="1"/>
  <c r="O2401" i="1"/>
  <c r="O2406" i="1"/>
  <c r="P2421" i="1"/>
  <c r="O2482" i="1"/>
  <c r="P2570" i="1"/>
  <c r="P2594" i="1"/>
  <c r="O2626" i="1"/>
  <c r="P2675" i="1"/>
  <c r="P2734" i="1"/>
  <c r="P2750" i="1"/>
  <c r="P2945" i="1"/>
  <c r="P3009" i="1"/>
  <c r="O3340" i="1"/>
  <c r="O3415" i="1"/>
  <c r="L3415" i="1"/>
  <c r="P3421" i="1"/>
  <c r="P3420" i="1"/>
  <c r="P3492" i="1"/>
  <c r="P3504" i="1"/>
  <c r="P3603" i="1"/>
  <c r="L3603" i="1"/>
  <c r="P3839" i="1"/>
  <c r="P3864" i="1"/>
  <c r="P3863" i="1"/>
  <c r="O1534" i="1"/>
  <c r="O1540" i="1"/>
  <c r="O1558" i="1"/>
  <c r="P1785" i="1"/>
  <c r="P1835" i="1"/>
  <c r="P1894" i="1"/>
  <c r="P1905" i="1"/>
  <c r="P1917" i="1"/>
  <c r="P1939" i="1"/>
  <c r="P1954" i="1"/>
  <c r="P2030" i="1"/>
  <c r="P2329" i="1"/>
  <c r="P2340" i="1"/>
  <c r="L2351" i="1"/>
  <c r="L2391" i="1"/>
  <c r="L2427" i="1"/>
  <c r="P2442" i="1"/>
  <c r="P2458" i="1"/>
  <c r="O2538" i="1"/>
  <c r="O2550" i="1"/>
  <c r="L2556" i="1"/>
  <c r="P2565" i="1"/>
  <c r="O2571" i="1"/>
  <c r="O2595" i="1"/>
  <c r="L2604" i="1"/>
  <c r="L2656" i="1"/>
  <c r="L2666" i="1"/>
  <c r="Q2666" i="1" s="1"/>
  <c r="P2957" i="1"/>
  <c r="P3515" i="1"/>
  <c r="P3788" i="1"/>
  <c r="P1534" i="1"/>
  <c r="P1576" i="1"/>
  <c r="P1710" i="1"/>
  <c r="O1722" i="1"/>
  <c r="O1756" i="1"/>
  <c r="P1812" i="1"/>
  <c r="P2085" i="1"/>
  <c r="O2192" i="1"/>
  <c r="O2204" i="1"/>
  <c r="L2286" i="1"/>
  <c r="O2352" i="1"/>
  <c r="P2974" i="1"/>
  <c r="P2975" i="1"/>
  <c r="O3777" i="1"/>
  <c r="O1743" i="1"/>
  <c r="P1889" i="1"/>
  <c r="O1902" i="1"/>
  <c r="P1924" i="1"/>
  <c r="P1934" i="1"/>
  <c r="O2026" i="1"/>
  <c r="P2097" i="1"/>
  <c r="O2265" i="1"/>
  <c r="P2308" i="1"/>
  <c r="O2325" i="1"/>
  <c r="P2330" i="1"/>
  <c r="P2362" i="1"/>
  <c r="P2372" i="1"/>
  <c r="O2497" i="1"/>
  <c r="L2651" i="1"/>
  <c r="Q2651" i="1" s="1"/>
  <c r="O2657" i="1"/>
  <c r="O2662" i="1"/>
  <c r="P3307" i="1"/>
  <c r="P3411" i="1"/>
  <c r="P3432" i="1"/>
  <c r="P3437" i="1"/>
  <c r="P3448" i="1"/>
  <c r="P3551" i="1"/>
  <c r="P3563" i="1"/>
  <c r="P3806" i="1"/>
  <c r="O3823" i="1"/>
  <c r="P1541" i="1"/>
  <c r="P1771" i="1"/>
  <c r="L1787" i="1"/>
  <c r="L1837" i="1"/>
  <c r="O1844" i="1"/>
  <c r="O1878" i="1"/>
  <c r="L1884" i="1"/>
  <c r="L1890" i="1"/>
  <c r="O1908" i="1"/>
  <c r="O1914" i="1"/>
  <c r="O1920" i="1"/>
  <c r="L1924" i="1"/>
  <c r="Q1924" i="1" s="1"/>
  <c r="L1941" i="1"/>
  <c r="Q1941" i="1" s="1"/>
  <c r="L1951" i="1"/>
  <c r="O1961" i="1"/>
  <c r="P2037" i="1"/>
  <c r="L2086" i="1"/>
  <c r="Q2086" i="1" s="1"/>
  <c r="L2092" i="1"/>
  <c r="L2098" i="1"/>
  <c r="Q2098" i="1" s="1"/>
  <c r="L2104" i="1"/>
  <c r="Q2105" i="1" s="1"/>
  <c r="P2234" i="1"/>
  <c r="L2304" i="1"/>
  <c r="Q2305" i="1" s="1"/>
  <c r="L2314" i="1"/>
  <c r="L2320" i="1"/>
  <c r="P2325" i="1"/>
  <c r="O2331" i="1"/>
  <c r="L2336" i="1"/>
  <c r="L2342" i="1"/>
  <c r="P2368" i="1"/>
  <c r="O2378" i="1"/>
  <c r="P2397" i="1"/>
  <c r="O2418" i="1"/>
  <c r="P2433" i="1"/>
  <c r="P2438" i="1"/>
  <c r="P2576" i="1"/>
  <c r="P2581" i="1"/>
  <c r="L2610" i="1"/>
  <c r="O2616" i="1"/>
  <c r="O2622" i="1"/>
  <c r="P2742" i="1"/>
  <c r="P2741" i="1"/>
  <c r="P2851" i="1"/>
  <c r="P2850" i="1"/>
  <c r="L2873" i="1"/>
  <c r="P3132" i="1"/>
  <c r="O3184" i="1"/>
  <c r="P3290" i="1"/>
  <c r="L3378" i="1"/>
  <c r="O3438" i="1"/>
  <c r="L3438" i="1"/>
  <c r="P3488" i="1"/>
  <c r="P3500" i="1"/>
  <c r="P3664" i="1"/>
  <c r="P3841" i="1"/>
  <c r="L2806" i="1"/>
  <c r="O2815" i="1"/>
  <c r="O2925" i="1"/>
  <c r="O2975" i="1"/>
  <c r="O2985" i="1"/>
  <c r="P3016" i="1"/>
  <c r="P3136" i="1"/>
  <c r="P3168" i="1"/>
  <c r="O3198" i="1"/>
  <c r="P3242" i="1"/>
  <c r="P3247" i="1"/>
  <c r="O3279" i="1"/>
  <c r="P3304" i="1"/>
  <c r="O3410" i="1"/>
  <c r="O2687" i="1"/>
  <c r="O2699" i="1"/>
  <c r="O2767" i="1"/>
  <c r="O2779" i="1"/>
  <c r="O2807" i="1"/>
  <c r="O2889" i="1"/>
  <c r="O2904" i="1"/>
  <c r="P2920" i="1"/>
  <c r="O2955" i="1"/>
  <c r="P3052" i="1"/>
  <c r="P3063" i="1"/>
  <c r="P3077" i="1"/>
  <c r="O3083" i="1"/>
  <c r="P3101" i="1"/>
  <c r="P3142" i="1"/>
  <c r="P3263" i="1"/>
  <c r="O3305" i="1"/>
  <c r="P3332" i="1"/>
  <c r="O3338" i="1"/>
  <c r="P3360" i="1"/>
  <c r="P3443" i="1"/>
  <c r="P3468" i="1"/>
  <c r="P3479" i="1"/>
  <c r="O3559" i="1"/>
  <c r="P3684" i="1"/>
  <c r="O3717" i="1"/>
  <c r="P3736" i="1"/>
  <c r="P3741" i="1"/>
  <c r="O3757" i="1"/>
  <c r="O3800" i="1"/>
  <c r="O3804" i="1"/>
  <c r="P3826" i="1"/>
  <c r="P3851" i="1"/>
  <c r="P3876" i="1"/>
  <c r="P2849" i="1"/>
  <c r="P2905" i="1"/>
  <c r="O2951" i="1"/>
  <c r="P2980" i="1"/>
  <c r="P2990" i="1"/>
  <c r="P2997" i="1"/>
  <c r="P3002" i="1"/>
  <c r="O3053" i="1"/>
  <c r="P3062" i="1"/>
  <c r="O3122" i="1"/>
  <c r="P3188" i="1"/>
  <c r="P3212" i="1"/>
  <c r="O3233" i="1"/>
  <c r="O3265" i="1"/>
  <c r="O3309" i="1"/>
  <c r="O3387" i="1"/>
  <c r="O3397" i="1"/>
  <c r="O3404" i="1"/>
  <c r="L3414" i="1"/>
  <c r="O3440" i="1"/>
  <c r="P3446" i="1"/>
  <c r="P3474" i="1"/>
  <c r="P3523" i="1"/>
  <c r="P3567" i="1"/>
  <c r="P3654" i="1"/>
  <c r="P3669" i="1"/>
  <c r="P3683" i="1"/>
  <c r="O3704" i="1"/>
  <c r="P3717" i="1"/>
  <c r="O3737" i="1"/>
  <c r="O3742" i="1"/>
  <c r="P3781" i="1"/>
  <c r="P3791" i="1"/>
  <c r="P3804" i="1"/>
  <c r="O3827" i="1"/>
  <c r="P3837" i="1"/>
  <c r="P3857" i="1"/>
  <c r="P3866" i="1"/>
  <c r="P3875" i="1"/>
  <c r="P3880" i="1"/>
  <c r="O3885" i="1"/>
  <c r="O2729" i="1"/>
  <c r="O2753" i="1"/>
  <c r="L2774" i="1"/>
  <c r="L2792" i="1"/>
  <c r="L2817" i="1"/>
  <c r="O2828" i="1"/>
  <c r="L2884" i="1"/>
  <c r="L2890" i="1"/>
  <c r="L2905" i="1"/>
  <c r="O2956" i="1"/>
  <c r="O2976" i="1"/>
  <c r="L2997" i="1"/>
  <c r="L3002" i="1"/>
  <c r="O3018" i="1"/>
  <c r="P3053" i="1"/>
  <c r="P3127" i="1"/>
  <c r="L3170" i="1"/>
  <c r="L3218" i="1"/>
  <c r="L3234" i="1"/>
  <c r="L3239" i="1"/>
  <c r="Q3240" i="1" s="1"/>
  <c r="L3249" i="1"/>
  <c r="L3254" i="1"/>
  <c r="Q3254" i="1" s="1"/>
  <c r="L3270" i="1"/>
  <c r="Q3270" i="1" s="1"/>
  <c r="L3310" i="1"/>
  <c r="L3361" i="1"/>
  <c r="P3366" i="1"/>
  <c r="L3372" i="1"/>
  <c r="P3401" i="1"/>
  <c r="L3421" i="1"/>
  <c r="L3447" i="1"/>
  <c r="L3514" i="1"/>
  <c r="P3573" i="1"/>
  <c r="L3684" i="1"/>
  <c r="L3723" i="1"/>
  <c r="Q3724" i="1" s="1"/>
  <c r="L3757" i="1"/>
  <c r="Q3758" i="1" s="1"/>
  <c r="P3777" i="1"/>
  <c r="P3790" i="1"/>
  <c r="L3810" i="1"/>
  <c r="O3863" i="1"/>
  <c r="L3876" i="1"/>
  <c r="L2758" i="1"/>
  <c r="O2781" i="1"/>
  <c r="L2808" i="1"/>
  <c r="P2895" i="1"/>
  <c r="P3029" i="1"/>
  <c r="P3133" i="1"/>
  <c r="P3154" i="1"/>
  <c r="P3204" i="1"/>
  <c r="O3224" i="1"/>
  <c r="O3249" i="1"/>
  <c r="P3281" i="1"/>
  <c r="P3291" i="1"/>
  <c r="O3310" i="1"/>
  <c r="P3328" i="1"/>
  <c r="P3334" i="1"/>
  <c r="O3398" i="1"/>
  <c r="L3418" i="1"/>
  <c r="O3447" i="1"/>
  <c r="L3700" i="1"/>
  <c r="P2683" i="1"/>
  <c r="P2695" i="1"/>
  <c r="P2769" i="1"/>
  <c r="P2775" i="1"/>
  <c r="P2781" i="1"/>
  <c r="L2866" i="1"/>
  <c r="P2875" i="1"/>
  <c r="P2885" i="1"/>
  <c r="L2912" i="1"/>
  <c r="P2932" i="1"/>
  <c r="P2966" i="1"/>
  <c r="P2992" i="1"/>
  <c r="P2998" i="1"/>
  <c r="P3019" i="1"/>
  <c r="P3064" i="1"/>
  <c r="P3089" i="1"/>
  <c r="P3113" i="1"/>
  <c r="O3134" i="1"/>
  <c r="P3139" i="1"/>
  <c r="O3166" i="1"/>
  <c r="P3214" i="1"/>
  <c r="O3282" i="1"/>
  <c r="O3311" i="1"/>
  <c r="O3329" i="1"/>
  <c r="O3335" i="1"/>
  <c r="L3345" i="1"/>
  <c r="Q3345" i="1" s="1"/>
  <c r="P3373" i="1"/>
  <c r="P3501" i="1"/>
  <c r="O3506" i="1"/>
  <c r="P3569" i="1"/>
  <c r="P3620" i="1"/>
  <c r="P3632" i="1"/>
  <c r="P3656" i="1"/>
  <c r="P3700" i="1"/>
  <c r="P3719" i="1"/>
  <c r="P3748" i="1"/>
  <c r="P3753" i="1"/>
  <c r="O3792" i="1"/>
  <c r="P3828" i="1"/>
  <c r="O3843" i="1"/>
  <c r="P3868" i="1"/>
  <c r="P2871" i="1"/>
  <c r="O2999" i="1"/>
  <c r="O3065" i="1"/>
  <c r="P3074" i="1"/>
  <c r="O3095" i="1"/>
  <c r="P3098" i="1"/>
  <c r="P3119" i="1"/>
  <c r="O3145" i="1"/>
  <c r="L3176" i="1"/>
  <c r="O3214" i="1"/>
  <c r="O3240" i="1"/>
  <c r="P3255" i="1"/>
  <c r="P3271" i="1"/>
  <c r="O3307" i="1"/>
  <c r="O3325" i="1"/>
  <c r="P3345" i="1"/>
  <c r="P3351" i="1"/>
  <c r="P3379" i="1"/>
  <c r="O3406" i="1"/>
  <c r="L3409" i="1"/>
  <c r="O3442" i="1"/>
  <c r="O3557" i="1"/>
  <c r="O3561" i="1"/>
  <c r="O3565" i="1"/>
  <c r="P3575" i="1"/>
  <c r="P3581" i="1"/>
  <c r="P3587" i="1"/>
  <c r="P3593" i="1"/>
  <c r="P3615" i="1"/>
  <c r="O3621" i="1"/>
  <c r="O3633" i="1"/>
  <c r="O3645" i="1"/>
  <c r="L3680" i="1"/>
  <c r="O3701" i="1"/>
  <c r="P3706" i="1"/>
  <c r="O3712" i="1"/>
  <c r="O3719" i="1"/>
  <c r="O3729" i="1"/>
  <c r="O3749" i="1"/>
  <c r="O3769" i="1"/>
  <c r="O3788" i="1"/>
  <c r="P3792" i="1"/>
  <c r="L3811" i="1"/>
  <c r="P3843" i="1"/>
  <c r="O3854" i="1"/>
  <c r="L3859" i="1"/>
  <c r="L3873" i="1"/>
  <c r="Q3873" i="1" s="1"/>
  <c r="P2764" i="1"/>
  <c r="P2770" i="1"/>
  <c r="L2805" i="1"/>
  <c r="P2907" i="1"/>
  <c r="O2963" i="1"/>
  <c r="O3010" i="1"/>
  <c r="P3051" i="1"/>
  <c r="P3065" i="1"/>
  <c r="O3120" i="1"/>
  <c r="O3136" i="1"/>
  <c r="O3186" i="1"/>
  <c r="O3231" i="1"/>
  <c r="O3236" i="1"/>
  <c r="O3403" i="1"/>
  <c r="O3435" i="1"/>
  <c r="O3439" i="1"/>
  <c r="L3445" i="1"/>
  <c r="P3460" i="1"/>
  <c r="L3506" i="1"/>
  <c r="P3651" i="1"/>
  <c r="P3657" i="1"/>
  <c r="P3666" i="1"/>
  <c r="L3677" i="1"/>
  <c r="P3724" i="1"/>
  <c r="P3739" i="1"/>
  <c r="P3744" i="1"/>
  <c r="P3759" i="1"/>
  <c r="O3826" i="1"/>
  <c r="O3839" i="1"/>
  <c r="P3854" i="1"/>
  <c r="L3864" i="1"/>
  <c r="P3869" i="1"/>
  <c r="P3887" i="1"/>
  <c r="P2933" i="1"/>
  <c r="O2949" i="1"/>
  <c r="O3005" i="1"/>
  <c r="O3041" i="1"/>
  <c r="P3050" i="1"/>
  <c r="O3125" i="1"/>
  <c r="O3141" i="1"/>
  <c r="O3151" i="1"/>
  <c r="O3197" i="1"/>
  <c r="O3203" i="1"/>
  <c r="P3236" i="1"/>
  <c r="L3262" i="1"/>
  <c r="P3293" i="1"/>
  <c r="O3299" i="1"/>
  <c r="O3308" i="1"/>
  <c r="P3316" i="1"/>
  <c r="O3321" i="1"/>
  <c r="O3341" i="1"/>
  <c r="P3380" i="1"/>
  <c r="P3385" i="1"/>
  <c r="O3399" i="1"/>
  <c r="L3406" i="1"/>
  <c r="L3413" i="1"/>
  <c r="L3442" i="1"/>
  <c r="P3526" i="1"/>
  <c r="P3576" i="1"/>
  <c r="P3605" i="1"/>
  <c r="P3610" i="1"/>
  <c r="O3652" i="1"/>
  <c r="O3688" i="1"/>
  <c r="L3711" i="1"/>
  <c r="O3725" i="1"/>
  <c r="P3765" i="1"/>
  <c r="L3769" i="1"/>
  <c r="P3793" i="1"/>
  <c r="O3816" i="1"/>
  <c r="O3821" i="1"/>
  <c r="P3844" i="1"/>
  <c r="O3875" i="1"/>
  <c r="P2691" i="1"/>
  <c r="P2847" i="1"/>
  <c r="L2914" i="1"/>
  <c r="L2919" i="1"/>
  <c r="P2928" i="1"/>
  <c r="P2968" i="1"/>
  <c r="L2974" i="1"/>
  <c r="P2978" i="1"/>
  <c r="L2984" i="1"/>
  <c r="P3041" i="1"/>
  <c r="L3086" i="1"/>
  <c r="L3110" i="1"/>
  <c r="P3151" i="1"/>
  <c r="P3156" i="1"/>
  <c r="O3221" i="1"/>
  <c r="P3251" i="1"/>
  <c r="L3257" i="1"/>
  <c r="L3273" i="1"/>
  <c r="Q3274" i="1" s="1"/>
  <c r="L3313" i="1"/>
  <c r="Q3313" i="1" s="1"/>
  <c r="O3317" i="1"/>
  <c r="L3331" i="1"/>
  <c r="P3341" i="1"/>
  <c r="L3353" i="1"/>
  <c r="P3369" i="1"/>
  <c r="L3403" i="1"/>
  <c r="Q3404" i="1" s="1"/>
  <c r="L3410" i="1"/>
  <c r="O3416" i="1"/>
  <c r="L3423" i="1"/>
  <c r="Q3423" i="1" s="1"/>
  <c r="L3426" i="1"/>
  <c r="Q3426" i="1" s="1"/>
  <c r="L3439" i="1"/>
  <c r="L3449" i="1"/>
  <c r="Q3450" i="1" s="1"/>
  <c r="L3606" i="1"/>
  <c r="P3616" i="1"/>
  <c r="P3652" i="1"/>
  <c r="O3707" i="1"/>
  <c r="O3711" i="1"/>
  <c r="P3730" i="1"/>
  <c r="P3751" i="1"/>
  <c r="L3766" i="1"/>
  <c r="Q3767" i="1" s="1"/>
  <c r="P3816" i="1"/>
  <c r="P3821" i="1"/>
  <c r="L3840" i="1"/>
  <c r="Q3840" i="1" s="1"/>
  <c r="P3878" i="1"/>
  <c r="P3885" i="1"/>
  <c r="O3207" i="1"/>
  <c r="L3207" i="1"/>
  <c r="Q3207" i="1" s="1"/>
  <c r="O2802" i="1"/>
  <c r="L2802" i="1"/>
  <c r="L3318" i="1"/>
  <c r="O3318" i="1"/>
  <c r="L711" i="1"/>
  <c r="L726" i="1"/>
  <c r="O906" i="1"/>
  <c r="O982" i="1"/>
  <c r="O1039" i="1"/>
  <c r="O1460" i="1"/>
  <c r="O1464" i="1"/>
  <c r="O1468" i="1"/>
  <c r="O1500" i="1"/>
  <c r="O1513" i="1"/>
  <c r="O1517" i="1"/>
  <c r="L1531" i="1"/>
  <c r="L1706" i="1"/>
  <c r="O1817" i="1"/>
  <c r="O1852" i="1"/>
  <c r="O1862" i="1"/>
  <c r="O1868" i="1"/>
  <c r="O1958" i="1"/>
  <c r="O2050" i="1"/>
  <c r="O2070" i="1"/>
  <c r="O2076" i="1"/>
  <c r="Q2107" i="1"/>
  <c r="O2166" i="1"/>
  <c r="O2189" i="1"/>
  <c r="O2200" i="1"/>
  <c r="O2206" i="1"/>
  <c r="O2223" i="1"/>
  <c r="O2233" i="1"/>
  <c r="O2257" i="1"/>
  <c r="L2262" i="1"/>
  <c r="O2307" i="1"/>
  <c r="O2312" i="1"/>
  <c r="L2312" i="1"/>
  <c r="Q2312" i="1" s="1"/>
  <c r="O3208" i="1"/>
  <c r="O3837" i="1"/>
  <c r="L3837" i="1"/>
  <c r="O3443" i="1"/>
  <c r="L3443" i="1"/>
  <c r="O2821" i="1"/>
  <c r="L2821" i="1"/>
  <c r="L197" i="1"/>
  <c r="O707" i="1"/>
  <c r="O770" i="1"/>
  <c r="O848" i="1"/>
  <c r="O854" i="1"/>
  <c r="O866" i="1"/>
  <c r="O896" i="1"/>
  <c r="O917" i="1"/>
  <c r="O922" i="1"/>
  <c r="O932" i="1"/>
  <c r="O937" i="1"/>
  <c r="O950" i="1"/>
  <c r="O1006" i="1"/>
  <c r="O1597" i="1"/>
  <c r="O1609" i="1"/>
  <c r="O1680" i="1"/>
  <c r="O1731" i="1"/>
  <c r="O1736" i="1"/>
  <c r="O1770" i="1"/>
  <c r="O1775" i="1"/>
  <c r="O1858" i="1"/>
  <c r="O1863" i="1"/>
  <c r="O1894" i="1"/>
  <c r="L1930" i="1"/>
  <c r="Q1930" i="1" s="1"/>
  <c r="O1948" i="1"/>
  <c r="O1966" i="1"/>
  <c r="O1989" i="1"/>
  <c r="L1996" i="1"/>
  <c r="O2131" i="1"/>
  <c r="O2137" i="1"/>
  <c r="O2143" i="1"/>
  <c r="O2155" i="1"/>
  <c r="O2172" i="1"/>
  <c r="O2178" i="1"/>
  <c r="O2184" i="1"/>
  <c r="O2212" i="1"/>
  <c r="O2234" i="1"/>
  <c r="O2240" i="1"/>
  <c r="O2245" i="1"/>
  <c r="O2263" i="1"/>
  <c r="O2318" i="1"/>
  <c r="L2318" i="1"/>
  <c r="Q2318" i="1" s="1"/>
  <c r="O2340" i="1"/>
  <c r="L2340" i="1"/>
  <c r="Q2340" i="1" s="1"/>
  <c r="O2803" i="1"/>
  <c r="L3333" i="1"/>
  <c r="O3333" i="1"/>
  <c r="O3408" i="1"/>
  <c r="O3425" i="1"/>
  <c r="O3424" i="1"/>
  <c r="L3424" i="1"/>
  <c r="Q3425" i="1" s="1"/>
  <c r="O3444" i="1"/>
  <c r="O3676" i="1"/>
  <c r="O3675" i="1"/>
  <c r="L3675" i="1"/>
  <c r="O3700" i="1"/>
  <c r="O3699" i="1"/>
  <c r="L3699" i="1"/>
  <c r="O3852" i="1"/>
  <c r="L3852" i="1"/>
  <c r="Q3852" i="1" s="1"/>
  <c r="O717" i="1"/>
  <c r="O742" i="1"/>
  <c r="O756" i="1"/>
  <c r="O955" i="1"/>
  <c r="O968" i="1"/>
  <c r="O1002" i="1"/>
  <c r="O1020" i="1"/>
  <c r="L1517" i="1"/>
  <c r="O1711" i="1"/>
  <c r="O1806" i="1"/>
  <c r="O1812" i="1"/>
  <c r="O1818" i="1"/>
  <c r="O1847" i="1"/>
  <c r="O1853" i="1"/>
  <c r="L1868" i="1"/>
  <c r="O1873" i="1"/>
  <c r="L1939" i="1"/>
  <c r="O1953" i="1"/>
  <c r="L1962" i="1"/>
  <c r="O1978" i="1"/>
  <c r="O2224" i="1"/>
  <c r="O2246" i="1"/>
  <c r="O2252" i="1"/>
  <c r="O2258" i="1"/>
  <c r="O2313" i="1"/>
  <c r="O2324" i="1"/>
  <c r="L2324" i="1"/>
  <c r="O3431" i="1"/>
  <c r="L3431" i="1"/>
  <c r="Q3431" i="1" s="1"/>
  <c r="Q3447" i="1"/>
  <c r="O3695" i="1"/>
  <c r="L3694" i="1"/>
  <c r="O3763" i="1"/>
  <c r="O3787" i="1"/>
  <c r="O3805" i="1"/>
  <c r="L3805" i="1"/>
  <c r="O3832" i="1"/>
  <c r="L3832" i="1"/>
  <c r="Q3832" i="1" s="1"/>
  <c r="O3838" i="1"/>
  <c r="O3887" i="1"/>
  <c r="O3886" i="1"/>
  <c r="O732" i="1"/>
  <c r="O813" i="1"/>
  <c r="O837" i="1"/>
  <c r="O855" i="1"/>
  <c r="L937" i="1"/>
  <c r="O1016" i="1"/>
  <c r="O1025" i="1"/>
  <c r="O1326" i="1"/>
  <c r="O1707" i="1"/>
  <c r="O1732" i="1"/>
  <c r="L1878" i="1"/>
  <c r="O1900" i="1"/>
  <c r="Q2061" i="1"/>
  <c r="O2120" i="1"/>
  <c r="O2126" i="1"/>
  <c r="O2138" i="1"/>
  <c r="O2144" i="1"/>
  <c r="O2150" i="1"/>
  <c r="O2161" i="1"/>
  <c r="L2184" i="1"/>
  <c r="Q2185" i="1" s="1"/>
  <c r="O2235" i="1"/>
  <c r="O2330" i="1"/>
  <c r="L2330" i="1"/>
  <c r="O3292" i="1"/>
  <c r="O3291" i="1"/>
  <c r="L3508" i="1"/>
  <c r="O3508" i="1"/>
  <c r="O728" i="1"/>
  <c r="L955" i="1"/>
  <c r="O1340" i="1"/>
  <c r="O1518" i="1"/>
  <c r="O1712" i="1"/>
  <c r="O1771" i="1"/>
  <c r="O1848" i="1"/>
  <c r="O1912" i="1"/>
  <c r="L1927" i="1"/>
  <c r="Q1927" i="1" s="1"/>
  <c r="L1959" i="1"/>
  <c r="Q1960" i="1" s="1"/>
  <c r="Q1986" i="1"/>
  <c r="O1990" i="1"/>
  <c r="O2012" i="1"/>
  <c r="O2202" i="1"/>
  <c r="L2224" i="1"/>
  <c r="O3806" i="1"/>
  <c r="L3824" i="1"/>
  <c r="O3825" i="1"/>
  <c r="O3824" i="1"/>
  <c r="O738" i="1"/>
  <c r="O802" i="1"/>
  <c r="O856" i="1"/>
  <c r="O862" i="1"/>
  <c r="O886" i="1"/>
  <c r="O892" i="1"/>
  <c r="O934" i="1"/>
  <c r="O938" i="1"/>
  <c r="O952" i="1"/>
  <c r="O1593" i="1"/>
  <c r="O1708" i="1"/>
  <c r="O1860" i="1"/>
  <c r="O1864" i="1"/>
  <c r="O1879" i="1"/>
  <c r="O1997" i="1"/>
  <c r="O2133" i="1"/>
  <c r="O2145" i="1"/>
  <c r="O2151" i="1"/>
  <c r="O2157" i="1"/>
  <c r="O2309" i="1"/>
  <c r="L2309" i="1"/>
  <c r="O3191" i="1"/>
  <c r="O3190" i="1"/>
  <c r="L3190" i="1"/>
  <c r="O3389" i="1"/>
  <c r="Q3402" i="1"/>
  <c r="O3413" i="1"/>
  <c r="O3412" i="1"/>
  <c r="L3412" i="1"/>
  <c r="Q3412" i="1" s="1"/>
  <c r="O3432" i="1"/>
  <c r="Q3435" i="1"/>
  <c r="O3849" i="1"/>
  <c r="L3849" i="1"/>
  <c r="O898" i="1"/>
  <c r="O909" i="1"/>
  <c r="O994" i="1"/>
  <c r="O1315" i="1"/>
  <c r="O1462" i="1"/>
  <c r="O1478" i="1"/>
  <c r="O1498" i="1"/>
  <c r="O1502" i="1"/>
  <c r="O1506" i="1"/>
  <c r="O1515" i="1"/>
  <c r="O1546" i="1"/>
  <c r="L1581" i="1"/>
  <c r="Q1659" i="1"/>
  <c r="O1747" i="1"/>
  <c r="O1797" i="1"/>
  <c r="O1814" i="1"/>
  <c r="O1854" i="1"/>
  <c r="O1865" i="1"/>
  <c r="O1875" i="1"/>
  <c r="O1891" i="1"/>
  <c r="L1936" i="1"/>
  <c r="O1945" i="1"/>
  <c r="O1963" i="1"/>
  <c r="O1972" i="1"/>
  <c r="O1975" i="1"/>
  <c r="O2005" i="1"/>
  <c r="L2197" i="1"/>
  <c r="O2203" i="1"/>
  <c r="O2293" i="1"/>
  <c r="L2293" i="1"/>
  <c r="O2809" i="1"/>
  <c r="L2809" i="1"/>
  <c r="L3261" i="1"/>
  <c r="O3261" i="1"/>
  <c r="O3419" i="1"/>
  <c r="L3419" i="1"/>
  <c r="Q3419" i="1" s="1"/>
  <c r="O3449" i="1"/>
  <c r="O3448" i="1"/>
  <c r="L3448" i="1"/>
  <c r="Q3448" i="1" s="1"/>
  <c r="O3666" i="1"/>
  <c r="L3666" i="1"/>
  <c r="O3754" i="1"/>
  <c r="L3754" i="1"/>
  <c r="Q2097" i="1"/>
  <c r="L3300" i="1"/>
  <c r="O3300" i="1"/>
  <c r="O749" i="1"/>
  <c r="O791" i="1"/>
  <c r="O809" i="1"/>
  <c r="O821" i="1"/>
  <c r="O857" i="1"/>
  <c r="O881" i="1"/>
  <c r="O1694" i="1"/>
  <c r="O1839" i="1"/>
  <c r="O1855" i="1"/>
  <c r="O2215" i="1"/>
  <c r="O2315" i="1"/>
  <c r="L2315" i="1"/>
  <c r="Q2315" i="1" s="1"/>
  <c r="O2321" i="1"/>
  <c r="L2321" i="1"/>
  <c r="O3330" i="1"/>
  <c r="O3407" i="1"/>
  <c r="L3407" i="1"/>
  <c r="O3354" i="1"/>
  <c r="L3354" i="1"/>
  <c r="O726" i="1"/>
  <c r="O744" i="1"/>
  <c r="O904" i="1"/>
  <c r="O990" i="1"/>
  <c r="O1004" i="1"/>
  <c r="O1018" i="1"/>
  <c r="O1511" i="1"/>
  <c r="O1710" i="1"/>
  <c r="Q1744" i="1"/>
  <c r="L1747" i="1"/>
  <c r="O1768" i="1"/>
  <c r="O1809" i="1"/>
  <c r="O1866" i="1"/>
  <c r="L1870" i="1"/>
  <c r="O1876" i="1"/>
  <c r="O1893" i="1"/>
  <c r="Q2101" i="1"/>
  <c r="O2193" i="1"/>
  <c r="O2198" i="1"/>
  <c r="O2209" i="1"/>
  <c r="O2294" i="1"/>
  <c r="O730" i="1"/>
  <c r="O834" i="1"/>
  <c r="O852" i="1"/>
  <c r="O882" i="1"/>
  <c r="O961" i="1"/>
  <c r="O976" i="1"/>
  <c r="O1014" i="1"/>
  <c r="O1236" i="1"/>
  <c r="O1240" i="1"/>
  <c r="O1244" i="1"/>
  <c r="O1248" i="1"/>
  <c r="O1268" i="1"/>
  <c r="O1272" i="1"/>
  <c r="O1276" i="1"/>
  <c r="O1280" i="1"/>
  <c r="O1284" i="1"/>
  <c r="O1288" i="1"/>
  <c r="O1292" i="1"/>
  <c r="O1296" i="1"/>
  <c r="O1300" i="1"/>
  <c r="O1304" i="1"/>
  <c r="O1308" i="1"/>
  <c r="O1316" i="1"/>
  <c r="O1320" i="1"/>
  <c r="O1459" i="1"/>
  <c r="O1463" i="1"/>
  <c r="O1491" i="1"/>
  <c r="O1507" i="1"/>
  <c r="O1723" i="1"/>
  <c r="O1748" i="1"/>
  <c r="O1779" i="1"/>
  <c r="L1838" i="1"/>
  <c r="Q1838" i="1" s="1"/>
  <c r="Q1974" i="1"/>
  <c r="O2153" i="1"/>
  <c r="O2210" i="1"/>
  <c r="O2221" i="1"/>
  <c r="O2316" i="1"/>
  <c r="O2322" i="1"/>
  <c r="O2327" i="1"/>
  <c r="L2327" i="1"/>
  <c r="Q2327" i="1" s="1"/>
  <c r="O2333" i="1"/>
  <c r="L2333" i="1"/>
  <c r="Q2333" i="1" s="1"/>
  <c r="O2344" i="1"/>
  <c r="O3178" i="1"/>
  <c r="L3178" i="1"/>
  <c r="Q3179" i="1" s="1"/>
  <c r="L3322" i="1"/>
  <c r="O3323" i="1"/>
  <c r="O3322" i="1"/>
  <c r="L3337" i="1"/>
  <c r="O3337" i="1"/>
  <c r="O3401" i="1"/>
  <c r="O3400" i="1"/>
  <c r="L3400" i="1"/>
  <c r="Q3401" i="1" s="1"/>
  <c r="O3420" i="1"/>
  <c r="O3437" i="1"/>
  <c r="O3436" i="1"/>
  <c r="L3436" i="1"/>
  <c r="O3663" i="1"/>
  <c r="L3663" i="1"/>
  <c r="O3862" i="1"/>
  <c r="O3861" i="1"/>
  <c r="L3861" i="1"/>
  <c r="Q3862" i="1" s="1"/>
  <c r="O2277" i="1"/>
  <c r="O2283" i="1"/>
  <c r="O2308" i="1"/>
  <c r="O2311" i="1"/>
  <c r="O2314" i="1"/>
  <c r="O2317" i="1"/>
  <c r="O2320" i="1"/>
  <c r="O2323" i="1"/>
  <c r="O2326" i="1"/>
  <c r="O2329" i="1"/>
  <c r="O2332" i="1"/>
  <c r="O2468" i="1"/>
  <c r="L2895" i="1"/>
  <c r="O2965" i="1"/>
  <c r="O3012" i="1"/>
  <c r="O3017" i="1"/>
  <c r="O3023" i="1"/>
  <c r="O3058" i="1"/>
  <c r="O3077" i="1"/>
  <c r="O3140" i="1"/>
  <c r="L3159" i="1"/>
  <c r="Q3159" i="1" s="1"/>
  <c r="O3167" i="1"/>
  <c r="L3223" i="1"/>
  <c r="L3228" i="1"/>
  <c r="O3245" i="1"/>
  <c r="O3276" i="1"/>
  <c r="O3285" i="1"/>
  <c r="O3336" i="1"/>
  <c r="L3428" i="1"/>
  <c r="Q3429" i="1" s="1"/>
  <c r="O3457" i="1"/>
  <c r="O3731" i="1"/>
  <c r="O3740" i="1"/>
  <c r="O3797" i="1"/>
  <c r="O3855" i="1"/>
  <c r="O2298" i="1"/>
  <c r="O2302" i="1"/>
  <c r="O2362" i="1"/>
  <c r="O2377" i="1"/>
  <c r="O2382" i="1"/>
  <c r="O2411" i="1"/>
  <c r="O2531" i="1"/>
  <c r="O2574" i="1"/>
  <c r="O2780" i="1"/>
  <c r="O2786" i="1"/>
  <c r="O2813" i="1"/>
  <c r="O2877" i="1"/>
  <c r="O2932" i="1"/>
  <c r="Q2962" i="1"/>
  <c r="O2992" i="1"/>
  <c r="O3029" i="1"/>
  <c r="O3088" i="1"/>
  <c r="O3101" i="1"/>
  <c r="O3106" i="1"/>
  <c r="O3195" i="1"/>
  <c r="Q3234" i="1"/>
  <c r="O3287" i="1"/>
  <c r="O3426" i="1"/>
  <c r="O3450" i="1"/>
  <c r="O3642" i="1"/>
  <c r="O3654" i="1"/>
  <c r="O3728" i="1"/>
  <c r="O3741" i="1"/>
  <c r="O3781" i="1"/>
  <c r="O3793" i="1"/>
  <c r="O2272" i="1"/>
  <c r="O2278" i="1"/>
  <c r="O2284" i="1"/>
  <c r="O2348" i="1"/>
  <c r="O2353" i="1"/>
  <c r="O2358" i="1"/>
  <c r="O2368" i="1"/>
  <c r="O2407" i="1"/>
  <c r="O2437" i="1"/>
  <c r="O2453" i="1"/>
  <c r="O2667" i="1"/>
  <c r="O2683" i="1"/>
  <c r="O2769" i="1"/>
  <c r="O2798" i="1"/>
  <c r="O2827" i="1"/>
  <c r="O2833" i="1"/>
  <c r="O2839" i="1"/>
  <c r="O2913" i="1"/>
  <c r="O2942" i="1"/>
  <c r="O3003" i="1"/>
  <c r="O3039" i="1"/>
  <c r="O3064" i="1"/>
  <c r="O3084" i="1"/>
  <c r="O3116" i="1"/>
  <c r="O3613" i="1"/>
  <c r="L3712" i="1"/>
  <c r="Q3713" i="1" s="1"/>
  <c r="O3865" i="1"/>
  <c r="O3890" i="1"/>
  <c r="L2298" i="1"/>
  <c r="O2304" i="1"/>
  <c r="L2337" i="1"/>
  <c r="O2387" i="1"/>
  <c r="O2412" i="1"/>
  <c r="O2496" i="1"/>
  <c r="O2589" i="1"/>
  <c r="O2746" i="1"/>
  <c r="O2775" i="1"/>
  <c r="O2810" i="1"/>
  <c r="O2822" i="1"/>
  <c r="O2903" i="1"/>
  <c r="O2967" i="1"/>
  <c r="L3035" i="1"/>
  <c r="O3060" i="1"/>
  <c r="O3070" i="1"/>
  <c r="O3089" i="1"/>
  <c r="O3097" i="1"/>
  <c r="O3107" i="1"/>
  <c r="O3111" i="1"/>
  <c r="O3183" i="1"/>
  <c r="L3195" i="1"/>
  <c r="O3230" i="1"/>
  <c r="O3234" i="1"/>
  <c r="O3394" i="1"/>
  <c r="L3405" i="1"/>
  <c r="L3417" i="1"/>
  <c r="Q3417" i="1" s="1"/>
  <c r="L3441" i="1"/>
  <c r="O3558" i="1"/>
  <c r="O3562" i="1"/>
  <c r="O3566" i="1"/>
  <c r="L3604" i="1"/>
  <c r="Q3604" i="1" s="1"/>
  <c r="O3619" i="1"/>
  <c r="O3625" i="1"/>
  <c r="O3655" i="1"/>
  <c r="O3667" i="1"/>
  <c r="O3716" i="1"/>
  <c r="L3728" i="1"/>
  <c r="L3737" i="1"/>
  <c r="O3767" i="1"/>
  <c r="L3775" i="1"/>
  <c r="L3821" i="1"/>
  <c r="O3840" i="1"/>
  <c r="O3871" i="1"/>
  <c r="O3874" i="1"/>
  <c r="O3878" i="1"/>
  <c r="L3883" i="1"/>
  <c r="O2268" i="1"/>
  <c r="L2334" i="1"/>
  <c r="L2344" i="1"/>
  <c r="Q2344" i="1" s="1"/>
  <c r="O2354" i="1"/>
  <c r="O2471" i="1"/>
  <c r="O2477" i="1"/>
  <c r="L2667" i="1"/>
  <c r="L2798" i="1"/>
  <c r="O2898" i="1"/>
  <c r="O3137" i="1"/>
  <c r="L3208" i="1"/>
  <c r="O3301" i="1"/>
  <c r="O3315" i="1"/>
  <c r="O3319" i="1"/>
  <c r="O3334" i="1"/>
  <c r="L3380" i="1"/>
  <c r="O3513" i="1"/>
  <c r="O3604" i="1"/>
  <c r="L3687" i="1"/>
  <c r="O3755" i="1"/>
  <c r="L3763" i="1"/>
  <c r="O3779" i="1"/>
  <c r="L3787" i="1"/>
  <c r="O3813" i="1"/>
  <c r="O3851" i="1"/>
  <c r="O3883" i="1"/>
  <c r="O3891" i="1"/>
  <c r="L2316" i="1"/>
  <c r="Q2317" i="1" s="1"/>
  <c r="L2319" i="1"/>
  <c r="L2322" i="1"/>
  <c r="Q2323" i="1" s="1"/>
  <c r="L2325" i="1"/>
  <c r="Q2325" i="1" s="1"/>
  <c r="L2328" i="1"/>
  <c r="L2331" i="1"/>
  <c r="Q2332" i="1" s="1"/>
  <c r="L2387" i="1"/>
  <c r="O2413" i="1"/>
  <c r="O2449" i="1"/>
  <c r="O2539" i="1"/>
  <c r="O2545" i="1"/>
  <c r="O2551" i="1"/>
  <c r="O2794" i="1"/>
  <c r="L2803" i="1"/>
  <c r="L2814" i="1"/>
  <c r="O2968" i="1"/>
  <c r="O2978" i="1"/>
  <c r="O3037" i="1"/>
  <c r="O3046" i="1"/>
  <c r="L3070" i="1"/>
  <c r="O3086" i="1"/>
  <c r="Q3183" i="1"/>
  <c r="L3221" i="1"/>
  <c r="O3239" i="1"/>
  <c r="O3297" i="1"/>
  <c r="O3312" i="1"/>
  <c r="O3385" i="1"/>
  <c r="L3394" i="1"/>
  <c r="Q3395" i="1" s="1"/>
  <c r="Q3451" i="1"/>
  <c r="O3687" i="1"/>
  <c r="L3704" i="1"/>
  <c r="L3725" i="1"/>
  <c r="Q3747" i="1"/>
  <c r="O3829" i="1"/>
  <c r="O3853" i="1"/>
  <c r="O2269" i="1"/>
  <c r="L2299" i="1"/>
  <c r="L2341" i="1"/>
  <c r="O2345" i="1"/>
  <c r="L2354" i="1"/>
  <c r="O2374" i="1"/>
  <c r="O2388" i="1"/>
  <c r="Q2631" i="1"/>
  <c r="O2740" i="1"/>
  <c r="L2818" i="1"/>
  <c r="O2835" i="1"/>
  <c r="O2841" i="1"/>
  <c r="L3095" i="1"/>
  <c r="L3166" i="1"/>
  <c r="Q3167" i="1" s="1"/>
  <c r="O3188" i="1"/>
  <c r="O3253" i="1"/>
  <c r="O3358" i="1"/>
  <c r="L3408" i="1"/>
  <c r="L3420" i="1"/>
  <c r="L3432" i="1"/>
  <c r="O3563" i="1"/>
  <c r="O3601" i="1"/>
  <c r="O3661" i="1"/>
  <c r="O3730" i="1"/>
  <c r="O3736" i="1"/>
  <c r="L3755" i="1"/>
  <c r="L3779" i="1"/>
  <c r="Q3779" i="1" s="1"/>
  <c r="L3799" i="1"/>
  <c r="Q3799" i="1" s="1"/>
  <c r="O3803" i="1"/>
  <c r="O3841" i="1"/>
  <c r="O3850" i="1"/>
  <c r="L2338" i="1"/>
  <c r="Q2339" i="1" s="1"/>
  <c r="O2350" i="1"/>
  <c r="O2355" i="1"/>
  <c r="O2380" i="1"/>
  <c r="O2534" i="1"/>
  <c r="O2546" i="1"/>
  <c r="O2804" i="1"/>
  <c r="L2811" i="1"/>
  <c r="Q2812" i="1" s="1"/>
  <c r="O2824" i="1"/>
  <c r="O2995" i="1"/>
  <c r="O3113" i="1"/>
  <c r="L3184" i="1"/>
  <c r="Q3184" i="1" s="1"/>
  <c r="O3331" i="1"/>
  <c r="O3610" i="1"/>
  <c r="O3651" i="1"/>
  <c r="L3656" i="1"/>
  <c r="L3668" i="1"/>
  <c r="L3673" i="1"/>
  <c r="L3688" i="1"/>
  <c r="O3747" i="1"/>
  <c r="O3756" i="1"/>
  <c r="O3776" i="1"/>
  <c r="L3791" i="1"/>
  <c r="O3835" i="1"/>
  <c r="O3847" i="1"/>
  <c r="O3867" i="1"/>
  <c r="O3880" i="1"/>
  <c r="L2269" i="1"/>
  <c r="O2275" i="1"/>
  <c r="O2281" i="1"/>
  <c r="L2335" i="1"/>
  <c r="O2342" i="1"/>
  <c r="L2345" i="1"/>
  <c r="O2360" i="1"/>
  <c r="O2429" i="1"/>
  <c r="O2445" i="1"/>
  <c r="O2609" i="1"/>
  <c r="O2632" i="1"/>
  <c r="O2772" i="1"/>
  <c r="O2830" i="1"/>
  <c r="O2836" i="1"/>
  <c r="O2846" i="1"/>
  <c r="O2940" i="1"/>
  <c r="O3724" i="1"/>
  <c r="O2271" i="1"/>
  <c r="O2296" i="1"/>
  <c r="O2339" i="1"/>
  <c r="O2347" i="1"/>
  <c r="O2425" i="1"/>
  <c r="O2733" i="1"/>
  <c r="O2745" i="1"/>
  <c r="O2778" i="1"/>
  <c r="O2820" i="1"/>
  <c r="L2920" i="1"/>
  <c r="O2980" i="1"/>
  <c r="O3110" i="1"/>
  <c r="L3154" i="1"/>
  <c r="Q3155" i="1" s="1"/>
  <c r="L3172" i="1"/>
  <c r="O3177" i="1"/>
  <c r="Q3250" i="1"/>
  <c r="Q3310" i="1"/>
  <c r="O3344" i="1"/>
  <c r="O3395" i="1"/>
  <c r="O3560" i="1"/>
  <c r="O3564" i="1"/>
  <c r="O3616" i="1"/>
  <c r="O3665" i="1"/>
  <c r="L3674" i="1"/>
  <c r="Q3675" i="1" s="1"/>
  <c r="O3735" i="1"/>
  <c r="L3756" i="1"/>
  <c r="O3766" i="1"/>
  <c r="O3815" i="1"/>
  <c r="L3835" i="1"/>
  <c r="L3847" i="1"/>
  <c r="Q1745" i="1"/>
  <c r="L747" i="1"/>
  <c r="O772" i="1"/>
  <c r="O778" i="1"/>
  <c r="O790" i="1"/>
  <c r="O796" i="1"/>
  <c r="O808" i="1"/>
  <c r="O814" i="1"/>
  <c r="O820" i="1"/>
  <c r="O850" i="1"/>
  <c r="O880" i="1"/>
  <c r="O901" i="1"/>
  <c r="O910" i="1"/>
  <c r="L918" i="1"/>
  <c r="O926" i="1"/>
  <c r="L1525" i="1"/>
  <c r="Q1526" i="1" s="1"/>
  <c r="O1605" i="1"/>
  <c r="O1649" i="1"/>
  <c r="O1733" i="1"/>
  <c r="O1745" i="1"/>
  <c r="O1769" i="1"/>
  <c r="L1778" i="1"/>
  <c r="O1781" i="1"/>
  <c r="L1828" i="1"/>
  <c r="O1947" i="1"/>
  <c r="O1946" i="1"/>
  <c r="L1946" i="1"/>
  <c r="Q1946" i="1" s="1"/>
  <c r="O1998" i="1"/>
  <c r="L1998" i="1"/>
  <c r="Q1998" i="1" s="1"/>
  <c r="O743" i="1"/>
  <c r="O767" i="1"/>
  <c r="O919" i="1"/>
  <c r="L931" i="1"/>
  <c r="L949" i="1"/>
  <c r="Q949" i="1" s="1"/>
  <c r="L967" i="1"/>
  <c r="Q967" i="1" s="1"/>
  <c r="O1030" i="1"/>
  <c r="O1035" i="1"/>
  <c r="O1324" i="1"/>
  <c r="O1328" i="1"/>
  <c r="L1336" i="1"/>
  <c r="L1513" i="1"/>
  <c r="Q1514" i="1" s="1"/>
  <c r="L1519" i="1"/>
  <c r="L1578" i="1"/>
  <c r="L1694" i="1"/>
  <c r="L1858" i="1"/>
  <c r="O1929" i="1"/>
  <c r="O1938" i="1"/>
  <c r="O1937" i="1"/>
  <c r="L1937" i="1"/>
  <c r="O2158" i="1"/>
  <c r="L2158" i="1"/>
  <c r="O2297" i="1"/>
  <c r="L723" i="1"/>
  <c r="O731" i="1"/>
  <c r="O833" i="1"/>
  <c r="O839" i="1"/>
  <c r="O845" i="1"/>
  <c r="O851" i="1"/>
  <c r="O863" i="1"/>
  <c r="L901" i="1"/>
  <c r="O914" i="1"/>
  <c r="L923" i="1"/>
  <c r="O956" i="1"/>
  <c r="O1458" i="1"/>
  <c r="O1470" i="1"/>
  <c r="L1684" i="1"/>
  <c r="Q1684" i="1" s="1"/>
  <c r="O1709" i="1"/>
  <c r="O1721" i="1"/>
  <c r="L1730" i="1"/>
  <c r="L1754" i="1"/>
  <c r="O1757" i="1"/>
  <c r="L1848" i="1"/>
  <c r="L1872" i="1"/>
  <c r="L1882" i="1"/>
  <c r="Q1882" i="1" s="1"/>
  <c r="L1885" i="1"/>
  <c r="L1888" i="1"/>
  <c r="Q1888" i="1" s="1"/>
  <c r="L1891" i="1"/>
  <c r="Q1891" i="1" s="1"/>
  <c r="L1894" i="1"/>
  <c r="Q1894" i="1" s="1"/>
  <c r="L1897" i="1"/>
  <c r="Q1897" i="1" s="1"/>
  <c r="L1900" i="1"/>
  <c r="Q1900" i="1" s="1"/>
  <c r="L1903" i="1"/>
  <c r="Q1903" i="1" s="1"/>
  <c r="L1906" i="1"/>
  <c r="Q1906" i="1" s="1"/>
  <c r="L1909" i="1"/>
  <c r="Q1909" i="1" s="1"/>
  <c r="L1912" i="1"/>
  <c r="Q1912" i="1" s="1"/>
  <c r="L1915" i="1"/>
  <c r="L1918" i="1"/>
  <c r="Q1918" i="1" s="1"/>
  <c r="L1921" i="1"/>
  <c r="Q1921" i="1" s="1"/>
  <c r="O1925" i="1"/>
  <c r="L1925" i="1"/>
  <c r="Q1984" i="1"/>
  <c r="Q3093" i="1"/>
  <c r="L740" i="1"/>
  <c r="O923" i="1"/>
  <c r="O1550" i="1"/>
  <c r="O1556" i="1"/>
  <c r="L1680" i="1"/>
  <c r="O1685" i="1"/>
  <c r="O1746" i="1"/>
  <c r="O1782" i="1"/>
  <c r="O1790" i="1"/>
  <c r="O1829" i="1"/>
  <c r="O2227" i="1"/>
  <c r="O276" i="1"/>
  <c r="L728" i="1"/>
  <c r="L752" i="1"/>
  <c r="O761" i="1"/>
  <c r="O774" i="1"/>
  <c r="O780" i="1"/>
  <c r="O786" i="1"/>
  <c r="O792" i="1"/>
  <c r="O798" i="1"/>
  <c r="O822" i="1"/>
  <c r="O828" i="1"/>
  <c r="O846" i="1"/>
  <c r="O858" i="1"/>
  <c r="O870" i="1"/>
  <c r="O888" i="1"/>
  <c r="O894" i="1"/>
  <c r="L911" i="1"/>
  <c r="Q984" i="1"/>
  <c r="O996" i="1"/>
  <c r="O1301" i="1"/>
  <c r="O1305" i="1"/>
  <c r="O1309" i="1"/>
  <c r="O1313" i="1"/>
  <c r="O1317" i="1"/>
  <c r="O1321" i="1"/>
  <c r="O1325" i="1"/>
  <c r="O1329" i="1"/>
  <c r="L1529" i="1"/>
  <c r="Q1529" i="1" s="1"/>
  <c r="O1758" i="1"/>
  <c r="O1830" i="1"/>
  <c r="L1852" i="1"/>
  <c r="O1926" i="1"/>
  <c r="L716" i="1"/>
  <c r="O900" i="1"/>
  <c r="O902" i="1"/>
  <c r="O911" i="1"/>
  <c r="O1495" i="1"/>
  <c r="L1660" i="1"/>
  <c r="Q1660" i="1" s="1"/>
  <c r="L1699" i="1"/>
  <c r="Q1699" i="1" s="1"/>
  <c r="O1820" i="1"/>
  <c r="L1845" i="1"/>
  <c r="Q1845" i="1" s="1"/>
  <c r="L1866" i="1"/>
  <c r="O1934" i="1"/>
  <c r="L1934" i="1"/>
  <c r="O1944" i="1"/>
  <c r="O1943" i="1"/>
  <c r="L1943" i="1"/>
  <c r="Q1943" i="1" s="1"/>
  <c r="O805" i="1"/>
  <c r="O811" i="1"/>
  <c r="O817" i="1"/>
  <c r="O853" i="1"/>
  <c r="O877" i="1"/>
  <c r="O1661" i="1"/>
  <c r="L1696" i="1"/>
  <c r="O1791" i="1"/>
  <c r="O1826" i="1"/>
  <c r="L1856" i="1"/>
  <c r="L1880" i="1"/>
  <c r="Q1881" i="1" s="1"/>
  <c r="L1883" i="1"/>
  <c r="L1886" i="1"/>
  <c r="L1889" i="1"/>
  <c r="L1892" i="1"/>
  <c r="Q1893" i="1" s="1"/>
  <c r="L1895" i="1"/>
  <c r="Q1896" i="1" s="1"/>
  <c r="L1898" i="1"/>
  <c r="L1901" i="1"/>
  <c r="L1904" i="1"/>
  <c r="L1907" i="1"/>
  <c r="L1910" i="1"/>
  <c r="L1913" i="1"/>
  <c r="L1916" i="1"/>
  <c r="L1919" i="1"/>
  <c r="O1922" i="1"/>
  <c r="O2251" i="1"/>
  <c r="O708" i="1"/>
  <c r="O733" i="1"/>
  <c r="O741" i="1"/>
  <c r="O757" i="1"/>
  <c r="O765" i="1"/>
  <c r="L899" i="1"/>
  <c r="L908" i="1"/>
  <c r="O925" i="1"/>
  <c r="O1029" i="1"/>
  <c r="O1036" i="1"/>
  <c r="O1234" i="1"/>
  <c r="O1238" i="1"/>
  <c r="O1242" i="1"/>
  <c r="O1246" i="1"/>
  <c r="O1250" i="1"/>
  <c r="O1254" i="1"/>
  <c r="O1258" i="1"/>
  <c r="O1262" i="1"/>
  <c r="O1266" i="1"/>
  <c r="O1270" i="1"/>
  <c r="O1274" i="1"/>
  <c r="O1278" i="1"/>
  <c r="O1282" i="1"/>
  <c r="O1286" i="1"/>
  <c r="O1290" i="1"/>
  <c r="O1294" i="1"/>
  <c r="O1298" i="1"/>
  <c r="O1302" i="1"/>
  <c r="O1306" i="1"/>
  <c r="O1310" i="1"/>
  <c r="O1314" i="1"/>
  <c r="O1318" i="1"/>
  <c r="O1322" i="1"/>
  <c r="O1330" i="1"/>
  <c r="O1672" i="1"/>
  <c r="L1735" i="1"/>
  <c r="Q1735" i="1" s="1"/>
  <c r="L1771" i="1"/>
  <c r="O1796" i="1"/>
  <c r="L1820" i="1"/>
  <c r="O1880" i="1"/>
  <c r="O1883" i="1"/>
  <c r="O1886" i="1"/>
  <c r="O1889" i="1"/>
  <c r="O1892" i="1"/>
  <c r="O1895" i="1"/>
  <c r="O1898" i="1"/>
  <c r="O1901" i="1"/>
  <c r="O1904" i="1"/>
  <c r="O1907" i="1"/>
  <c r="O1910" i="1"/>
  <c r="O1913" i="1"/>
  <c r="O1916" i="1"/>
  <c r="O1919" i="1"/>
  <c r="O1923" i="1"/>
  <c r="O1935" i="1"/>
  <c r="L1949" i="1"/>
  <c r="Q1949" i="1" s="1"/>
  <c r="O1950" i="1"/>
  <c r="O1949" i="1"/>
  <c r="O2218" i="1"/>
  <c r="L2218" i="1"/>
  <c r="Q2625" i="1"/>
  <c r="O721" i="1"/>
  <c r="O729" i="1"/>
  <c r="L738" i="1"/>
  <c r="O746" i="1"/>
  <c r="O753" i="1"/>
  <c r="O776" i="1"/>
  <c r="O782" i="1"/>
  <c r="O788" i="1"/>
  <c r="O794" i="1"/>
  <c r="O800" i="1"/>
  <c r="O806" i="1"/>
  <c r="O812" i="1"/>
  <c r="O818" i="1"/>
  <c r="O824" i="1"/>
  <c r="O830" i="1"/>
  <c r="O836" i="1"/>
  <c r="O842" i="1"/>
  <c r="O860" i="1"/>
  <c r="O872" i="1"/>
  <c r="O878" i="1"/>
  <c r="O884" i="1"/>
  <c r="O890" i="1"/>
  <c r="O899" i="1"/>
  <c r="O1476" i="1"/>
  <c r="O1504" i="1"/>
  <c r="O1587" i="1"/>
  <c r="L1708" i="1"/>
  <c r="L1732" i="1"/>
  <c r="L1768" i="1"/>
  <c r="Q1769" i="1" s="1"/>
  <c r="L1780" i="1"/>
  <c r="L1783" i="1"/>
  <c r="O1810" i="1"/>
  <c r="L1860" i="1"/>
  <c r="O1931" i="1"/>
  <c r="L1931" i="1"/>
  <c r="Q1931" i="1" s="1"/>
  <c r="O2008" i="1"/>
  <c r="L2008" i="1"/>
  <c r="Q2102" i="1"/>
  <c r="L1339" i="1"/>
  <c r="Q1339" i="1" s="1"/>
  <c r="O1648" i="1"/>
  <c r="L1672" i="1"/>
  <c r="Q1672" i="1" s="1"/>
  <c r="L1711" i="1"/>
  <c r="Q1711" i="1" s="1"/>
  <c r="L1756" i="1"/>
  <c r="Q1757" i="1" s="1"/>
  <c r="L1759" i="1"/>
  <c r="O1772" i="1"/>
  <c r="O1805" i="1"/>
  <c r="O1842" i="1"/>
  <c r="L1850" i="1"/>
  <c r="L1874" i="1"/>
  <c r="O1941" i="1"/>
  <c r="O1940" i="1"/>
  <c r="L1940" i="1"/>
  <c r="O2230" i="1"/>
  <c r="L2230" i="1"/>
  <c r="L714" i="1"/>
  <c r="O722" i="1"/>
  <c r="O750" i="1"/>
  <c r="O795" i="1"/>
  <c r="O801" i="1"/>
  <c r="O849" i="1"/>
  <c r="O861" i="1"/>
  <c r="O891" i="1"/>
  <c r="L896" i="1"/>
  <c r="O1673" i="1"/>
  <c r="O1697" i="1"/>
  <c r="O1720" i="1"/>
  <c r="O1932" i="1"/>
  <c r="Q2083" i="1"/>
  <c r="Q937" i="1"/>
  <c r="O710" i="1"/>
  <c r="O714" i="1"/>
  <c r="O735" i="1"/>
  <c r="O759" i="1"/>
  <c r="O905" i="1"/>
  <c r="L913" i="1"/>
  <c r="O1465" i="1"/>
  <c r="O1469" i="1"/>
  <c r="O1473" i="1"/>
  <c r="O1477" i="1"/>
  <c r="O1481" i="1"/>
  <c r="O1485" i="1"/>
  <c r="O1489" i="1"/>
  <c r="O1493" i="1"/>
  <c r="O1497" i="1"/>
  <c r="O1501" i="1"/>
  <c r="O1505" i="1"/>
  <c r="O1509" i="1"/>
  <c r="O1566" i="1"/>
  <c r="L1609" i="1"/>
  <c r="L1648" i="1"/>
  <c r="Q1648" i="1" s="1"/>
  <c r="Q1683" i="1"/>
  <c r="O1760" i="1"/>
  <c r="O1928" i="1"/>
  <c r="L1928" i="1"/>
  <c r="O2214" i="1"/>
  <c r="L2214" i="1"/>
  <c r="O2242" i="1"/>
  <c r="L2242" i="1"/>
  <c r="O2038" i="1"/>
  <c r="O2119" i="1"/>
  <c r="L2166" i="1"/>
  <c r="L2275" i="1"/>
  <c r="L2292" i="1"/>
  <c r="O2303" i="1"/>
  <c r="O2369" i="1"/>
  <c r="O2419" i="1"/>
  <c r="L2423" i="1"/>
  <c r="O2435" i="1"/>
  <c r="L2683" i="1"/>
  <c r="L2699" i="1"/>
  <c r="O2878" i="1"/>
  <c r="O2882" i="1"/>
  <c r="O2950" i="1"/>
  <c r="L3011" i="1"/>
  <c r="O3063" i="1"/>
  <c r="O1974" i="1"/>
  <c r="O1986" i="1"/>
  <c r="O2125" i="1"/>
  <c r="O2142" i="1"/>
  <c r="O2148" i="1"/>
  <c r="O2154" i="1"/>
  <c r="L2388" i="1"/>
  <c r="L2400" i="1"/>
  <c r="O2478" i="1"/>
  <c r="O2695" i="1"/>
  <c r="L2900" i="1"/>
  <c r="O2986" i="1"/>
  <c r="O2990" i="1"/>
  <c r="O3015" i="1"/>
  <c r="L3023" i="1"/>
  <c r="L3083" i="1"/>
  <c r="L3101" i="1"/>
  <c r="L3149" i="1"/>
  <c r="Q3150" i="1" s="1"/>
  <c r="O2048" i="1"/>
  <c r="O2159" i="1"/>
  <c r="L2171" i="1"/>
  <c r="L2202" i="1"/>
  <c r="L2206" i="1"/>
  <c r="O2259" i="1"/>
  <c r="L2263" i="1"/>
  <c r="O2288" i="1"/>
  <c r="Q2343" i="1"/>
  <c r="L2346" i="1"/>
  <c r="L2349" i="1"/>
  <c r="Q2349" i="1" s="1"/>
  <c r="L2352" i="1"/>
  <c r="Q2352" i="1" s="1"/>
  <c r="L2355" i="1"/>
  <c r="L2373" i="1"/>
  <c r="Q2373" i="1" s="1"/>
  <c r="L2412" i="1"/>
  <c r="O2431" i="1"/>
  <c r="L2662" i="1"/>
  <c r="O2759" i="1"/>
  <c r="L2780" i="1"/>
  <c r="O2785" i="1"/>
  <c r="L2823" i="1"/>
  <c r="Q2824" i="1" s="1"/>
  <c r="L2826" i="1"/>
  <c r="L2829" i="1"/>
  <c r="L2852" i="1"/>
  <c r="Q2852" i="1" s="1"/>
  <c r="Q2908" i="1"/>
  <c r="L2931" i="1"/>
  <c r="O2962" i="1"/>
  <c r="O2974" i="1"/>
  <c r="L2999" i="1"/>
  <c r="Q2999" i="1" s="1"/>
  <c r="O3009" i="1"/>
  <c r="O3075" i="1"/>
  <c r="O3094" i="1"/>
  <c r="O3121" i="1"/>
  <c r="L1972" i="1"/>
  <c r="Q1972" i="1" s="1"/>
  <c r="L1981" i="1"/>
  <c r="O2009" i="1"/>
  <c r="L2012" i="1"/>
  <c r="Q2012" i="1" s="1"/>
  <c r="O2016" i="1"/>
  <c r="L2125" i="1"/>
  <c r="O2149" i="1"/>
  <c r="L2154" i="1"/>
  <c r="L2194" i="1"/>
  <c r="O2247" i="1"/>
  <c r="O2343" i="1"/>
  <c r="O2346" i="1"/>
  <c r="L2362" i="1"/>
  <c r="Q2362" i="1" s="1"/>
  <c r="O2367" i="1"/>
  <c r="O2393" i="1"/>
  <c r="O2405" i="1"/>
  <c r="L2424" i="1"/>
  <c r="L2583" i="1"/>
  <c r="Q2583" i="1" s="1"/>
  <c r="L2595" i="1"/>
  <c r="Q2595" i="1" s="1"/>
  <c r="L2679" i="1"/>
  <c r="L2695" i="1"/>
  <c r="O2751" i="1"/>
  <c r="O2817" i="1"/>
  <c r="O2896" i="1"/>
  <c r="L2943" i="1"/>
  <c r="O2966" i="1"/>
  <c r="O3004" i="1"/>
  <c r="O3080" i="1"/>
  <c r="L1958" i="1"/>
  <c r="Q1959" i="1" s="1"/>
  <c r="O1965" i="1"/>
  <c r="O1999" i="1"/>
  <c r="L2048" i="1"/>
  <c r="O2132" i="1"/>
  <c r="L2137" i="1"/>
  <c r="L2159" i="1"/>
  <c r="Q2159" i="1" s="1"/>
  <c r="L2215" i="1"/>
  <c r="L2227" i="1"/>
  <c r="Q2227" i="1" s="1"/>
  <c r="L2239" i="1"/>
  <c r="Q2239" i="1" s="1"/>
  <c r="L2251" i="1"/>
  <c r="Q2251" i="1" s="1"/>
  <c r="L2268" i="1"/>
  <c r="O2276" i="1"/>
  <c r="O2359" i="1"/>
  <c r="L2378" i="1"/>
  <c r="O2417" i="1"/>
  <c r="L2436" i="1"/>
  <c r="L2559" i="1"/>
  <c r="L2571" i="1"/>
  <c r="Q2571" i="1" s="1"/>
  <c r="L2626" i="1"/>
  <c r="Q2626" i="1" s="1"/>
  <c r="L2759" i="1"/>
  <c r="Q2759" i="1" s="1"/>
  <c r="L2794" i="1"/>
  <c r="L2867" i="1"/>
  <c r="Q2867" i="1" s="1"/>
  <c r="L2901" i="1"/>
  <c r="O2908" i="1"/>
  <c r="Q2924" i="1"/>
  <c r="L2959" i="1"/>
  <c r="O2987" i="1"/>
  <c r="L3009" i="1"/>
  <c r="L3041" i="1"/>
  <c r="L3053" i="1"/>
  <c r="O3076" i="1"/>
  <c r="O3087" i="1"/>
  <c r="L3106" i="1"/>
  <c r="O3109" i="1"/>
  <c r="L3113" i="1"/>
  <c r="L3125" i="1"/>
  <c r="Q3126" i="1" s="1"/>
  <c r="L1935" i="1"/>
  <c r="O1970" i="1"/>
  <c r="L1978" i="1"/>
  <c r="O1982" i="1"/>
  <c r="O2013" i="1"/>
  <c r="L2016" i="1"/>
  <c r="Q2016" i="1" s="1"/>
  <c r="O2164" i="1"/>
  <c r="L2172" i="1"/>
  <c r="Q2173" i="1" s="1"/>
  <c r="L2177" i="1"/>
  <c r="O2187" i="1"/>
  <c r="L2203" i="1"/>
  <c r="O2220" i="1"/>
  <c r="L2281" i="1"/>
  <c r="Q2281" i="1" s="1"/>
  <c r="L2367" i="1"/>
  <c r="L2374" i="1"/>
  <c r="O2379" i="1"/>
  <c r="L2405" i="1"/>
  <c r="O2596" i="1"/>
  <c r="O2608" i="1"/>
  <c r="L2790" i="1"/>
  <c r="O2842" i="1"/>
  <c r="L2913" i="1"/>
  <c r="Q2913" i="1" s="1"/>
  <c r="L2932" i="1"/>
  <c r="L2955" i="1"/>
  <c r="L2991" i="1"/>
  <c r="O3000" i="1"/>
  <c r="O3021" i="1"/>
  <c r="L3046" i="1"/>
  <c r="O3049" i="1"/>
  <c r="O1954" i="1"/>
  <c r="Q1985" i="1"/>
  <c r="L1987" i="1"/>
  <c r="Q1987" i="1" s="1"/>
  <c r="L1990" i="1"/>
  <c r="Q2089" i="1"/>
  <c r="Q2093" i="1"/>
  <c r="L2155" i="1"/>
  <c r="L2191" i="1"/>
  <c r="O2264" i="1"/>
  <c r="L2350" i="1"/>
  <c r="L2353" i="1"/>
  <c r="L2356" i="1"/>
  <c r="O2371" i="1"/>
  <c r="O2572" i="1"/>
  <c r="L2675" i="1"/>
  <c r="L2691" i="1"/>
  <c r="L2768" i="1"/>
  <c r="O2773" i="1"/>
  <c r="L2786" i="1"/>
  <c r="L2827" i="1"/>
  <c r="L2830" i="1"/>
  <c r="O2884" i="1"/>
  <c r="L2889" i="1"/>
  <c r="L2937" i="1"/>
  <c r="L2944" i="1"/>
  <c r="L2979" i="1"/>
  <c r="O2997" i="1"/>
  <c r="L3029" i="1"/>
  <c r="L3058" i="1"/>
  <c r="Q3058" i="1" s="1"/>
  <c r="O3061" i="1"/>
  <c r="L3065" i="1"/>
  <c r="L3134" i="1"/>
  <c r="Q3134" i="1" s="1"/>
  <c r="L1970" i="1"/>
  <c r="Q1970" i="1" s="1"/>
  <c r="L1982" i="1"/>
  <c r="Q1997" i="1"/>
  <c r="O2156" i="1"/>
  <c r="L2160" i="1"/>
  <c r="O2165" i="1"/>
  <c r="L2212" i="1"/>
  <c r="L2220" i="1"/>
  <c r="Q2221" i="1" s="1"/>
  <c r="L2236" i="1"/>
  <c r="L2248" i="1"/>
  <c r="L2379" i="1"/>
  <c r="L2394" i="1"/>
  <c r="L2429" i="1"/>
  <c r="O2613" i="1"/>
  <c r="L2846" i="1"/>
  <c r="Q2846" i="1" s="1"/>
  <c r="L2865" i="1"/>
  <c r="Q2866" i="1" s="1"/>
  <c r="L2925" i="1"/>
  <c r="L2960" i="1"/>
  <c r="L2967" i="1"/>
  <c r="L3005" i="1"/>
  <c r="Q3006" i="1" s="1"/>
  <c r="L3017" i="1"/>
  <c r="L3034" i="1"/>
  <c r="O3099" i="1"/>
  <c r="L3107" i="1"/>
  <c r="L3122" i="1"/>
  <c r="L3171" i="1"/>
  <c r="Q3171" i="1" s="1"/>
  <c r="O1973" i="1"/>
  <c r="O1985" i="1"/>
  <c r="L1994" i="1"/>
  <c r="L2026" i="1"/>
  <c r="O2066" i="1"/>
  <c r="O2117" i="1"/>
  <c r="L2178" i="1"/>
  <c r="L2200" i="1"/>
  <c r="L2368" i="1"/>
  <c r="O2383" i="1"/>
  <c r="L2406" i="1"/>
  <c r="L2418" i="1"/>
  <c r="O2565" i="1"/>
  <c r="O2577" i="1"/>
  <c r="O2774" i="1"/>
  <c r="L2853" i="1"/>
  <c r="O2861" i="1"/>
  <c r="L2877" i="1"/>
  <c r="Q2878" i="1" s="1"/>
  <c r="O2902" i="1"/>
  <c r="O2906" i="1"/>
  <c r="L2949" i="1"/>
  <c r="L2956" i="1"/>
  <c r="Q2956" i="1" s="1"/>
  <c r="L3010" i="1"/>
  <c r="O3034" i="1"/>
  <c r="O3073" i="1"/>
  <c r="L3077" i="1"/>
  <c r="O3131" i="1"/>
  <c r="O1976" i="1"/>
  <c r="L2165" i="1"/>
  <c r="L2188" i="1"/>
  <c r="O2217" i="1"/>
  <c r="O2229" i="1"/>
  <c r="O2241" i="1"/>
  <c r="O2253" i="1"/>
  <c r="L2257" i="1"/>
  <c r="Q2257" i="1" s="1"/>
  <c r="L2274" i="1"/>
  <c r="O2282" i="1"/>
  <c r="L2360" i="1"/>
  <c r="Q2361" i="1" s="1"/>
  <c r="O2372" i="1"/>
  <c r="L2589" i="1"/>
  <c r="O2619" i="1"/>
  <c r="L2687" i="1"/>
  <c r="O2727" i="1"/>
  <c r="L2765" i="1"/>
  <c r="O2853" i="1"/>
  <c r="O2914" i="1"/>
  <c r="O2919" i="1"/>
  <c r="O2973" i="1"/>
  <c r="L3022" i="1"/>
  <c r="L3059" i="1"/>
  <c r="L3151" i="1"/>
  <c r="Q3151" i="1" s="1"/>
  <c r="O3164" i="1"/>
  <c r="O1951" i="1"/>
  <c r="O1988" i="1"/>
  <c r="L2050" i="1"/>
  <c r="Q2050" i="1" s="1"/>
  <c r="O2072" i="1"/>
  <c r="Q2106" i="1"/>
  <c r="O2129" i="1"/>
  <c r="O2135" i="1"/>
  <c r="O2205" i="1"/>
  <c r="Q2324" i="1"/>
  <c r="O2361" i="1"/>
  <c r="L2380" i="1"/>
  <c r="L2430" i="1"/>
  <c r="O2543" i="1"/>
  <c r="L2565" i="1"/>
  <c r="L2577" i="1"/>
  <c r="Q2577" i="1" s="1"/>
  <c r="L2657" i="1"/>
  <c r="Q2657" i="1" s="1"/>
  <c r="L2668" i="1"/>
  <c r="L2804" i="1"/>
  <c r="Q2804" i="1" s="1"/>
  <c r="L2807" i="1"/>
  <c r="L2810" i="1"/>
  <c r="L2813" i="1"/>
  <c r="Q2813" i="1" s="1"/>
  <c r="L2816" i="1"/>
  <c r="L2819" i="1"/>
  <c r="L2822" i="1"/>
  <c r="Q2822" i="1" s="1"/>
  <c r="L2825" i="1"/>
  <c r="Q2825" i="1" s="1"/>
  <c r="L2828" i="1"/>
  <c r="L2881" i="1"/>
  <c r="O2890" i="1"/>
  <c r="L2906" i="1"/>
  <c r="Q2906" i="1" s="1"/>
  <c r="O2938" i="1"/>
  <c r="L2985" i="1"/>
  <c r="O2989" i="1"/>
  <c r="L3082" i="1"/>
  <c r="Q3082" i="1" s="1"/>
  <c r="O3085" i="1"/>
  <c r="L3089" i="1"/>
  <c r="O3135" i="1"/>
  <c r="O3152" i="1"/>
  <c r="L3160" i="1"/>
  <c r="O2602" i="1"/>
  <c r="O2851" i="1"/>
  <c r="O2866" i="1"/>
  <c r="L2886" i="1"/>
  <c r="O2907" i="1"/>
  <c r="O2926" i="1"/>
  <c r="L2973" i="1"/>
  <c r="Q2973" i="1" s="1"/>
  <c r="O2977" i="1"/>
  <c r="L3071" i="1"/>
  <c r="Q3071" i="1" s="1"/>
  <c r="O3172" i="1"/>
  <c r="O725" i="1"/>
  <c r="P725" i="1"/>
  <c r="O736" i="1"/>
  <c r="L736" i="1"/>
  <c r="O724" i="1"/>
  <c r="L724" i="1"/>
  <c r="O712" i="1"/>
  <c r="L712" i="1"/>
  <c r="O737" i="1"/>
  <c r="P737" i="1"/>
  <c r="O713" i="1"/>
  <c r="P713" i="1"/>
  <c r="L715" i="1"/>
  <c r="L727" i="1"/>
  <c r="L739" i="1"/>
  <c r="L751" i="1"/>
  <c r="L763" i="1"/>
  <c r="L900" i="1"/>
  <c r="O903" i="1"/>
  <c r="P904" i="1"/>
  <c r="L912" i="1"/>
  <c r="O915" i="1"/>
  <c r="P916" i="1"/>
  <c r="L924" i="1"/>
  <c r="O927" i="1"/>
  <c r="P928" i="1"/>
  <c r="L933" i="1"/>
  <c r="L939" i="1"/>
  <c r="L945" i="1"/>
  <c r="L951" i="1"/>
  <c r="L957" i="1"/>
  <c r="L963" i="1"/>
  <c r="L969" i="1"/>
  <c r="P970" i="1"/>
  <c r="L973" i="1"/>
  <c r="P974" i="1"/>
  <c r="L977" i="1"/>
  <c r="P978" i="1"/>
  <c r="L981" i="1"/>
  <c r="P982" i="1"/>
  <c r="L985" i="1"/>
  <c r="Q985" i="1" s="1"/>
  <c r="P986" i="1"/>
  <c r="L989" i="1"/>
  <c r="P990" i="1"/>
  <c r="L993" i="1"/>
  <c r="P994" i="1"/>
  <c r="L997" i="1"/>
  <c r="P998" i="1"/>
  <c r="L1001" i="1"/>
  <c r="P1002" i="1"/>
  <c r="L1005" i="1"/>
  <c r="P1006" i="1"/>
  <c r="L1009" i="1"/>
  <c r="P1010" i="1"/>
  <c r="L1013" i="1"/>
  <c r="P1014" i="1"/>
  <c r="L1017" i="1"/>
  <c r="P1018" i="1"/>
  <c r="O1028" i="1"/>
  <c r="O1031" i="1"/>
  <c r="O1034" i="1"/>
  <c r="O1037" i="1"/>
  <c r="O1040" i="1"/>
  <c r="L1052" i="1"/>
  <c r="O1052" i="1"/>
  <c r="L1072" i="1"/>
  <c r="O1072" i="1"/>
  <c r="L1084" i="1"/>
  <c r="O1084" i="1"/>
  <c r="L1024" i="1"/>
  <c r="Q1024" i="1" s="1"/>
  <c r="L1077" i="1"/>
  <c r="O1077" i="1"/>
  <c r="L1087" i="1"/>
  <c r="O1087" i="1"/>
  <c r="L2525" i="1"/>
  <c r="O2525" i="1"/>
  <c r="P343" i="1"/>
  <c r="P355" i="1"/>
  <c r="P553" i="1"/>
  <c r="P601" i="1"/>
  <c r="L713" i="1"/>
  <c r="L725" i="1"/>
  <c r="L737" i="1"/>
  <c r="L749" i="1"/>
  <c r="L761" i="1"/>
  <c r="L898" i="1"/>
  <c r="L910" i="1"/>
  <c r="L922" i="1"/>
  <c r="L932" i="1"/>
  <c r="Q932" i="1" s="1"/>
  <c r="O933" i="1"/>
  <c r="L938" i="1"/>
  <c r="Q938" i="1" s="1"/>
  <c r="O939" i="1"/>
  <c r="L944" i="1"/>
  <c r="O945" i="1"/>
  <c r="L950" i="1"/>
  <c r="O951" i="1"/>
  <c r="L956" i="1"/>
  <c r="Q956" i="1" s="1"/>
  <c r="O957" i="1"/>
  <c r="L962" i="1"/>
  <c r="O963" i="1"/>
  <c r="L968" i="1"/>
  <c r="Q968" i="1" s="1"/>
  <c r="O969" i="1"/>
  <c r="O973" i="1"/>
  <c r="O977" i="1"/>
  <c r="O981" i="1"/>
  <c r="O985" i="1"/>
  <c r="O989" i="1"/>
  <c r="O997" i="1"/>
  <c r="O1001" i="1"/>
  <c r="O1005" i="1"/>
  <c r="O1009" i="1"/>
  <c r="O1013" i="1"/>
  <c r="O1017" i="1"/>
  <c r="O1021" i="1"/>
  <c r="L1054" i="1"/>
  <c r="O1054" i="1"/>
  <c r="L1070" i="1"/>
  <c r="O1070" i="1"/>
  <c r="L1082" i="1"/>
  <c r="O1082" i="1"/>
  <c r="L2519" i="1"/>
  <c r="O2519" i="1"/>
  <c r="L392" i="1"/>
  <c r="L404" i="1"/>
  <c r="L698" i="1"/>
  <c r="L748" i="1"/>
  <c r="L760" i="1"/>
  <c r="L897" i="1"/>
  <c r="L909" i="1"/>
  <c r="Q909" i="1" s="1"/>
  <c r="L921" i="1"/>
  <c r="Q921" i="1" s="1"/>
  <c r="L972" i="1"/>
  <c r="Q972" i="1" s="1"/>
  <c r="L976" i="1"/>
  <c r="Q976" i="1" s="1"/>
  <c r="L980" i="1"/>
  <c r="Q980" i="1" s="1"/>
  <c r="L988" i="1"/>
  <c r="Q988" i="1" s="1"/>
  <c r="L992" i="1"/>
  <c r="Q992" i="1" s="1"/>
  <c r="L996" i="1"/>
  <c r="Q996" i="1" s="1"/>
  <c r="L1000" i="1"/>
  <c r="Q1000" i="1" s="1"/>
  <c r="L1004" i="1"/>
  <c r="Q1004" i="1" s="1"/>
  <c r="L1008" i="1"/>
  <c r="Q1008" i="1" s="1"/>
  <c r="L1012" i="1"/>
  <c r="L1016" i="1"/>
  <c r="L1020" i="1"/>
  <c r="Q1020" i="1" s="1"/>
  <c r="L1049" i="1"/>
  <c r="O1049" i="1"/>
  <c r="L1061" i="1"/>
  <c r="O1061" i="1"/>
  <c r="L1063" i="1"/>
  <c r="O1063" i="1"/>
  <c r="L1075" i="1"/>
  <c r="O1075" i="1"/>
  <c r="L1102" i="1"/>
  <c r="O1102" i="1"/>
  <c r="O1103" i="1"/>
  <c r="L1042" i="1"/>
  <c r="O1024" i="1"/>
  <c r="O1042" i="1"/>
  <c r="L1044" i="1"/>
  <c r="O1044" i="1"/>
  <c r="L1056" i="1"/>
  <c r="O1056" i="1"/>
  <c r="L1068" i="1"/>
  <c r="O1068" i="1"/>
  <c r="L1080" i="1"/>
  <c r="O1080" i="1"/>
  <c r="L1027" i="1"/>
  <c r="L1039" i="1"/>
  <c r="L1093" i="1"/>
  <c r="O1093" i="1"/>
  <c r="L291" i="1"/>
  <c r="L710" i="1"/>
  <c r="L722" i="1"/>
  <c r="L734" i="1"/>
  <c r="L746" i="1"/>
  <c r="L758" i="1"/>
  <c r="L895" i="1"/>
  <c r="L907" i="1"/>
  <c r="L919" i="1"/>
  <c r="O980" i="1"/>
  <c r="O984" i="1"/>
  <c r="O988" i="1"/>
  <c r="O992" i="1"/>
  <c r="O1012" i="1"/>
  <c r="L1026" i="1"/>
  <c r="L1029" i="1"/>
  <c r="L1032" i="1"/>
  <c r="L1035" i="1"/>
  <c r="L1038" i="1"/>
  <c r="L1041" i="1"/>
  <c r="L1051" i="1"/>
  <c r="O1051" i="1"/>
  <c r="L1073" i="1"/>
  <c r="O1073" i="1"/>
  <c r="L1085" i="1"/>
  <c r="O1085" i="1"/>
  <c r="L1088" i="1"/>
  <c r="O1088" i="1"/>
  <c r="L1091" i="1"/>
  <c r="O1091" i="1"/>
  <c r="L1094" i="1"/>
  <c r="O1094" i="1"/>
  <c r="L1097" i="1"/>
  <c r="O1230" i="1"/>
  <c r="L1230" i="1"/>
  <c r="P1383" i="1"/>
  <c r="P1384" i="1"/>
  <c r="P1395" i="1"/>
  <c r="P1396" i="1"/>
  <c r="P1407" i="1"/>
  <c r="P1408" i="1"/>
  <c r="L2513" i="1"/>
  <c r="O2513" i="1"/>
  <c r="P381" i="1"/>
  <c r="L709" i="1"/>
  <c r="L721" i="1"/>
  <c r="L733" i="1"/>
  <c r="L745" i="1"/>
  <c r="L757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906" i="1"/>
  <c r="L1046" i="1"/>
  <c r="O1046" i="1"/>
  <c r="L1058" i="1"/>
  <c r="O1058" i="1"/>
  <c r="L1066" i="1"/>
  <c r="O1066" i="1"/>
  <c r="L1078" i="1"/>
  <c r="O1078" i="1"/>
  <c r="L1030" i="1"/>
  <c r="L708" i="1"/>
  <c r="L720" i="1"/>
  <c r="L732" i="1"/>
  <c r="L744" i="1"/>
  <c r="L756" i="1"/>
  <c r="L768" i="1"/>
  <c r="L905" i="1"/>
  <c r="L917" i="1"/>
  <c r="L929" i="1"/>
  <c r="L1053" i="1"/>
  <c r="O1053" i="1"/>
  <c r="L1071" i="1"/>
  <c r="O1071" i="1"/>
  <c r="L1083" i="1"/>
  <c r="O1083" i="1"/>
  <c r="L1113" i="1"/>
  <c r="Q1113" i="1" s="1"/>
  <c r="O1113" i="1"/>
  <c r="L1059" i="1"/>
  <c r="Q1059" i="1" s="1"/>
  <c r="O1059" i="1"/>
  <c r="L1065" i="1"/>
  <c r="O1065" i="1"/>
  <c r="L1096" i="1"/>
  <c r="O1096" i="1"/>
  <c r="L2501" i="1"/>
  <c r="O2501" i="1"/>
  <c r="L707" i="1"/>
  <c r="L719" i="1"/>
  <c r="L731" i="1"/>
  <c r="L743" i="1"/>
  <c r="L755" i="1"/>
  <c r="L767" i="1"/>
  <c r="L904" i="1"/>
  <c r="L916" i="1"/>
  <c r="L928" i="1"/>
  <c r="O930" i="1"/>
  <c r="L935" i="1"/>
  <c r="O936" i="1"/>
  <c r="L941" i="1"/>
  <c r="O942" i="1"/>
  <c r="L947" i="1"/>
  <c r="O948" i="1"/>
  <c r="L953" i="1"/>
  <c r="O954" i="1"/>
  <c r="L959" i="1"/>
  <c r="O960" i="1"/>
  <c r="L965" i="1"/>
  <c r="O966" i="1"/>
  <c r="O971" i="1"/>
  <c r="O975" i="1"/>
  <c r="O979" i="1"/>
  <c r="O983" i="1"/>
  <c r="O987" i="1"/>
  <c r="O991" i="1"/>
  <c r="O995" i="1"/>
  <c r="O999" i="1"/>
  <c r="O1003" i="1"/>
  <c r="O1007" i="1"/>
  <c r="O1011" i="1"/>
  <c r="O1015" i="1"/>
  <c r="O1019" i="1"/>
  <c r="O1023" i="1"/>
  <c r="L1048" i="1"/>
  <c r="O1048" i="1"/>
  <c r="L1060" i="1"/>
  <c r="O1060" i="1"/>
  <c r="L1064" i="1"/>
  <c r="O1064" i="1"/>
  <c r="L1076" i="1"/>
  <c r="O1076" i="1"/>
  <c r="L1047" i="1"/>
  <c r="O1047" i="1"/>
  <c r="L706" i="1"/>
  <c r="L718" i="1"/>
  <c r="L730" i="1"/>
  <c r="L742" i="1"/>
  <c r="L754" i="1"/>
  <c r="L766" i="1"/>
  <c r="L903" i="1"/>
  <c r="Q903" i="1" s="1"/>
  <c r="L915" i="1"/>
  <c r="L927" i="1"/>
  <c r="Q927" i="1" s="1"/>
  <c r="P930" i="1"/>
  <c r="L970" i="1"/>
  <c r="Q971" i="1" s="1"/>
  <c r="L974" i="1"/>
  <c r="L978" i="1"/>
  <c r="L982" i="1"/>
  <c r="L986" i="1"/>
  <c r="L990" i="1"/>
  <c r="L994" i="1"/>
  <c r="L998" i="1"/>
  <c r="L1002" i="1"/>
  <c r="L1006" i="1"/>
  <c r="L1010" i="1"/>
  <c r="L1014" i="1"/>
  <c r="L1018" i="1"/>
  <c r="L1022" i="1"/>
  <c r="Q1022" i="1" s="1"/>
  <c r="L1025" i="1"/>
  <c r="L1028" i="1"/>
  <c r="L1031" i="1"/>
  <c r="L1034" i="1"/>
  <c r="L1037" i="1"/>
  <c r="L1040" i="1"/>
  <c r="Q1040" i="1" s="1"/>
  <c r="L1043" i="1"/>
  <c r="O1043" i="1"/>
  <c r="L1055" i="1"/>
  <c r="O1055" i="1"/>
  <c r="L1069" i="1"/>
  <c r="O1069" i="1"/>
  <c r="L1081" i="1"/>
  <c r="O1081" i="1"/>
  <c r="L1086" i="1"/>
  <c r="O1086" i="1"/>
  <c r="L1089" i="1"/>
  <c r="O1089" i="1"/>
  <c r="L1092" i="1"/>
  <c r="O1092" i="1"/>
  <c r="L1095" i="1"/>
  <c r="O1095" i="1"/>
  <c r="O1334" i="1"/>
  <c r="L1334" i="1"/>
  <c r="L1036" i="1"/>
  <c r="L1090" i="1"/>
  <c r="O1090" i="1"/>
  <c r="L934" i="1"/>
  <c r="O935" i="1"/>
  <c r="L940" i="1"/>
  <c r="O941" i="1"/>
  <c r="L946" i="1"/>
  <c r="O947" i="1"/>
  <c r="L952" i="1"/>
  <c r="Q952" i="1" s="1"/>
  <c r="O953" i="1"/>
  <c r="L958" i="1"/>
  <c r="O959" i="1"/>
  <c r="L964" i="1"/>
  <c r="O965" i="1"/>
  <c r="L1050" i="1"/>
  <c r="O1050" i="1"/>
  <c r="L1062" i="1"/>
  <c r="O1062" i="1"/>
  <c r="L1074" i="1"/>
  <c r="O1074" i="1"/>
  <c r="L1033" i="1"/>
  <c r="L2507" i="1"/>
  <c r="O2507" i="1"/>
  <c r="L1045" i="1"/>
  <c r="O1045" i="1"/>
  <c r="L1057" i="1"/>
  <c r="O1057" i="1"/>
  <c r="L1067" i="1"/>
  <c r="O1067" i="1"/>
  <c r="L1079" i="1"/>
  <c r="O1079" i="1"/>
  <c r="L1101" i="1"/>
  <c r="O1101" i="1"/>
  <c r="L1107" i="1"/>
  <c r="O1107" i="1"/>
  <c r="O1109" i="1"/>
  <c r="P1437" i="1"/>
  <c r="P1436" i="1"/>
  <c r="P1443" i="1"/>
  <c r="P1442" i="1"/>
  <c r="P1554" i="1"/>
  <c r="O1108" i="1"/>
  <c r="P1114" i="1"/>
  <c r="O1117" i="1"/>
  <c r="L1117" i="1"/>
  <c r="P1118" i="1"/>
  <c r="O1121" i="1"/>
  <c r="L1121" i="1"/>
  <c r="P1122" i="1"/>
  <c r="O1125" i="1"/>
  <c r="L1125" i="1"/>
  <c r="P1126" i="1"/>
  <c r="O1129" i="1"/>
  <c r="L1129" i="1"/>
  <c r="P1130" i="1"/>
  <c r="O1133" i="1"/>
  <c r="L1133" i="1"/>
  <c r="P1134" i="1"/>
  <c r="O1137" i="1"/>
  <c r="L1137" i="1"/>
  <c r="P1138" i="1"/>
  <c r="O1141" i="1"/>
  <c r="L1141" i="1"/>
  <c r="P1142" i="1"/>
  <c r="O1145" i="1"/>
  <c r="L1145" i="1"/>
  <c r="P1146" i="1"/>
  <c r="O1149" i="1"/>
  <c r="L1149" i="1"/>
  <c r="P1150" i="1"/>
  <c r="O1153" i="1"/>
  <c r="L1153" i="1"/>
  <c r="P1154" i="1"/>
  <c r="O1157" i="1"/>
  <c r="L1157" i="1"/>
  <c r="P1158" i="1"/>
  <c r="O1161" i="1"/>
  <c r="L1161" i="1"/>
  <c r="P1162" i="1"/>
  <c r="O1165" i="1"/>
  <c r="L1165" i="1"/>
  <c r="O1168" i="1"/>
  <c r="L1168" i="1"/>
  <c r="O1171" i="1"/>
  <c r="L1171" i="1"/>
  <c r="O1174" i="1"/>
  <c r="L1174" i="1"/>
  <c r="O1177" i="1"/>
  <c r="L1177" i="1"/>
  <c r="O1180" i="1"/>
  <c r="L1180" i="1"/>
  <c r="O1183" i="1"/>
  <c r="L1183" i="1"/>
  <c r="O1186" i="1"/>
  <c r="L1186" i="1"/>
  <c r="O1189" i="1"/>
  <c r="L1189" i="1"/>
  <c r="O1192" i="1"/>
  <c r="L1192" i="1"/>
  <c r="O1195" i="1"/>
  <c r="L1195" i="1"/>
  <c r="O1198" i="1"/>
  <c r="L1198" i="1"/>
  <c r="O1201" i="1"/>
  <c r="L1201" i="1"/>
  <c r="O1204" i="1"/>
  <c r="L1204" i="1"/>
  <c r="O1207" i="1"/>
  <c r="L1207" i="1"/>
  <c r="O1210" i="1"/>
  <c r="L1210" i="1"/>
  <c r="O1213" i="1"/>
  <c r="L1213" i="1"/>
  <c r="O1216" i="1"/>
  <c r="L1216" i="1"/>
  <c r="P1334" i="1"/>
  <c r="O1228" i="1"/>
  <c r="L1228" i="1"/>
  <c r="O1344" i="1"/>
  <c r="L1344" i="1"/>
  <c r="O1348" i="1"/>
  <c r="L1348" i="1"/>
  <c r="O1352" i="1"/>
  <c r="L1352" i="1"/>
  <c r="O1356" i="1"/>
  <c r="L1356" i="1"/>
  <c r="O1360" i="1"/>
  <c r="L1360" i="1"/>
  <c r="O1364" i="1"/>
  <c r="L1364" i="1"/>
  <c r="O1368" i="1"/>
  <c r="L1368" i="1"/>
  <c r="O1372" i="1"/>
  <c r="L1372" i="1"/>
  <c r="O1376" i="1"/>
  <c r="L1376" i="1"/>
  <c r="O1432" i="1"/>
  <c r="L1432" i="1"/>
  <c r="O1438" i="1"/>
  <c r="L1438" i="1"/>
  <c r="O1444" i="1"/>
  <c r="L1444" i="1"/>
  <c r="O1448" i="1"/>
  <c r="L1448" i="1"/>
  <c r="O1452" i="1"/>
  <c r="L1452" i="1"/>
  <c r="O1456" i="1"/>
  <c r="L1456" i="1"/>
  <c r="O1218" i="1"/>
  <c r="L1218" i="1"/>
  <c r="O1220" i="1"/>
  <c r="L1220" i="1"/>
  <c r="O1222" i="1"/>
  <c r="L1222" i="1"/>
  <c r="O1224" i="1"/>
  <c r="L1224" i="1"/>
  <c r="O1226" i="1"/>
  <c r="L1226" i="1"/>
  <c r="O1233" i="1"/>
  <c r="L1233" i="1"/>
  <c r="P1335" i="1"/>
  <c r="P1336" i="1"/>
  <c r="P1344" i="1"/>
  <c r="P1348" i="1"/>
  <c r="P1352" i="1"/>
  <c r="P1356" i="1"/>
  <c r="P1360" i="1"/>
  <c r="P1364" i="1"/>
  <c r="P1368" i="1"/>
  <c r="P1372" i="1"/>
  <c r="P1376" i="1"/>
  <c r="P1380" i="1"/>
  <c r="P1381" i="1"/>
  <c r="P1392" i="1"/>
  <c r="P1393" i="1"/>
  <c r="P1404" i="1"/>
  <c r="P1405" i="1"/>
  <c r="O1420" i="1"/>
  <c r="L1420" i="1"/>
  <c r="P1433" i="1"/>
  <c r="P1432" i="1"/>
  <c r="P1439" i="1"/>
  <c r="P1438" i="1"/>
  <c r="P1693" i="1"/>
  <c r="P1694" i="1"/>
  <c r="L1693" i="1"/>
  <c r="Q1693" i="1" s="1"/>
  <c r="L1099" i="1"/>
  <c r="L1105" i="1"/>
  <c r="Q1105" i="1" s="1"/>
  <c r="L1111" i="1"/>
  <c r="O1116" i="1"/>
  <c r="L1116" i="1"/>
  <c r="P1117" i="1"/>
  <c r="O1120" i="1"/>
  <c r="L1120" i="1"/>
  <c r="P1121" i="1"/>
  <c r="O1124" i="1"/>
  <c r="L1124" i="1"/>
  <c r="P1125" i="1"/>
  <c r="O1128" i="1"/>
  <c r="L1128" i="1"/>
  <c r="P1129" i="1"/>
  <c r="O1132" i="1"/>
  <c r="L1132" i="1"/>
  <c r="P1133" i="1"/>
  <c r="O1136" i="1"/>
  <c r="L1136" i="1"/>
  <c r="P1137" i="1"/>
  <c r="O1140" i="1"/>
  <c r="L1140" i="1"/>
  <c r="P1141" i="1"/>
  <c r="O1144" i="1"/>
  <c r="L1144" i="1"/>
  <c r="P1145" i="1"/>
  <c r="O1148" i="1"/>
  <c r="L1148" i="1"/>
  <c r="P1149" i="1"/>
  <c r="O1152" i="1"/>
  <c r="L1152" i="1"/>
  <c r="P1153" i="1"/>
  <c r="O1156" i="1"/>
  <c r="L1156" i="1"/>
  <c r="P1157" i="1"/>
  <c r="O1160" i="1"/>
  <c r="L1160" i="1"/>
  <c r="P1161" i="1"/>
  <c r="O1164" i="1"/>
  <c r="L1164" i="1"/>
  <c r="P1165" i="1"/>
  <c r="P1168" i="1"/>
  <c r="P1171" i="1"/>
  <c r="P1174" i="1"/>
  <c r="P1177" i="1"/>
  <c r="P1180" i="1"/>
  <c r="P1183" i="1"/>
  <c r="P1186" i="1"/>
  <c r="P1189" i="1"/>
  <c r="P1192" i="1"/>
  <c r="P1195" i="1"/>
  <c r="P1198" i="1"/>
  <c r="P1673" i="1"/>
  <c r="L1098" i="1"/>
  <c r="Q1098" i="1" s="1"/>
  <c r="O1100" i="1"/>
  <c r="O1106" i="1"/>
  <c r="O1112" i="1"/>
  <c r="O1167" i="1"/>
  <c r="L1167" i="1"/>
  <c r="O1170" i="1"/>
  <c r="L1170" i="1"/>
  <c r="O1173" i="1"/>
  <c r="L1173" i="1"/>
  <c r="O1176" i="1"/>
  <c r="L1176" i="1"/>
  <c r="O1179" i="1"/>
  <c r="L1179" i="1"/>
  <c r="O1182" i="1"/>
  <c r="L1182" i="1"/>
  <c r="O1185" i="1"/>
  <c r="L1185" i="1"/>
  <c r="O1188" i="1"/>
  <c r="L1188" i="1"/>
  <c r="O1191" i="1"/>
  <c r="L1191" i="1"/>
  <c r="O1194" i="1"/>
  <c r="L1194" i="1"/>
  <c r="O1197" i="1"/>
  <c r="L1197" i="1"/>
  <c r="O1200" i="1"/>
  <c r="L1200" i="1"/>
  <c r="O1203" i="1"/>
  <c r="L1203" i="1"/>
  <c r="O1206" i="1"/>
  <c r="L1206" i="1"/>
  <c r="O1209" i="1"/>
  <c r="L1209" i="1"/>
  <c r="O1212" i="1"/>
  <c r="L1212" i="1"/>
  <c r="O1215" i="1"/>
  <c r="L1215" i="1"/>
  <c r="O1231" i="1"/>
  <c r="L1231" i="1"/>
  <c r="P1389" i="1"/>
  <c r="P1390" i="1"/>
  <c r="P1401" i="1"/>
  <c r="P1402" i="1"/>
  <c r="P1413" i="1"/>
  <c r="P1414" i="1"/>
  <c r="O1425" i="1"/>
  <c r="L1425" i="1"/>
  <c r="O1434" i="1"/>
  <c r="L1434" i="1"/>
  <c r="O1440" i="1"/>
  <c r="L1440" i="1"/>
  <c r="O1099" i="1"/>
  <c r="O1105" i="1"/>
  <c r="O1111" i="1"/>
  <c r="O1115" i="1"/>
  <c r="L1115" i="1"/>
  <c r="P1116" i="1"/>
  <c r="O1119" i="1"/>
  <c r="L1119" i="1"/>
  <c r="P1120" i="1"/>
  <c r="O1123" i="1"/>
  <c r="L1123" i="1"/>
  <c r="P1124" i="1"/>
  <c r="O1127" i="1"/>
  <c r="L1127" i="1"/>
  <c r="P1128" i="1"/>
  <c r="O1131" i="1"/>
  <c r="L1131" i="1"/>
  <c r="P1132" i="1"/>
  <c r="O1135" i="1"/>
  <c r="L1135" i="1"/>
  <c r="P1136" i="1"/>
  <c r="O1139" i="1"/>
  <c r="L1139" i="1"/>
  <c r="P1140" i="1"/>
  <c r="O1143" i="1"/>
  <c r="L1143" i="1"/>
  <c r="P1144" i="1"/>
  <c r="O1147" i="1"/>
  <c r="L1147" i="1"/>
  <c r="P1148" i="1"/>
  <c r="O1151" i="1"/>
  <c r="L1151" i="1"/>
  <c r="P1152" i="1"/>
  <c r="O1155" i="1"/>
  <c r="L1155" i="1"/>
  <c r="P1156" i="1"/>
  <c r="O1159" i="1"/>
  <c r="L1159" i="1"/>
  <c r="P1160" i="1"/>
  <c r="O1163" i="1"/>
  <c r="L1163" i="1"/>
  <c r="P1164" i="1"/>
  <c r="O1229" i="1"/>
  <c r="L1229" i="1"/>
  <c r="P1425" i="1"/>
  <c r="P1426" i="1"/>
  <c r="P1435" i="1"/>
  <c r="P1434" i="1"/>
  <c r="P1441" i="1"/>
  <c r="P1440" i="1"/>
  <c r="P1099" i="1"/>
  <c r="P1105" i="1"/>
  <c r="P1111" i="1"/>
  <c r="P1167" i="1"/>
  <c r="P1170" i="1"/>
  <c r="P1173" i="1"/>
  <c r="P1176" i="1"/>
  <c r="P1179" i="1"/>
  <c r="P1182" i="1"/>
  <c r="P1185" i="1"/>
  <c r="P1188" i="1"/>
  <c r="P1191" i="1"/>
  <c r="P1194" i="1"/>
  <c r="P1197" i="1"/>
  <c r="O1446" i="1"/>
  <c r="L1446" i="1"/>
  <c r="O1450" i="1"/>
  <c r="L1450" i="1"/>
  <c r="O1454" i="1"/>
  <c r="L1454" i="1"/>
  <c r="O1612" i="1"/>
  <c r="L1612" i="1"/>
  <c r="O1098" i="1"/>
  <c r="O1104" i="1"/>
  <c r="O1110" i="1"/>
  <c r="O1166" i="1"/>
  <c r="L1166" i="1"/>
  <c r="O1169" i="1"/>
  <c r="L1169" i="1"/>
  <c r="O1172" i="1"/>
  <c r="L1172" i="1"/>
  <c r="O1175" i="1"/>
  <c r="L1175" i="1"/>
  <c r="O1178" i="1"/>
  <c r="L1178" i="1"/>
  <c r="O1181" i="1"/>
  <c r="L1181" i="1"/>
  <c r="O1184" i="1"/>
  <c r="L1184" i="1"/>
  <c r="O1187" i="1"/>
  <c r="L1187" i="1"/>
  <c r="O1190" i="1"/>
  <c r="L1190" i="1"/>
  <c r="O1193" i="1"/>
  <c r="L1193" i="1"/>
  <c r="O1196" i="1"/>
  <c r="L1196" i="1"/>
  <c r="O1199" i="1"/>
  <c r="L1199" i="1"/>
  <c r="O1202" i="1"/>
  <c r="L1202" i="1"/>
  <c r="O1205" i="1"/>
  <c r="L1205" i="1"/>
  <c r="O1208" i="1"/>
  <c r="L1208" i="1"/>
  <c r="O1211" i="1"/>
  <c r="L1211" i="1"/>
  <c r="O1214" i="1"/>
  <c r="L1214" i="1"/>
  <c r="O1217" i="1"/>
  <c r="L1217" i="1"/>
  <c r="O1219" i="1"/>
  <c r="L1219" i="1"/>
  <c r="O1221" i="1"/>
  <c r="L1221" i="1"/>
  <c r="O1223" i="1"/>
  <c r="L1223" i="1"/>
  <c r="O1225" i="1"/>
  <c r="L1225" i="1"/>
  <c r="O1227" i="1"/>
  <c r="L1227" i="1"/>
  <c r="O1333" i="1"/>
  <c r="L1333" i="1"/>
  <c r="P1386" i="1"/>
  <c r="P1387" i="1"/>
  <c r="P1398" i="1"/>
  <c r="P1399" i="1"/>
  <c r="P1410" i="1"/>
  <c r="P1411" i="1"/>
  <c r="O1520" i="1"/>
  <c r="L1520" i="1"/>
  <c r="O1114" i="1"/>
  <c r="L1114" i="1"/>
  <c r="O1118" i="1"/>
  <c r="L1118" i="1"/>
  <c r="O1122" i="1"/>
  <c r="L1122" i="1"/>
  <c r="O1126" i="1"/>
  <c r="L1126" i="1"/>
  <c r="O1130" i="1"/>
  <c r="L1130" i="1"/>
  <c r="O1134" i="1"/>
  <c r="L1134" i="1"/>
  <c r="O1138" i="1"/>
  <c r="L1138" i="1"/>
  <c r="O1142" i="1"/>
  <c r="L1142" i="1"/>
  <c r="O1146" i="1"/>
  <c r="L1146" i="1"/>
  <c r="O1150" i="1"/>
  <c r="L1150" i="1"/>
  <c r="O1154" i="1"/>
  <c r="L1154" i="1"/>
  <c r="O1158" i="1"/>
  <c r="L1158" i="1"/>
  <c r="O1162" i="1"/>
  <c r="L1162" i="1"/>
  <c r="O1232" i="1"/>
  <c r="L1232" i="1"/>
  <c r="P1419" i="1"/>
  <c r="P1418" i="1"/>
  <c r="P1431" i="1"/>
  <c r="P1430" i="1"/>
  <c r="O1436" i="1"/>
  <c r="L1436" i="1"/>
  <c r="O1442" i="1"/>
  <c r="L1442" i="1"/>
  <c r="O1335" i="1"/>
  <c r="L1337" i="1"/>
  <c r="O1380" i="1"/>
  <c r="L1380" i="1"/>
  <c r="O1383" i="1"/>
  <c r="L1383" i="1"/>
  <c r="O1386" i="1"/>
  <c r="L1386" i="1"/>
  <c r="O1389" i="1"/>
  <c r="L1389" i="1"/>
  <c r="O1392" i="1"/>
  <c r="L1392" i="1"/>
  <c r="O1395" i="1"/>
  <c r="L1395" i="1"/>
  <c r="O1398" i="1"/>
  <c r="L1398" i="1"/>
  <c r="O1401" i="1"/>
  <c r="L1401" i="1"/>
  <c r="O1404" i="1"/>
  <c r="L1404" i="1"/>
  <c r="O1407" i="1"/>
  <c r="L1407" i="1"/>
  <c r="O1410" i="1"/>
  <c r="L1410" i="1"/>
  <c r="O1413" i="1"/>
  <c r="L1413" i="1"/>
  <c r="O1418" i="1"/>
  <c r="L1418" i="1"/>
  <c r="O1430" i="1"/>
  <c r="L1430" i="1"/>
  <c r="O1621" i="1"/>
  <c r="L1621" i="1"/>
  <c r="P1740" i="1"/>
  <c r="L1740" i="1"/>
  <c r="Q1740" i="1" s="1"/>
  <c r="O1332" i="1"/>
  <c r="O1415" i="1"/>
  <c r="L1415" i="1"/>
  <c r="O1427" i="1"/>
  <c r="L1427" i="1"/>
  <c r="P1509" i="1"/>
  <c r="O1331" i="1"/>
  <c r="O1343" i="1"/>
  <c r="L1343" i="1"/>
  <c r="O1347" i="1"/>
  <c r="L1347" i="1"/>
  <c r="O1351" i="1"/>
  <c r="L1351" i="1"/>
  <c r="O1355" i="1"/>
  <c r="L1355" i="1"/>
  <c r="O1359" i="1"/>
  <c r="L1359" i="1"/>
  <c r="O1363" i="1"/>
  <c r="L1363" i="1"/>
  <c r="O1367" i="1"/>
  <c r="L1367" i="1"/>
  <c r="O1371" i="1"/>
  <c r="L1371" i="1"/>
  <c r="O1375" i="1"/>
  <c r="L1375" i="1"/>
  <c r="O1379" i="1"/>
  <c r="L1379" i="1"/>
  <c r="O1382" i="1"/>
  <c r="L1382" i="1"/>
  <c r="O1385" i="1"/>
  <c r="L1385" i="1"/>
  <c r="O1388" i="1"/>
  <c r="L1388" i="1"/>
  <c r="O1391" i="1"/>
  <c r="L1391" i="1"/>
  <c r="O1394" i="1"/>
  <c r="L1394" i="1"/>
  <c r="O1397" i="1"/>
  <c r="L1397" i="1"/>
  <c r="O1400" i="1"/>
  <c r="L1400" i="1"/>
  <c r="O1403" i="1"/>
  <c r="L1403" i="1"/>
  <c r="O1406" i="1"/>
  <c r="L1406" i="1"/>
  <c r="O1409" i="1"/>
  <c r="L1409" i="1"/>
  <c r="O1412" i="1"/>
  <c r="L1412" i="1"/>
  <c r="O1422" i="1"/>
  <c r="L1422" i="1"/>
  <c r="O1521" i="1"/>
  <c r="L1332" i="1"/>
  <c r="O1342" i="1"/>
  <c r="O1417" i="1"/>
  <c r="L1417" i="1"/>
  <c r="O1429" i="1"/>
  <c r="L1429" i="1"/>
  <c r="P1510" i="1"/>
  <c r="O1575" i="1"/>
  <c r="L1575" i="1"/>
  <c r="P1584" i="1"/>
  <c r="O1703" i="1"/>
  <c r="L1703" i="1"/>
  <c r="L1234" i="1"/>
  <c r="Q1234" i="1" s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O1341" i="1"/>
  <c r="O1424" i="1"/>
  <c r="L1424" i="1"/>
  <c r="O1532" i="1"/>
  <c r="L1532" i="1"/>
  <c r="Q1532" i="1" s="1"/>
  <c r="P1546" i="1"/>
  <c r="P1570" i="1"/>
  <c r="P1635" i="1"/>
  <c r="O1725" i="1"/>
  <c r="L1725" i="1"/>
  <c r="O1346" i="1"/>
  <c r="L1346" i="1"/>
  <c r="O1350" i="1"/>
  <c r="L1350" i="1"/>
  <c r="O1354" i="1"/>
  <c r="L1354" i="1"/>
  <c r="O1358" i="1"/>
  <c r="L1358" i="1"/>
  <c r="O1362" i="1"/>
  <c r="L1362" i="1"/>
  <c r="O1366" i="1"/>
  <c r="L1366" i="1"/>
  <c r="O1370" i="1"/>
  <c r="L1370" i="1"/>
  <c r="O1374" i="1"/>
  <c r="L1374" i="1"/>
  <c r="O1378" i="1"/>
  <c r="L1378" i="1"/>
  <c r="O1419" i="1"/>
  <c r="L1419" i="1"/>
  <c r="O1431" i="1"/>
  <c r="L1431" i="1"/>
  <c r="O1433" i="1"/>
  <c r="L1433" i="1"/>
  <c r="O1435" i="1"/>
  <c r="L1435" i="1"/>
  <c r="O1437" i="1"/>
  <c r="L1437" i="1"/>
  <c r="O1439" i="1"/>
  <c r="L1439" i="1"/>
  <c r="O1441" i="1"/>
  <c r="L1441" i="1"/>
  <c r="O1443" i="1"/>
  <c r="L1443" i="1"/>
  <c r="O1445" i="1"/>
  <c r="L1445" i="1"/>
  <c r="O1447" i="1"/>
  <c r="L1447" i="1"/>
  <c r="O1449" i="1"/>
  <c r="L1449" i="1"/>
  <c r="O1451" i="1"/>
  <c r="L1451" i="1"/>
  <c r="O1453" i="1"/>
  <c r="L1453" i="1"/>
  <c r="O1455" i="1"/>
  <c r="L1455" i="1"/>
  <c r="O1457" i="1"/>
  <c r="L1457" i="1"/>
  <c r="P1580" i="1"/>
  <c r="L1580" i="1"/>
  <c r="O1824" i="1"/>
  <c r="O1825" i="1"/>
  <c r="L1824" i="1"/>
  <c r="O1339" i="1"/>
  <c r="L1341" i="1"/>
  <c r="O1381" i="1"/>
  <c r="L1381" i="1"/>
  <c r="O1384" i="1"/>
  <c r="L1384" i="1"/>
  <c r="O1387" i="1"/>
  <c r="L1387" i="1"/>
  <c r="O1390" i="1"/>
  <c r="L1390" i="1"/>
  <c r="O1393" i="1"/>
  <c r="L1393" i="1"/>
  <c r="O1396" i="1"/>
  <c r="L1396" i="1"/>
  <c r="O1399" i="1"/>
  <c r="L1399" i="1"/>
  <c r="O1402" i="1"/>
  <c r="L1402" i="1"/>
  <c r="O1405" i="1"/>
  <c r="L1405" i="1"/>
  <c r="O1408" i="1"/>
  <c r="L1408" i="1"/>
  <c r="O1411" i="1"/>
  <c r="L1411" i="1"/>
  <c r="O1414" i="1"/>
  <c r="L1414" i="1"/>
  <c r="O1426" i="1"/>
  <c r="L1426" i="1"/>
  <c r="P1630" i="1"/>
  <c r="O1666" i="1"/>
  <c r="L1666" i="1"/>
  <c r="Q1666" i="1" s="1"/>
  <c r="P1681" i="1"/>
  <c r="O1338" i="1"/>
  <c r="L1340" i="1"/>
  <c r="O1421" i="1"/>
  <c r="L1421" i="1"/>
  <c r="P1605" i="1"/>
  <c r="O1337" i="1"/>
  <c r="P1342" i="1"/>
  <c r="O1345" i="1"/>
  <c r="L1345" i="1"/>
  <c r="O1349" i="1"/>
  <c r="L1349" i="1"/>
  <c r="O1353" i="1"/>
  <c r="L1353" i="1"/>
  <c r="O1357" i="1"/>
  <c r="L1357" i="1"/>
  <c r="O1361" i="1"/>
  <c r="L1361" i="1"/>
  <c r="O1365" i="1"/>
  <c r="L1365" i="1"/>
  <c r="O1369" i="1"/>
  <c r="L1369" i="1"/>
  <c r="O1373" i="1"/>
  <c r="L1373" i="1"/>
  <c r="O1377" i="1"/>
  <c r="L1377" i="1"/>
  <c r="Q1377" i="1" s="1"/>
  <c r="O1416" i="1"/>
  <c r="L1416" i="1"/>
  <c r="O1428" i="1"/>
  <c r="L1428" i="1"/>
  <c r="P1538" i="1"/>
  <c r="P1562" i="1"/>
  <c r="O1423" i="1"/>
  <c r="L1423" i="1"/>
  <c r="O1508" i="1"/>
  <c r="L1508" i="1"/>
  <c r="O1662" i="1"/>
  <c r="L1662" i="1"/>
  <c r="P1763" i="1"/>
  <c r="L1763" i="1"/>
  <c r="Q1511" i="1"/>
  <c r="O1514" i="1"/>
  <c r="O1526" i="1"/>
  <c r="P1620" i="1"/>
  <c r="P1625" i="1"/>
  <c r="O1630" i="1"/>
  <c r="L1630" i="1"/>
  <c r="O1635" i="1"/>
  <c r="L1635" i="1"/>
  <c r="O1681" i="1"/>
  <c r="L1681" i="1"/>
  <c r="L1509" i="1"/>
  <c r="Q1510" i="1" s="1"/>
  <c r="O1512" i="1"/>
  <c r="L1521" i="1"/>
  <c r="O1524" i="1"/>
  <c r="O1535" i="1"/>
  <c r="L1535" i="1"/>
  <c r="L1538" i="1"/>
  <c r="O1543" i="1"/>
  <c r="L1543" i="1"/>
  <c r="L1546" i="1"/>
  <c r="O1551" i="1"/>
  <c r="L1551" i="1"/>
  <c r="L1554" i="1"/>
  <c r="O1559" i="1"/>
  <c r="L1559" i="1"/>
  <c r="L1562" i="1"/>
  <c r="O1567" i="1"/>
  <c r="L1567" i="1"/>
  <c r="L1570" i="1"/>
  <c r="P1575" i="1"/>
  <c r="L1584" i="1"/>
  <c r="O1594" i="1"/>
  <c r="L1594" i="1"/>
  <c r="L1605" i="1"/>
  <c r="P1612" i="1"/>
  <c r="O1617" i="1"/>
  <c r="P1621" i="1"/>
  <c r="O1626" i="1"/>
  <c r="L1626" i="1"/>
  <c r="O1631" i="1"/>
  <c r="L1631" i="1"/>
  <c r="P1640" i="1"/>
  <c r="P1651" i="1"/>
  <c r="P1685" i="1"/>
  <c r="P1715" i="1"/>
  <c r="P1535" i="1"/>
  <c r="P1543" i="1"/>
  <c r="P1551" i="1"/>
  <c r="P1559" i="1"/>
  <c r="P1567" i="1"/>
  <c r="P1586" i="1"/>
  <c r="P1590" i="1"/>
  <c r="P1594" i="1"/>
  <c r="O1601" i="1"/>
  <c r="L1601" i="1"/>
  <c r="P1626" i="1"/>
  <c r="P1631" i="1"/>
  <c r="O1636" i="1"/>
  <c r="L1636" i="1"/>
  <c r="O1644" i="1"/>
  <c r="O1674" i="1"/>
  <c r="L1674" i="1"/>
  <c r="O1678" i="1"/>
  <c r="L1678" i="1"/>
  <c r="Q1678" i="1" s="1"/>
  <c r="O1690" i="1"/>
  <c r="L1690" i="1"/>
  <c r="Q1690" i="1" s="1"/>
  <c r="L1507" i="1"/>
  <c r="O1510" i="1"/>
  <c r="P1511" i="1"/>
  <c r="O1522" i="1"/>
  <c r="P1540" i="1"/>
  <c r="P1548" i="1"/>
  <c r="P1556" i="1"/>
  <c r="P1564" i="1"/>
  <c r="P1572" i="1"/>
  <c r="P1577" i="1"/>
  <c r="L1586" i="1"/>
  <c r="L1590" i="1"/>
  <c r="L1617" i="1"/>
  <c r="O1622" i="1"/>
  <c r="L1622" i="1"/>
  <c r="O1627" i="1"/>
  <c r="L1627" i="1"/>
  <c r="P1636" i="1"/>
  <c r="P1663" i="1"/>
  <c r="O1686" i="1"/>
  <c r="L1686" i="1"/>
  <c r="O1750" i="1"/>
  <c r="L1750" i="1"/>
  <c r="O1795" i="1"/>
  <c r="O1794" i="1"/>
  <c r="L1794" i="1"/>
  <c r="O1979" i="1"/>
  <c r="L1979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18" i="1"/>
  <c r="Q1518" i="1" s="1"/>
  <c r="L1530" i="1"/>
  <c r="O1537" i="1"/>
  <c r="L1537" i="1"/>
  <c r="L1540" i="1"/>
  <c r="O1545" i="1"/>
  <c r="L1545" i="1"/>
  <c r="L1548" i="1"/>
  <c r="O1553" i="1"/>
  <c r="L1553" i="1"/>
  <c r="L1556" i="1"/>
  <c r="O1561" i="1"/>
  <c r="L1561" i="1"/>
  <c r="L1564" i="1"/>
  <c r="O1569" i="1"/>
  <c r="L1569" i="1"/>
  <c r="L1572" i="1"/>
  <c r="L1577" i="1"/>
  <c r="P1592" i="1"/>
  <c r="O1599" i="1"/>
  <c r="L1610" i="1"/>
  <c r="Q1610" i="1" s="1"/>
  <c r="P1622" i="1"/>
  <c r="P1627" i="1"/>
  <c r="O1632" i="1"/>
  <c r="L1632" i="1"/>
  <c r="O1637" i="1"/>
  <c r="L1637" i="1"/>
  <c r="L1644" i="1"/>
  <c r="P1652" i="1"/>
  <c r="O1656" i="1"/>
  <c r="O1786" i="1"/>
  <c r="L1786" i="1"/>
  <c r="P1581" i="1"/>
  <c r="O1595" i="1"/>
  <c r="P1599" i="1"/>
  <c r="O1606" i="1"/>
  <c r="L1606" i="1"/>
  <c r="O1613" i="1"/>
  <c r="L1613" i="1"/>
  <c r="O1618" i="1"/>
  <c r="L1618" i="1"/>
  <c r="O1623" i="1"/>
  <c r="L1623" i="1"/>
  <c r="P1632" i="1"/>
  <c r="P1637" i="1"/>
  <c r="Q1641" i="1"/>
  <c r="O1645" i="1"/>
  <c r="L1645" i="1"/>
  <c r="P1675" i="1"/>
  <c r="O1807" i="1"/>
  <c r="L1807" i="1"/>
  <c r="Q1599" i="1"/>
  <c r="P1606" i="1"/>
  <c r="P1618" i="1"/>
  <c r="P1623" i="1"/>
  <c r="O1628" i="1"/>
  <c r="L1628" i="1"/>
  <c r="Q1628" i="1" s="1"/>
  <c r="O1633" i="1"/>
  <c r="L1633" i="1"/>
  <c r="P1645" i="1"/>
  <c r="P1664" i="1"/>
  <c r="O1668" i="1"/>
  <c r="P1696" i="1"/>
  <c r="P1695" i="1"/>
  <c r="O1799" i="1"/>
  <c r="O1800" i="1"/>
  <c r="L1799" i="1"/>
  <c r="Q1800" i="1" s="1"/>
  <c r="P1821" i="1"/>
  <c r="O1835" i="1"/>
  <c r="L1835" i="1"/>
  <c r="O1836" i="1"/>
  <c r="L1515" i="1"/>
  <c r="Q1515" i="1" s="1"/>
  <c r="L1527" i="1"/>
  <c r="Q1527" i="1" s="1"/>
  <c r="L1534" i="1"/>
  <c r="O1539" i="1"/>
  <c r="L1539" i="1"/>
  <c r="L1542" i="1"/>
  <c r="O1547" i="1"/>
  <c r="L1547" i="1"/>
  <c r="L1550" i="1"/>
  <c r="O1555" i="1"/>
  <c r="L1555" i="1"/>
  <c r="L1558" i="1"/>
  <c r="O1563" i="1"/>
  <c r="L1563" i="1"/>
  <c r="L1566" i="1"/>
  <c r="O1571" i="1"/>
  <c r="L1571" i="1"/>
  <c r="L1574" i="1"/>
  <c r="O1576" i="1"/>
  <c r="L1576" i="1"/>
  <c r="P1583" i="1"/>
  <c r="P1587" i="1"/>
  <c r="L1595" i="1"/>
  <c r="L1597" i="1"/>
  <c r="Q1598" i="1" s="1"/>
  <c r="O1602" i="1"/>
  <c r="L1602" i="1"/>
  <c r="O1619" i="1"/>
  <c r="L1619" i="1"/>
  <c r="P1628" i="1"/>
  <c r="P1633" i="1"/>
  <c r="O1638" i="1"/>
  <c r="L1638" i="1"/>
  <c r="O1642" i="1"/>
  <c r="L1642" i="1"/>
  <c r="Q1642" i="1" s="1"/>
  <c r="O1657" i="1"/>
  <c r="L1657" i="1"/>
  <c r="Q1657" i="1" s="1"/>
  <c r="L1664" i="1"/>
  <c r="Q1665" i="1" s="1"/>
  <c r="P1717" i="1"/>
  <c r="P1718" i="1"/>
  <c r="L1717" i="1"/>
  <c r="O1728" i="1"/>
  <c r="O1729" i="1"/>
  <c r="L1728" i="1"/>
  <c r="O1767" i="1"/>
  <c r="O1766" i="1"/>
  <c r="L1766" i="1"/>
  <c r="L1777" i="1"/>
  <c r="P1777" i="1"/>
  <c r="P1778" i="1"/>
  <c r="P1845" i="1"/>
  <c r="P1859" i="1"/>
  <c r="L1859" i="1"/>
  <c r="P1539" i="1"/>
  <c r="P1547" i="1"/>
  <c r="P1555" i="1"/>
  <c r="P1563" i="1"/>
  <c r="P1571" i="1"/>
  <c r="L1587" i="1"/>
  <c r="P1604" i="1"/>
  <c r="O1611" i="1"/>
  <c r="P1619" i="1"/>
  <c r="O1624" i="1"/>
  <c r="L1624" i="1"/>
  <c r="O1629" i="1"/>
  <c r="L1629" i="1"/>
  <c r="P1638" i="1"/>
  <c r="P1646" i="1"/>
  <c r="P1649" i="1"/>
  <c r="P1657" i="1"/>
  <c r="L1668" i="1"/>
  <c r="P1676" i="1"/>
  <c r="P1849" i="1"/>
  <c r="L1849" i="1"/>
  <c r="P1873" i="1"/>
  <c r="L1873" i="1"/>
  <c r="O1516" i="1"/>
  <c r="Q1525" i="1"/>
  <c r="O1528" i="1"/>
  <c r="P1536" i="1"/>
  <c r="P1544" i="1"/>
  <c r="P1552" i="1"/>
  <c r="P1560" i="1"/>
  <c r="P1568" i="1"/>
  <c r="P1589" i="1"/>
  <c r="L1593" i="1"/>
  <c r="Q1593" i="1" s="1"/>
  <c r="P1600" i="1"/>
  <c r="L1604" i="1"/>
  <c r="Q1604" i="1" s="1"/>
  <c r="O1607" i="1"/>
  <c r="P1611" i="1"/>
  <c r="P1624" i="1"/>
  <c r="P1629" i="1"/>
  <c r="O1634" i="1"/>
  <c r="L1634" i="1"/>
  <c r="O1639" i="1"/>
  <c r="L1639" i="1"/>
  <c r="L1646" i="1"/>
  <c r="Q1647" i="1" s="1"/>
  <c r="O1669" i="1"/>
  <c r="L1669" i="1"/>
  <c r="L1676" i="1"/>
  <c r="Q1677" i="1" s="1"/>
  <c r="P1688" i="1"/>
  <c r="O1702" i="1"/>
  <c r="L1702" i="1"/>
  <c r="O1718" i="1"/>
  <c r="L1718" i="1"/>
  <c r="Q1719" i="1" s="1"/>
  <c r="O1719" i="1"/>
  <c r="O1533" i="1"/>
  <c r="L1533" i="1"/>
  <c r="L1536" i="1"/>
  <c r="O1541" i="1"/>
  <c r="L1541" i="1"/>
  <c r="L1544" i="1"/>
  <c r="O1549" i="1"/>
  <c r="L1549" i="1"/>
  <c r="L1552" i="1"/>
  <c r="O1557" i="1"/>
  <c r="L1557" i="1"/>
  <c r="L1560" i="1"/>
  <c r="O1565" i="1"/>
  <c r="L1565" i="1"/>
  <c r="L1568" i="1"/>
  <c r="O1573" i="1"/>
  <c r="L1573" i="1"/>
  <c r="P1578" i="1"/>
  <c r="L1589" i="1"/>
  <c r="L1600" i="1"/>
  <c r="Q1600" i="1" s="1"/>
  <c r="P1607" i="1"/>
  <c r="L1611" i="1"/>
  <c r="O1620" i="1"/>
  <c r="L1620" i="1"/>
  <c r="O1625" i="1"/>
  <c r="L1625" i="1"/>
  <c r="P1634" i="1"/>
  <c r="P1639" i="1"/>
  <c r="O1650" i="1"/>
  <c r="L1650" i="1"/>
  <c r="O1654" i="1"/>
  <c r="L1654" i="1"/>
  <c r="Q1654" i="1" s="1"/>
  <c r="P1661" i="1"/>
  <c r="P1669" i="1"/>
  <c r="L1688" i="1"/>
  <c r="Q1689" i="1" s="1"/>
  <c r="O1640" i="1"/>
  <c r="P1647" i="1"/>
  <c r="O1652" i="1"/>
  <c r="P1659" i="1"/>
  <c r="O1664" i="1"/>
  <c r="P1671" i="1"/>
  <c r="O1676" i="1"/>
  <c r="P1683" i="1"/>
  <c r="O1688" i="1"/>
  <c r="L1695" i="1"/>
  <c r="P1705" i="1"/>
  <c r="P1706" i="1"/>
  <c r="O1715" i="1"/>
  <c r="O1740" i="1"/>
  <c r="O1741" i="1"/>
  <c r="L1742" i="1"/>
  <c r="Q1742" i="1" s="1"/>
  <c r="O1763" i="1"/>
  <c r="P1774" i="1"/>
  <c r="O1804" i="1"/>
  <c r="L1812" i="1"/>
  <c r="O1815" i="1"/>
  <c r="L1815" i="1"/>
  <c r="L1821" i="1"/>
  <c r="P1869" i="1"/>
  <c r="L1869" i="1"/>
  <c r="O1579" i="1"/>
  <c r="O1582" i="1"/>
  <c r="O1585" i="1"/>
  <c r="O1588" i="1"/>
  <c r="O1591" i="1"/>
  <c r="O1596" i="1"/>
  <c r="P1601" i="1"/>
  <c r="O1608" i="1"/>
  <c r="P1613" i="1"/>
  <c r="O1643" i="1"/>
  <c r="P1650" i="1"/>
  <c r="O1655" i="1"/>
  <c r="P1662" i="1"/>
  <c r="O1667" i="1"/>
  <c r="P1674" i="1"/>
  <c r="O1679" i="1"/>
  <c r="P1686" i="1"/>
  <c r="O1691" i="1"/>
  <c r="P1703" i="1"/>
  <c r="O1713" i="1"/>
  <c r="L1713" i="1"/>
  <c r="P1728" i="1"/>
  <c r="O1742" i="1"/>
  <c r="P1750" i="1"/>
  <c r="P1786" i="1"/>
  <c r="P1813" i="1"/>
  <c r="O1816" i="1"/>
  <c r="O1821" i="1"/>
  <c r="O1827" i="1"/>
  <c r="L1827" i="1"/>
  <c r="Q1828" i="1" s="1"/>
  <c r="Q1833" i="1"/>
  <c r="P1863" i="1"/>
  <c r="L1863" i="1"/>
  <c r="P1582" i="1"/>
  <c r="P1585" i="1"/>
  <c r="P1588" i="1"/>
  <c r="P1591" i="1"/>
  <c r="P1596" i="1"/>
  <c r="O1603" i="1"/>
  <c r="P1608" i="1"/>
  <c r="O1615" i="1"/>
  <c r="P1643" i="1"/>
  <c r="P1655" i="1"/>
  <c r="P1667" i="1"/>
  <c r="P1679" i="1"/>
  <c r="P1691" i="1"/>
  <c r="O1695" i="1"/>
  <c r="O1716" i="1"/>
  <c r="O1717" i="1"/>
  <c r="O1738" i="1"/>
  <c r="L1738" i="1"/>
  <c r="Q1739" i="1" s="1"/>
  <c r="P1753" i="1"/>
  <c r="P1754" i="1"/>
  <c r="O1761" i="1"/>
  <c r="L1761" i="1"/>
  <c r="O1764" i="1"/>
  <c r="O1765" i="1"/>
  <c r="P1775" i="1"/>
  <c r="Q1805" i="1"/>
  <c r="P1833" i="1"/>
  <c r="P1853" i="1"/>
  <c r="L1853" i="1"/>
  <c r="P1877" i="1"/>
  <c r="L1877" i="1"/>
  <c r="Q1877" i="1" s="1"/>
  <c r="P1532" i="1"/>
  <c r="L1579" i="1"/>
  <c r="L1582" i="1"/>
  <c r="L1585" i="1"/>
  <c r="L1588" i="1"/>
  <c r="L1591" i="1"/>
  <c r="Q1592" i="1" s="1"/>
  <c r="L1596" i="1"/>
  <c r="O1598" i="1"/>
  <c r="P1603" i="1"/>
  <c r="L1608" i="1"/>
  <c r="O1610" i="1"/>
  <c r="P1615" i="1"/>
  <c r="O1641" i="1"/>
  <c r="L1643" i="1"/>
  <c r="P1648" i="1"/>
  <c r="O1653" i="1"/>
  <c r="L1655" i="1"/>
  <c r="P1660" i="1"/>
  <c r="O1665" i="1"/>
  <c r="L1667" i="1"/>
  <c r="P1672" i="1"/>
  <c r="O1677" i="1"/>
  <c r="L1679" i="1"/>
  <c r="P1684" i="1"/>
  <c r="O1689" i="1"/>
  <c r="L1691" i="1"/>
  <c r="O1701" i="1"/>
  <c r="L1701" i="1"/>
  <c r="P1716" i="1"/>
  <c r="P1732" i="1"/>
  <c r="P1738" i="1"/>
  <c r="L1753" i="1"/>
  <c r="P1764" i="1"/>
  <c r="L1775" i="1"/>
  <c r="O1787" i="1"/>
  <c r="O1801" i="1"/>
  <c r="P1805" i="1"/>
  <c r="O1808" i="1"/>
  <c r="O1813" i="1"/>
  <c r="L1816" i="1"/>
  <c r="O1819" i="1"/>
  <c r="L1819" i="1"/>
  <c r="L1825" i="1"/>
  <c r="L1836" i="1"/>
  <c r="Q1836" i="1" s="1"/>
  <c r="Q1846" i="1"/>
  <c r="P1867" i="1"/>
  <c r="L1867" i="1"/>
  <c r="O1991" i="1"/>
  <c r="L1991" i="1"/>
  <c r="Q1991" i="1" s="1"/>
  <c r="P1641" i="1"/>
  <c r="O1646" i="1"/>
  <c r="P1653" i="1"/>
  <c r="O1658" i="1"/>
  <c r="P1665" i="1"/>
  <c r="O1670" i="1"/>
  <c r="P1677" i="1"/>
  <c r="O1682" i="1"/>
  <c r="P1689" i="1"/>
  <c r="O1704" i="1"/>
  <c r="O1705" i="1"/>
  <c r="O1726" i="1"/>
  <c r="L1726" i="1"/>
  <c r="L1731" i="1"/>
  <c r="P1741" i="1"/>
  <c r="P1742" i="1"/>
  <c r="O1751" i="1"/>
  <c r="O1755" i="1"/>
  <c r="L1767" i="1"/>
  <c r="O1792" i="1"/>
  <c r="L1792" i="1"/>
  <c r="P1825" i="1"/>
  <c r="P1857" i="1"/>
  <c r="L1857" i="1"/>
  <c r="O1651" i="1"/>
  <c r="Q1653" i="1"/>
  <c r="P1658" i="1"/>
  <c r="O1663" i="1"/>
  <c r="P1670" i="1"/>
  <c r="O1675" i="1"/>
  <c r="P1682" i="1"/>
  <c r="O1687" i="1"/>
  <c r="P1704" i="1"/>
  <c r="P1726" i="1"/>
  <c r="P1751" i="1"/>
  <c r="O1773" i="1"/>
  <c r="L1773" i="1"/>
  <c r="O1776" i="1"/>
  <c r="O1777" i="1"/>
  <c r="P1792" i="1"/>
  <c r="O1811" i="1"/>
  <c r="L1811" i="1"/>
  <c r="L1817" i="1"/>
  <c r="P1847" i="1"/>
  <c r="L1847" i="1"/>
  <c r="Q1847" i="1" s="1"/>
  <c r="P1871" i="1"/>
  <c r="L1871" i="1"/>
  <c r="O2010" i="1"/>
  <c r="L2010" i="1"/>
  <c r="Q2011" i="1" s="1"/>
  <c r="P1687" i="1"/>
  <c r="O1692" i="1"/>
  <c r="O1693" i="1"/>
  <c r="O1714" i="1"/>
  <c r="L1714" i="1"/>
  <c r="Q1720" i="1"/>
  <c r="P1729" i="1"/>
  <c r="P1730" i="1"/>
  <c r="O1739" i="1"/>
  <c r="O1762" i="1"/>
  <c r="L1762" i="1"/>
  <c r="P1817" i="1"/>
  <c r="O1831" i="1"/>
  <c r="L1831" i="1"/>
  <c r="O1840" i="1"/>
  <c r="L1840" i="1"/>
  <c r="P1861" i="1"/>
  <c r="L1861" i="1"/>
  <c r="O1614" i="1"/>
  <c r="P1644" i="1"/>
  <c r="L1651" i="1"/>
  <c r="Q1651" i="1" s="1"/>
  <c r="P1656" i="1"/>
  <c r="L1663" i="1"/>
  <c r="P1668" i="1"/>
  <c r="L1675" i="1"/>
  <c r="P1680" i="1"/>
  <c r="L1687" i="1"/>
  <c r="P1692" i="1"/>
  <c r="P1714" i="1"/>
  <c r="L1729" i="1"/>
  <c r="P1739" i="1"/>
  <c r="O1749" i="1"/>
  <c r="L1749" i="1"/>
  <c r="P1762" i="1"/>
  <c r="L1776" i="1"/>
  <c r="L1779" i="1"/>
  <c r="O1789" i="1"/>
  <c r="O1793" i="1"/>
  <c r="O1803" i="1"/>
  <c r="L1803" i="1"/>
  <c r="Q1804" i="1" s="1"/>
  <c r="L1809" i="1"/>
  <c r="P1840" i="1"/>
  <c r="P1851" i="1"/>
  <c r="L1851" i="1"/>
  <c r="P1875" i="1"/>
  <c r="L1875" i="1"/>
  <c r="Q1876" i="1" s="1"/>
  <c r="P2048" i="1"/>
  <c r="O1727" i="1"/>
  <c r="O1752" i="1"/>
  <c r="O1753" i="1"/>
  <c r="L1765" i="1"/>
  <c r="P1765" i="1"/>
  <c r="P1766" i="1"/>
  <c r="O1785" i="1"/>
  <c r="L1785" i="1"/>
  <c r="O1798" i="1"/>
  <c r="L1798" i="1"/>
  <c r="P1809" i="1"/>
  <c r="O1823" i="1"/>
  <c r="L1823" i="1"/>
  <c r="P1865" i="1"/>
  <c r="L1865" i="1"/>
  <c r="O1574" i="1"/>
  <c r="O1577" i="1"/>
  <c r="O1580" i="1"/>
  <c r="O1583" i="1"/>
  <c r="O1586" i="1"/>
  <c r="O1589" i="1"/>
  <c r="O1592" i="1"/>
  <c r="P1597" i="1"/>
  <c r="O1604" i="1"/>
  <c r="P1609" i="1"/>
  <c r="L1614" i="1"/>
  <c r="O1616" i="1"/>
  <c r="P1642" i="1"/>
  <c r="O1647" i="1"/>
  <c r="L1649" i="1"/>
  <c r="P1654" i="1"/>
  <c r="O1659" i="1"/>
  <c r="L1661" i="1"/>
  <c r="P1666" i="1"/>
  <c r="O1671" i="1"/>
  <c r="L1673" i="1"/>
  <c r="P1678" i="1"/>
  <c r="O1683" i="1"/>
  <c r="L1685" i="1"/>
  <c r="P1690" i="1"/>
  <c r="P1702" i="1"/>
  <c r="P1727" i="1"/>
  <c r="O1737" i="1"/>
  <c r="L1737" i="1"/>
  <c r="P1752" i="1"/>
  <c r="O1774" i="1"/>
  <c r="L1774" i="1"/>
  <c r="L1788" i="1"/>
  <c r="L1793" i="1"/>
  <c r="P1798" i="1"/>
  <c r="P1829" i="1"/>
  <c r="O1832" i="1"/>
  <c r="O1837" i="1"/>
  <c r="P1841" i="1"/>
  <c r="P1855" i="1"/>
  <c r="L1855" i="1"/>
  <c r="P1879" i="1"/>
  <c r="L1879" i="1"/>
  <c r="Q1879" i="1" s="1"/>
  <c r="P1788" i="1"/>
  <c r="P1794" i="1"/>
  <c r="P1800" i="1"/>
  <c r="O1843" i="1"/>
  <c r="O2033" i="1"/>
  <c r="L2033" i="1"/>
  <c r="O1838" i="1"/>
  <c r="P1842" i="1"/>
  <c r="O1955" i="1"/>
  <c r="L1955" i="1"/>
  <c r="O1992" i="1"/>
  <c r="L1992" i="1"/>
  <c r="O2068" i="1"/>
  <c r="L2068" i="1"/>
  <c r="P2072" i="1"/>
  <c r="L1700" i="1"/>
  <c r="Q1700" i="1" s="1"/>
  <c r="L1712" i="1"/>
  <c r="L1724" i="1"/>
  <c r="L1736" i="1"/>
  <c r="L1748" i="1"/>
  <c r="L1760" i="1"/>
  <c r="Q1760" i="1" s="1"/>
  <c r="L1772" i="1"/>
  <c r="Q1772" i="1" s="1"/>
  <c r="L1784" i="1"/>
  <c r="L1791" i="1"/>
  <c r="L1797" i="1"/>
  <c r="L1842" i="1"/>
  <c r="Q1842" i="1" s="1"/>
  <c r="O1845" i="1"/>
  <c r="O1967" i="1"/>
  <c r="L1967" i="1"/>
  <c r="O1980" i="1"/>
  <c r="L1980" i="1"/>
  <c r="P2261" i="1"/>
  <c r="P1806" i="1"/>
  <c r="P1810" i="1"/>
  <c r="P1814" i="1"/>
  <c r="P1818" i="1"/>
  <c r="P1822" i="1"/>
  <c r="P1826" i="1"/>
  <c r="P1830" i="1"/>
  <c r="P1834" i="1"/>
  <c r="P1844" i="1"/>
  <c r="O1956" i="1"/>
  <c r="L1956" i="1"/>
  <c r="Q1956" i="1" s="1"/>
  <c r="O2014" i="1"/>
  <c r="L2014" i="1"/>
  <c r="Q2015" i="1" s="1"/>
  <c r="O2023" i="1"/>
  <c r="L2023" i="1"/>
  <c r="P2122" i="1"/>
  <c r="O2175" i="1"/>
  <c r="L2175" i="1"/>
  <c r="O2225" i="1"/>
  <c r="L2225" i="1"/>
  <c r="O2237" i="1"/>
  <c r="L2237" i="1"/>
  <c r="Q2238" i="1" s="1"/>
  <c r="O2249" i="1"/>
  <c r="L2249" i="1"/>
  <c r="Q2249" i="1" s="1"/>
  <c r="L1746" i="1"/>
  <c r="L1758" i="1"/>
  <c r="L1770" i="1"/>
  <c r="L1782" i="1"/>
  <c r="L1790" i="1"/>
  <c r="Q1790" i="1" s="1"/>
  <c r="L1796" i="1"/>
  <c r="Q1796" i="1" s="1"/>
  <c r="L1802" i="1"/>
  <c r="L1806" i="1"/>
  <c r="Q1806" i="1" s="1"/>
  <c r="L1810" i="1"/>
  <c r="L1814" i="1"/>
  <c r="L1818" i="1"/>
  <c r="L1822" i="1"/>
  <c r="L1826" i="1"/>
  <c r="L1830" i="1"/>
  <c r="Q1830" i="1" s="1"/>
  <c r="L1834" i="1"/>
  <c r="Q1834" i="1" s="1"/>
  <c r="P1839" i="1"/>
  <c r="P1956" i="1"/>
  <c r="O1968" i="1"/>
  <c r="L1968" i="1"/>
  <c r="Q1969" i="1" s="1"/>
  <c r="O1993" i="1"/>
  <c r="P2040" i="1"/>
  <c r="P2039" i="1"/>
  <c r="O2046" i="1"/>
  <c r="L2046" i="1"/>
  <c r="L2122" i="1"/>
  <c r="P2149" i="1"/>
  <c r="L2149" i="1"/>
  <c r="L1697" i="1"/>
  <c r="L1709" i="1"/>
  <c r="L1721" i="1"/>
  <c r="L1733" i="1"/>
  <c r="Q1733" i="1" s="1"/>
  <c r="P1846" i="1"/>
  <c r="P1848" i="1"/>
  <c r="P1850" i="1"/>
  <c r="P1852" i="1"/>
  <c r="P1854" i="1"/>
  <c r="P1856" i="1"/>
  <c r="P1858" i="1"/>
  <c r="P1860" i="1"/>
  <c r="P1862" i="1"/>
  <c r="P1864" i="1"/>
  <c r="P1866" i="1"/>
  <c r="P1868" i="1"/>
  <c r="P1870" i="1"/>
  <c r="P1872" i="1"/>
  <c r="P1874" i="1"/>
  <c r="P1876" i="1"/>
  <c r="P1878" i="1"/>
  <c r="P1880" i="1"/>
  <c r="O1957" i="1"/>
  <c r="O2006" i="1"/>
  <c r="L2006" i="1"/>
  <c r="P2035" i="1"/>
  <c r="P1957" i="1"/>
  <c r="L2035" i="1"/>
  <c r="P1836" i="1"/>
  <c r="L1957" i="1"/>
  <c r="O1969" i="1"/>
  <c r="O2001" i="1"/>
  <c r="L2001" i="1"/>
  <c r="P2028" i="1"/>
  <c r="P2029" i="1"/>
  <c r="P2164" i="1"/>
  <c r="L2164" i="1"/>
  <c r="L1843" i="1"/>
  <c r="Q1843" i="1" s="1"/>
  <c r="L2028" i="1"/>
  <c r="P2140" i="1"/>
  <c r="L2140" i="1"/>
  <c r="O2018" i="1"/>
  <c r="L2018" i="1"/>
  <c r="O2021" i="1"/>
  <c r="L2021" i="1"/>
  <c r="P2032" i="1"/>
  <c r="O2035" i="1"/>
  <c r="O2058" i="1"/>
  <c r="L2058" i="1"/>
  <c r="P2157" i="1"/>
  <c r="L2157" i="1"/>
  <c r="O2190" i="1"/>
  <c r="L2190" i="1"/>
  <c r="P1948" i="1"/>
  <c r="O1959" i="1"/>
  <c r="P1960" i="1"/>
  <c r="O1971" i="1"/>
  <c r="O1983" i="1"/>
  <c r="O1995" i="1"/>
  <c r="O2000" i="1"/>
  <c r="O2059" i="1"/>
  <c r="P2068" i="1"/>
  <c r="P2119" i="1"/>
  <c r="P2137" i="1"/>
  <c r="P2493" i="1"/>
  <c r="P2492" i="1"/>
  <c r="O2017" i="1"/>
  <c r="L2017" i="1"/>
  <c r="O2020" i="1"/>
  <c r="L2020" i="1"/>
  <c r="P2025" i="1"/>
  <c r="O2030" i="1"/>
  <c r="L2030" i="1"/>
  <c r="Q2030" i="1" s="1"/>
  <c r="O2073" i="1"/>
  <c r="L2073" i="1"/>
  <c r="O2079" i="1"/>
  <c r="O2087" i="1"/>
  <c r="O2095" i="1"/>
  <c r="O2103" i="1"/>
  <c r="L2466" i="1"/>
  <c r="O2467" i="1"/>
  <c r="O2466" i="1"/>
  <c r="L1954" i="1"/>
  <c r="L1966" i="1"/>
  <c r="P2023" i="1"/>
  <c r="L2025" i="1"/>
  <c r="O2027" i="1"/>
  <c r="L2027" i="1"/>
  <c r="O2036" i="1"/>
  <c r="O2054" i="1"/>
  <c r="L2054" i="1"/>
  <c r="L2059" i="1"/>
  <c r="P2079" i="1"/>
  <c r="P2087" i="1"/>
  <c r="P2095" i="1"/>
  <c r="P2103" i="1"/>
  <c r="P2116" i="1"/>
  <c r="P2134" i="1"/>
  <c r="P2146" i="1"/>
  <c r="L2146" i="1"/>
  <c r="L2180" i="1"/>
  <c r="O2180" i="1"/>
  <c r="P2467" i="1"/>
  <c r="P2466" i="1"/>
  <c r="L1953" i="1"/>
  <c r="L1965" i="1"/>
  <c r="L1977" i="1"/>
  <c r="L1989" i="1"/>
  <c r="L2005" i="1"/>
  <c r="L2009" i="1"/>
  <c r="L2013" i="1"/>
  <c r="P2036" i="1"/>
  <c r="P2059" i="1"/>
  <c r="O2074" i="1"/>
  <c r="L2079" i="1"/>
  <c r="L2087" i="1"/>
  <c r="Q2092" i="1"/>
  <c r="L2095" i="1"/>
  <c r="Q2100" i="1"/>
  <c r="L2103" i="1"/>
  <c r="O2113" i="1"/>
  <c r="L2116" i="1"/>
  <c r="L2134" i="1"/>
  <c r="P2180" i="1"/>
  <c r="L1952" i="1"/>
  <c r="L1964" i="1"/>
  <c r="L1976" i="1"/>
  <c r="L1988" i="1"/>
  <c r="L1999" i="1"/>
  <c r="O2004" i="1"/>
  <c r="O2034" i="1"/>
  <c r="L2034" i="1"/>
  <c r="L2036" i="1"/>
  <c r="L2038" i="1"/>
  <c r="P2044" i="1"/>
  <c r="O2047" i="1"/>
  <c r="P2049" i="1"/>
  <c r="P2074" i="1"/>
  <c r="P2113" i="1"/>
  <c r="P2131" i="1"/>
  <c r="O2255" i="1"/>
  <c r="L2255" i="1"/>
  <c r="Q2256" i="1" s="1"/>
  <c r="P2399" i="1"/>
  <c r="P1967" i="1"/>
  <c r="O2019" i="1"/>
  <c r="L2019" i="1"/>
  <c r="O2022" i="1"/>
  <c r="L2022" i="1"/>
  <c r="O2024" i="1"/>
  <c r="O2045" i="1"/>
  <c r="L2045" i="1"/>
  <c r="Q2045" i="1" s="1"/>
  <c r="Q2049" i="1"/>
  <c r="O2057" i="1"/>
  <c r="L2057" i="1"/>
  <c r="P2060" i="1"/>
  <c r="P2066" i="1"/>
  <c r="L2074" i="1"/>
  <c r="O2110" i="1"/>
  <c r="L2113" i="1"/>
  <c r="L2131" i="1"/>
  <c r="P2219" i="1"/>
  <c r="O2231" i="1"/>
  <c r="L2231" i="1"/>
  <c r="O2243" i="1"/>
  <c r="L2243" i="1"/>
  <c r="Q2243" i="1" s="1"/>
  <c r="P2255" i="1"/>
  <c r="L2399" i="1"/>
  <c r="Q2400" i="1" s="1"/>
  <c r="O2003" i="1"/>
  <c r="P2024" i="1"/>
  <c r="P2110" i="1"/>
  <c r="P2128" i="1"/>
  <c r="P2143" i="1"/>
  <c r="L2143" i="1"/>
  <c r="P2152" i="1"/>
  <c r="L2152" i="1"/>
  <c r="O2007" i="1"/>
  <c r="O2011" i="1"/>
  <c r="O2015" i="1"/>
  <c r="L2024" i="1"/>
  <c r="P2038" i="1"/>
  <c r="P2047" i="1"/>
  <c r="O2083" i="1"/>
  <c r="O2091" i="1"/>
  <c r="O2099" i="1"/>
  <c r="O2107" i="1"/>
  <c r="L2110" i="1"/>
  <c r="L2128" i="1"/>
  <c r="P2201" i="1"/>
  <c r="O2002" i="1"/>
  <c r="L2003" i="1"/>
  <c r="O2042" i="1"/>
  <c r="L2042" i="1"/>
  <c r="P2055" i="1"/>
  <c r="P2056" i="1"/>
  <c r="O2067" i="1"/>
  <c r="L2067" i="1"/>
  <c r="P2083" i="1"/>
  <c r="P2091" i="1"/>
  <c r="P2099" i="1"/>
  <c r="P2107" i="1"/>
  <c r="P2125" i="1"/>
  <c r="P2190" i="1"/>
  <c r="P2192" i="1"/>
  <c r="P2204" i="1"/>
  <c r="P2225" i="1"/>
  <c r="P2231" i="1"/>
  <c r="P2237" i="1"/>
  <c r="P2243" i="1"/>
  <c r="P2249" i="1"/>
  <c r="O2256" i="1"/>
  <c r="P2411" i="1"/>
  <c r="O2617" i="1"/>
  <c r="L2617" i="1"/>
  <c r="O2032" i="1"/>
  <c r="O2044" i="1"/>
  <c r="O2056" i="1"/>
  <c r="P2067" i="1"/>
  <c r="P2073" i="1"/>
  <c r="O2078" i="1"/>
  <c r="O2082" i="1"/>
  <c r="O2086" i="1"/>
  <c r="O2090" i="1"/>
  <c r="O2094" i="1"/>
  <c r="O2098" i="1"/>
  <c r="O2102" i="1"/>
  <c r="O2106" i="1"/>
  <c r="P2159" i="1"/>
  <c r="O2170" i="1"/>
  <c r="O2173" i="1"/>
  <c r="P2202" i="1"/>
  <c r="O2226" i="1"/>
  <c r="O2232" i="1"/>
  <c r="O2238" i="1"/>
  <c r="O2244" i="1"/>
  <c r="O2250" i="1"/>
  <c r="L2411" i="1"/>
  <c r="O2031" i="1"/>
  <c r="O2043" i="1"/>
  <c r="O2055" i="1"/>
  <c r="O2109" i="1"/>
  <c r="O2112" i="1"/>
  <c r="O2115" i="1"/>
  <c r="P2154" i="1"/>
  <c r="P2170" i="1"/>
  <c r="O2186" i="1"/>
  <c r="P2423" i="1"/>
  <c r="P2485" i="1"/>
  <c r="L2168" i="1"/>
  <c r="O2181" i="1"/>
  <c r="O2195" i="1"/>
  <c r="L2195" i="1"/>
  <c r="Q2195" i="1" s="1"/>
  <c r="O2207" i="1"/>
  <c r="L2207" i="1"/>
  <c r="P2393" i="1"/>
  <c r="O2029" i="1"/>
  <c r="L2031" i="1"/>
  <c r="O2041" i="1"/>
  <c r="L2043" i="1"/>
  <c r="O2053" i="1"/>
  <c r="L2055" i="1"/>
  <c r="O2065" i="1"/>
  <c r="L2066" i="1"/>
  <c r="Q2066" i="1" s="1"/>
  <c r="O2071" i="1"/>
  <c r="L2072" i="1"/>
  <c r="O2077" i="1"/>
  <c r="O2081" i="1"/>
  <c r="O2085" i="1"/>
  <c r="O2089" i="1"/>
  <c r="O2093" i="1"/>
  <c r="O2097" i="1"/>
  <c r="O2101" i="1"/>
  <c r="O2105" i="1"/>
  <c r="L2109" i="1"/>
  <c r="L2112" i="1"/>
  <c r="L2115" i="1"/>
  <c r="L2118" i="1"/>
  <c r="L2121" i="1"/>
  <c r="L2124" i="1"/>
  <c r="L2127" i="1"/>
  <c r="L2130" i="1"/>
  <c r="L2133" i="1"/>
  <c r="L2136" i="1"/>
  <c r="L2139" i="1"/>
  <c r="L2142" i="1"/>
  <c r="L2145" i="1"/>
  <c r="L2148" i="1"/>
  <c r="L2151" i="1"/>
  <c r="P2156" i="1"/>
  <c r="P2168" i="1"/>
  <c r="O2179" i="1"/>
  <c r="L2179" i="1"/>
  <c r="P2181" i="1"/>
  <c r="L2183" i="1"/>
  <c r="Q2183" i="1" s="1"/>
  <c r="P2195" i="1"/>
  <c r="P2207" i="1"/>
  <c r="O2291" i="1"/>
  <c r="L2291" i="1"/>
  <c r="L2393" i="1"/>
  <c r="P2435" i="1"/>
  <c r="O2028" i="1"/>
  <c r="O2040" i="1"/>
  <c r="O2052" i="1"/>
  <c r="O2064" i="1"/>
  <c r="P2065" i="1"/>
  <c r="P2071" i="1"/>
  <c r="P2077" i="1"/>
  <c r="L2156" i="1"/>
  <c r="L2163" i="1"/>
  <c r="O2168" i="1"/>
  <c r="O2176" i="1"/>
  <c r="L2181" i="1"/>
  <c r="P2210" i="1"/>
  <c r="O2285" i="1"/>
  <c r="L2285" i="1"/>
  <c r="Q2286" i="1" s="1"/>
  <c r="P2291" i="1"/>
  <c r="P2297" i="1"/>
  <c r="L2297" i="1"/>
  <c r="P2405" i="1"/>
  <c r="L2435" i="1"/>
  <c r="P2543" i="1"/>
  <c r="O2039" i="1"/>
  <c r="O2051" i="1"/>
  <c r="O2063" i="1"/>
  <c r="O2108" i="1"/>
  <c r="O2111" i="1"/>
  <c r="O2114" i="1"/>
  <c r="P2158" i="1"/>
  <c r="O2163" i="1"/>
  <c r="P2176" i="1"/>
  <c r="L2176" i="1"/>
  <c r="P2187" i="1"/>
  <c r="L2187" i="1"/>
  <c r="O2196" i="1"/>
  <c r="P2198" i="1"/>
  <c r="O2208" i="1"/>
  <c r="O2213" i="1"/>
  <c r="L2213" i="1"/>
  <c r="O2279" i="1"/>
  <c r="L2279" i="1"/>
  <c r="Q2280" i="1" s="1"/>
  <c r="P2285" i="1"/>
  <c r="P2364" i="1"/>
  <c r="P2070" i="1"/>
  <c r="P2076" i="1"/>
  <c r="O2080" i="1"/>
  <c r="O2084" i="1"/>
  <c r="O2088" i="1"/>
  <c r="O2092" i="1"/>
  <c r="O2096" i="1"/>
  <c r="O2100" i="1"/>
  <c r="O2104" i="1"/>
  <c r="P2108" i="1"/>
  <c r="P2111" i="1"/>
  <c r="P2114" i="1"/>
  <c r="P2117" i="1"/>
  <c r="P2120" i="1"/>
  <c r="P2123" i="1"/>
  <c r="P2126" i="1"/>
  <c r="P2129" i="1"/>
  <c r="P2132" i="1"/>
  <c r="P2135" i="1"/>
  <c r="P2138" i="1"/>
  <c r="P2141" i="1"/>
  <c r="P2144" i="1"/>
  <c r="P2147" i="1"/>
  <c r="P2150" i="1"/>
  <c r="P2153" i="1"/>
  <c r="O2174" i="1"/>
  <c r="L2189" i="1"/>
  <c r="P2196" i="1"/>
  <c r="P2208" i="1"/>
  <c r="P2213" i="1"/>
  <c r="O2273" i="1"/>
  <c r="L2273" i="1"/>
  <c r="P2279" i="1"/>
  <c r="P2303" i="1"/>
  <c r="L2303" i="1"/>
  <c r="O2365" i="1"/>
  <c r="L2365" i="1"/>
  <c r="Q2366" i="1" s="1"/>
  <c r="P2417" i="1"/>
  <c r="O2025" i="1"/>
  <c r="O2037" i="1"/>
  <c r="L2039" i="1"/>
  <c r="O2049" i="1"/>
  <c r="L2051" i="1"/>
  <c r="O2061" i="1"/>
  <c r="L2063" i="1"/>
  <c r="O2069" i="1"/>
  <c r="L2070" i="1"/>
  <c r="O2075" i="1"/>
  <c r="L2076" i="1"/>
  <c r="P2080" i="1"/>
  <c r="P2084" i="1"/>
  <c r="P2088" i="1"/>
  <c r="P2092" i="1"/>
  <c r="P2096" i="1"/>
  <c r="P2100" i="1"/>
  <c r="P2104" i="1"/>
  <c r="L2108" i="1"/>
  <c r="L2111" i="1"/>
  <c r="L2114" i="1"/>
  <c r="L2117" i="1"/>
  <c r="L2120" i="1"/>
  <c r="Q2120" i="1" s="1"/>
  <c r="L2123" i="1"/>
  <c r="L2126" i="1"/>
  <c r="L2129" i="1"/>
  <c r="L2132" i="1"/>
  <c r="Q2132" i="1" s="1"/>
  <c r="L2135" i="1"/>
  <c r="L2138" i="1"/>
  <c r="L2141" i="1"/>
  <c r="L2144" i="1"/>
  <c r="L2147" i="1"/>
  <c r="L2150" i="1"/>
  <c r="L2153" i="1"/>
  <c r="O2169" i="1"/>
  <c r="P2171" i="1"/>
  <c r="O2182" i="1"/>
  <c r="O2185" i="1"/>
  <c r="P2189" i="1"/>
  <c r="L2196" i="1"/>
  <c r="L2208" i="1"/>
  <c r="Q2209" i="1" s="1"/>
  <c r="P2216" i="1"/>
  <c r="O2267" i="1"/>
  <c r="L2267" i="1"/>
  <c r="P2273" i="1"/>
  <c r="O2280" i="1"/>
  <c r="P2387" i="1"/>
  <c r="L2417" i="1"/>
  <c r="Q2418" i="1" s="1"/>
  <c r="O2060" i="1"/>
  <c r="L2062" i="1"/>
  <c r="Q2062" i="1" s="1"/>
  <c r="P2069" i="1"/>
  <c r="P2075" i="1"/>
  <c r="O2167" i="1"/>
  <c r="L2167" i="1"/>
  <c r="P2169" i="1"/>
  <c r="P2182" i="1"/>
  <c r="O2201" i="1"/>
  <c r="L2201" i="1"/>
  <c r="O2219" i="1"/>
  <c r="L2219" i="1"/>
  <c r="O2261" i="1"/>
  <c r="L2261" i="1"/>
  <c r="Q2262" i="1" s="1"/>
  <c r="P2267" i="1"/>
  <c r="P2429" i="1"/>
  <c r="P2167" i="1"/>
  <c r="P2179" i="1"/>
  <c r="P2365" i="1"/>
  <c r="O2376" i="1"/>
  <c r="L2376" i="1"/>
  <c r="P2501" i="1"/>
  <c r="P2507" i="1"/>
  <c r="P2513" i="1"/>
  <c r="P2519" i="1"/>
  <c r="P2525" i="1"/>
  <c r="P2531" i="1"/>
  <c r="L2548" i="1"/>
  <c r="O2548" i="1"/>
  <c r="P2563" i="1"/>
  <c r="L2563" i="1"/>
  <c r="P2166" i="1"/>
  <c r="P2178" i="1"/>
  <c r="P2188" i="1"/>
  <c r="P2194" i="1"/>
  <c r="P2200" i="1"/>
  <c r="P2206" i="1"/>
  <c r="P2212" i="1"/>
  <c r="P2218" i="1"/>
  <c r="P2224" i="1"/>
  <c r="P2230" i="1"/>
  <c r="P2236" i="1"/>
  <c r="P2242" i="1"/>
  <c r="P2248" i="1"/>
  <c r="P2254" i="1"/>
  <c r="P2260" i="1"/>
  <c r="P2266" i="1"/>
  <c r="P2272" i="1"/>
  <c r="P2278" i="1"/>
  <c r="P2284" i="1"/>
  <c r="P2290" i="1"/>
  <c r="P2296" i="1"/>
  <c r="P2302" i="1"/>
  <c r="P2376" i="1"/>
  <c r="P2388" i="1"/>
  <c r="P2394" i="1"/>
  <c r="P2400" i="1"/>
  <c r="P2406" i="1"/>
  <c r="P2412" i="1"/>
  <c r="P2418" i="1"/>
  <c r="P2424" i="1"/>
  <c r="P2430" i="1"/>
  <c r="P2436" i="1"/>
  <c r="L2463" i="1"/>
  <c r="O2464" i="1"/>
  <c r="O2463" i="1"/>
  <c r="L2475" i="1"/>
  <c r="O2476" i="1"/>
  <c r="O2475" i="1"/>
  <c r="P2548" i="1"/>
  <c r="O2628" i="1"/>
  <c r="L2628" i="1"/>
  <c r="P2165" i="1"/>
  <c r="P2177" i="1"/>
  <c r="L2254" i="1"/>
  <c r="L2260" i="1"/>
  <c r="L2266" i="1"/>
  <c r="L2272" i="1"/>
  <c r="L2278" i="1"/>
  <c r="L2284" i="1"/>
  <c r="L2290" i="1"/>
  <c r="L2296" i="1"/>
  <c r="L2302" i="1"/>
  <c r="Q2308" i="1"/>
  <c r="O2366" i="1"/>
  <c r="Q2424" i="1"/>
  <c r="P2464" i="1"/>
  <c r="P2463" i="1"/>
  <c r="P2476" i="1"/>
  <c r="P2475" i="1"/>
  <c r="L2536" i="1"/>
  <c r="O2536" i="1"/>
  <c r="P2553" i="1"/>
  <c r="P2193" i="1"/>
  <c r="P2199" i="1"/>
  <c r="P2205" i="1"/>
  <c r="P2211" i="1"/>
  <c r="P2217" i="1"/>
  <c r="P2223" i="1"/>
  <c r="P2229" i="1"/>
  <c r="P2235" i="1"/>
  <c r="P2241" i="1"/>
  <c r="P2247" i="1"/>
  <c r="P2253" i="1"/>
  <c r="P2259" i="1"/>
  <c r="P2265" i="1"/>
  <c r="P2271" i="1"/>
  <c r="P2377" i="1"/>
  <c r="P2497" i="1"/>
  <c r="L2503" i="1"/>
  <c r="O2503" i="1"/>
  <c r="L2509" i="1"/>
  <c r="O2509" i="1"/>
  <c r="L2515" i="1"/>
  <c r="O2515" i="1"/>
  <c r="L2521" i="1"/>
  <c r="O2521" i="1"/>
  <c r="L2527" i="1"/>
  <c r="O2527" i="1"/>
  <c r="P2536" i="1"/>
  <c r="P2163" i="1"/>
  <c r="P2175" i="1"/>
  <c r="L2193" i="1"/>
  <c r="L2199" i="1"/>
  <c r="L2205" i="1"/>
  <c r="L2211" i="1"/>
  <c r="L2217" i="1"/>
  <c r="L2223" i="1"/>
  <c r="L2229" i="1"/>
  <c r="L2235" i="1"/>
  <c r="L2241" i="1"/>
  <c r="L2247" i="1"/>
  <c r="L2253" i="1"/>
  <c r="L2259" i="1"/>
  <c r="L2265" i="1"/>
  <c r="L2271" i="1"/>
  <c r="L2277" i="1"/>
  <c r="L2283" i="1"/>
  <c r="L2289" i="1"/>
  <c r="L2295" i="1"/>
  <c r="L2301" i="1"/>
  <c r="L2377" i="1"/>
  <c r="L2440" i="1"/>
  <c r="O2440" i="1"/>
  <c r="L2444" i="1"/>
  <c r="O2444" i="1"/>
  <c r="L2448" i="1"/>
  <c r="O2448" i="1"/>
  <c r="L2452" i="1"/>
  <c r="O2452" i="1"/>
  <c r="L2456" i="1"/>
  <c r="O2456" i="1"/>
  <c r="L2460" i="1"/>
  <c r="O2461" i="1"/>
  <c r="O2460" i="1"/>
  <c r="L2472" i="1"/>
  <c r="O2473" i="1"/>
  <c r="O2472" i="1"/>
  <c r="L2487" i="1"/>
  <c r="O2488" i="1"/>
  <c r="O2487" i="1"/>
  <c r="P2503" i="1"/>
  <c r="P2509" i="1"/>
  <c r="P2515" i="1"/>
  <c r="P2521" i="1"/>
  <c r="P2527" i="1"/>
  <c r="Q2311" i="1"/>
  <c r="O2363" i="1"/>
  <c r="L2363" i="1"/>
  <c r="P2440" i="1"/>
  <c r="P2444" i="1"/>
  <c r="P2448" i="1"/>
  <c r="P2452" i="1"/>
  <c r="P2456" i="1"/>
  <c r="P2461" i="1"/>
  <c r="P2460" i="1"/>
  <c r="P2473" i="1"/>
  <c r="P2472" i="1"/>
  <c r="L2480" i="1"/>
  <c r="O2480" i="1"/>
  <c r="L2541" i="1"/>
  <c r="O2541" i="1"/>
  <c r="P2161" i="1"/>
  <c r="L2162" i="1"/>
  <c r="P2173" i="1"/>
  <c r="L2174" i="1"/>
  <c r="Q2174" i="1" s="1"/>
  <c r="P2185" i="1"/>
  <c r="L2186" i="1"/>
  <c r="Q2186" i="1" s="1"/>
  <c r="L2192" i="1"/>
  <c r="L2198" i="1"/>
  <c r="L2204" i="1"/>
  <c r="L2210" i="1"/>
  <c r="Q2210" i="1" s="1"/>
  <c r="L2216" i="1"/>
  <c r="L2222" i="1"/>
  <c r="Q2222" i="1" s="1"/>
  <c r="L2228" i="1"/>
  <c r="L2234" i="1"/>
  <c r="Q2234" i="1" s="1"/>
  <c r="L2240" i="1"/>
  <c r="L2246" i="1"/>
  <c r="L2252" i="1"/>
  <c r="L2258" i="1"/>
  <c r="L2264" i="1"/>
  <c r="L2270" i="1"/>
  <c r="L2276" i="1"/>
  <c r="L2282" i="1"/>
  <c r="L2288" i="1"/>
  <c r="L2294" i="1"/>
  <c r="Q2294" i="1" s="1"/>
  <c r="L2300" i="1"/>
  <c r="L2306" i="1"/>
  <c r="Q2306" i="1" s="1"/>
  <c r="P2378" i="1"/>
  <c r="O2386" i="1"/>
  <c r="L2386" i="1"/>
  <c r="O2392" i="1"/>
  <c r="L2392" i="1"/>
  <c r="O2398" i="1"/>
  <c r="L2398" i="1"/>
  <c r="Q2398" i="1" s="1"/>
  <c r="O2404" i="1"/>
  <c r="L2404" i="1"/>
  <c r="Q2404" i="1" s="1"/>
  <c r="O2410" i="1"/>
  <c r="L2410" i="1"/>
  <c r="O2416" i="1"/>
  <c r="L2416" i="1"/>
  <c r="O2422" i="1"/>
  <c r="L2422" i="1"/>
  <c r="O2428" i="1"/>
  <c r="L2428" i="1"/>
  <c r="Q2428" i="1" s="1"/>
  <c r="O2434" i="1"/>
  <c r="L2434" i="1"/>
  <c r="Q2434" i="1" s="1"/>
  <c r="P2481" i="1"/>
  <c r="P2480" i="1"/>
  <c r="P2160" i="1"/>
  <c r="P2172" i="1"/>
  <c r="P2184" i="1"/>
  <c r="P2191" i="1"/>
  <c r="P2197" i="1"/>
  <c r="P2203" i="1"/>
  <c r="P2209" i="1"/>
  <c r="P2215" i="1"/>
  <c r="P2221" i="1"/>
  <c r="P2227" i="1"/>
  <c r="P2233" i="1"/>
  <c r="P2239" i="1"/>
  <c r="P2245" i="1"/>
  <c r="P2251" i="1"/>
  <c r="P2257" i="1"/>
  <c r="P2263" i="1"/>
  <c r="P2269" i="1"/>
  <c r="P2275" i="1"/>
  <c r="P2281" i="1"/>
  <c r="P2287" i="1"/>
  <c r="P2293" i="1"/>
  <c r="P2299" i="1"/>
  <c r="P2305" i="1"/>
  <c r="L2469" i="1"/>
  <c r="O2470" i="1"/>
  <c r="O2469" i="1"/>
  <c r="L2499" i="1"/>
  <c r="O2499" i="1"/>
  <c r="L2505" i="1"/>
  <c r="O2505" i="1"/>
  <c r="L2511" i="1"/>
  <c r="O2511" i="1"/>
  <c r="L2517" i="1"/>
  <c r="O2517" i="1"/>
  <c r="L2523" i="1"/>
  <c r="O2523" i="1"/>
  <c r="L2529" i="1"/>
  <c r="O2529" i="1"/>
  <c r="P2592" i="1"/>
  <c r="Q2233" i="1"/>
  <c r="Q2293" i="1"/>
  <c r="Q2314" i="1"/>
  <c r="P2470" i="1"/>
  <c r="P2469" i="1"/>
  <c r="P2499" i="1"/>
  <c r="P2505" i="1"/>
  <c r="P2511" i="1"/>
  <c r="P2517" i="1"/>
  <c r="P2523" i="1"/>
  <c r="P2529" i="1"/>
  <c r="P2214" i="1"/>
  <c r="P2220" i="1"/>
  <c r="P2226" i="1"/>
  <c r="P2232" i="1"/>
  <c r="P2238" i="1"/>
  <c r="P2244" i="1"/>
  <c r="P2250" i="1"/>
  <c r="P2256" i="1"/>
  <c r="P2262" i="1"/>
  <c r="P2268" i="1"/>
  <c r="P2274" i="1"/>
  <c r="P2280" i="1"/>
  <c r="P2286" i="1"/>
  <c r="P2292" i="1"/>
  <c r="P2298" i="1"/>
  <c r="P2304" i="1"/>
  <c r="O2364" i="1"/>
  <c r="L2364" i="1"/>
  <c r="O2375" i="1"/>
  <c r="L2375" i="1"/>
  <c r="L2492" i="1"/>
  <c r="O2492" i="1"/>
  <c r="P2645" i="1"/>
  <c r="L2482" i="1"/>
  <c r="L2494" i="1"/>
  <c r="L2534" i="1"/>
  <c r="P2541" i="1"/>
  <c r="L2546" i="1"/>
  <c r="O2566" i="1"/>
  <c r="L2566" i="1"/>
  <c r="Q2566" i="1" s="1"/>
  <c r="P2628" i="1"/>
  <c r="P2641" i="1"/>
  <c r="P2654" i="1"/>
  <c r="P2664" i="1"/>
  <c r="L2439" i="1"/>
  <c r="L2443" i="1"/>
  <c r="L2447" i="1"/>
  <c r="L2451" i="1"/>
  <c r="L2455" i="1"/>
  <c r="L2459" i="1"/>
  <c r="L2477" i="1"/>
  <c r="L2489" i="1"/>
  <c r="P2534" i="1"/>
  <c r="L2539" i="1"/>
  <c r="P2546" i="1"/>
  <c r="L2551" i="1"/>
  <c r="L2554" i="1"/>
  <c r="P2557" i="1"/>
  <c r="P2593" i="1"/>
  <c r="O2614" i="1"/>
  <c r="L2614" i="1"/>
  <c r="Q2650" i="1"/>
  <c r="O2672" i="1"/>
  <c r="L2672" i="1"/>
  <c r="Q2672" i="1" s="1"/>
  <c r="O2673" i="1"/>
  <c r="L2462" i="1"/>
  <c r="L2465" i="1"/>
  <c r="L2468" i="1"/>
  <c r="L2471" i="1"/>
  <c r="L2474" i="1"/>
  <c r="L2484" i="1"/>
  <c r="L2496" i="1"/>
  <c r="L2532" i="1"/>
  <c r="P2539" i="1"/>
  <c r="L2544" i="1"/>
  <c r="P2551" i="1"/>
  <c r="P2554" i="1"/>
  <c r="Q2570" i="1"/>
  <c r="O2578" i="1"/>
  <c r="L2578" i="1"/>
  <c r="Q2593" i="1"/>
  <c r="P2637" i="1"/>
  <c r="L2479" i="1"/>
  <c r="L2491" i="1"/>
  <c r="P2532" i="1"/>
  <c r="L2537" i="1"/>
  <c r="P2544" i="1"/>
  <c r="L2549" i="1"/>
  <c r="P2564" i="1"/>
  <c r="O2567" i="1"/>
  <c r="L2567" i="1"/>
  <c r="Q2568" i="1" s="1"/>
  <c r="O2599" i="1"/>
  <c r="L2599" i="1"/>
  <c r="Q2599" i="1" s="1"/>
  <c r="O2605" i="1"/>
  <c r="L2605" i="1"/>
  <c r="O2611" i="1"/>
  <c r="L2611" i="1"/>
  <c r="P2647" i="1"/>
  <c r="L2703" i="1"/>
  <c r="O2703" i="1"/>
  <c r="L2709" i="1"/>
  <c r="O2709" i="1"/>
  <c r="L2715" i="1"/>
  <c r="O2715" i="1"/>
  <c r="L2721" i="1"/>
  <c r="O2721" i="1"/>
  <c r="O2439" i="1"/>
  <c r="L2442" i="1"/>
  <c r="O2443" i="1"/>
  <c r="L2446" i="1"/>
  <c r="O2447" i="1"/>
  <c r="L2450" i="1"/>
  <c r="O2451" i="1"/>
  <c r="L2454" i="1"/>
  <c r="O2455" i="1"/>
  <c r="L2458" i="1"/>
  <c r="O2459" i="1"/>
  <c r="L2486" i="1"/>
  <c r="L2498" i="1"/>
  <c r="L2500" i="1"/>
  <c r="L2502" i="1"/>
  <c r="L2504" i="1"/>
  <c r="L2506" i="1"/>
  <c r="L2508" i="1"/>
  <c r="L2510" i="1"/>
  <c r="L2512" i="1"/>
  <c r="L2514" i="1"/>
  <c r="Q2514" i="1" s="1"/>
  <c r="L2516" i="1"/>
  <c r="L2518" i="1"/>
  <c r="L2520" i="1"/>
  <c r="L2522" i="1"/>
  <c r="L2524" i="1"/>
  <c r="L2526" i="1"/>
  <c r="L2528" i="1"/>
  <c r="L2530" i="1"/>
  <c r="O2532" i="1"/>
  <c r="P2537" i="1"/>
  <c r="L2542" i="1"/>
  <c r="P2549" i="1"/>
  <c r="P2567" i="1"/>
  <c r="O2590" i="1"/>
  <c r="L2590" i="1"/>
  <c r="P2633" i="1"/>
  <c r="L2647" i="1"/>
  <c r="L2359" i="1"/>
  <c r="L2371" i="1"/>
  <c r="L2383" i="1"/>
  <c r="O2385" i="1"/>
  <c r="L2390" i="1"/>
  <c r="O2391" i="1"/>
  <c r="L2396" i="1"/>
  <c r="Q2397" i="1" s="1"/>
  <c r="O2397" i="1"/>
  <c r="L2402" i="1"/>
  <c r="O2403" i="1"/>
  <c r="L2408" i="1"/>
  <c r="O2409" i="1"/>
  <c r="L2414" i="1"/>
  <c r="O2415" i="1"/>
  <c r="L2420" i="1"/>
  <c r="O2421" i="1"/>
  <c r="L2426" i="1"/>
  <c r="O2427" i="1"/>
  <c r="L2432" i="1"/>
  <c r="O2433" i="1"/>
  <c r="L2438" i="1"/>
  <c r="P2439" i="1"/>
  <c r="P2443" i="1"/>
  <c r="P2447" i="1"/>
  <c r="P2451" i="1"/>
  <c r="P2455" i="1"/>
  <c r="P2459" i="1"/>
  <c r="P2462" i="1"/>
  <c r="P2465" i="1"/>
  <c r="P2468" i="1"/>
  <c r="P2471" i="1"/>
  <c r="P2474" i="1"/>
  <c r="O2479" i="1"/>
  <c r="L2481" i="1"/>
  <c r="P2484" i="1"/>
  <c r="O2491" i="1"/>
  <c r="L2493" i="1"/>
  <c r="P2496" i="1"/>
  <c r="P2498" i="1"/>
  <c r="P2500" i="1"/>
  <c r="P2502" i="1"/>
  <c r="P2504" i="1"/>
  <c r="P2506" i="1"/>
  <c r="P2508" i="1"/>
  <c r="P2510" i="1"/>
  <c r="P2512" i="1"/>
  <c r="P2514" i="1"/>
  <c r="P2516" i="1"/>
  <c r="P2518" i="1"/>
  <c r="P2520" i="1"/>
  <c r="P2522" i="1"/>
  <c r="P2524" i="1"/>
  <c r="P2526" i="1"/>
  <c r="P2528" i="1"/>
  <c r="P2530" i="1"/>
  <c r="L2535" i="1"/>
  <c r="O2537" i="1"/>
  <c r="P2542" i="1"/>
  <c r="L2547" i="1"/>
  <c r="O2549" i="1"/>
  <c r="L2552" i="1"/>
  <c r="O2555" i="1"/>
  <c r="L2555" i="1"/>
  <c r="O2562" i="1"/>
  <c r="L2562" i="1"/>
  <c r="O2579" i="1"/>
  <c r="L2579" i="1"/>
  <c r="P2643" i="1"/>
  <c r="L2358" i="1"/>
  <c r="L2370" i="1"/>
  <c r="L2382" i="1"/>
  <c r="L2461" i="1"/>
  <c r="L2464" i="1"/>
  <c r="L2467" i="1"/>
  <c r="L2470" i="1"/>
  <c r="L2473" i="1"/>
  <c r="L2476" i="1"/>
  <c r="P2479" i="1"/>
  <c r="O2486" i="1"/>
  <c r="L2488" i="1"/>
  <c r="P2491" i="1"/>
  <c r="O2498" i="1"/>
  <c r="O2500" i="1"/>
  <c r="O2502" i="1"/>
  <c r="O2504" i="1"/>
  <c r="O2506" i="1"/>
  <c r="O2508" i="1"/>
  <c r="O2510" i="1"/>
  <c r="O2512" i="1"/>
  <c r="O2514" i="1"/>
  <c r="O2516" i="1"/>
  <c r="O2518" i="1"/>
  <c r="O2520" i="1"/>
  <c r="O2522" i="1"/>
  <c r="O2524" i="1"/>
  <c r="O2526" i="1"/>
  <c r="O2528" i="1"/>
  <c r="O2530" i="1"/>
  <c r="P2535" i="1"/>
  <c r="L2540" i="1"/>
  <c r="O2542" i="1"/>
  <c r="P2547" i="1"/>
  <c r="P2552" i="1"/>
  <c r="P2558" i="1"/>
  <c r="P2568" i="1"/>
  <c r="P2579" i="1"/>
  <c r="Q2594" i="1"/>
  <c r="L2643" i="1"/>
  <c r="L2357" i="1"/>
  <c r="L2369" i="1"/>
  <c r="L2381" i="1"/>
  <c r="Q2381" i="1" s="1"/>
  <c r="L2389" i="1"/>
  <c r="O2390" i="1"/>
  <c r="L2395" i="1"/>
  <c r="O2396" i="1"/>
  <c r="L2401" i="1"/>
  <c r="Q2401" i="1" s="1"/>
  <c r="O2402" i="1"/>
  <c r="L2407" i="1"/>
  <c r="O2408" i="1"/>
  <c r="L2413" i="1"/>
  <c r="O2414" i="1"/>
  <c r="L2419" i="1"/>
  <c r="Q2419" i="1" s="1"/>
  <c r="O2420" i="1"/>
  <c r="L2425" i="1"/>
  <c r="O2426" i="1"/>
  <c r="L2431" i="1"/>
  <c r="O2432" i="1"/>
  <c r="L2437" i="1"/>
  <c r="Q2437" i="1" s="1"/>
  <c r="O2438" i="1"/>
  <c r="L2441" i="1"/>
  <c r="O2442" i="1"/>
  <c r="L2445" i="1"/>
  <c r="O2446" i="1"/>
  <c r="L2449" i="1"/>
  <c r="O2450" i="1"/>
  <c r="L2453" i="1"/>
  <c r="O2454" i="1"/>
  <c r="L2457" i="1"/>
  <c r="O2458" i="1"/>
  <c r="O2481" i="1"/>
  <c r="L2483" i="1"/>
  <c r="P2486" i="1"/>
  <c r="O2493" i="1"/>
  <c r="L2495" i="1"/>
  <c r="L2533" i="1"/>
  <c r="O2535" i="1"/>
  <c r="P2540" i="1"/>
  <c r="L2545" i="1"/>
  <c r="O2547" i="1"/>
  <c r="O2552" i="1"/>
  <c r="P2555" i="1"/>
  <c r="O2591" i="1"/>
  <c r="L2591" i="1"/>
  <c r="Q2591" i="1" s="1"/>
  <c r="P2600" i="1"/>
  <c r="P2606" i="1"/>
  <c r="O2623" i="1"/>
  <c r="L2623" i="1"/>
  <c r="P2639" i="1"/>
  <c r="O2652" i="1"/>
  <c r="L2652" i="1"/>
  <c r="Q2652" i="1" s="1"/>
  <c r="L2478" i="1"/>
  <c r="L2490" i="1"/>
  <c r="P2533" i="1"/>
  <c r="L2538" i="1"/>
  <c r="P2545" i="1"/>
  <c r="L2550" i="1"/>
  <c r="O2556" i="1"/>
  <c r="P2580" i="1"/>
  <c r="P2591" i="1"/>
  <c r="L2485" i="1"/>
  <c r="L2497" i="1"/>
  <c r="L2531" i="1"/>
  <c r="P2538" i="1"/>
  <c r="L2543" i="1"/>
  <c r="P2550" i="1"/>
  <c r="L2553" i="1"/>
  <c r="P2556" i="1"/>
  <c r="L2580" i="1"/>
  <c r="O2620" i="1"/>
  <c r="L2620" i="1"/>
  <c r="P2635" i="1"/>
  <c r="P2611" i="1"/>
  <c r="P2614" i="1"/>
  <c r="P2617" i="1"/>
  <c r="P2620" i="1"/>
  <c r="P2623" i="1"/>
  <c r="O2630" i="1"/>
  <c r="P2652" i="1"/>
  <c r="O2658" i="1"/>
  <c r="P2660" i="1"/>
  <c r="L2749" i="1"/>
  <c r="O2749" i="1"/>
  <c r="P2888" i="1"/>
  <c r="P2889" i="1"/>
  <c r="L2888" i="1"/>
  <c r="O2564" i="1"/>
  <c r="O2576" i="1"/>
  <c r="O2588" i="1"/>
  <c r="O2598" i="1"/>
  <c r="O2604" i="1"/>
  <c r="O2610" i="1"/>
  <c r="O2625" i="1"/>
  <c r="P2630" i="1"/>
  <c r="O2650" i="1"/>
  <c r="P2665" i="1"/>
  <c r="O2563" i="1"/>
  <c r="O2575" i="1"/>
  <c r="O2587" i="1"/>
  <c r="P2625" i="1"/>
  <c r="P2650" i="1"/>
  <c r="O2655" i="1"/>
  <c r="O2656" i="1"/>
  <c r="O2661" i="1"/>
  <c r="L2705" i="1"/>
  <c r="O2705" i="1"/>
  <c r="L2711" i="1"/>
  <c r="O2711" i="1"/>
  <c r="L2717" i="1"/>
  <c r="O2717" i="1"/>
  <c r="L2723" i="1"/>
  <c r="O2723" i="1"/>
  <c r="P2632" i="1"/>
  <c r="O2634" i="1"/>
  <c r="O2636" i="1"/>
  <c r="O2638" i="1"/>
  <c r="O2640" i="1"/>
  <c r="O2642" i="1"/>
  <c r="O2644" i="1"/>
  <c r="O2646" i="1"/>
  <c r="O2648" i="1"/>
  <c r="P2655" i="1"/>
  <c r="O2670" i="1"/>
  <c r="O2671" i="1"/>
  <c r="L2670" i="1"/>
  <c r="Q2671" i="1" s="1"/>
  <c r="O2561" i="1"/>
  <c r="O2573" i="1"/>
  <c r="L2575" i="1"/>
  <c r="O2585" i="1"/>
  <c r="L2587" i="1"/>
  <c r="P2613" i="1"/>
  <c r="P2616" i="1"/>
  <c r="P2619" i="1"/>
  <c r="P2622" i="1"/>
  <c r="P2627" i="1"/>
  <c r="L2632" i="1"/>
  <c r="Q2632" i="1" s="1"/>
  <c r="P2634" i="1"/>
  <c r="P2636" i="1"/>
  <c r="P2638" i="1"/>
  <c r="P2640" i="1"/>
  <c r="P2642" i="1"/>
  <c r="P2644" i="1"/>
  <c r="P2646" i="1"/>
  <c r="P2648" i="1"/>
  <c r="O2653" i="1"/>
  <c r="L2655" i="1"/>
  <c r="P2670" i="1"/>
  <c r="L2574" i="1"/>
  <c r="L2586" i="1"/>
  <c r="L2597" i="1"/>
  <c r="L2603" i="1"/>
  <c r="L2609" i="1"/>
  <c r="L2613" i="1"/>
  <c r="Q2613" i="1" s="1"/>
  <c r="L2616" i="1"/>
  <c r="Q2616" i="1" s="1"/>
  <c r="L2619" i="1"/>
  <c r="L2622" i="1"/>
  <c r="Q2622" i="1" s="1"/>
  <c r="L2627" i="1"/>
  <c r="O2629" i="1"/>
  <c r="L2634" i="1"/>
  <c r="Q2634" i="1" s="1"/>
  <c r="L2636" i="1"/>
  <c r="L2638" i="1"/>
  <c r="L2640" i="1"/>
  <c r="Q2640" i="1" s="1"/>
  <c r="L2642" i="1"/>
  <c r="L2644" i="1"/>
  <c r="L2646" i="1"/>
  <c r="Q2646" i="1" s="1"/>
  <c r="L2648" i="1"/>
  <c r="P2653" i="1"/>
  <c r="Q2668" i="1"/>
  <c r="L2561" i="1"/>
  <c r="L2573" i="1"/>
  <c r="L2585" i="1"/>
  <c r="O2624" i="1"/>
  <c r="P2629" i="1"/>
  <c r="O2651" i="1"/>
  <c r="L2653" i="1"/>
  <c r="O2659" i="1"/>
  <c r="L2701" i="1"/>
  <c r="O2701" i="1"/>
  <c r="L2707" i="1"/>
  <c r="O2707" i="1"/>
  <c r="L2713" i="1"/>
  <c r="O2713" i="1"/>
  <c r="L2719" i="1"/>
  <c r="O2719" i="1"/>
  <c r="L2725" i="1"/>
  <c r="O2725" i="1"/>
  <c r="O2558" i="1"/>
  <c r="L2560" i="1"/>
  <c r="Q2560" i="1" s="1"/>
  <c r="O2570" i="1"/>
  <c r="L2572" i="1"/>
  <c r="O2582" i="1"/>
  <c r="L2584" i="1"/>
  <c r="O2594" i="1"/>
  <c r="L2596" i="1"/>
  <c r="O2601" i="1"/>
  <c r="L2602" i="1"/>
  <c r="Q2602" i="1" s="1"/>
  <c r="O2607" i="1"/>
  <c r="L2608" i="1"/>
  <c r="Q2608" i="1" s="1"/>
  <c r="O2612" i="1"/>
  <c r="O2615" i="1"/>
  <c r="O2618" i="1"/>
  <c r="O2621" i="1"/>
  <c r="P2624" i="1"/>
  <c r="L2629" i="1"/>
  <c r="O2631" i="1"/>
  <c r="P2651" i="1"/>
  <c r="O2666" i="1"/>
  <c r="P2671" i="1"/>
  <c r="O2557" i="1"/>
  <c r="O2569" i="1"/>
  <c r="O2581" i="1"/>
  <c r="O2593" i="1"/>
  <c r="P2612" i="1"/>
  <c r="P2615" i="1"/>
  <c r="P2618" i="1"/>
  <c r="P2621" i="1"/>
  <c r="P2631" i="1"/>
  <c r="O2649" i="1"/>
  <c r="P2656" i="1"/>
  <c r="P2657" i="1"/>
  <c r="L2737" i="1"/>
  <c r="O2737" i="1"/>
  <c r="O2568" i="1"/>
  <c r="O2580" i="1"/>
  <c r="O2592" i="1"/>
  <c r="O2600" i="1"/>
  <c r="O2606" i="1"/>
  <c r="P2626" i="1"/>
  <c r="O2633" i="1"/>
  <c r="O2635" i="1"/>
  <c r="O2637" i="1"/>
  <c r="O2639" i="1"/>
  <c r="O2641" i="1"/>
  <c r="O2643" i="1"/>
  <c r="O2645" i="1"/>
  <c r="O2647" i="1"/>
  <c r="P2649" i="1"/>
  <c r="O2654" i="1"/>
  <c r="O2664" i="1"/>
  <c r="O2665" i="1"/>
  <c r="L2664" i="1"/>
  <c r="L2730" i="1"/>
  <c r="O2732" i="1"/>
  <c r="L2742" i="1"/>
  <c r="O2744" i="1"/>
  <c r="L2754" i="1"/>
  <c r="L2856" i="1"/>
  <c r="O2856" i="1"/>
  <c r="L2735" i="1"/>
  <c r="L2747" i="1"/>
  <c r="O2757" i="1"/>
  <c r="O2758" i="1"/>
  <c r="L2757" i="1"/>
  <c r="Q2758" i="1" s="1"/>
  <c r="O2843" i="1"/>
  <c r="L2843" i="1"/>
  <c r="Q2843" i="1" s="1"/>
  <c r="L2663" i="1"/>
  <c r="L2669" i="1"/>
  <c r="Q2669" i="1" s="1"/>
  <c r="L2674" i="1"/>
  <c r="L2678" i="1"/>
  <c r="L2682" i="1"/>
  <c r="L2686" i="1"/>
  <c r="L2690" i="1"/>
  <c r="L2694" i="1"/>
  <c r="L2698" i="1"/>
  <c r="P2701" i="1"/>
  <c r="P2703" i="1"/>
  <c r="P2705" i="1"/>
  <c r="P2707" i="1"/>
  <c r="P2709" i="1"/>
  <c r="P2711" i="1"/>
  <c r="P2713" i="1"/>
  <c r="P2715" i="1"/>
  <c r="P2717" i="1"/>
  <c r="P2719" i="1"/>
  <c r="P2721" i="1"/>
  <c r="P2723" i="1"/>
  <c r="P2725" i="1"/>
  <c r="L2728" i="1"/>
  <c r="O2730" i="1"/>
  <c r="L2740" i="1"/>
  <c r="O2742" i="1"/>
  <c r="L2752" i="1"/>
  <c r="O2754" i="1"/>
  <c r="P2757" i="1"/>
  <c r="P2773" i="1"/>
  <c r="O2674" i="1"/>
  <c r="O2678" i="1"/>
  <c r="O2682" i="1"/>
  <c r="O2686" i="1"/>
  <c r="O2690" i="1"/>
  <c r="O2694" i="1"/>
  <c r="O2698" i="1"/>
  <c r="L2733" i="1"/>
  <c r="O2735" i="1"/>
  <c r="L2745" i="1"/>
  <c r="O2747" i="1"/>
  <c r="O2763" i="1"/>
  <c r="O2764" i="1"/>
  <c r="L2763" i="1"/>
  <c r="P2674" i="1"/>
  <c r="P2678" i="1"/>
  <c r="P2682" i="1"/>
  <c r="P2686" i="1"/>
  <c r="P2690" i="1"/>
  <c r="P2694" i="1"/>
  <c r="P2698" i="1"/>
  <c r="L2726" i="1"/>
  <c r="L2738" i="1"/>
  <c r="L2750" i="1"/>
  <c r="O2862" i="1"/>
  <c r="L2862" i="1"/>
  <c r="Q2862" i="1" s="1"/>
  <c r="L2661" i="1"/>
  <c r="L2673" i="1"/>
  <c r="L2677" i="1"/>
  <c r="L2681" i="1"/>
  <c r="L2685" i="1"/>
  <c r="L2689" i="1"/>
  <c r="L2693" i="1"/>
  <c r="L2697" i="1"/>
  <c r="L2700" i="1"/>
  <c r="L2702" i="1"/>
  <c r="L2704" i="1"/>
  <c r="L2706" i="1"/>
  <c r="L2708" i="1"/>
  <c r="L2710" i="1"/>
  <c r="L2712" i="1"/>
  <c r="L2714" i="1"/>
  <c r="L2716" i="1"/>
  <c r="L2718" i="1"/>
  <c r="L2720" i="1"/>
  <c r="L2722" i="1"/>
  <c r="L2724" i="1"/>
  <c r="L2731" i="1"/>
  <c r="L2743" i="1"/>
  <c r="L2755" i="1"/>
  <c r="P2758" i="1"/>
  <c r="P2759" i="1"/>
  <c r="O2789" i="1"/>
  <c r="L2789" i="1"/>
  <c r="Q2789" i="1" s="1"/>
  <c r="O2793" i="1"/>
  <c r="L2793" i="1"/>
  <c r="O2797" i="1"/>
  <c r="L2797" i="1"/>
  <c r="Q2797" i="1" s="1"/>
  <c r="O2801" i="1"/>
  <c r="L2801" i="1"/>
  <c r="O2677" i="1"/>
  <c r="O2681" i="1"/>
  <c r="O2685" i="1"/>
  <c r="O2689" i="1"/>
  <c r="O2693" i="1"/>
  <c r="O2697" i="1"/>
  <c r="O2726" i="1"/>
  <c r="L2736" i="1"/>
  <c r="O2738" i="1"/>
  <c r="L2748" i="1"/>
  <c r="Q2748" i="1" s="1"/>
  <c r="O2750" i="1"/>
  <c r="P2767" i="1"/>
  <c r="P2785" i="1"/>
  <c r="L2659" i="1"/>
  <c r="Q2659" i="1" s="1"/>
  <c r="P2662" i="1"/>
  <c r="P2668" i="1"/>
  <c r="P2673" i="1"/>
  <c r="P2677" i="1"/>
  <c r="P2681" i="1"/>
  <c r="P2685" i="1"/>
  <c r="P2689" i="1"/>
  <c r="P2693" i="1"/>
  <c r="P2697" i="1"/>
  <c r="O2700" i="1"/>
  <c r="O2702" i="1"/>
  <c r="O2704" i="1"/>
  <c r="O2706" i="1"/>
  <c r="O2708" i="1"/>
  <c r="O2710" i="1"/>
  <c r="O2712" i="1"/>
  <c r="O2714" i="1"/>
  <c r="O2716" i="1"/>
  <c r="O2718" i="1"/>
  <c r="O2720" i="1"/>
  <c r="O2722" i="1"/>
  <c r="O2724" i="1"/>
  <c r="P2726" i="1"/>
  <c r="L2729" i="1"/>
  <c r="O2731" i="1"/>
  <c r="L2741" i="1"/>
  <c r="O2743" i="1"/>
  <c r="L2753" i="1"/>
  <c r="O2755" i="1"/>
  <c r="L2676" i="1"/>
  <c r="L2680" i="1"/>
  <c r="L2684" i="1"/>
  <c r="Q2684" i="1" s="1"/>
  <c r="L2688" i="1"/>
  <c r="L2692" i="1"/>
  <c r="L2696" i="1"/>
  <c r="Q2696" i="1" s="1"/>
  <c r="P2700" i="1"/>
  <c r="P2702" i="1"/>
  <c r="P2704" i="1"/>
  <c r="P2706" i="1"/>
  <c r="P2708" i="1"/>
  <c r="P2710" i="1"/>
  <c r="P2712" i="1"/>
  <c r="P2714" i="1"/>
  <c r="P2716" i="1"/>
  <c r="P2718" i="1"/>
  <c r="P2720" i="1"/>
  <c r="P2722" i="1"/>
  <c r="P2724" i="1"/>
  <c r="L2734" i="1"/>
  <c r="O2736" i="1"/>
  <c r="L2746" i="1"/>
  <c r="O2748" i="1"/>
  <c r="O2676" i="1"/>
  <c r="O2680" i="1"/>
  <c r="O2684" i="1"/>
  <c r="O2688" i="1"/>
  <c r="O2692" i="1"/>
  <c r="O2696" i="1"/>
  <c r="L2727" i="1"/>
  <c r="L2739" i="1"/>
  <c r="L2751" i="1"/>
  <c r="P2676" i="1"/>
  <c r="P2680" i="1"/>
  <c r="P2684" i="1"/>
  <c r="P2688" i="1"/>
  <c r="P2692" i="1"/>
  <c r="P2696" i="1"/>
  <c r="L2732" i="1"/>
  <c r="L2744" i="1"/>
  <c r="O2756" i="1"/>
  <c r="L2756" i="1"/>
  <c r="P2779" i="1"/>
  <c r="L2767" i="1"/>
  <c r="L2773" i="1"/>
  <c r="L2779" i="1"/>
  <c r="L2785" i="1"/>
  <c r="P2789" i="1"/>
  <c r="P2793" i="1"/>
  <c r="P2797" i="1"/>
  <c r="P2801" i="1"/>
  <c r="P2805" i="1"/>
  <c r="P2809" i="1"/>
  <c r="P2813" i="1"/>
  <c r="P2817" i="1"/>
  <c r="P2821" i="1"/>
  <c r="P2825" i="1"/>
  <c r="P2829" i="1"/>
  <c r="P2838" i="1"/>
  <c r="L2838" i="1"/>
  <c r="P2832" i="1"/>
  <c r="L2832" i="1"/>
  <c r="O2849" i="1"/>
  <c r="L2849" i="1"/>
  <c r="Q2849" i="1" s="1"/>
  <c r="P2911" i="1"/>
  <c r="L2766" i="1"/>
  <c r="L2772" i="1"/>
  <c r="L2778" i="1"/>
  <c r="Q2778" i="1" s="1"/>
  <c r="L2784" i="1"/>
  <c r="P2834" i="1"/>
  <c r="L2834" i="1"/>
  <c r="P2836" i="1"/>
  <c r="L2836" i="1"/>
  <c r="O2844" i="1"/>
  <c r="O2845" i="1"/>
  <c r="O2874" i="1"/>
  <c r="L2874" i="1"/>
  <c r="Q2874" i="1" s="1"/>
  <c r="O2893" i="1"/>
  <c r="L2893" i="1"/>
  <c r="P2765" i="1"/>
  <c r="P2771" i="1"/>
  <c r="P2777" i="1"/>
  <c r="P2783" i="1"/>
  <c r="P2788" i="1"/>
  <c r="P2792" i="1"/>
  <c r="P2796" i="1"/>
  <c r="P2800" i="1"/>
  <c r="P2804" i="1"/>
  <c r="P2808" i="1"/>
  <c r="P2812" i="1"/>
  <c r="P2816" i="1"/>
  <c r="P2820" i="1"/>
  <c r="P2824" i="1"/>
  <c r="P2828" i="1"/>
  <c r="P2841" i="1"/>
  <c r="P2842" i="1"/>
  <c r="L2841" i="1"/>
  <c r="Q2842" i="1" s="1"/>
  <c r="O2860" i="1"/>
  <c r="O2863" i="1"/>
  <c r="O2871" i="1"/>
  <c r="L2871" i="1"/>
  <c r="Q2871" i="1" s="1"/>
  <c r="O2929" i="1"/>
  <c r="L2929" i="1"/>
  <c r="O2850" i="1"/>
  <c r="L2764" i="1"/>
  <c r="O2788" i="1"/>
  <c r="O2792" i="1"/>
  <c r="O2796" i="1"/>
  <c r="O2800" i="1"/>
  <c r="P2839" i="1"/>
  <c r="L2839" i="1"/>
  <c r="O2847" i="1"/>
  <c r="L2847" i="1"/>
  <c r="L2868" i="1"/>
  <c r="O2868" i="1"/>
  <c r="O2875" i="1"/>
  <c r="O2876" i="1"/>
  <c r="L2875" i="1"/>
  <c r="L2770" i="1"/>
  <c r="O2771" i="1"/>
  <c r="L2776" i="1"/>
  <c r="O2777" i="1"/>
  <c r="L2782" i="1"/>
  <c r="O2783" i="1"/>
  <c r="P2787" i="1"/>
  <c r="P2791" i="1"/>
  <c r="P2795" i="1"/>
  <c r="P2799" i="1"/>
  <c r="P2803" i="1"/>
  <c r="P2807" i="1"/>
  <c r="P2811" i="1"/>
  <c r="P2815" i="1"/>
  <c r="P2819" i="1"/>
  <c r="P2823" i="1"/>
  <c r="P2827" i="1"/>
  <c r="P2831" i="1"/>
  <c r="L2831" i="1"/>
  <c r="L2850" i="1"/>
  <c r="O2872" i="1"/>
  <c r="L2872" i="1"/>
  <c r="O2873" i="1"/>
  <c r="P2916" i="1"/>
  <c r="L2762" i="1"/>
  <c r="L2787" i="1"/>
  <c r="L2791" i="1"/>
  <c r="L2795" i="1"/>
  <c r="Q2795" i="1" s="1"/>
  <c r="L2799" i="1"/>
  <c r="P2837" i="1"/>
  <c r="L2837" i="1"/>
  <c r="L2855" i="1"/>
  <c r="Q2861" i="1"/>
  <c r="L2909" i="1"/>
  <c r="Q2909" i="1" s="1"/>
  <c r="O2910" i="1"/>
  <c r="O2909" i="1"/>
  <c r="P2970" i="1"/>
  <c r="P2982" i="1"/>
  <c r="L2761" i="1"/>
  <c r="L2769" i="1"/>
  <c r="O2770" i="1"/>
  <c r="L2775" i="1"/>
  <c r="O2776" i="1"/>
  <c r="L2781" i="1"/>
  <c r="Q2781" i="1" s="1"/>
  <c r="O2782" i="1"/>
  <c r="O2787" i="1"/>
  <c r="O2791" i="1"/>
  <c r="O2795" i="1"/>
  <c r="O2799" i="1"/>
  <c r="P2833" i="1"/>
  <c r="L2833" i="1"/>
  <c r="P2835" i="1"/>
  <c r="L2835" i="1"/>
  <c r="Q2845" i="1"/>
  <c r="O2858" i="1"/>
  <c r="L2858" i="1"/>
  <c r="P2864" i="1"/>
  <c r="P2865" i="1"/>
  <c r="L2864" i="1"/>
  <c r="O2869" i="1"/>
  <c r="L2869" i="1"/>
  <c r="P2876" i="1"/>
  <c r="P2877" i="1"/>
  <c r="L2876" i="1"/>
  <c r="L2891" i="1"/>
  <c r="O2891" i="1"/>
  <c r="L2760" i="1"/>
  <c r="O2762" i="1"/>
  <c r="P2768" i="1"/>
  <c r="P2774" i="1"/>
  <c r="P2780" i="1"/>
  <c r="P2786" i="1"/>
  <c r="P2790" i="1"/>
  <c r="P2794" i="1"/>
  <c r="P2798" i="1"/>
  <c r="P2802" i="1"/>
  <c r="P2806" i="1"/>
  <c r="P2810" i="1"/>
  <c r="P2814" i="1"/>
  <c r="P2818" i="1"/>
  <c r="P2822" i="1"/>
  <c r="P2826" i="1"/>
  <c r="P2830" i="1"/>
  <c r="O2848" i="1"/>
  <c r="O2855" i="1"/>
  <c r="P2935" i="1"/>
  <c r="P2840" i="1"/>
  <c r="L2840" i="1"/>
  <c r="P2857" i="1"/>
  <c r="P2860" i="1"/>
  <c r="Q2907" i="1"/>
  <c r="O2911" i="1"/>
  <c r="O2912" i="1"/>
  <c r="L2916" i="1"/>
  <c r="P2918" i="1"/>
  <c r="Q2925" i="1"/>
  <c r="O2935" i="1"/>
  <c r="O2936" i="1"/>
  <c r="O2970" i="1"/>
  <c r="L2970" i="1"/>
  <c r="O2982" i="1"/>
  <c r="L2982" i="1"/>
  <c r="P3026" i="1"/>
  <c r="P3025" i="1"/>
  <c r="O2859" i="1"/>
  <c r="P2861" i="1"/>
  <c r="P2872" i="1"/>
  <c r="L2880" i="1"/>
  <c r="O2883" i="1"/>
  <c r="P2898" i="1"/>
  <c r="L2911" i="1"/>
  <c r="Q2912" i="1" s="1"/>
  <c r="O2916" i="1"/>
  <c r="L2927" i="1"/>
  <c r="P2931" i="1"/>
  <c r="L2935" i="1"/>
  <c r="L2946" i="1"/>
  <c r="O2957" i="1"/>
  <c r="L2957" i="1"/>
  <c r="P2960" i="1"/>
  <c r="P2961" i="1"/>
  <c r="P2886" i="1"/>
  <c r="O2933" i="1"/>
  <c r="L2933" i="1"/>
  <c r="P2946" i="1"/>
  <c r="O2953" i="1"/>
  <c r="L2953" i="1"/>
  <c r="P2971" i="1"/>
  <c r="P2983" i="1"/>
  <c r="L2859" i="1"/>
  <c r="Q2860" i="1" s="1"/>
  <c r="L2863" i="1"/>
  <c r="P2869" i="1"/>
  <c r="O2880" i="1"/>
  <c r="L2883" i="1"/>
  <c r="P2893" i="1"/>
  <c r="O2899" i="1"/>
  <c r="O2900" i="1"/>
  <c r="L2904" i="1"/>
  <c r="P2906" i="1"/>
  <c r="Q2920" i="1"/>
  <c r="L2922" i="1"/>
  <c r="P2924" i="1"/>
  <c r="P2925" i="1"/>
  <c r="Q2938" i="1"/>
  <c r="P2942" i="1"/>
  <c r="L2942" i="1"/>
  <c r="O2946" i="1"/>
  <c r="L2971" i="1"/>
  <c r="Q2972" i="1" s="1"/>
  <c r="L2983" i="1"/>
  <c r="L2879" i="1"/>
  <c r="Q2879" i="1" s="1"/>
  <c r="L2885" i="1"/>
  <c r="Q2885" i="1" s="1"/>
  <c r="O2887" i="1"/>
  <c r="O2888" i="1"/>
  <c r="L2897" i="1"/>
  <c r="O2917" i="1"/>
  <c r="P2936" i="1"/>
  <c r="P2937" i="1"/>
  <c r="O2947" i="1"/>
  <c r="O2948" i="1"/>
  <c r="O3032" i="1"/>
  <c r="L3032" i="1"/>
  <c r="O3043" i="1"/>
  <c r="L3043" i="1"/>
  <c r="P2858" i="1"/>
  <c r="L2899" i="1"/>
  <c r="L2915" i="1"/>
  <c r="Q2915" i="1" s="1"/>
  <c r="L2936" i="1"/>
  <c r="Q2937" i="1" s="1"/>
  <c r="O3066" i="1"/>
  <c r="L3066" i="1"/>
  <c r="P2882" i="1"/>
  <c r="L2887" i="1"/>
  <c r="O2894" i="1"/>
  <c r="P2899" i="1"/>
  <c r="P2904" i="1"/>
  <c r="L2910" i="1"/>
  <c r="P2912" i="1"/>
  <c r="P2913" i="1"/>
  <c r="L2917" i="1"/>
  <c r="P2919" i="1"/>
  <c r="P2922" i="1"/>
  <c r="O2930" i="1"/>
  <c r="L2947" i="1"/>
  <c r="L2958" i="1"/>
  <c r="O3128" i="1"/>
  <c r="L3128" i="1"/>
  <c r="Q3129" i="1" s="1"/>
  <c r="O2857" i="1"/>
  <c r="P2868" i="1"/>
  <c r="O2879" i="1"/>
  <c r="L2882" i="1"/>
  <c r="O2885" i="1"/>
  <c r="L2892" i="1"/>
  <c r="P2894" i="1"/>
  <c r="O2897" i="1"/>
  <c r="P2917" i="1"/>
  <c r="P2930" i="1"/>
  <c r="L2930" i="1"/>
  <c r="L2934" i="1"/>
  <c r="P2947" i="1"/>
  <c r="O2954" i="1"/>
  <c r="P2958" i="1"/>
  <c r="P3279" i="1"/>
  <c r="P3280" i="1"/>
  <c r="O2870" i="1"/>
  <c r="P2887" i="1"/>
  <c r="L2894" i="1"/>
  <c r="Q2895" i="1" s="1"/>
  <c r="O2905" i="1"/>
  <c r="O2915" i="1"/>
  <c r="O2923" i="1"/>
  <c r="O2924" i="1"/>
  <c r="P2934" i="1"/>
  <c r="O2945" i="1"/>
  <c r="L2945" i="1"/>
  <c r="Q2945" i="1" s="1"/>
  <c r="P2954" i="1"/>
  <c r="L2954" i="1"/>
  <c r="O2958" i="1"/>
  <c r="O2969" i="1"/>
  <c r="L2969" i="1"/>
  <c r="O2981" i="1"/>
  <c r="L2981" i="1"/>
  <c r="O2993" i="1"/>
  <c r="L2993" i="1"/>
  <c r="O2994" i="1"/>
  <c r="L2857" i="1"/>
  <c r="P2870" i="1"/>
  <c r="O2881" i="1"/>
  <c r="O2892" i="1"/>
  <c r="L2903" i="1"/>
  <c r="P2910" i="1"/>
  <c r="L2921" i="1"/>
  <c r="Q2921" i="1" s="1"/>
  <c r="O2928" i="1"/>
  <c r="O2934" i="1"/>
  <c r="O2941" i="1"/>
  <c r="L2941" i="1"/>
  <c r="P2948" i="1"/>
  <c r="P2949" i="1"/>
  <c r="O2959" i="1"/>
  <c r="O2960" i="1"/>
  <c r="P3007" i="1"/>
  <c r="L2898" i="1"/>
  <c r="P2900" i="1"/>
  <c r="P2901" i="1"/>
  <c r="O2918" i="1"/>
  <c r="P2959" i="1"/>
  <c r="P3157" i="1"/>
  <c r="P3158" i="1"/>
  <c r="O3007" i="1"/>
  <c r="O3027" i="1"/>
  <c r="L3027" i="1"/>
  <c r="O3054" i="1"/>
  <c r="L3054" i="1"/>
  <c r="P3057" i="1"/>
  <c r="P3058" i="1"/>
  <c r="O3158" i="1"/>
  <c r="O3157" i="1"/>
  <c r="L3157" i="1"/>
  <c r="Q3158" i="1" s="1"/>
  <c r="P3232" i="1"/>
  <c r="P3233" i="1"/>
  <c r="P3268" i="1"/>
  <c r="P3269" i="1"/>
  <c r="P2993" i="1"/>
  <c r="P3003" i="1"/>
  <c r="L3007" i="1"/>
  <c r="Q3007" i="1" s="1"/>
  <c r="L3015" i="1"/>
  <c r="P3032" i="1"/>
  <c r="O3036" i="1"/>
  <c r="P3043" i="1"/>
  <c r="L3048" i="1"/>
  <c r="O3079" i="1"/>
  <c r="L3079" i="1"/>
  <c r="O3090" i="1"/>
  <c r="L3090" i="1"/>
  <c r="P3105" i="1"/>
  <c r="P3175" i="1"/>
  <c r="O2972" i="1"/>
  <c r="P2973" i="1"/>
  <c r="O2984" i="1"/>
  <c r="P2985" i="1"/>
  <c r="P2996" i="1"/>
  <c r="L3012" i="1"/>
  <c r="P3079" i="1"/>
  <c r="O3132" i="1"/>
  <c r="O3133" i="1"/>
  <c r="L3132" i="1"/>
  <c r="Q3133" i="1" s="1"/>
  <c r="L3138" i="1"/>
  <c r="Q3139" i="1" s="1"/>
  <c r="O3138" i="1"/>
  <c r="L3148" i="1"/>
  <c r="Q3149" i="1" s="1"/>
  <c r="P3148" i="1"/>
  <c r="P3149" i="1"/>
  <c r="O3200" i="1"/>
  <c r="L3200" i="1"/>
  <c r="P3224" i="1"/>
  <c r="L3224" i="1"/>
  <c r="P3264" i="1"/>
  <c r="P3265" i="1"/>
  <c r="P3324" i="1"/>
  <c r="P3323" i="1"/>
  <c r="L2968" i="1"/>
  <c r="L2980" i="1"/>
  <c r="L2992" i="1"/>
  <c r="L2996" i="1"/>
  <c r="Q2997" i="1" s="1"/>
  <c r="O3019" i="1"/>
  <c r="O3044" i="1"/>
  <c r="O3045" i="1"/>
  <c r="O3055" i="1"/>
  <c r="L3055" i="1"/>
  <c r="O3216" i="1"/>
  <c r="L3216" i="1"/>
  <c r="P3294" i="1"/>
  <c r="P3295" i="1"/>
  <c r="L3024" i="1"/>
  <c r="O3033" i="1"/>
  <c r="P3044" i="1"/>
  <c r="P3055" i="1"/>
  <c r="O3067" i="1"/>
  <c r="L3067" i="1"/>
  <c r="P3080" i="1"/>
  <c r="O3091" i="1"/>
  <c r="L3091" i="1"/>
  <c r="O3102" i="1"/>
  <c r="L3102" i="1"/>
  <c r="O3212" i="1"/>
  <c r="L3212" i="1"/>
  <c r="P3216" i="1"/>
  <c r="P3342" i="1"/>
  <c r="L2966" i="1"/>
  <c r="L2978" i="1"/>
  <c r="L2990" i="1"/>
  <c r="O2996" i="1"/>
  <c r="O3002" i="1"/>
  <c r="L3001" i="1"/>
  <c r="P3015" i="1"/>
  <c r="L3019" i="1"/>
  <c r="O3028" i="1"/>
  <c r="O3030" i="1"/>
  <c r="L3030" i="1"/>
  <c r="P3033" i="1"/>
  <c r="L3044" i="1"/>
  <c r="P3067" i="1"/>
  <c r="L3080" i="1"/>
  <c r="P3091" i="1"/>
  <c r="O3123" i="1"/>
  <c r="O3124" i="1"/>
  <c r="L3123" i="1"/>
  <c r="O3142" i="1"/>
  <c r="O3143" i="1"/>
  <c r="L3142" i="1"/>
  <c r="P3186" i="1"/>
  <c r="P3375" i="1"/>
  <c r="L3375" i="1"/>
  <c r="Q3375" i="1" s="1"/>
  <c r="L2965" i="1"/>
  <c r="L2977" i="1"/>
  <c r="L2989" i="1"/>
  <c r="P3008" i="1"/>
  <c r="L3014" i="1"/>
  <c r="L3021" i="1"/>
  <c r="L3033" i="1"/>
  <c r="P3037" i="1"/>
  <c r="O3056" i="1"/>
  <c r="O3057" i="1"/>
  <c r="O3068" i="1"/>
  <c r="O3069" i="1"/>
  <c r="O3092" i="1"/>
  <c r="P3162" i="1"/>
  <c r="P3195" i="1"/>
  <c r="P3194" i="1"/>
  <c r="L3194" i="1"/>
  <c r="L2928" i="1"/>
  <c r="L2940" i="1"/>
  <c r="L2952" i="1"/>
  <c r="L2964" i="1"/>
  <c r="L2976" i="1"/>
  <c r="L2988" i="1"/>
  <c r="L2995" i="1"/>
  <c r="O3001" i="1"/>
  <c r="L3008" i="1"/>
  <c r="P3014" i="1"/>
  <c r="O3016" i="1"/>
  <c r="O3024" i="1"/>
  <c r="P3056" i="1"/>
  <c r="P3068" i="1"/>
  <c r="P3081" i="1"/>
  <c r="P3092" i="1"/>
  <c r="O3103" i="1"/>
  <c r="L3103" i="1"/>
  <c r="L3114" i="1"/>
  <c r="O3114" i="1"/>
  <c r="P3177" i="1"/>
  <c r="L3177" i="1"/>
  <c r="Q3177" i="1" s="1"/>
  <c r="L3243" i="1"/>
  <c r="O3243" i="1"/>
  <c r="L3272" i="1"/>
  <c r="Q3273" i="1" s="1"/>
  <c r="O3272" i="1"/>
  <c r="O3273" i="1"/>
  <c r="L2939" i="1"/>
  <c r="Q2939" i="1" s="1"/>
  <c r="L2951" i="1"/>
  <c r="L2963" i="1"/>
  <c r="Q2963" i="1" s="1"/>
  <c r="L2975" i="1"/>
  <c r="Q2975" i="1" s="1"/>
  <c r="L2987" i="1"/>
  <c r="Q2987" i="1" s="1"/>
  <c r="P3001" i="1"/>
  <c r="O3006" i="1"/>
  <c r="O3042" i="1"/>
  <c r="L3042" i="1"/>
  <c r="Q3042" i="1" s="1"/>
  <c r="P3045" i="1"/>
  <c r="P3046" i="1"/>
  <c r="L3056" i="1"/>
  <c r="L3068" i="1"/>
  <c r="P3103" i="1"/>
  <c r="L3227" i="1"/>
  <c r="O3227" i="1"/>
  <c r="O3228" i="1"/>
  <c r="O2998" i="1"/>
  <c r="L3003" i="1"/>
  <c r="P3006" i="1"/>
  <c r="P3010" i="1"/>
  <c r="O3014" i="1"/>
  <c r="L3013" i="1"/>
  <c r="L3018" i="1"/>
  <c r="P3021" i="1"/>
  <c r="O3031" i="1"/>
  <c r="L3031" i="1"/>
  <c r="L3045" i="1"/>
  <c r="P3049" i="1"/>
  <c r="O3078" i="1"/>
  <c r="L3078" i="1"/>
  <c r="Q3078" i="1" s="1"/>
  <c r="O3104" i="1"/>
  <c r="P3124" i="1"/>
  <c r="P3125" i="1"/>
  <c r="O3182" i="1"/>
  <c r="O3181" i="1"/>
  <c r="L3181" i="1"/>
  <c r="Q3182" i="1" s="1"/>
  <c r="P3207" i="1"/>
  <c r="P3206" i="1"/>
  <c r="P2995" i="1"/>
  <c r="Q2998" i="1"/>
  <c r="L3000" i="1"/>
  <c r="P3020" i="1"/>
  <c r="P3031" i="1"/>
  <c r="L3036" i="1"/>
  <c r="P3069" i="1"/>
  <c r="P3070" i="1"/>
  <c r="P3104" i="1"/>
  <c r="O3118" i="1"/>
  <c r="O3119" i="1"/>
  <c r="L3118" i="1"/>
  <c r="O3147" i="1"/>
  <c r="O3148" i="1"/>
  <c r="L3147" i="1"/>
  <c r="Q3147" i="1" s="1"/>
  <c r="L3210" i="1"/>
  <c r="O3210" i="1"/>
  <c r="L3232" i="1"/>
  <c r="Q3233" i="1" s="1"/>
  <c r="L3268" i="1"/>
  <c r="Q3269" i="1" s="1"/>
  <c r="O3268" i="1"/>
  <c r="O3269" i="1"/>
  <c r="P3128" i="1"/>
  <c r="P3134" i="1"/>
  <c r="O3155" i="1"/>
  <c r="P3166" i="1"/>
  <c r="O3168" i="1"/>
  <c r="L3168" i="1"/>
  <c r="Q3168" i="1" s="1"/>
  <c r="P3171" i="1"/>
  <c r="O3173" i="1"/>
  <c r="P3181" i="1"/>
  <c r="P3190" i="1"/>
  <c r="O3192" i="1"/>
  <c r="L3192" i="1"/>
  <c r="Q3192" i="1" s="1"/>
  <c r="L3198" i="1"/>
  <c r="P3200" i="1"/>
  <c r="O3204" i="1"/>
  <c r="L3204" i="1"/>
  <c r="P3227" i="1"/>
  <c r="O3238" i="1"/>
  <c r="P3272" i="1"/>
  <c r="P3273" i="1"/>
  <c r="P3288" i="1"/>
  <c r="P3287" i="1"/>
  <c r="P3312" i="1"/>
  <c r="P3311" i="1"/>
  <c r="L3330" i="1"/>
  <c r="O3081" i="1"/>
  <c r="P3082" i="1"/>
  <c r="O3093" i="1"/>
  <c r="P3094" i="1"/>
  <c r="O3105" i="1"/>
  <c r="P3106" i="1"/>
  <c r="O3217" i="1"/>
  <c r="O3222" i="1"/>
  <c r="P3235" i="1"/>
  <c r="P3238" i="1"/>
  <c r="P3239" i="1"/>
  <c r="P3276" i="1"/>
  <c r="P3330" i="1"/>
  <c r="O3117" i="1"/>
  <c r="O3127" i="1"/>
  <c r="P3217" i="1"/>
  <c r="P3218" i="1"/>
  <c r="P3222" i="1"/>
  <c r="O3244" i="1"/>
  <c r="P3300" i="1"/>
  <c r="P3299" i="1"/>
  <c r="L3004" i="1"/>
  <c r="L3016" i="1"/>
  <c r="L3028" i="1"/>
  <c r="L3040" i="1"/>
  <c r="L3052" i="1"/>
  <c r="L3064" i="1"/>
  <c r="L3076" i="1"/>
  <c r="L3088" i="1"/>
  <c r="L3100" i="1"/>
  <c r="L3112" i="1"/>
  <c r="P3114" i="1"/>
  <c r="L3136" i="1"/>
  <c r="L3137" i="1"/>
  <c r="P3138" i="1"/>
  <c r="L3161" i="1"/>
  <c r="O3163" i="1"/>
  <c r="P3170" i="1"/>
  <c r="L3174" i="1"/>
  <c r="O3179" i="1"/>
  <c r="L3185" i="1"/>
  <c r="Q3185" i="1" s="1"/>
  <c r="O3187" i="1"/>
  <c r="L3217" i="1"/>
  <c r="Q3218" i="1" s="1"/>
  <c r="L3222" i="1"/>
  <c r="P3230" i="1"/>
  <c r="P3241" i="1"/>
  <c r="P3244" i="1"/>
  <c r="P3245" i="1"/>
  <c r="P3318" i="1"/>
  <c r="O3390" i="1"/>
  <c r="L3390" i="1"/>
  <c r="L3039" i="1"/>
  <c r="Q3039" i="1" s="1"/>
  <c r="L3051" i="1"/>
  <c r="Q3051" i="1" s="1"/>
  <c r="L3063" i="1"/>
  <c r="Q3063" i="1" s="1"/>
  <c r="L3075" i="1"/>
  <c r="Q3075" i="1" s="1"/>
  <c r="L3087" i="1"/>
  <c r="L3099" i="1"/>
  <c r="Q3099" i="1" s="1"/>
  <c r="L3111" i="1"/>
  <c r="L3117" i="1"/>
  <c r="L3121" i="1"/>
  <c r="L3127" i="1"/>
  <c r="Q3127" i="1" s="1"/>
  <c r="L3131" i="1"/>
  <c r="L3141" i="1"/>
  <c r="L3145" i="1"/>
  <c r="Q3146" i="1" s="1"/>
  <c r="O3156" i="1"/>
  <c r="L3156" i="1"/>
  <c r="Q3156" i="1" s="1"/>
  <c r="O3165" i="1"/>
  <c r="P3176" i="1"/>
  <c r="O3189" i="1"/>
  <c r="O3206" i="1"/>
  <c r="O3213" i="1"/>
  <c r="P3225" i="1"/>
  <c r="L3306" i="1"/>
  <c r="Q3307" i="1" s="1"/>
  <c r="O3349" i="1"/>
  <c r="O3348" i="1"/>
  <c r="L3348" i="1"/>
  <c r="O3146" i="1"/>
  <c r="O3153" i="1"/>
  <c r="P3165" i="1"/>
  <c r="L3165" i="1"/>
  <c r="Q3165" i="1" s="1"/>
  <c r="O3170" i="1"/>
  <c r="O3194" i="1"/>
  <c r="O3201" i="1"/>
  <c r="P3205" i="1"/>
  <c r="O3211" i="1"/>
  <c r="L3215" i="1"/>
  <c r="Q3215" i="1" s="1"/>
  <c r="P3220" i="1"/>
  <c r="P3221" i="1"/>
  <c r="L3248" i="1"/>
  <c r="Q3249" i="1" s="1"/>
  <c r="O3248" i="1"/>
  <c r="L3289" i="1"/>
  <c r="O3289" i="1"/>
  <c r="P3306" i="1"/>
  <c r="L3025" i="1"/>
  <c r="Q3026" i="1" s="1"/>
  <c r="L3037" i="1"/>
  <c r="L3049" i="1"/>
  <c r="L3061" i="1"/>
  <c r="L3073" i="1"/>
  <c r="L3085" i="1"/>
  <c r="L3097" i="1"/>
  <c r="L3109" i="1"/>
  <c r="P3116" i="1"/>
  <c r="P3130" i="1"/>
  <c r="L3135" i="1"/>
  <c r="P3137" i="1"/>
  <c r="P3140" i="1"/>
  <c r="P3159" i="1"/>
  <c r="O3161" i="1"/>
  <c r="P3163" i="1"/>
  <c r="P3169" i="1"/>
  <c r="P3174" i="1"/>
  <c r="P3178" i="1"/>
  <c r="O3180" i="1"/>
  <c r="L3180" i="1"/>
  <c r="Q3180" i="1" s="1"/>
  <c r="P3183" i="1"/>
  <c r="O3185" i="1"/>
  <c r="P3187" i="1"/>
  <c r="P3193" i="1"/>
  <c r="O3199" i="1"/>
  <c r="P3201" i="1"/>
  <c r="L3205" i="1"/>
  <c r="Q3206" i="1" s="1"/>
  <c r="L3211" i="1"/>
  <c r="P3248" i="1"/>
  <c r="P3249" i="1"/>
  <c r="L3252" i="1"/>
  <c r="Q3253" i="1" s="1"/>
  <c r="O3252" i="1"/>
  <c r="P3331" i="1"/>
  <c r="L3060" i="1"/>
  <c r="L3072" i="1"/>
  <c r="L3084" i="1"/>
  <c r="L3096" i="1"/>
  <c r="L3108" i="1"/>
  <c r="L3116" i="1"/>
  <c r="Q3116" i="1" s="1"/>
  <c r="L3120" i="1"/>
  <c r="Q3120" i="1" s="1"/>
  <c r="L3130" i="1"/>
  <c r="Q3130" i="1" s="1"/>
  <c r="L3140" i="1"/>
  <c r="Q3140" i="1" s="1"/>
  <c r="L3144" i="1"/>
  <c r="Q3144" i="1" s="1"/>
  <c r="L3169" i="1"/>
  <c r="L3193" i="1"/>
  <c r="L3199" i="1"/>
  <c r="O3205" i="1"/>
  <c r="O3215" i="1"/>
  <c r="L3231" i="1"/>
  <c r="P3252" i="1"/>
  <c r="P3253" i="1"/>
  <c r="L3256" i="1"/>
  <c r="O3256" i="1"/>
  <c r="P3282" i="1"/>
  <c r="P3336" i="1"/>
  <c r="P3335" i="1"/>
  <c r="O3115" i="1"/>
  <c r="O3126" i="1"/>
  <c r="O3129" i="1"/>
  <c r="O3139" i="1"/>
  <c r="O3150" i="1"/>
  <c r="O3169" i="1"/>
  <c r="O3193" i="1"/>
  <c r="P3199" i="1"/>
  <c r="L3226" i="1"/>
  <c r="P3256" i="1"/>
  <c r="P3257" i="1"/>
  <c r="L3260" i="1"/>
  <c r="O3260" i="1"/>
  <c r="P3319" i="1"/>
  <c r="L3124" i="1"/>
  <c r="L3162" i="1"/>
  <c r="Q3163" i="1" s="1"/>
  <c r="L3173" i="1"/>
  <c r="L3186" i="1"/>
  <c r="P3229" i="1"/>
  <c r="L3229" i="1"/>
  <c r="L3237" i="1"/>
  <c r="O3237" i="1"/>
  <c r="P3260" i="1"/>
  <c r="P3261" i="1"/>
  <c r="L3264" i="1"/>
  <c r="Q3265" i="1" s="1"/>
  <c r="O3264" i="1"/>
  <c r="L3294" i="1"/>
  <c r="O3295" i="1"/>
  <c r="O3294" i="1"/>
  <c r="L3342" i="1"/>
  <c r="P3160" i="1"/>
  <c r="P3172" i="1"/>
  <c r="P3184" i="1"/>
  <c r="P3196" i="1"/>
  <c r="P3208" i="1"/>
  <c r="P3231" i="1"/>
  <c r="L3284" i="1"/>
  <c r="P3285" i="1"/>
  <c r="L3296" i="1"/>
  <c r="P3297" i="1"/>
  <c r="L3308" i="1"/>
  <c r="Q3308" i="1" s="1"/>
  <c r="P3309" i="1"/>
  <c r="L3320" i="1"/>
  <c r="Q3320" i="1" s="1"/>
  <c r="P3321" i="1"/>
  <c r="L3332" i="1"/>
  <c r="P3333" i="1"/>
  <c r="O3350" i="1"/>
  <c r="O3368" i="1"/>
  <c r="O3232" i="1"/>
  <c r="L3236" i="1"/>
  <c r="L3242" i="1"/>
  <c r="L3247" i="1"/>
  <c r="Q3247" i="1" s="1"/>
  <c r="L3251" i="1"/>
  <c r="Q3251" i="1" s="1"/>
  <c r="L3255" i="1"/>
  <c r="L3259" i="1"/>
  <c r="L3263" i="1"/>
  <c r="L3267" i="1"/>
  <c r="L3271" i="1"/>
  <c r="L3275" i="1"/>
  <c r="Q3275" i="1" s="1"/>
  <c r="L3278" i="1"/>
  <c r="Q3278" i="1" s="1"/>
  <c r="L3281" i="1"/>
  <c r="L3291" i="1"/>
  <c r="L3303" i="1"/>
  <c r="L3315" i="1"/>
  <c r="L3327" i="1"/>
  <c r="L3339" i="1"/>
  <c r="L3359" i="1"/>
  <c r="O3346" i="1"/>
  <c r="L3346" i="1"/>
  <c r="Q3346" i="1" s="1"/>
  <c r="L3153" i="1"/>
  <c r="L3189" i="1"/>
  <c r="L3201" i="1"/>
  <c r="L3213" i="1"/>
  <c r="L3220" i="1"/>
  <c r="L3225" i="1"/>
  <c r="L3230" i="1"/>
  <c r="L3235" i="1"/>
  <c r="Q3235" i="1" s="1"/>
  <c r="L3241" i="1"/>
  <c r="Q3241" i="1" s="1"/>
  <c r="L3293" i="1"/>
  <c r="L3305" i="1"/>
  <c r="L3317" i="1"/>
  <c r="Q3318" i="1" s="1"/>
  <c r="L3329" i="1"/>
  <c r="L3341" i="1"/>
  <c r="P3346" i="1"/>
  <c r="O3352" i="1"/>
  <c r="L3352" i="1"/>
  <c r="O3359" i="1"/>
  <c r="O3365" i="1"/>
  <c r="L3365" i="1"/>
  <c r="Q3366" i="1" s="1"/>
  <c r="P3475" i="1"/>
  <c r="P3476" i="1"/>
  <c r="P3352" i="1"/>
  <c r="O3377" i="1"/>
  <c r="L3377" i="1"/>
  <c r="O3392" i="1"/>
  <c r="O3393" i="1"/>
  <c r="L3392" i="1"/>
  <c r="P3226" i="1"/>
  <c r="O3247" i="1"/>
  <c r="O3251" i="1"/>
  <c r="O3255" i="1"/>
  <c r="O3259" i="1"/>
  <c r="O3263" i="1"/>
  <c r="O3267" i="1"/>
  <c r="O3271" i="1"/>
  <c r="O3275" i="1"/>
  <c r="O3278" i="1"/>
  <c r="O3281" i="1"/>
  <c r="Q3319" i="1"/>
  <c r="O3357" i="1"/>
  <c r="L3357" i="1"/>
  <c r="Q3358" i="1" s="1"/>
  <c r="P3219" i="1"/>
  <c r="O3223" i="1"/>
  <c r="O3225" i="1"/>
  <c r="O3286" i="1"/>
  <c r="L3290" i="1"/>
  <c r="O3298" i="1"/>
  <c r="L3302" i="1"/>
  <c r="L3314" i="1"/>
  <c r="L3326" i="1"/>
  <c r="L3338" i="1"/>
  <c r="L3343" i="1"/>
  <c r="Q3344" i="1" s="1"/>
  <c r="O3347" i="1"/>
  <c r="L3355" i="1"/>
  <c r="Q3355" i="1" s="1"/>
  <c r="P3357" i="1"/>
  <c r="O3370" i="1"/>
  <c r="L3370" i="1"/>
  <c r="L3197" i="1"/>
  <c r="L3209" i="1"/>
  <c r="Q3209" i="1" s="1"/>
  <c r="O3218" i="1"/>
  <c r="L3219" i="1"/>
  <c r="Q3219" i="1" s="1"/>
  <c r="O3220" i="1"/>
  <c r="O3235" i="1"/>
  <c r="O3241" i="1"/>
  <c r="O3293" i="1"/>
  <c r="P3347" i="1"/>
  <c r="L3349" i="1"/>
  <c r="O3353" i="1"/>
  <c r="P3370" i="1"/>
  <c r="O3382" i="1"/>
  <c r="L3382" i="1"/>
  <c r="Q3383" i="1" s="1"/>
  <c r="O3246" i="1"/>
  <c r="O3250" i="1"/>
  <c r="O3254" i="1"/>
  <c r="O3258" i="1"/>
  <c r="O3262" i="1"/>
  <c r="O3266" i="1"/>
  <c r="O3270" i="1"/>
  <c r="O3274" i="1"/>
  <c r="O3288" i="1"/>
  <c r="L3292" i="1"/>
  <c r="L3304" i="1"/>
  <c r="L3316" i="1"/>
  <c r="L3328" i="1"/>
  <c r="L3340" i="1"/>
  <c r="O3343" i="1"/>
  <c r="L3347" i="1"/>
  <c r="P3353" i="1"/>
  <c r="O3355" i="1"/>
  <c r="L3238" i="1"/>
  <c r="L3244" i="1"/>
  <c r="Q3244" i="1" s="1"/>
  <c r="L3276" i="1"/>
  <c r="O3277" i="1"/>
  <c r="L3279" i="1"/>
  <c r="O3280" i="1"/>
  <c r="L3282" i="1"/>
  <c r="O3283" i="1"/>
  <c r="L3287" i="1"/>
  <c r="Q3287" i="1" s="1"/>
  <c r="L3299" i="1"/>
  <c r="L3311" i="1"/>
  <c r="L3323" i="1"/>
  <c r="L3335" i="1"/>
  <c r="P3363" i="1"/>
  <c r="O3360" i="1"/>
  <c r="P3365" i="1"/>
  <c r="O3372" i="1"/>
  <c r="P3377" i="1"/>
  <c r="P3387" i="1"/>
  <c r="P3392" i="1"/>
  <c r="O3576" i="1"/>
  <c r="L3576" i="1"/>
  <c r="O3367" i="1"/>
  <c r="P3372" i="1"/>
  <c r="O3379" i="1"/>
  <c r="Q3422" i="1"/>
  <c r="O3362" i="1"/>
  <c r="O3374" i="1"/>
  <c r="L3398" i="1"/>
  <c r="Q3403" i="1"/>
  <c r="P3455" i="1"/>
  <c r="P3454" i="1"/>
  <c r="P3344" i="1"/>
  <c r="P3350" i="1"/>
  <c r="L3356" i="1"/>
  <c r="P3362" i="1"/>
  <c r="L3367" i="1"/>
  <c r="O3369" i="1"/>
  <c r="P3374" i="1"/>
  <c r="L3379" i="1"/>
  <c r="L3384" i="1"/>
  <c r="Q3384" i="1" s="1"/>
  <c r="O3386" i="1"/>
  <c r="P3398" i="1"/>
  <c r="O3472" i="1"/>
  <c r="L3472" i="1"/>
  <c r="O3364" i="1"/>
  <c r="O3376" i="1"/>
  <c r="P3381" i="1"/>
  <c r="P3389" i="1"/>
  <c r="L3389" i="1"/>
  <c r="P3343" i="1"/>
  <c r="O3345" i="1"/>
  <c r="O3351" i="1"/>
  <c r="O3356" i="1"/>
  <c r="P3359" i="1"/>
  <c r="P3364" i="1"/>
  <c r="L3369" i="1"/>
  <c r="Q3369" i="1" s="1"/>
  <c r="O3371" i="1"/>
  <c r="P3376" i="1"/>
  <c r="L3381" i="1"/>
  <c r="O3384" i="1"/>
  <c r="L3386" i="1"/>
  <c r="Q3386" i="1" s="1"/>
  <c r="O3391" i="1"/>
  <c r="L3391" i="1"/>
  <c r="O3463" i="1"/>
  <c r="L3463" i="1"/>
  <c r="L3364" i="1"/>
  <c r="O3366" i="1"/>
  <c r="P3371" i="1"/>
  <c r="L3376" i="1"/>
  <c r="O3378" i="1"/>
  <c r="P3393" i="1"/>
  <c r="O3459" i="1"/>
  <c r="L3459" i="1"/>
  <c r="P3348" i="1"/>
  <c r="P3354" i="1"/>
  <c r="O3361" i="1"/>
  <c r="L3371" i="1"/>
  <c r="O3373" i="1"/>
  <c r="P3378" i="1"/>
  <c r="O3388" i="1"/>
  <c r="L3388" i="1"/>
  <c r="L3393" i="1"/>
  <c r="L3397" i="1"/>
  <c r="O3380" i="1"/>
  <c r="O3363" i="1"/>
  <c r="L3373" i="1"/>
  <c r="O3375" i="1"/>
  <c r="P3463" i="1"/>
  <c r="P3472" i="1"/>
  <c r="O3509" i="1"/>
  <c r="L3509" i="1"/>
  <c r="Q3509" i="1" s="1"/>
  <c r="Q3430" i="1"/>
  <c r="Q3434" i="1"/>
  <c r="O3453" i="1"/>
  <c r="L3453" i="1"/>
  <c r="Q3453" i="1" s="1"/>
  <c r="P3456" i="1"/>
  <c r="L3456" i="1"/>
  <c r="Q3457" i="1" s="1"/>
  <c r="O3469" i="1"/>
  <c r="L3469" i="1"/>
  <c r="O3466" i="1"/>
  <c r="L3466" i="1"/>
  <c r="P3469" i="1"/>
  <c r="Q3400" i="1"/>
  <c r="P3466" i="1"/>
  <c r="P3473" i="1"/>
  <c r="O3455" i="1"/>
  <c r="O3458" i="1"/>
  <c r="L3458" i="1"/>
  <c r="Q3458" i="1" s="1"/>
  <c r="O3460" i="1"/>
  <c r="L3460" i="1"/>
  <c r="O3496" i="1"/>
  <c r="L3496" i="1"/>
  <c r="O3462" i="1"/>
  <c r="L3462" i="1"/>
  <c r="P3464" i="1"/>
  <c r="O3481" i="1"/>
  <c r="L3481" i="1"/>
  <c r="O3484" i="1"/>
  <c r="L3484" i="1"/>
  <c r="O3487" i="1"/>
  <c r="L3487" i="1"/>
  <c r="O3490" i="1"/>
  <c r="L3490" i="1"/>
  <c r="L3455" i="1"/>
  <c r="L3396" i="1"/>
  <c r="Q3396" i="1" s="1"/>
  <c r="Q3411" i="1"/>
  <c r="Q3428" i="1"/>
  <c r="P3467" i="1"/>
  <c r="O3478" i="1"/>
  <c r="L3478" i="1"/>
  <c r="O3504" i="1"/>
  <c r="L3504" i="1"/>
  <c r="P3478" i="1"/>
  <c r="O3475" i="1"/>
  <c r="L3475" i="1"/>
  <c r="O3501" i="1"/>
  <c r="L3501" i="1"/>
  <c r="O3494" i="1"/>
  <c r="L3494" i="1"/>
  <c r="P3516" i="1"/>
  <c r="O3520" i="1"/>
  <c r="L3520" i="1"/>
  <c r="Q3520" i="1" s="1"/>
  <c r="O3529" i="1"/>
  <c r="L3529" i="1"/>
  <c r="O3456" i="1"/>
  <c r="O3499" i="1"/>
  <c r="L3499" i="1"/>
  <c r="O3510" i="1"/>
  <c r="L3510" i="1"/>
  <c r="O3465" i="1"/>
  <c r="L3465" i="1"/>
  <c r="O3468" i="1"/>
  <c r="L3468" i="1"/>
  <c r="O3471" i="1"/>
  <c r="L3471" i="1"/>
  <c r="O3474" i="1"/>
  <c r="L3474" i="1"/>
  <c r="O3477" i="1"/>
  <c r="L3477" i="1"/>
  <c r="O3480" i="1"/>
  <c r="L3480" i="1"/>
  <c r="O3483" i="1"/>
  <c r="L3483" i="1"/>
  <c r="O3486" i="1"/>
  <c r="L3486" i="1"/>
  <c r="O3489" i="1"/>
  <c r="L3489" i="1"/>
  <c r="O3492" i="1"/>
  <c r="L3492" i="1"/>
  <c r="O3502" i="1"/>
  <c r="L3502" i="1"/>
  <c r="Q3502" i="1" s="1"/>
  <c r="P3510" i="1"/>
  <c r="P3511" i="1"/>
  <c r="O3454" i="1"/>
  <c r="O3497" i="1"/>
  <c r="L3497" i="1"/>
  <c r="O3505" i="1"/>
  <c r="P3505" i="1"/>
  <c r="O3526" i="1"/>
  <c r="L3526" i="1"/>
  <c r="O3452" i="1"/>
  <c r="L3454" i="1"/>
  <c r="O3461" i="1"/>
  <c r="L3461" i="1"/>
  <c r="O3495" i="1"/>
  <c r="L3495" i="1"/>
  <c r="P3535" i="1"/>
  <c r="O3464" i="1"/>
  <c r="L3464" i="1"/>
  <c r="O3467" i="1"/>
  <c r="L3467" i="1"/>
  <c r="O3470" i="1"/>
  <c r="L3470" i="1"/>
  <c r="O3473" i="1"/>
  <c r="L3473" i="1"/>
  <c r="O3476" i="1"/>
  <c r="L3476" i="1"/>
  <c r="O3479" i="1"/>
  <c r="L3479" i="1"/>
  <c r="O3482" i="1"/>
  <c r="L3482" i="1"/>
  <c r="O3485" i="1"/>
  <c r="L3485" i="1"/>
  <c r="O3488" i="1"/>
  <c r="L3488" i="1"/>
  <c r="O3491" i="1"/>
  <c r="L3491" i="1"/>
  <c r="O3500" i="1"/>
  <c r="L3500" i="1"/>
  <c r="O3503" i="1"/>
  <c r="L3503" i="1"/>
  <c r="O3493" i="1"/>
  <c r="L3493" i="1"/>
  <c r="O3498" i="1"/>
  <c r="L3498" i="1"/>
  <c r="O3523" i="1"/>
  <c r="L3523" i="1"/>
  <c r="O3532" i="1"/>
  <c r="L3532" i="1"/>
  <c r="O3535" i="1"/>
  <c r="L3535" i="1"/>
  <c r="L3516" i="1"/>
  <c r="O3537" i="1"/>
  <c r="L3537" i="1"/>
  <c r="O3555" i="1"/>
  <c r="L3555" i="1"/>
  <c r="O3514" i="1"/>
  <c r="L3515" i="1"/>
  <c r="Q3515" i="1" s="1"/>
  <c r="O3519" i="1"/>
  <c r="P3520" i="1"/>
  <c r="O3539" i="1"/>
  <c r="L3539" i="1"/>
  <c r="O3553" i="1"/>
  <c r="L3553" i="1"/>
  <c r="O3522" i="1"/>
  <c r="O3525" i="1"/>
  <c r="O3528" i="1"/>
  <c r="O3531" i="1"/>
  <c r="O3534" i="1"/>
  <c r="L3534" i="1"/>
  <c r="O3541" i="1"/>
  <c r="L3541" i="1"/>
  <c r="O3543" i="1"/>
  <c r="L3543" i="1"/>
  <c r="O3545" i="1"/>
  <c r="L3545" i="1"/>
  <c r="O3547" i="1"/>
  <c r="L3547" i="1"/>
  <c r="O3549" i="1"/>
  <c r="L3549" i="1"/>
  <c r="O3551" i="1"/>
  <c r="L3551" i="1"/>
  <c r="P3626" i="1"/>
  <c r="O3649" i="1"/>
  <c r="L3649" i="1"/>
  <c r="P3539" i="1"/>
  <c r="L3505" i="1"/>
  <c r="P3508" i="1"/>
  <c r="O3518" i="1"/>
  <c r="P3519" i="1"/>
  <c r="L3522" i="1"/>
  <c r="L3525" i="1"/>
  <c r="L3528" i="1"/>
  <c r="L3531" i="1"/>
  <c r="P3534" i="1"/>
  <c r="O3536" i="1"/>
  <c r="L3536" i="1"/>
  <c r="P3541" i="1"/>
  <c r="P3543" i="1"/>
  <c r="O3556" i="1"/>
  <c r="L3556" i="1"/>
  <c r="P3638" i="1"/>
  <c r="P3507" i="1"/>
  <c r="O3512" i="1"/>
  <c r="L3513" i="1"/>
  <c r="Q3513" i="1" s="1"/>
  <c r="P3514" i="1"/>
  <c r="P3522" i="1"/>
  <c r="P3525" i="1"/>
  <c r="P3528" i="1"/>
  <c r="P3531" i="1"/>
  <c r="P3506" i="1"/>
  <c r="L3518" i="1"/>
  <c r="O3521" i="1"/>
  <c r="O3524" i="1"/>
  <c r="O3527" i="1"/>
  <c r="O3530" i="1"/>
  <c r="O3533" i="1"/>
  <c r="P3536" i="1"/>
  <c r="O3538" i="1"/>
  <c r="L3538" i="1"/>
  <c r="O3554" i="1"/>
  <c r="L3554" i="1"/>
  <c r="O3570" i="1"/>
  <c r="L3570" i="1"/>
  <c r="O3511" i="1"/>
  <c r="O3517" i="1"/>
  <c r="L3521" i="1"/>
  <c r="L3524" i="1"/>
  <c r="L3527" i="1"/>
  <c r="L3530" i="1"/>
  <c r="L3533" i="1"/>
  <c r="P3538" i="1"/>
  <c r="O3540" i="1"/>
  <c r="L3540" i="1"/>
  <c r="O3542" i="1"/>
  <c r="L3542" i="1"/>
  <c r="O3544" i="1"/>
  <c r="L3544" i="1"/>
  <c r="O3546" i="1"/>
  <c r="L3546" i="1"/>
  <c r="O3548" i="1"/>
  <c r="L3548" i="1"/>
  <c r="O3550" i="1"/>
  <c r="L3550" i="1"/>
  <c r="O3552" i="1"/>
  <c r="L3552" i="1"/>
  <c r="P3578" i="1"/>
  <c r="P3582" i="1"/>
  <c r="P3586" i="1"/>
  <c r="P3590" i="1"/>
  <c r="P3594" i="1"/>
  <c r="P3612" i="1"/>
  <c r="O3626" i="1"/>
  <c r="L3626" i="1"/>
  <c r="O3580" i="1"/>
  <c r="L3580" i="1"/>
  <c r="O3584" i="1"/>
  <c r="L3584" i="1"/>
  <c r="O3588" i="1"/>
  <c r="L3588" i="1"/>
  <c r="O3592" i="1"/>
  <c r="L3592" i="1"/>
  <c r="O3569" i="1"/>
  <c r="L3569" i="1"/>
  <c r="O3575" i="1"/>
  <c r="L3575" i="1"/>
  <c r="P3596" i="1"/>
  <c r="O3599" i="1"/>
  <c r="L3599" i="1"/>
  <c r="O3608" i="1"/>
  <c r="P3642" i="1"/>
  <c r="O3650" i="1"/>
  <c r="L3650" i="1"/>
  <c r="P3601" i="1"/>
  <c r="P3613" i="1"/>
  <c r="P3618" i="1"/>
  <c r="P3624" i="1"/>
  <c r="P3627" i="1"/>
  <c r="O3630" i="1"/>
  <c r="L3630" i="1"/>
  <c r="P3636" i="1"/>
  <c r="P3639" i="1"/>
  <c r="O3568" i="1"/>
  <c r="L3568" i="1"/>
  <c r="O3574" i="1"/>
  <c r="L3574" i="1"/>
  <c r="O3579" i="1"/>
  <c r="L3579" i="1"/>
  <c r="O3583" i="1"/>
  <c r="L3583" i="1"/>
  <c r="O3587" i="1"/>
  <c r="L3587" i="1"/>
  <c r="O3591" i="1"/>
  <c r="L3591" i="1"/>
  <c r="O3595" i="1"/>
  <c r="L3601" i="1"/>
  <c r="L3618" i="1"/>
  <c r="P3630" i="1"/>
  <c r="P3646" i="1"/>
  <c r="P3580" i="1"/>
  <c r="P3584" i="1"/>
  <c r="P3588" i="1"/>
  <c r="P3592" i="1"/>
  <c r="O3670" i="1"/>
  <c r="L3670" i="1"/>
  <c r="O3573" i="1"/>
  <c r="L3573" i="1"/>
  <c r="O3611" i="1"/>
  <c r="L3611" i="1"/>
  <c r="O3614" i="1"/>
  <c r="L3614" i="1"/>
  <c r="P3640" i="1"/>
  <c r="P3660" i="1"/>
  <c r="P3661" i="1"/>
  <c r="L3660" i="1"/>
  <c r="L3557" i="1"/>
  <c r="L3558" i="1"/>
  <c r="L3559" i="1"/>
  <c r="L3560" i="1"/>
  <c r="L3561" i="1"/>
  <c r="L3562" i="1"/>
  <c r="L3563" i="1"/>
  <c r="L3564" i="1"/>
  <c r="L3565" i="1"/>
  <c r="L3566" i="1"/>
  <c r="O3578" i="1"/>
  <c r="L3578" i="1"/>
  <c r="O3582" i="1"/>
  <c r="L3582" i="1"/>
  <c r="O3586" i="1"/>
  <c r="L3586" i="1"/>
  <c r="O3590" i="1"/>
  <c r="L3590" i="1"/>
  <c r="O3594" i="1"/>
  <c r="L3594" i="1"/>
  <c r="O3598" i="1"/>
  <c r="L3598" i="1"/>
  <c r="Q3598" i="1" s="1"/>
  <c r="P3619" i="1"/>
  <c r="O3622" i="1"/>
  <c r="L3622" i="1"/>
  <c r="P3628" i="1"/>
  <c r="O3634" i="1"/>
  <c r="L3634" i="1"/>
  <c r="O3572" i="1"/>
  <c r="L3572" i="1"/>
  <c r="O3602" i="1"/>
  <c r="O3603" i="1"/>
  <c r="P3622" i="1"/>
  <c r="P3634" i="1"/>
  <c r="P3644" i="1"/>
  <c r="O3671" i="1"/>
  <c r="O3672" i="1"/>
  <c r="L3671" i="1"/>
  <c r="O3567" i="1"/>
  <c r="P3600" i="1"/>
  <c r="P3602" i="1"/>
  <c r="L3657" i="1"/>
  <c r="O3657" i="1"/>
  <c r="O3571" i="1"/>
  <c r="L3571" i="1"/>
  <c r="O3577" i="1"/>
  <c r="L3577" i="1"/>
  <c r="O3581" i="1"/>
  <c r="L3581" i="1"/>
  <c r="O3585" i="1"/>
  <c r="L3585" i="1"/>
  <c r="O3589" i="1"/>
  <c r="L3589" i="1"/>
  <c r="O3593" i="1"/>
  <c r="L3593" i="1"/>
  <c r="L3600" i="1"/>
  <c r="L3602" i="1"/>
  <c r="Q3603" i="1" s="1"/>
  <c r="O3607" i="1"/>
  <c r="O3617" i="1"/>
  <c r="L3617" i="1"/>
  <c r="P3648" i="1"/>
  <c r="U3891" i="1" s="1"/>
  <c r="L3678" i="1"/>
  <c r="O3678" i="1"/>
  <c r="P3611" i="1"/>
  <c r="P3617" i="1"/>
  <c r="L3638" i="1"/>
  <c r="L3642" i="1"/>
  <c r="L3646" i="1"/>
  <c r="P3649" i="1"/>
  <c r="L3669" i="1"/>
  <c r="P3672" i="1"/>
  <c r="P3673" i="1"/>
  <c r="O3696" i="1"/>
  <c r="L3696" i="1"/>
  <c r="O3720" i="1"/>
  <c r="L3720" i="1"/>
  <c r="Q3720" i="1" s="1"/>
  <c r="P3734" i="1"/>
  <c r="P3735" i="1"/>
  <c r="L3734" i="1"/>
  <c r="P3621" i="1"/>
  <c r="P3625" i="1"/>
  <c r="P3629" i="1"/>
  <c r="P3633" i="1"/>
  <c r="P3637" i="1"/>
  <c r="P3641" i="1"/>
  <c r="P3645" i="1"/>
  <c r="L3672" i="1"/>
  <c r="P3704" i="1"/>
  <c r="L3703" i="1"/>
  <c r="P3703" i="1"/>
  <c r="P3598" i="1"/>
  <c r="O3609" i="1"/>
  <c r="L3610" i="1"/>
  <c r="O3615" i="1"/>
  <c r="L3616" i="1"/>
  <c r="Q3616" i="1" s="1"/>
  <c r="L3621" i="1"/>
  <c r="L3625" i="1"/>
  <c r="L3629" i="1"/>
  <c r="L3633" i="1"/>
  <c r="L3637" i="1"/>
  <c r="L3641" i="1"/>
  <c r="L3645" i="1"/>
  <c r="O3658" i="1"/>
  <c r="L3658" i="1"/>
  <c r="O3669" i="1"/>
  <c r="P3680" i="1"/>
  <c r="U3919" i="1" s="1"/>
  <c r="P3679" i="1"/>
  <c r="U3920" i="1" s="1"/>
  <c r="O3698" i="1"/>
  <c r="L3697" i="1"/>
  <c r="O3697" i="1"/>
  <c r="P3597" i="1"/>
  <c r="P3609" i="1"/>
  <c r="O3620" i="1"/>
  <c r="O3624" i="1"/>
  <c r="O3628" i="1"/>
  <c r="O3632" i="1"/>
  <c r="O3636" i="1"/>
  <c r="O3640" i="1"/>
  <c r="O3644" i="1"/>
  <c r="O3648" i="1"/>
  <c r="O3686" i="1"/>
  <c r="L3685" i="1"/>
  <c r="Q3685" i="1" s="1"/>
  <c r="O3685" i="1"/>
  <c r="P3697" i="1"/>
  <c r="O3708" i="1"/>
  <c r="L3708" i="1"/>
  <c r="Q3708" i="1" s="1"/>
  <c r="O3682" i="1"/>
  <c r="L3682" i="1"/>
  <c r="P3685" i="1"/>
  <c r="U3928" i="1" s="1"/>
  <c r="L3595" i="1"/>
  <c r="L3596" i="1"/>
  <c r="P3607" i="1"/>
  <c r="L3608" i="1"/>
  <c r="P3614" i="1"/>
  <c r="L3620" i="1"/>
  <c r="L3624" i="1"/>
  <c r="L3628" i="1"/>
  <c r="L3632" i="1"/>
  <c r="L3636" i="1"/>
  <c r="L3640" i="1"/>
  <c r="L3644" i="1"/>
  <c r="L3648" i="1"/>
  <c r="P3650" i="1"/>
  <c r="O3659" i="1"/>
  <c r="O3660" i="1"/>
  <c r="P3682" i="1"/>
  <c r="U3921" i="1" s="1"/>
  <c r="O3732" i="1"/>
  <c r="L3732" i="1"/>
  <c r="Q3732" i="1" s="1"/>
  <c r="P3606" i="1"/>
  <c r="O3623" i="1"/>
  <c r="O3627" i="1"/>
  <c r="O3631" i="1"/>
  <c r="O3635" i="1"/>
  <c r="O3639" i="1"/>
  <c r="O3643" i="1"/>
  <c r="O3647" i="1"/>
  <c r="P3659" i="1"/>
  <c r="P3709" i="1"/>
  <c r="P3773" i="1"/>
  <c r="P3604" i="1"/>
  <c r="O3612" i="1"/>
  <c r="L3613" i="1"/>
  <c r="Q3613" i="1" s="1"/>
  <c r="O3618" i="1"/>
  <c r="L3619" i="1"/>
  <c r="L3623" i="1"/>
  <c r="L3627" i="1"/>
  <c r="L3631" i="1"/>
  <c r="L3635" i="1"/>
  <c r="L3639" i="1"/>
  <c r="L3643" i="1"/>
  <c r="L3647" i="1"/>
  <c r="L3664" i="1"/>
  <c r="P3671" i="1"/>
  <c r="O3703" i="1"/>
  <c r="L3702" i="1"/>
  <c r="O3702" i="1"/>
  <c r="P3662" i="1"/>
  <c r="P3674" i="1"/>
  <c r="P3695" i="1"/>
  <c r="L3695" i="1"/>
  <c r="Q3695" i="1" s="1"/>
  <c r="P3716" i="1"/>
  <c r="L3715" i="1"/>
  <c r="Q3716" i="1" s="1"/>
  <c r="O3744" i="1"/>
  <c r="L3744" i="1"/>
  <c r="P3693" i="1"/>
  <c r="O3721" i="1"/>
  <c r="O3722" i="1"/>
  <c r="L3721" i="1"/>
  <c r="O3727" i="1"/>
  <c r="L3726" i="1"/>
  <c r="L3651" i="1"/>
  <c r="Q3651" i="1" s="1"/>
  <c r="L3652" i="1"/>
  <c r="L3653" i="1"/>
  <c r="L3654" i="1"/>
  <c r="L3655" i="1"/>
  <c r="O3681" i="1"/>
  <c r="L3681" i="1"/>
  <c r="Q3681" i="1" s="1"/>
  <c r="O3684" i="1"/>
  <c r="P3692" i="1"/>
  <c r="L3691" i="1"/>
  <c r="O3706" i="1"/>
  <c r="L3706" i="1"/>
  <c r="Q3707" i="1" s="1"/>
  <c r="Q3711" i="1"/>
  <c r="P3721" i="1"/>
  <c r="Q3725" i="1"/>
  <c r="L3667" i="1"/>
  <c r="Q3667" i="1" s="1"/>
  <c r="P3691" i="1"/>
  <c r="O3709" i="1"/>
  <c r="O3710" i="1"/>
  <c r="L3709" i="1"/>
  <c r="O3726" i="1"/>
  <c r="O3745" i="1"/>
  <c r="P3749" i="1"/>
  <c r="L3665" i="1"/>
  <c r="O3694" i="1"/>
  <c r="P3722" i="1"/>
  <c r="P3723" i="1"/>
  <c r="O3738" i="1"/>
  <c r="L3738" i="1"/>
  <c r="Q3738" i="1" s="1"/>
  <c r="L3764" i="1"/>
  <c r="O3764" i="1"/>
  <c r="L3676" i="1"/>
  <c r="Q3676" i="1" s="1"/>
  <c r="O3677" i="1"/>
  <c r="L3686" i="1"/>
  <c r="O3692" i="1"/>
  <c r="P3694" i="1"/>
  <c r="P3698" i="1"/>
  <c r="O3715" i="1"/>
  <c r="L3714" i="1"/>
  <c r="Q3714" i="1" s="1"/>
  <c r="L3722" i="1"/>
  <c r="P3728" i="1"/>
  <c r="L3727" i="1"/>
  <c r="O3808" i="1"/>
  <c r="L3808" i="1"/>
  <c r="Q3809" i="1" s="1"/>
  <c r="O3819" i="1"/>
  <c r="L3819" i="1"/>
  <c r="Q3820" i="1" s="1"/>
  <c r="O3691" i="1"/>
  <c r="L3690" i="1"/>
  <c r="O3733" i="1"/>
  <c r="O3734" i="1"/>
  <c r="L3733" i="1"/>
  <c r="O3679" i="1"/>
  <c r="L3683" i="1"/>
  <c r="P3686" i="1"/>
  <c r="P3696" i="1"/>
  <c r="P3707" i="1"/>
  <c r="P3710" i="1"/>
  <c r="P3711" i="1"/>
  <c r="P3733" i="1"/>
  <c r="Q3737" i="1"/>
  <c r="O3739" i="1"/>
  <c r="P3689" i="1"/>
  <c r="U3932" i="1" s="1"/>
  <c r="P3701" i="1"/>
  <c r="P3713" i="1"/>
  <c r="L3745" i="1"/>
  <c r="L3749" i="1"/>
  <c r="P3750" i="1"/>
  <c r="L3753" i="1"/>
  <c r="P3754" i="1"/>
  <c r="O3759" i="1"/>
  <c r="L3759" i="1"/>
  <c r="O3761" i="1"/>
  <c r="O3762" i="1"/>
  <c r="O3771" i="1"/>
  <c r="L3771" i="1"/>
  <c r="L3773" i="1"/>
  <c r="L3777" i="1"/>
  <c r="O3784" i="1"/>
  <c r="P3786" i="1"/>
  <c r="P3787" i="1"/>
  <c r="P3797" i="1"/>
  <c r="P3808" i="1"/>
  <c r="P3819" i="1"/>
  <c r="L3782" i="1"/>
  <c r="P3784" i="1"/>
  <c r="O3820" i="1"/>
  <c r="L3743" i="1"/>
  <c r="O3746" i="1"/>
  <c r="L3761" i="1"/>
  <c r="Q3761" i="1" s="1"/>
  <c r="P3771" i="1"/>
  <c r="L3784" i="1"/>
  <c r="O3795" i="1"/>
  <c r="L3795" i="1"/>
  <c r="P3820" i="1"/>
  <c r="Q3903" i="1"/>
  <c r="L3718" i="1"/>
  <c r="L3730" i="1"/>
  <c r="L3742" i="1"/>
  <c r="O3753" i="1"/>
  <c r="O3782" i="1"/>
  <c r="L3790" i="1"/>
  <c r="L3806" i="1"/>
  <c r="O3809" i="1"/>
  <c r="L3693" i="1"/>
  <c r="L3705" i="1"/>
  <c r="L3717" i="1"/>
  <c r="Q3717" i="1" s="1"/>
  <c r="L3729" i="1"/>
  <c r="L3741" i="1"/>
  <c r="Q3741" i="1" s="1"/>
  <c r="L3748" i="1"/>
  <c r="Q3748" i="1" s="1"/>
  <c r="P3761" i="1"/>
  <c r="P3795" i="1"/>
  <c r="P3803" i="1"/>
  <c r="L3802" i="1"/>
  <c r="P3809" i="1"/>
  <c r="L3765" i="1"/>
  <c r="Q3766" i="1" s="1"/>
  <c r="O3772" i="1"/>
  <c r="P3774" i="1"/>
  <c r="P3775" i="1"/>
  <c r="O3785" i="1"/>
  <c r="O3786" i="1"/>
  <c r="L3739" i="1"/>
  <c r="O3748" i="1"/>
  <c r="L3770" i="1"/>
  <c r="P3772" i="1"/>
  <c r="L3774" i="1"/>
  <c r="Q3776" i="1"/>
  <c r="P3785" i="1"/>
  <c r="O3796" i="1"/>
  <c r="Q3821" i="1"/>
  <c r="O3893" i="1"/>
  <c r="O3894" i="1"/>
  <c r="L3893" i="1"/>
  <c r="Q3893" i="1" s="1"/>
  <c r="O3750" i="1"/>
  <c r="O3752" i="1"/>
  <c r="P3760" i="1"/>
  <c r="L3772" i="1"/>
  <c r="O3783" i="1"/>
  <c r="L3783" i="1"/>
  <c r="L3785" i="1"/>
  <c r="L3789" i="1"/>
  <c r="P3796" i="1"/>
  <c r="O3833" i="1"/>
  <c r="L3833" i="1"/>
  <c r="O3834" i="1"/>
  <c r="L3689" i="1"/>
  <c r="L3701" i="1"/>
  <c r="O3758" i="1"/>
  <c r="P3762" i="1"/>
  <c r="P3763" i="1"/>
  <c r="O3765" i="1"/>
  <c r="O3770" i="1"/>
  <c r="L3794" i="1"/>
  <c r="Q3794" i="1" s="1"/>
  <c r="L3796" i="1"/>
  <c r="O3807" i="1"/>
  <c r="L3807" i="1"/>
  <c r="O3818" i="1"/>
  <c r="L3818" i="1"/>
  <c r="P3833" i="1"/>
  <c r="P3918" i="1"/>
  <c r="P3919" i="1"/>
  <c r="N3918" i="1"/>
  <c r="L3918" i="1"/>
  <c r="Q3918" i="1" s="1"/>
  <c r="P3740" i="1"/>
  <c r="L3750" i="1"/>
  <c r="P3757" i="1"/>
  <c r="O3760" i="1"/>
  <c r="L3762" i="1"/>
  <c r="O3778" i="1"/>
  <c r="P3783" i="1"/>
  <c r="Q3810" i="1"/>
  <c r="L3830" i="1"/>
  <c r="O3830" i="1"/>
  <c r="O3773" i="1"/>
  <c r="O3774" i="1"/>
  <c r="O3802" i="1"/>
  <c r="L3801" i="1"/>
  <c r="P3831" i="1"/>
  <c r="P3830" i="1"/>
  <c r="O3798" i="1"/>
  <c r="P3799" i="1"/>
  <c r="O3810" i="1"/>
  <c r="P3811" i="1"/>
  <c r="O3822" i="1"/>
  <c r="P3823" i="1"/>
  <c r="P3858" i="1"/>
  <c r="P3859" i="1"/>
  <c r="L3858" i="1"/>
  <c r="O3869" i="1"/>
  <c r="O3870" i="1"/>
  <c r="L3869" i="1"/>
  <c r="Q3885" i="1"/>
  <c r="O3844" i="1"/>
  <c r="L3844" i="1"/>
  <c r="P3894" i="1"/>
  <c r="P3895" i="1"/>
  <c r="L3894" i="1"/>
  <c r="Q3895" i="1" s="1"/>
  <c r="O3929" i="1"/>
  <c r="O3930" i="1"/>
  <c r="L3929" i="1"/>
  <c r="L3817" i="1"/>
  <c r="L3829" i="1"/>
  <c r="Q3919" i="1"/>
  <c r="L3768" i="1"/>
  <c r="Q3768" i="1" s="1"/>
  <c r="L3780" i="1"/>
  <c r="L3792" i="1"/>
  <c r="L3804" i="1"/>
  <c r="Q3804" i="1" s="1"/>
  <c r="L3816" i="1"/>
  <c r="Q3816" i="1" s="1"/>
  <c r="L3828" i="1"/>
  <c r="Q3828" i="1" s="1"/>
  <c r="L3836" i="1"/>
  <c r="P3870" i="1"/>
  <c r="P3871" i="1"/>
  <c r="L3870" i="1"/>
  <c r="O3905" i="1"/>
  <c r="O3906" i="1"/>
  <c r="L3905" i="1"/>
  <c r="O3845" i="1"/>
  <c r="O3846" i="1"/>
  <c r="L3845" i="1"/>
  <c r="O3881" i="1"/>
  <c r="O3882" i="1"/>
  <c r="L3881" i="1"/>
  <c r="P3930" i="1"/>
  <c r="P3931" i="1"/>
  <c r="L3930" i="1"/>
  <c r="Q3930" i="1" s="1"/>
  <c r="L3814" i="1"/>
  <c r="L3826" i="1"/>
  <c r="P3834" i="1"/>
  <c r="L3813" i="1"/>
  <c r="L3825" i="1"/>
  <c r="O3831" i="1"/>
  <c r="L3834" i="1"/>
  <c r="Q3896" i="1"/>
  <c r="P3906" i="1"/>
  <c r="P3907" i="1"/>
  <c r="L3906" i="1"/>
  <c r="Q3906" i="1" s="1"/>
  <c r="L3800" i="1"/>
  <c r="L3812" i="1"/>
  <c r="Q3872" i="1"/>
  <c r="P3882" i="1"/>
  <c r="P3883" i="1"/>
  <c r="L3882" i="1"/>
  <c r="O3941" i="1"/>
  <c r="L3941" i="1"/>
  <c r="P3846" i="1"/>
  <c r="P3847" i="1"/>
  <c r="L3846" i="1"/>
  <c r="O3917" i="1"/>
  <c r="O3918" i="1"/>
  <c r="L3917" i="1"/>
  <c r="O3857" i="1"/>
  <c r="O3858" i="1"/>
  <c r="L3857" i="1"/>
  <c r="Q3907" i="1"/>
  <c r="O3836" i="1"/>
  <c r="O3848" i="1"/>
  <c r="P3849" i="1"/>
  <c r="O3860" i="1"/>
  <c r="P3861" i="1"/>
  <c r="O3872" i="1"/>
  <c r="L3856" i="1"/>
  <c r="L3868" i="1"/>
  <c r="L3880" i="1"/>
  <c r="L3892" i="1"/>
  <c r="Q3892" i="1" s="1"/>
  <c r="L3904" i="1"/>
  <c r="Q3904" i="1" s="1"/>
  <c r="L3916" i="1"/>
  <c r="Q3916" i="1" s="1"/>
  <c r="L3928" i="1"/>
  <c r="Q3928" i="1" s="1"/>
  <c r="L3940" i="1"/>
  <c r="Q3940" i="1" s="1"/>
  <c r="L3843" i="1"/>
  <c r="L3855" i="1"/>
  <c r="L3867" i="1"/>
  <c r="L3879" i="1"/>
  <c r="L3842" i="1"/>
  <c r="L3854" i="1"/>
  <c r="L3866" i="1"/>
  <c r="L3878" i="1"/>
  <c r="L3890" i="1"/>
  <c r="L3902" i="1"/>
  <c r="L3914" i="1"/>
  <c r="Q3914" i="1" s="1"/>
  <c r="L3926" i="1"/>
  <c r="L3938" i="1"/>
  <c r="Q3939" i="1" s="1"/>
  <c r="L3841" i="1"/>
  <c r="L3853" i="1"/>
  <c r="Q3853" i="1" s="1"/>
  <c r="L3865" i="1"/>
  <c r="L3877" i="1"/>
  <c r="L3889" i="1"/>
  <c r="Q3889" i="1" s="1"/>
  <c r="L3901" i="1"/>
  <c r="Q3901" i="1" s="1"/>
  <c r="L3913" i="1"/>
  <c r="Q3913" i="1" s="1"/>
  <c r="L3925" i="1"/>
  <c r="Q3925" i="1" s="1"/>
  <c r="N3927" i="1"/>
  <c r="L3937" i="1"/>
  <c r="Q3937" i="1" s="1"/>
  <c r="L3863" i="1"/>
  <c r="L3875" i="1"/>
  <c r="L3887" i="1"/>
  <c r="L3899" i="1"/>
  <c r="P3903" i="1"/>
  <c r="L3911" i="1"/>
  <c r="O3914" i="1"/>
  <c r="P3915" i="1"/>
  <c r="L3923" i="1"/>
  <c r="L3838" i="1"/>
  <c r="L3850" i="1"/>
  <c r="L3874" i="1"/>
  <c r="L3886" i="1"/>
  <c r="Q3886" i="1" s="1"/>
  <c r="L3898" i="1"/>
  <c r="Q3898" i="1" s="1"/>
  <c r="L3910" i="1"/>
  <c r="L3922" i="1"/>
  <c r="L3934" i="1"/>
  <c r="L3897" i="1"/>
  <c r="Q3897" i="1" s="1"/>
  <c r="O3900" i="1"/>
  <c r="L3909" i="1"/>
  <c r="Q3909" i="1" s="1"/>
  <c r="L3921" i="1"/>
  <c r="Q3921" i="1" s="1"/>
  <c r="L3933" i="1"/>
  <c r="Q3933" i="1" s="1"/>
  <c r="L193" i="1"/>
  <c r="L301" i="1"/>
  <c r="L451" i="1"/>
  <c r="L194" i="1"/>
  <c r="P200" i="1"/>
  <c r="P230" i="1"/>
  <c r="P296" i="1"/>
  <c r="P326" i="1"/>
  <c r="P111" i="1"/>
  <c r="O261" i="1"/>
  <c r="O248" i="1"/>
  <c r="L413" i="1"/>
  <c r="L461" i="1"/>
  <c r="L491" i="1"/>
  <c r="L593" i="1"/>
  <c r="L599" i="1"/>
  <c r="P16" i="1"/>
  <c r="P203" i="1"/>
  <c r="P293" i="1"/>
  <c r="P89" i="1"/>
  <c r="P117" i="1"/>
  <c r="O307" i="1"/>
  <c r="P427" i="1"/>
  <c r="P339" i="1"/>
  <c r="P166" i="1"/>
  <c r="P250" i="1"/>
  <c r="P256" i="1"/>
  <c r="P393" i="1"/>
  <c r="P399" i="1"/>
  <c r="P429" i="1"/>
  <c r="P441" i="1"/>
  <c r="P477" i="1"/>
  <c r="P554" i="1"/>
  <c r="O125" i="1"/>
  <c r="O179" i="1"/>
  <c r="O401" i="1"/>
  <c r="O491" i="1"/>
  <c r="P532" i="1"/>
  <c r="O57" i="1"/>
  <c r="P270" i="1"/>
  <c r="O305" i="1"/>
  <c r="L366" i="1"/>
  <c r="O444" i="1"/>
  <c r="O456" i="1"/>
  <c r="P539" i="1"/>
  <c r="O653" i="1"/>
  <c r="L7" i="1"/>
  <c r="O337" i="1"/>
  <c r="O367" i="1"/>
  <c r="O379" i="1"/>
  <c r="P402" i="1"/>
  <c r="O589" i="1"/>
  <c r="L618" i="1"/>
  <c r="P243" i="1"/>
  <c r="P416" i="1"/>
  <c r="P446" i="1"/>
  <c r="O518" i="1"/>
  <c r="L204" i="1"/>
  <c r="L222" i="1"/>
  <c r="L246" i="1"/>
  <c r="L282" i="1"/>
  <c r="L288" i="1"/>
  <c r="L548" i="1"/>
  <c r="L620" i="1"/>
  <c r="O686" i="1"/>
  <c r="P525" i="1"/>
  <c r="P22" i="1"/>
  <c r="P70" i="1"/>
  <c r="O336" i="1"/>
  <c r="P359" i="1"/>
  <c r="P466" i="1"/>
  <c r="P686" i="1"/>
  <c r="P126" i="1"/>
  <c r="O312" i="1"/>
  <c r="P519" i="1"/>
  <c r="P205" i="1"/>
  <c r="P253" i="1"/>
  <c r="O373" i="1"/>
  <c r="P503" i="1"/>
  <c r="P515" i="1"/>
  <c r="P615" i="1"/>
  <c r="P621" i="1"/>
  <c r="P282" i="1"/>
  <c r="L12" i="1"/>
  <c r="L83" i="1"/>
  <c r="O111" i="1"/>
  <c r="L260" i="1"/>
  <c r="L272" i="1"/>
  <c r="O331" i="1"/>
  <c r="L349" i="1"/>
  <c r="L355" i="1"/>
  <c r="L408" i="1"/>
  <c r="O427" i="1"/>
  <c r="L356" i="1"/>
  <c r="L362" i="1"/>
  <c r="L368" i="1"/>
  <c r="L380" i="1"/>
  <c r="P385" i="1"/>
  <c r="P391" i="1"/>
  <c r="P409" i="1"/>
  <c r="O457" i="1"/>
  <c r="O469" i="1"/>
  <c r="P510" i="1"/>
  <c r="P516" i="1"/>
  <c r="P641" i="1"/>
  <c r="P653" i="1"/>
  <c r="O232" i="1"/>
  <c r="P374" i="1"/>
  <c r="P380" i="1"/>
  <c r="O386" i="1"/>
  <c r="O416" i="1"/>
  <c r="O428" i="1"/>
  <c r="P457" i="1"/>
  <c r="P540" i="1"/>
  <c r="P665" i="1"/>
  <c r="P173" i="1"/>
  <c r="P185" i="1"/>
  <c r="P275" i="1"/>
  <c r="P410" i="1"/>
  <c r="O452" i="1"/>
  <c r="P618" i="1"/>
  <c r="L10" i="1"/>
  <c r="O70" i="1"/>
  <c r="L275" i="1"/>
  <c r="Q275" i="1" s="1"/>
  <c r="P328" i="1"/>
  <c r="P369" i="1"/>
  <c r="P458" i="1"/>
  <c r="P465" i="1"/>
  <c r="L506" i="1"/>
  <c r="L524" i="1"/>
  <c r="L125" i="1"/>
  <c r="P74" i="1"/>
  <c r="L138" i="1"/>
  <c r="O470" i="1"/>
  <c r="L476" i="1"/>
  <c r="L557" i="1"/>
  <c r="P609" i="1"/>
  <c r="O210" i="1"/>
  <c r="O234" i="1"/>
  <c r="O269" i="1"/>
  <c r="P303" i="1"/>
  <c r="P315" i="1"/>
  <c r="P493" i="1"/>
  <c r="P593" i="1"/>
  <c r="O669" i="1"/>
  <c r="O692" i="1"/>
  <c r="P186" i="1"/>
  <c r="O151" i="1"/>
  <c r="P234" i="1"/>
  <c r="P274" i="1"/>
  <c r="P327" i="1"/>
  <c r="P350" i="1"/>
  <c r="P505" i="1"/>
  <c r="O570" i="1"/>
  <c r="P681" i="1"/>
  <c r="O251" i="1"/>
  <c r="P308" i="1"/>
  <c r="P108" i="1"/>
  <c r="O229" i="1"/>
  <c r="O236" i="1"/>
  <c r="O264" i="1"/>
  <c r="P356" i="1"/>
  <c r="L379" i="1"/>
  <c r="O391" i="1"/>
  <c r="P448" i="1"/>
  <c r="P471" i="1"/>
  <c r="P564" i="1"/>
  <c r="O676" i="1"/>
  <c r="O687" i="1"/>
  <c r="O694" i="1"/>
  <c r="O343" i="1"/>
  <c r="P309" i="1"/>
  <c r="O9" i="1"/>
  <c r="O24" i="1"/>
  <c r="P115" i="1"/>
  <c r="O119" i="1"/>
  <c r="L128" i="1"/>
  <c r="P211" i="1"/>
  <c r="L385" i="1"/>
  <c r="P483" i="1"/>
  <c r="L495" i="1"/>
  <c r="P683" i="1"/>
  <c r="L248" i="1"/>
  <c r="P129" i="1"/>
  <c r="P201" i="1"/>
  <c r="P386" i="1"/>
  <c r="O439" i="1"/>
  <c r="L456" i="1"/>
  <c r="O462" i="1"/>
  <c r="P496" i="1"/>
  <c r="L520" i="1"/>
  <c r="L549" i="1"/>
  <c r="P572" i="1"/>
  <c r="P584" i="1"/>
  <c r="P636" i="1"/>
  <c r="P643" i="1"/>
  <c r="O673" i="1"/>
  <c r="P34" i="1"/>
  <c r="L37" i="1"/>
  <c r="P42" i="1"/>
  <c r="L53" i="1"/>
  <c r="O77" i="1"/>
  <c r="L97" i="1"/>
  <c r="O148" i="1"/>
  <c r="L160" i="1"/>
  <c r="P237" i="1"/>
  <c r="L307" i="1"/>
  <c r="P330" i="1"/>
  <c r="P398" i="1"/>
  <c r="P415" i="1"/>
  <c r="O451" i="1"/>
  <c r="P485" i="1"/>
  <c r="P492" i="1"/>
  <c r="P538" i="1"/>
  <c r="L567" i="1"/>
  <c r="L579" i="1"/>
  <c r="O591" i="1"/>
  <c r="P684" i="1"/>
  <c r="O22" i="1"/>
  <c r="O30" i="1"/>
  <c r="O38" i="1"/>
  <c r="O46" i="1"/>
  <c r="L137" i="1"/>
  <c r="L149" i="1"/>
  <c r="O161" i="1"/>
  <c r="L238" i="1"/>
  <c r="L244" i="1"/>
  <c r="P268" i="1"/>
  <c r="P428" i="1"/>
  <c r="L469" i="1"/>
  <c r="L498" i="1"/>
  <c r="L562" i="1"/>
  <c r="L568" i="1"/>
  <c r="O575" i="1"/>
  <c r="L580" i="1"/>
  <c r="L586" i="1"/>
  <c r="O592" i="1"/>
  <c r="O644" i="1"/>
  <c r="O650" i="1"/>
  <c r="O249" i="1"/>
  <c r="P264" i="1"/>
  <c r="O301" i="1"/>
  <c r="P362" i="1"/>
  <c r="O593" i="1"/>
  <c r="P627" i="1"/>
  <c r="O679" i="1"/>
  <c r="O8" i="1"/>
  <c r="O94" i="1"/>
  <c r="O182" i="1"/>
  <c r="P187" i="1"/>
  <c r="P199" i="1"/>
  <c r="L210" i="1"/>
  <c r="L249" i="1"/>
  <c r="O265" i="1"/>
  <c r="O271" i="1"/>
  <c r="P302" i="1"/>
  <c r="P314" i="1"/>
  <c r="O319" i="1"/>
  <c r="O326" i="1"/>
  <c r="P346" i="1"/>
  <c r="P357" i="1"/>
  <c r="P383" i="1"/>
  <c r="P387" i="1"/>
  <c r="L403" i="1"/>
  <c r="Q404" i="1" s="1"/>
  <c r="O409" i="1"/>
  <c r="P414" i="1"/>
  <c r="P424" i="1"/>
  <c r="O446" i="1"/>
  <c r="O461" i="1"/>
  <c r="P482" i="1"/>
  <c r="P533" i="1"/>
  <c r="O555" i="1"/>
  <c r="O578" i="1"/>
  <c r="P605" i="1"/>
  <c r="P634" i="1"/>
  <c r="P663" i="1"/>
  <c r="P669" i="1"/>
  <c r="O698" i="1"/>
  <c r="O703" i="1"/>
  <c r="P13" i="1"/>
  <c r="P160" i="1"/>
  <c r="P265" i="1"/>
  <c r="O287" i="1"/>
  <c r="L314" i="1"/>
  <c r="P319" i="1"/>
  <c r="P363" i="1"/>
  <c r="O385" i="1"/>
  <c r="P440" i="1"/>
  <c r="P470" i="1"/>
  <c r="P555" i="1"/>
  <c r="P600" i="1"/>
  <c r="L606" i="1"/>
  <c r="L612" i="1"/>
  <c r="P420" i="1"/>
  <c r="O440" i="1"/>
  <c r="P523" i="1"/>
  <c r="P529" i="1"/>
  <c r="O552" i="1"/>
  <c r="P596" i="1"/>
  <c r="O665" i="1"/>
  <c r="O184" i="1"/>
  <c r="L6" i="1"/>
  <c r="L82" i="1"/>
  <c r="L90" i="1"/>
  <c r="L195" i="1"/>
  <c r="L250" i="1"/>
  <c r="L415" i="1"/>
  <c r="L494" i="1"/>
  <c r="L596" i="1"/>
  <c r="O257" i="1"/>
  <c r="P277" i="1"/>
  <c r="P283" i="1"/>
  <c r="P354" i="1"/>
  <c r="P375" i="1"/>
  <c r="P452" i="1"/>
  <c r="P462" i="1"/>
  <c r="P552" i="1"/>
  <c r="P574" i="1"/>
  <c r="P586" i="1"/>
  <c r="P670" i="1"/>
  <c r="P114" i="1"/>
  <c r="O185" i="1"/>
  <c r="P241" i="1"/>
  <c r="O252" i="1"/>
  <c r="P332" i="1"/>
  <c r="O366" i="1"/>
  <c r="O397" i="1"/>
  <c r="P422" i="1"/>
  <c r="P432" i="1"/>
  <c r="P442" i="1"/>
  <c r="P478" i="1"/>
  <c r="O501" i="1"/>
  <c r="P597" i="1"/>
  <c r="P389" i="1"/>
  <c r="O56" i="1"/>
  <c r="P235" i="1"/>
  <c r="P273" i="1"/>
  <c r="P370" i="1"/>
  <c r="P405" i="1"/>
  <c r="L56" i="1"/>
  <c r="O103" i="1"/>
  <c r="L179" i="1"/>
  <c r="P257" i="1"/>
  <c r="P361" i="1"/>
  <c r="P411" i="1"/>
  <c r="P506" i="1"/>
  <c r="O581" i="1"/>
  <c r="L592" i="1"/>
  <c r="P602" i="1"/>
  <c r="P614" i="1"/>
  <c r="O688" i="1"/>
  <c r="P14" i="1"/>
  <c r="O73" i="1"/>
  <c r="O76" i="1"/>
  <c r="P91" i="1"/>
  <c r="P118" i="1"/>
  <c r="P133" i="1"/>
  <c r="P139" i="1"/>
  <c r="P157" i="1"/>
  <c r="O203" i="1"/>
  <c r="P208" i="1"/>
  <c r="L231" i="1"/>
  <c r="P252" i="1"/>
  <c r="P278" i="1"/>
  <c r="P322" i="1"/>
  <c r="P338" i="1"/>
  <c r="P366" i="1"/>
  <c r="L386" i="1"/>
  <c r="P406" i="1"/>
  <c r="L422" i="1"/>
  <c r="O432" i="1"/>
  <c r="L485" i="1"/>
  <c r="L507" i="1"/>
  <c r="L542" i="1"/>
  <c r="L553" i="1"/>
  <c r="P569" i="1"/>
  <c r="P587" i="1"/>
  <c r="O598" i="1"/>
  <c r="P620" i="1"/>
  <c r="L626" i="1"/>
  <c r="O661" i="1"/>
  <c r="P671" i="1"/>
  <c r="L4" i="1"/>
  <c r="L127" i="1"/>
  <c r="L296" i="1"/>
  <c r="L464" i="1"/>
  <c r="L474" i="1"/>
  <c r="D8" i="1"/>
  <c r="O146" i="1"/>
  <c r="L312" i="1"/>
  <c r="P423" i="1"/>
  <c r="P526" i="1"/>
  <c r="O571" i="1"/>
  <c r="P30" i="1"/>
  <c r="P46" i="1"/>
  <c r="O54" i="1"/>
  <c r="P140" i="1"/>
  <c r="P146" i="1"/>
  <c r="P158" i="1"/>
  <c r="P215" i="1"/>
  <c r="L221" i="1"/>
  <c r="L233" i="1"/>
  <c r="P249" i="1"/>
  <c r="P260" i="1"/>
  <c r="L264" i="1"/>
  <c r="P276" i="1"/>
  <c r="P286" i="1"/>
  <c r="P297" i="1"/>
  <c r="L302" i="1"/>
  <c r="O362" i="1"/>
  <c r="P408" i="1"/>
  <c r="L434" i="1"/>
  <c r="L450" i="1"/>
  <c r="P459" i="1"/>
  <c r="O487" i="1"/>
  <c r="L503" i="1"/>
  <c r="P577" i="1"/>
  <c r="P589" i="1"/>
  <c r="O605" i="1"/>
  <c r="O629" i="1"/>
  <c r="O634" i="1"/>
  <c r="O227" i="1"/>
  <c r="P334" i="1"/>
  <c r="P417" i="1"/>
  <c r="P439" i="1"/>
  <c r="P454" i="1"/>
  <c r="P486" i="1"/>
  <c r="P508" i="1"/>
  <c r="O690" i="1"/>
  <c r="O58" i="1"/>
  <c r="O421" i="1"/>
  <c r="L421" i="1"/>
  <c r="O438" i="1"/>
  <c r="O437" i="1"/>
  <c r="O314" i="1"/>
  <c r="O313" i="1"/>
  <c r="L313" i="1"/>
  <c r="O464" i="1"/>
  <c r="O463" i="1"/>
  <c r="L463" i="1"/>
  <c r="L178" i="1"/>
  <c r="O266" i="1"/>
  <c r="P351" i="1"/>
  <c r="P368" i="1"/>
  <c r="P367" i="1"/>
  <c r="L391" i="1"/>
  <c r="Q392" i="1" s="1"/>
  <c r="L402" i="1"/>
  <c r="L443" i="1"/>
  <c r="P464" i="1"/>
  <c r="P463" i="1"/>
  <c r="P536" i="1"/>
  <c r="O143" i="1"/>
  <c r="L143" i="1"/>
  <c r="L240" i="1"/>
  <c r="O240" i="1"/>
  <c r="P266" i="1"/>
  <c r="L367" i="1"/>
  <c r="P453" i="1"/>
  <c r="O531" i="1"/>
  <c r="P149" i="1"/>
  <c r="P378" i="1"/>
  <c r="P379" i="1"/>
  <c r="P392" i="1"/>
  <c r="O434" i="1"/>
  <c r="O433" i="1"/>
  <c r="L433" i="1"/>
  <c r="O503" i="1"/>
  <c r="O502" i="1"/>
  <c r="L502" i="1"/>
  <c r="L655" i="1"/>
  <c r="O655" i="1"/>
  <c r="P83" i="1"/>
  <c r="P184" i="1"/>
  <c r="O196" i="1"/>
  <c r="P251" i="1"/>
  <c r="O262" i="1"/>
  <c r="L262" i="1"/>
  <c r="O272" i="1"/>
  <c r="L320" i="1"/>
  <c r="O320" i="1"/>
  <c r="L336" i="1"/>
  <c r="P337" i="1"/>
  <c r="P336" i="1"/>
  <c r="L398" i="1"/>
  <c r="O398" i="1"/>
  <c r="P404" i="1"/>
  <c r="P403" i="1"/>
  <c r="O413" i="1"/>
  <c r="P434" i="1"/>
  <c r="P433" i="1"/>
  <c r="O476" i="1"/>
  <c r="O475" i="1"/>
  <c r="L475" i="1"/>
  <c r="L492" i="1"/>
  <c r="Q492" i="1" s="1"/>
  <c r="O492" i="1"/>
  <c r="P521" i="1"/>
  <c r="P520" i="1"/>
  <c r="P263" i="1"/>
  <c r="P262" i="1"/>
  <c r="O273" i="1"/>
  <c r="O274" i="1"/>
  <c r="L273" i="1"/>
  <c r="Q274" i="1" s="1"/>
  <c r="O295" i="1"/>
  <c r="L294" i="1"/>
  <c r="L374" i="1"/>
  <c r="O374" i="1"/>
  <c r="O415" i="1"/>
  <c r="O414" i="1"/>
  <c r="L414" i="1"/>
  <c r="P476" i="1"/>
  <c r="P475" i="1"/>
  <c r="L515" i="1"/>
  <c r="O515" i="1"/>
  <c r="P560" i="1"/>
  <c r="P559" i="1"/>
  <c r="O349" i="1"/>
  <c r="O348" i="1"/>
  <c r="P455" i="1"/>
  <c r="P456" i="1"/>
  <c r="P550" i="1"/>
  <c r="P565" i="1"/>
  <c r="L61" i="1"/>
  <c r="L163" i="1"/>
  <c r="P180" i="1"/>
  <c r="O268" i="1"/>
  <c r="O289" i="1"/>
  <c r="L289" i="1"/>
  <c r="L332" i="1"/>
  <c r="O332" i="1"/>
  <c r="O365" i="1"/>
  <c r="P164" i="1"/>
  <c r="P163" i="1"/>
  <c r="O318" i="1"/>
  <c r="O317" i="1"/>
  <c r="L317" i="1"/>
  <c r="L410" i="1"/>
  <c r="O410" i="1"/>
  <c r="O259" i="1"/>
  <c r="O260" i="1"/>
  <c r="L259" i="1"/>
  <c r="L344" i="1"/>
  <c r="O344" i="1"/>
  <c r="P54" i="1"/>
  <c r="O62" i="1"/>
  <c r="O102" i="1"/>
  <c r="O101" i="1"/>
  <c r="L101" i="1"/>
  <c r="O238" i="1"/>
  <c r="O270" i="1"/>
  <c r="P333" i="1"/>
  <c r="O355" i="1"/>
  <c r="O361" i="1"/>
  <c r="P153" i="1"/>
  <c r="O206" i="1"/>
  <c r="O228" i="1"/>
  <c r="P284" i="1"/>
  <c r="P294" i="1"/>
  <c r="P407" i="1"/>
  <c r="P437" i="1"/>
  <c r="P489" i="1"/>
  <c r="P551" i="1"/>
  <c r="P585" i="1"/>
  <c r="O613" i="1"/>
  <c r="P622" i="1"/>
  <c r="O32" i="1"/>
  <c r="P79" i="1"/>
  <c r="P119" i="1"/>
  <c r="P190" i="1"/>
  <c r="P254" i="1"/>
  <c r="O280" i="1"/>
  <c r="P306" i="1"/>
  <c r="P352" i="1"/>
  <c r="L384" i="1"/>
  <c r="P484" i="1"/>
  <c r="P517" i="1"/>
  <c r="P575" i="1"/>
  <c r="P580" i="1"/>
  <c r="P590" i="1"/>
  <c r="P608" i="1"/>
  <c r="P613" i="1"/>
  <c r="O651" i="1"/>
  <c r="O704" i="1"/>
  <c r="P17" i="1"/>
  <c r="O21" i="1"/>
  <c r="O40" i="1"/>
  <c r="L69" i="1"/>
  <c r="P112" i="1"/>
  <c r="O133" i="1"/>
  <c r="O144" i="1"/>
  <c r="P159" i="1"/>
  <c r="O223" i="1"/>
  <c r="O255" i="1"/>
  <c r="L266" i="1"/>
  <c r="P298" i="1"/>
  <c r="O302" i="1"/>
  <c r="P310" i="1"/>
  <c r="P320" i="1"/>
  <c r="L325" i="1"/>
  <c r="P344" i="1"/>
  <c r="O356" i="1"/>
  <c r="P384" i="1"/>
  <c r="O396" i="1"/>
  <c r="P400" i="1"/>
  <c r="P426" i="1"/>
  <c r="L445" i="1"/>
  <c r="P499" i="1"/>
  <c r="P522" i="1"/>
  <c r="O557" i="1"/>
  <c r="P623" i="1"/>
  <c r="O646" i="1"/>
  <c r="O662" i="1"/>
  <c r="P693" i="1"/>
  <c r="P704" i="1"/>
  <c r="L5" i="1"/>
  <c r="Q6" i="1" s="1"/>
  <c r="L21" i="1"/>
  <c r="O48" i="1"/>
  <c r="P62" i="1"/>
  <c r="O66" i="1"/>
  <c r="L73" i="1"/>
  <c r="O88" i="1"/>
  <c r="P94" i="1"/>
  <c r="P98" i="1"/>
  <c r="P106" i="1"/>
  <c r="P116" i="1"/>
  <c r="P128" i="1"/>
  <c r="P145" i="1"/>
  <c r="P170" i="1"/>
  <c r="P229" i="1"/>
  <c r="L251" i="1"/>
  <c r="P255" i="1"/>
  <c r="O263" i="1"/>
  <c r="L270" i="1"/>
  <c r="L276" i="1"/>
  <c r="L280" i="1"/>
  <c r="P318" i="1"/>
  <c r="O325" i="1"/>
  <c r="L337" i="1"/>
  <c r="Q337" i="1" s="1"/>
  <c r="P341" i="1"/>
  <c r="L361" i="1"/>
  <c r="L365" i="1"/>
  <c r="P376" i="1"/>
  <c r="O380" i="1"/>
  <c r="O445" i="1"/>
  <c r="P450" i="1"/>
  <c r="L457" i="1"/>
  <c r="P507" i="1"/>
  <c r="P531" i="1"/>
  <c r="P556" i="1"/>
  <c r="O567" i="1"/>
  <c r="P576" i="1"/>
  <c r="P582" i="1"/>
  <c r="P594" i="1"/>
  <c r="O619" i="1"/>
  <c r="O630" i="1"/>
  <c r="O657" i="1"/>
  <c r="P679" i="1"/>
  <c r="P699" i="1"/>
  <c r="O705" i="1"/>
  <c r="P26" i="1"/>
  <c r="L29" i="1"/>
  <c r="P80" i="1"/>
  <c r="L91" i="1"/>
  <c r="P110" i="1"/>
  <c r="L140" i="1"/>
  <c r="L145" i="1"/>
  <c r="P181" i="1"/>
  <c r="P212" i="1"/>
  <c r="P218" i="1"/>
  <c r="O281" i="1"/>
  <c r="P290" i="1"/>
  <c r="P311" i="1"/>
  <c r="L326" i="1"/>
  <c r="O368" i="1"/>
  <c r="O404" i="1"/>
  <c r="P418" i="1"/>
  <c r="O422" i="1"/>
  <c r="P430" i="1"/>
  <c r="L446" i="1"/>
  <c r="P472" i="1"/>
  <c r="P500" i="1"/>
  <c r="P513" i="1"/>
  <c r="P524" i="1"/>
  <c r="P527" i="1"/>
  <c r="P537" i="1"/>
  <c r="P548" i="1"/>
  <c r="L556" i="1"/>
  <c r="P561" i="1"/>
  <c r="P566" i="1"/>
  <c r="O577" i="1"/>
  <c r="P619" i="1"/>
  <c r="P657" i="1"/>
  <c r="L673" i="1"/>
  <c r="P678" i="1"/>
  <c r="P694" i="1"/>
  <c r="P705" i="1"/>
  <c r="P193" i="1"/>
  <c r="P225" i="1"/>
  <c r="O267" i="1"/>
  <c r="O390" i="1"/>
  <c r="P15" i="1"/>
  <c r="L45" i="1"/>
  <c r="P78" i="1"/>
  <c r="L88" i="1"/>
  <c r="L166" i="1"/>
  <c r="O277" i="1"/>
  <c r="P295" i="1"/>
  <c r="L308" i="1"/>
  <c r="P313" i="1"/>
  <c r="L338" i="1"/>
  <c r="L350" i="1"/>
  <c r="L354" i="1"/>
  <c r="L439" i="1"/>
  <c r="L458" i="1"/>
  <c r="P502" i="1"/>
  <c r="L533" i="1"/>
  <c r="L538" i="1"/>
  <c r="L577" i="1"/>
  <c r="P595" i="1"/>
  <c r="L600" i="1"/>
  <c r="O13" i="1"/>
  <c r="O19" i="1"/>
  <c r="P38" i="1"/>
  <c r="O92" i="1"/>
  <c r="L157" i="1"/>
  <c r="O188" i="1"/>
  <c r="P214" i="1"/>
  <c r="L261" i="1"/>
  <c r="O275" i="1"/>
  <c r="L277" i="1"/>
  <c r="P304" i="1"/>
  <c r="O308" i="1"/>
  <c r="L319" i="1"/>
  <c r="L331" i="1"/>
  <c r="O338" i="1"/>
  <c r="L343" i="1"/>
  <c r="O350" i="1"/>
  <c r="P358" i="1"/>
  <c r="L416" i="1"/>
  <c r="L428" i="1"/>
  <c r="L432" i="1"/>
  <c r="P435" i="1"/>
  <c r="O458" i="1"/>
  <c r="L462" i="1"/>
  <c r="L470" i="1"/>
  <c r="P474" i="1"/>
  <c r="P487" i="1"/>
  <c r="P504" i="1"/>
  <c r="P545" i="1"/>
  <c r="O554" i="1"/>
  <c r="O563" i="1"/>
  <c r="P568" i="1"/>
  <c r="P579" i="1"/>
  <c r="P583" i="1"/>
  <c r="P588" i="1"/>
  <c r="P612" i="1"/>
  <c r="P632" i="1"/>
  <c r="O637" i="1"/>
  <c r="O649" i="1"/>
  <c r="O50" i="1"/>
  <c r="O64" i="1"/>
  <c r="O89" i="1"/>
  <c r="P93" i="1"/>
  <c r="O107" i="1"/>
  <c r="P147" i="1"/>
  <c r="P189" i="1"/>
  <c r="P231" i="1"/>
  <c r="O253" i="1"/>
  <c r="P261" i="1"/>
  <c r="O279" i="1"/>
  <c r="O283" i="1"/>
  <c r="P288" i="1"/>
  <c r="O294" i="1"/>
  <c r="P312" i="1"/>
  <c r="O360" i="1"/>
  <c r="P382" i="1"/>
  <c r="P394" i="1"/>
  <c r="L440" i="1"/>
  <c r="P447" i="1"/>
  <c r="L452" i="1"/>
  <c r="P498" i="1"/>
  <c r="P501" i="1"/>
  <c r="P534" i="1"/>
  <c r="L545" i="1"/>
  <c r="P558" i="1"/>
  <c r="P573" i="1"/>
  <c r="P616" i="1"/>
  <c r="O670" i="1"/>
  <c r="O36" i="1"/>
  <c r="L36" i="1"/>
  <c r="P66" i="1"/>
  <c r="L65" i="1"/>
  <c r="O44" i="1"/>
  <c r="L44" i="1"/>
  <c r="P248" i="1"/>
  <c r="P247" i="1"/>
  <c r="L247" i="1"/>
  <c r="P395" i="1"/>
  <c r="L395" i="1"/>
  <c r="O26" i="1"/>
  <c r="O25" i="1"/>
  <c r="L25" i="1"/>
  <c r="O29" i="1"/>
  <c r="O53" i="1"/>
  <c r="O52" i="1"/>
  <c r="L52" i="1"/>
  <c r="P349" i="1"/>
  <c r="P348" i="1"/>
  <c r="L348" i="1"/>
  <c r="Q348" i="1" s="1"/>
  <c r="O34" i="1"/>
  <c r="O33" i="1"/>
  <c r="L33" i="1"/>
  <c r="O37" i="1"/>
  <c r="P598" i="1"/>
  <c r="P599" i="1"/>
  <c r="O603" i="1"/>
  <c r="L603" i="1"/>
  <c r="O42" i="1"/>
  <c r="O41" i="1"/>
  <c r="L41" i="1"/>
  <c r="O45" i="1"/>
  <c r="O342" i="1"/>
  <c r="O341" i="1"/>
  <c r="L341" i="1"/>
  <c r="P479" i="1"/>
  <c r="P480" i="1"/>
  <c r="O121" i="1"/>
  <c r="O156" i="1"/>
  <c r="L156" i="1"/>
  <c r="P177" i="1"/>
  <c r="L177" i="1"/>
  <c r="O290" i="1"/>
  <c r="L290" i="1"/>
  <c r="P591" i="1"/>
  <c r="P592" i="1"/>
  <c r="L591" i="1"/>
  <c r="P50" i="1"/>
  <c r="L49" i="1"/>
  <c r="O61" i="1"/>
  <c r="O60" i="1"/>
  <c r="L60" i="1"/>
  <c r="O442" i="1"/>
  <c r="L442" i="1"/>
  <c r="P152" i="1"/>
  <c r="L151" i="1"/>
  <c r="O69" i="1"/>
  <c r="O68" i="1"/>
  <c r="L68" i="1"/>
  <c r="P272" i="1"/>
  <c r="P271" i="1"/>
  <c r="L271" i="1"/>
  <c r="O322" i="1"/>
  <c r="L322" i="1"/>
  <c r="P543" i="1"/>
  <c r="P544" i="1"/>
  <c r="P58" i="1"/>
  <c r="L57" i="1"/>
  <c r="O132" i="1"/>
  <c r="O215" i="1"/>
  <c r="O20" i="1"/>
  <c r="L20" i="1"/>
  <c r="P259" i="1"/>
  <c r="P258" i="1"/>
  <c r="L258" i="1"/>
  <c r="P21" i="1"/>
  <c r="P20" i="1"/>
  <c r="O28" i="1"/>
  <c r="L28" i="1"/>
  <c r="L108" i="1"/>
  <c r="O108" i="1"/>
  <c r="O424" i="1"/>
  <c r="L424" i="1"/>
  <c r="O381" i="1"/>
  <c r="L381" i="1"/>
  <c r="O407" i="1"/>
  <c r="L407" i="1"/>
  <c r="P468" i="1"/>
  <c r="L468" i="1"/>
  <c r="P469" i="1"/>
  <c r="O472" i="1"/>
  <c r="L472" i="1"/>
  <c r="P511" i="1"/>
  <c r="P512" i="1"/>
  <c r="L521" i="1"/>
  <c r="O521" i="1"/>
  <c r="P603" i="1"/>
  <c r="P604" i="1"/>
  <c r="P29" i="1"/>
  <c r="P37" i="1"/>
  <c r="P45" i="1"/>
  <c r="O49" i="1"/>
  <c r="O65" i="1"/>
  <c r="P188" i="1"/>
  <c r="L256" i="1"/>
  <c r="L269" i="1"/>
  <c r="P279" i="1"/>
  <c r="O298" i="1"/>
  <c r="L298" i="1"/>
  <c r="O309" i="1"/>
  <c r="L309" i="1"/>
  <c r="L353" i="1"/>
  <c r="O354" i="1"/>
  <c r="L360" i="1"/>
  <c r="O363" i="1"/>
  <c r="L363" i="1"/>
  <c r="O426" i="1"/>
  <c r="O425" i="1"/>
  <c r="L425" i="1"/>
  <c r="P490" i="1"/>
  <c r="L490" i="1"/>
  <c r="P491" i="1"/>
  <c r="P494" i="1"/>
  <c r="P495" i="1"/>
  <c r="O539" i="1"/>
  <c r="L539" i="1"/>
  <c r="P689" i="1"/>
  <c r="P688" i="1"/>
  <c r="P5" i="1"/>
  <c r="O87" i="1"/>
  <c r="L93" i="1"/>
  <c r="O99" i="1"/>
  <c r="P102" i="1"/>
  <c r="L148" i="1"/>
  <c r="L185" i="1"/>
  <c r="O220" i="1"/>
  <c r="L223" i="1"/>
  <c r="O239" i="1"/>
  <c r="L254" i="1"/>
  <c r="O256" i="1"/>
  <c r="L267" i="1"/>
  <c r="P269" i="1"/>
  <c r="L279" i="1"/>
  <c r="L287" i="1"/>
  <c r="P291" i="1"/>
  <c r="L334" i="1"/>
  <c r="O370" i="1"/>
  <c r="L370" i="1"/>
  <c r="L378" i="1"/>
  <c r="P397" i="1"/>
  <c r="P396" i="1"/>
  <c r="L396" i="1"/>
  <c r="O455" i="1"/>
  <c r="L455" i="1"/>
  <c r="O474" i="1"/>
  <c r="O473" i="1"/>
  <c r="L473" i="1"/>
  <c r="O517" i="1"/>
  <c r="P549" i="1"/>
  <c r="P7" i="1"/>
  <c r="O15" i="1"/>
  <c r="P84" i="1"/>
  <c r="O93" i="1"/>
  <c r="O97" i="1"/>
  <c r="L118" i="1"/>
  <c r="L132" i="1"/>
  <c r="O160" i="1"/>
  <c r="L215" i="1"/>
  <c r="L228" i="1"/>
  <c r="P244" i="1"/>
  <c r="L252" i="1"/>
  <c r="O254" i="1"/>
  <c r="L265" i="1"/>
  <c r="P267" i="1"/>
  <c r="O291" i="1"/>
  <c r="L306" i="1"/>
  <c r="O335" i="1"/>
  <c r="L335" i="1"/>
  <c r="O353" i="1"/>
  <c r="P360" i="1"/>
  <c r="O392" i="1"/>
  <c r="O429" i="1"/>
  <c r="L429" i="1"/>
  <c r="L500" i="1"/>
  <c r="O526" i="1"/>
  <c r="L526" i="1"/>
  <c r="P10" i="1"/>
  <c r="L13" i="1"/>
  <c r="P32" i="1"/>
  <c r="P40" i="1"/>
  <c r="L121" i="1"/>
  <c r="P138" i="1"/>
  <c r="P137" i="1"/>
  <c r="O149" i="1"/>
  <c r="O166" i="1"/>
  <c r="L203" i="1"/>
  <c r="L220" i="1"/>
  <c r="P232" i="1"/>
  <c r="L263" i="1"/>
  <c r="L283" i="1"/>
  <c r="O292" i="1"/>
  <c r="L292" i="1"/>
  <c r="P299" i="1"/>
  <c r="L324" i="1"/>
  <c r="P325" i="1"/>
  <c r="P331" i="1"/>
  <c r="P335" i="1"/>
  <c r="O357" i="1"/>
  <c r="L357" i="1"/>
  <c r="L389" i="1"/>
  <c r="L401" i="1"/>
  <c r="O402" i="1"/>
  <c r="O411" i="1"/>
  <c r="L411" i="1"/>
  <c r="P451" i="1"/>
  <c r="O477" i="1"/>
  <c r="L477" i="1"/>
  <c r="P578" i="1"/>
  <c r="O72" i="1"/>
  <c r="P109" i="1"/>
  <c r="P125" i="1"/>
  <c r="P141" i="1"/>
  <c r="O222" i="1"/>
  <c r="O221" i="1"/>
  <c r="L229" i="1"/>
  <c r="P240" i="1"/>
  <c r="O250" i="1"/>
  <c r="O284" i="1"/>
  <c r="L284" i="1"/>
  <c r="L299" i="1"/>
  <c r="P324" i="1"/>
  <c r="O328" i="1"/>
  <c r="L328" i="1"/>
  <c r="O346" i="1"/>
  <c r="L346" i="1"/>
  <c r="Q347" i="1" s="1"/>
  <c r="L382" i="1"/>
  <c r="O389" i="1"/>
  <c r="O408" i="1"/>
  <c r="O418" i="1"/>
  <c r="L418" i="1"/>
  <c r="L426" i="1"/>
  <c r="P445" i="1"/>
  <c r="P444" i="1"/>
  <c r="L444" i="1"/>
  <c r="P518" i="1"/>
  <c r="P546" i="1"/>
  <c r="P547" i="1"/>
  <c r="P674" i="1"/>
  <c r="P675" i="1"/>
  <c r="O91" i="1"/>
  <c r="O311" i="1"/>
  <c r="L311" i="1"/>
  <c r="O383" i="1"/>
  <c r="L383" i="1"/>
  <c r="O459" i="1"/>
  <c r="L459" i="1"/>
  <c r="O496" i="1"/>
  <c r="L496" i="1"/>
  <c r="P570" i="1"/>
  <c r="P571" i="1"/>
  <c r="O616" i="1"/>
  <c r="L616" i="1"/>
  <c r="P25" i="1"/>
  <c r="P33" i="1"/>
  <c r="P41" i="1"/>
  <c r="L94" i="1"/>
  <c r="L170" i="1"/>
  <c r="L190" i="1"/>
  <c r="L257" i="1"/>
  <c r="O285" i="1"/>
  <c r="L285" i="1"/>
  <c r="P301" i="1"/>
  <c r="P300" i="1"/>
  <c r="L300" i="1"/>
  <c r="O330" i="1"/>
  <c r="O329" i="1"/>
  <c r="L329" i="1"/>
  <c r="L372" i="1"/>
  <c r="P373" i="1"/>
  <c r="O405" i="1"/>
  <c r="L405" i="1"/>
  <c r="Q405" i="1" s="1"/>
  <c r="L437" i="1"/>
  <c r="O449" i="1"/>
  <c r="L449" i="1"/>
  <c r="O450" i="1"/>
  <c r="O466" i="1"/>
  <c r="L466" i="1"/>
  <c r="P542" i="1"/>
  <c r="P541" i="1"/>
  <c r="O16" i="1"/>
  <c r="L24" i="1"/>
  <c r="L32" i="1"/>
  <c r="L40" i="1"/>
  <c r="L79" i="1"/>
  <c r="P113" i="1"/>
  <c r="L119" i="1"/>
  <c r="P122" i="1"/>
  <c r="L126" i="1"/>
  <c r="L139" i="1"/>
  <c r="L146" i="1"/>
  <c r="L184" i="1"/>
  <c r="O233" i="1"/>
  <c r="P238" i="1"/>
  <c r="L255" i="1"/>
  <c r="P285" i="1"/>
  <c r="L293" i="1"/>
  <c r="O296" i="1"/>
  <c r="P307" i="1"/>
  <c r="P347" i="1"/>
  <c r="P372" i="1"/>
  <c r="O376" i="1"/>
  <c r="L376" i="1"/>
  <c r="O394" i="1"/>
  <c r="L394" i="1"/>
  <c r="L430" i="1"/>
  <c r="P8" i="1"/>
  <c r="P90" i="1"/>
  <c r="L117" i="1"/>
  <c r="O204" i="1"/>
  <c r="L253" i="1"/>
  <c r="L281" i="1"/>
  <c r="O286" i="1"/>
  <c r="O293" i="1"/>
  <c r="O333" i="1"/>
  <c r="L333" i="1"/>
  <c r="O359" i="1"/>
  <c r="L359" i="1"/>
  <c r="O431" i="1"/>
  <c r="L431" i="1"/>
  <c r="O453" i="1"/>
  <c r="L453" i="1"/>
  <c r="L528" i="1"/>
  <c r="O528" i="1"/>
  <c r="O561" i="1"/>
  <c r="L561" i="1"/>
  <c r="P617" i="1"/>
  <c r="P28" i="1"/>
  <c r="P36" i="1"/>
  <c r="L111" i="1"/>
  <c r="O114" i="1"/>
  <c r="P130" i="1"/>
  <c r="L167" i="1"/>
  <c r="O205" i="1"/>
  <c r="L205" i="1"/>
  <c r="P213" i="1"/>
  <c r="O247" i="1"/>
  <c r="O278" i="1"/>
  <c r="L278" i="1"/>
  <c r="L305" i="1"/>
  <c r="O306" i="1"/>
  <c r="O315" i="1"/>
  <c r="L315" i="1"/>
  <c r="O378" i="1"/>
  <c r="O377" i="1"/>
  <c r="L377" i="1"/>
  <c r="O384" i="1"/>
  <c r="L420" i="1"/>
  <c r="P421" i="1"/>
  <c r="P431" i="1"/>
  <c r="O479" i="1"/>
  <c r="O480" i="1"/>
  <c r="L479" i="1"/>
  <c r="P581" i="1"/>
  <c r="L581" i="1"/>
  <c r="L608" i="1"/>
  <c r="O609" i="1"/>
  <c r="P280" i="1"/>
  <c r="P287" i="1"/>
  <c r="O303" i="1"/>
  <c r="L303" i="1"/>
  <c r="O316" i="1"/>
  <c r="L316" i="1"/>
  <c r="P329" i="1"/>
  <c r="O351" i="1"/>
  <c r="L351" i="1"/>
  <c r="O364" i="1"/>
  <c r="L364" i="1"/>
  <c r="P377" i="1"/>
  <c r="O399" i="1"/>
  <c r="L399" i="1"/>
  <c r="O412" i="1"/>
  <c r="L412" i="1"/>
  <c r="P425" i="1"/>
  <c r="O447" i="1"/>
  <c r="L447" i="1"/>
  <c r="O460" i="1"/>
  <c r="L460" i="1"/>
  <c r="P473" i="1"/>
  <c r="P488" i="1"/>
  <c r="P509" i="1"/>
  <c r="P528" i="1"/>
  <c r="O675" i="1"/>
  <c r="O685" i="1"/>
  <c r="P700" i="1"/>
  <c r="O297" i="1"/>
  <c r="L297" i="1"/>
  <c r="O310" i="1"/>
  <c r="P316" i="1"/>
  <c r="O323" i="1"/>
  <c r="P342" i="1"/>
  <c r="O345" i="1"/>
  <c r="L345" i="1"/>
  <c r="O358" i="1"/>
  <c r="P364" i="1"/>
  <c r="O371" i="1"/>
  <c r="P390" i="1"/>
  <c r="O393" i="1"/>
  <c r="L393" i="1"/>
  <c r="O406" i="1"/>
  <c r="P412" i="1"/>
  <c r="O419" i="1"/>
  <c r="P438" i="1"/>
  <c r="O441" i="1"/>
  <c r="L441" i="1"/>
  <c r="O454" i="1"/>
  <c r="P460" i="1"/>
  <c r="O467" i="1"/>
  <c r="O489" i="1"/>
  <c r="O499" i="1"/>
  <c r="L499" i="1"/>
  <c r="L514" i="1"/>
  <c r="O525" i="1"/>
  <c r="L525" i="1"/>
  <c r="P633" i="1"/>
  <c r="O681" i="1"/>
  <c r="O680" i="1"/>
  <c r="L701" i="1"/>
  <c r="P323" i="1"/>
  <c r="L342" i="1"/>
  <c r="P371" i="1"/>
  <c r="L390" i="1"/>
  <c r="P419" i="1"/>
  <c r="L438" i="1"/>
  <c r="P467" i="1"/>
  <c r="P514" i="1"/>
  <c r="L551" i="1"/>
  <c r="P557" i="1"/>
  <c r="L588" i="1"/>
  <c r="O83" i="1"/>
  <c r="L102" i="1"/>
  <c r="O141" i="1"/>
  <c r="L202" i="1"/>
  <c r="P281" i="1"/>
  <c r="O288" i="1"/>
  <c r="O304" i="1"/>
  <c r="L304" i="1"/>
  <c r="L310" i="1"/>
  <c r="P317" i="1"/>
  <c r="L323" i="1"/>
  <c r="O339" i="1"/>
  <c r="L339" i="1"/>
  <c r="O352" i="1"/>
  <c r="L352" i="1"/>
  <c r="L358" i="1"/>
  <c r="P365" i="1"/>
  <c r="L371" i="1"/>
  <c r="O387" i="1"/>
  <c r="L387" i="1"/>
  <c r="O400" i="1"/>
  <c r="L400" i="1"/>
  <c r="L406" i="1"/>
  <c r="P413" i="1"/>
  <c r="L419" i="1"/>
  <c r="O435" i="1"/>
  <c r="L435" i="1"/>
  <c r="O448" i="1"/>
  <c r="L448" i="1"/>
  <c r="L454" i="1"/>
  <c r="P461" i="1"/>
  <c r="L467" i="1"/>
  <c r="L489" i="1"/>
  <c r="O522" i="1"/>
  <c r="L522" i="1"/>
  <c r="O543" i="1"/>
  <c r="L543" i="1"/>
  <c r="O551" i="1"/>
  <c r="P562" i="1"/>
  <c r="P567" i="1"/>
  <c r="P656" i="1"/>
  <c r="P655" i="1"/>
  <c r="O702" i="1"/>
  <c r="O82" i="1"/>
  <c r="P85" i="1"/>
  <c r="L96" i="1"/>
  <c r="L106" i="1"/>
  <c r="P120" i="1"/>
  <c r="P165" i="1"/>
  <c r="P175" i="1"/>
  <c r="P198" i="1"/>
  <c r="P223" i="1"/>
  <c r="O282" i="1"/>
  <c r="P292" i="1"/>
  <c r="P305" i="1"/>
  <c r="O327" i="1"/>
  <c r="L327" i="1"/>
  <c r="O340" i="1"/>
  <c r="L340" i="1"/>
  <c r="P353" i="1"/>
  <c r="O375" i="1"/>
  <c r="L375" i="1"/>
  <c r="O388" i="1"/>
  <c r="L388" i="1"/>
  <c r="P401" i="1"/>
  <c r="O423" i="1"/>
  <c r="L423" i="1"/>
  <c r="O436" i="1"/>
  <c r="L436" i="1"/>
  <c r="P449" i="1"/>
  <c r="O471" i="1"/>
  <c r="L471" i="1"/>
  <c r="P481" i="1"/>
  <c r="O486" i="1"/>
  <c r="L486" i="1"/>
  <c r="O523" i="1"/>
  <c r="P530" i="1"/>
  <c r="O597" i="1"/>
  <c r="L597" i="1"/>
  <c r="P610" i="1"/>
  <c r="O615" i="1"/>
  <c r="L615" i="1"/>
  <c r="Q616" i="1" s="1"/>
  <c r="P640" i="1"/>
  <c r="P289" i="1"/>
  <c r="O299" i="1"/>
  <c r="O321" i="1"/>
  <c r="L321" i="1"/>
  <c r="O324" i="1"/>
  <c r="O334" i="1"/>
  <c r="P340" i="1"/>
  <c r="O347" i="1"/>
  <c r="O369" i="1"/>
  <c r="L369" i="1"/>
  <c r="O372" i="1"/>
  <c r="O382" i="1"/>
  <c r="P388" i="1"/>
  <c r="O395" i="1"/>
  <c r="O417" i="1"/>
  <c r="L417" i="1"/>
  <c r="O420" i="1"/>
  <c r="O430" i="1"/>
  <c r="P436" i="1"/>
  <c r="O443" i="1"/>
  <c r="O465" i="1"/>
  <c r="L465" i="1"/>
  <c r="O468" i="1"/>
  <c r="O478" i="1"/>
  <c r="O490" i="1"/>
  <c r="L516" i="1"/>
  <c r="O516" i="1"/>
  <c r="P535" i="1"/>
  <c r="O569" i="1"/>
  <c r="L569" i="1"/>
  <c r="P607" i="1"/>
  <c r="P606" i="1"/>
  <c r="P443" i="1"/>
  <c r="P497" i="1"/>
  <c r="O527" i="1"/>
  <c r="L527" i="1"/>
  <c r="L540" i="1"/>
  <c r="O540" i="1"/>
  <c r="O560" i="1"/>
  <c r="O532" i="1"/>
  <c r="P642" i="1"/>
  <c r="L552" i="1"/>
  <c r="L554" i="1"/>
  <c r="O604" i="1"/>
  <c r="L678" i="1"/>
  <c r="O550" i="1"/>
  <c r="O701" i="1"/>
  <c r="P676" i="1"/>
  <c r="L480" i="1"/>
  <c r="L609" i="1"/>
  <c r="L663" i="1"/>
  <c r="K3" i="1"/>
  <c r="N2082" i="1" s="1"/>
  <c r="J3" i="1"/>
  <c r="M2083" i="1" s="1"/>
  <c r="C24" i="1"/>
  <c r="C25" i="1"/>
  <c r="B25" i="1"/>
  <c r="B4" i="1"/>
  <c r="B6" i="1" s="1"/>
  <c r="B24" i="1"/>
  <c r="C26" i="1"/>
  <c r="P123" i="1"/>
  <c r="O218" i="1"/>
  <c r="P23" i="1"/>
  <c r="L23" i="1"/>
  <c r="P43" i="1"/>
  <c r="L43" i="1"/>
  <c r="P47" i="1"/>
  <c r="L47" i="1"/>
  <c r="O110" i="1"/>
  <c r="L173" i="1"/>
  <c r="O174" i="1"/>
  <c r="O173" i="1"/>
  <c r="L11" i="1"/>
  <c r="P59" i="1"/>
  <c r="L59" i="1"/>
  <c r="P75" i="1"/>
  <c r="L75" i="1"/>
  <c r="P103" i="1"/>
  <c r="O124" i="1"/>
  <c r="O123" i="1"/>
  <c r="L123" i="1"/>
  <c r="O136" i="1"/>
  <c r="L136" i="1"/>
  <c r="O150" i="1"/>
  <c r="L150" i="1"/>
  <c r="L161" i="1"/>
  <c r="P161" i="1"/>
  <c r="P207" i="1"/>
  <c r="P206" i="1"/>
  <c r="L206" i="1"/>
  <c r="P64" i="1"/>
  <c r="P65" i="1"/>
  <c r="O224" i="1"/>
  <c r="L224" i="1"/>
  <c r="P9" i="1"/>
  <c r="P24" i="1"/>
  <c r="P44" i="1"/>
  <c r="P55" i="1"/>
  <c r="L55" i="1"/>
  <c r="L64" i="1"/>
  <c r="O117" i="1"/>
  <c r="O118" i="1"/>
  <c r="O131" i="1"/>
  <c r="L131" i="1"/>
  <c r="O137" i="1"/>
  <c r="P168" i="1"/>
  <c r="P169" i="1"/>
  <c r="O207" i="1"/>
  <c r="L207" i="1"/>
  <c r="P11" i="1"/>
  <c r="P12" i="1"/>
  <c r="O78" i="1"/>
  <c r="O11" i="1"/>
  <c r="O17" i="1"/>
  <c r="O18" i="1"/>
  <c r="P60" i="1"/>
  <c r="P61" i="1"/>
  <c r="L78" i="1"/>
  <c r="P87" i="1"/>
  <c r="L87" i="1"/>
  <c r="P96" i="1"/>
  <c r="P131" i="1"/>
  <c r="L176" i="1"/>
  <c r="O176" i="1"/>
  <c r="P197" i="1"/>
  <c r="P196" i="1"/>
  <c r="L218" i="1"/>
  <c r="O6" i="1"/>
  <c r="P51" i="1"/>
  <c r="L51" i="1"/>
  <c r="L76" i="1"/>
  <c r="P76" i="1"/>
  <c r="O112" i="1"/>
  <c r="L112" i="1"/>
  <c r="P134" i="1"/>
  <c r="P142" i="1"/>
  <c r="L142" i="1"/>
  <c r="L169" i="1"/>
  <c r="O169" i="1"/>
  <c r="O186" i="1"/>
  <c r="L186" i="1"/>
  <c r="Q187" i="1" s="1"/>
  <c r="O201" i="1"/>
  <c r="L201" i="1"/>
  <c r="P151" i="1"/>
  <c r="P150" i="1"/>
  <c r="P182" i="1"/>
  <c r="L182" i="1"/>
  <c r="P183" i="1"/>
  <c r="L8" i="1"/>
  <c r="O10" i="1"/>
  <c r="L17" i="1"/>
  <c r="P19" i="1"/>
  <c r="L19" i="1"/>
  <c r="P56" i="1"/>
  <c r="P57" i="1"/>
  <c r="L85" i="1"/>
  <c r="O115" i="1"/>
  <c r="L115" i="1"/>
  <c r="P127" i="1"/>
  <c r="L134" i="1"/>
  <c r="L180" i="1"/>
  <c r="O180" i="1"/>
  <c r="O212" i="1"/>
  <c r="L212" i="1"/>
  <c r="O243" i="1"/>
  <c r="L243" i="1"/>
  <c r="P35" i="1"/>
  <c r="L35" i="1"/>
  <c r="P52" i="1"/>
  <c r="P53" i="1"/>
  <c r="O74" i="1"/>
  <c r="O75" i="1"/>
  <c r="L74" i="1"/>
  <c r="O81" i="1"/>
  <c r="L81" i="1"/>
  <c r="O105" i="1"/>
  <c r="P143" i="1"/>
  <c r="O198" i="1"/>
  <c r="O587" i="1"/>
  <c r="O588" i="1"/>
  <c r="L587" i="1"/>
  <c r="P27" i="1"/>
  <c r="L27" i="1"/>
  <c r="O129" i="1"/>
  <c r="L129" i="1"/>
  <c r="P154" i="1"/>
  <c r="O5" i="1"/>
  <c r="L14" i="1"/>
  <c r="P67" i="1"/>
  <c r="L67" i="1"/>
  <c r="O95" i="1"/>
  <c r="L95" i="1"/>
  <c r="O96" i="1"/>
  <c r="P97" i="1"/>
  <c r="L110" i="1"/>
  <c r="O113" i="1"/>
  <c r="O120" i="1"/>
  <c r="P124" i="1"/>
  <c r="P135" i="1"/>
  <c r="L152" i="1"/>
  <c r="Q152" i="1" s="1"/>
  <c r="O152" i="1"/>
  <c r="P209" i="1"/>
  <c r="P210" i="1"/>
  <c r="O213" i="1"/>
  <c r="L213" i="1"/>
  <c r="O214" i="1"/>
  <c r="P71" i="1"/>
  <c r="L71" i="1"/>
  <c r="O12" i="1"/>
  <c r="P48" i="1"/>
  <c r="P49" i="1"/>
  <c r="P72" i="1"/>
  <c r="P100" i="1"/>
  <c r="L100" i="1"/>
  <c r="P101" i="1"/>
  <c r="L105" i="1"/>
  <c r="P132" i="1"/>
  <c r="L198" i="1"/>
  <c r="L230" i="1"/>
  <c r="O230" i="1"/>
  <c r="O7" i="1"/>
  <c r="O14" i="1"/>
  <c r="L48" i="1"/>
  <c r="P63" i="1"/>
  <c r="L63" i="1"/>
  <c r="L72" i="1"/>
  <c r="O79" i="1"/>
  <c r="P88" i="1"/>
  <c r="L98" i="1"/>
  <c r="O98" i="1"/>
  <c r="L113" i="1"/>
  <c r="L120" i="1"/>
  <c r="O138" i="1"/>
  <c r="P155" i="1"/>
  <c r="O170" i="1"/>
  <c r="P31" i="1"/>
  <c r="L31" i="1"/>
  <c r="P39" i="1"/>
  <c r="L39" i="1"/>
  <c r="P18" i="1"/>
  <c r="L18" i="1"/>
  <c r="O23" i="1"/>
  <c r="L22" i="1"/>
  <c r="O27" i="1"/>
  <c r="L26" i="1"/>
  <c r="O31" i="1"/>
  <c r="L30" i="1"/>
  <c r="O35" i="1"/>
  <c r="L34" i="1"/>
  <c r="O39" i="1"/>
  <c r="L38" i="1"/>
  <c r="O43" i="1"/>
  <c r="L42" i="1"/>
  <c r="Q42" i="1" s="1"/>
  <c r="O47" i="1"/>
  <c r="L46" i="1"/>
  <c r="P68" i="1"/>
  <c r="P69" i="1"/>
  <c r="O84" i="1"/>
  <c r="L84" i="1"/>
  <c r="L103" i="1"/>
  <c r="L188" i="1"/>
  <c r="Q188" i="1" s="1"/>
  <c r="P192" i="1"/>
  <c r="P191" i="1"/>
  <c r="P121" i="1"/>
  <c r="O140" i="1"/>
  <c r="O145" i="1"/>
  <c r="O154" i="1"/>
  <c r="L154" i="1"/>
  <c r="O155" i="1"/>
  <c r="P178" i="1"/>
  <c r="O183" i="1"/>
  <c r="L183" i="1"/>
  <c r="O191" i="1"/>
  <c r="L191" i="1"/>
  <c r="O197" i="1"/>
  <c r="L196" i="1"/>
  <c r="P227" i="1"/>
  <c r="P228" i="1"/>
  <c r="L9" i="1"/>
  <c r="P81" i="1"/>
  <c r="P82" i="1"/>
  <c r="P148" i="1"/>
  <c r="L162" i="1"/>
  <c r="O216" i="1"/>
  <c r="L216" i="1"/>
  <c r="P224" i="1"/>
  <c r="O90" i="1"/>
  <c r="L122" i="1"/>
  <c r="O122" i="1"/>
  <c r="O130" i="1"/>
  <c r="P216" i="1"/>
  <c r="L15" i="1"/>
  <c r="L16" i="1"/>
  <c r="P77" i="1"/>
  <c r="L92" i="1"/>
  <c r="P95" i="1"/>
  <c r="O100" i="1"/>
  <c r="P105" i="1"/>
  <c r="L107" i="1"/>
  <c r="O109" i="1"/>
  <c r="L109" i="1"/>
  <c r="L114" i="1"/>
  <c r="O127" i="1"/>
  <c r="O128" i="1"/>
  <c r="L133" i="1"/>
  <c r="O139" i="1"/>
  <c r="L147" i="1"/>
  <c r="O162" i="1"/>
  <c r="P171" i="1"/>
  <c r="L174" i="1"/>
  <c r="O194" i="1"/>
  <c r="O217" i="1"/>
  <c r="L217" i="1"/>
  <c r="P226" i="1"/>
  <c r="L234" i="1"/>
  <c r="L50" i="1"/>
  <c r="O51" i="1"/>
  <c r="L54" i="1"/>
  <c r="O55" i="1"/>
  <c r="L58" i="1"/>
  <c r="O59" i="1"/>
  <c r="L62" i="1"/>
  <c r="O63" i="1"/>
  <c r="L66" i="1"/>
  <c r="O67" i="1"/>
  <c r="L70" i="1"/>
  <c r="O71" i="1"/>
  <c r="L77" i="1"/>
  <c r="P86" i="1"/>
  <c r="L89" i="1"/>
  <c r="L130" i="1"/>
  <c r="P136" i="1"/>
  <c r="O142" i="1"/>
  <c r="P156" i="1"/>
  <c r="L158" i="1"/>
  <c r="P162" i="1"/>
  <c r="P73" i="1"/>
  <c r="P92" i="1"/>
  <c r="P99" i="1"/>
  <c r="P104" i="1"/>
  <c r="P107" i="1"/>
  <c r="O116" i="1"/>
  <c r="L116" i="1"/>
  <c r="O153" i="1"/>
  <c r="L153" i="1"/>
  <c r="O158" i="1"/>
  <c r="O165" i="1"/>
  <c r="L165" i="1"/>
  <c r="P174" i="1"/>
  <c r="P217" i="1"/>
  <c r="L80" i="1"/>
  <c r="L99" i="1"/>
  <c r="L104" i="1"/>
  <c r="L141" i="1"/>
  <c r="L144" i="1"/>
  <c r="L155" i="1"/>
  <c r="O167" i="1"/>
  <c r="L232" i="1"/>
  <c r="O80" i="1"/>
  <c r="O85" i="1"/>
  <c r="O86" i="1"/>
  <c r="O104" i="1"/>
  <c r="O126" i="1"/>
  <c r="P144" i="1"/>
  <c r="O168" i="1"/>
  <c r="L168" i="1"/>
  <c r="P172" i="1"/>
  <c r="O211" i="1"/>
  <c r="P245" i="1"/>
  <c r="P246" i="1"/>
  <c r="P167" i="1"/>
  <c r="P176" i="1"/>
  <c r="O187" i="1"/>
  <c r="P194" i="1"/>
  <c r="L200" i="1"/>
  <c r="O200" i="1"/>
  <c r="L214" i="1"/>
  <c r="O483" i="1"/>
  <c r="L483" i="1"/>
  <c r="L241" i="1"/>
  <c r="O241" i="1"/>
  <c r="O508" i="1"/>
  <c r="L508" i="1"/>
  <c r="L505" i="1"/>
  <c r="O505" i="1"/>
  <c r="O506" i="1"/>
  <c r="O157" i="1"/>
  <c r="O164" i="1"/>
  <c r="L164" i="1"/>
  <c r="O175" i="1"/>
  <c r="L175" i="1"/>
  <c r="O177" i="1"/>
  <c r="O178" i="1"/>
  <c r="O195" i="1"/>
  <c r="O202" i="1"/>
  <c r="L236" i="1"/>
  <c r="O199" i="1"/>
  <c r="L209" i="1"/>
  <c r="P236" i="1"/>
  <c r="O509" i="1"/>
  <c r="O576" i="1"/>
  <c r="L576" i="1"/>
  <c r="L481" i="1"/>
  <c r="O481" i="1"/>
  <c r="O135" i="1"/>
  <c r="L135" i="1"/>
  <c r="L192" i="1"/>
  <c r="O192" i="1"/>
  <c r="O193" i="1"/>
  <c r="L199" i="1"/>
  <c r="P204" i="1"/>
  <c r="L227" i="1"/>
  <c r="O237" i="1"/>
  <c r="L237" i="1"/>
  <c r="L509" i="1"/>
  <c r="O513" i="1"/>
  <c r="L513" i="1"/>
  <c r="O514" i="1"/>
  <c r="O163" i="1"/>
  <c r="O172" i="1"/>
  <c r="L172" i="1"/>
  <c r="P179" i="1"/>
  <c r="O190" i="1"/>
  <c r="P195" i="1"/>
  <c r="O209" i="1"/>
  <c r="O242" i="1"/>
  <c r="O245" i="1"/>
  <c r="L245" i="1"/>
  <c r="O246" i="1"/>
  <c r="O529" i="1"/>
  <c r="L529" i="1"/>
  <c r="O497" i="1"/>
  <c r="L497" i="1"/>
  <c r="L547" i="1"/>
  <c r="O564" i="1"/>
  <c r="L564" i="1"/>
  <c r="P628" i="1"/>
  <c r="P629" i="1"/>
  <c r="L504" i="1"/>
  <c r="O504" i="1"/>
  <c r="O147" i="1"/>
  <c r="O189" i="1"/>
  <c r="L189" i="1"/>
  <c r="O219" i="1"/>
  <c r="L219" i="1"/>
  <c r="O235" i="1"/>
  <c r="L235" i="1"/>
  <c r="L534" i="1"/>
  <c r="O534" i="1"/>
  <c r="O535" i="1"/>
  <c r="O547" i="1"/>
  <c r="P219" i="1"/>
  <c r="P220" i="1"/>
  <c r="P222" i="1"/>
  <c r="O226" i="1"/>
  <c r="L226" i="1"/>
  <c r="O231" i="1"/>
  <c r="L239" i="1"/>
  <c r="L511" i="1"/>
  <c r="O511" i="1"/>
  <c r="L641" i="1"/>
  <c r="O641" i="1"/>
  <c r="O642" i="1"/>
  <c r="P233" i="1"/>
  <c r="P625" i="1"/>
  <c r="P626" i="1"/>
  <c r="L242" i="1"/>
  <c r="L589" i="1"/>
  <c r="P202" i="1"/>
  <c r="O208" i="1"/>
  <c r="L208" i="1"/>
  <c r="P221" i="1"/>
  <c r="P242" i="1"/>
  <c r="L558" i="1"/>
  <c r="O558" i="1"/>
  <c r="L622" i="1"/>
  <c r="O622" i="1"/>
  <c r="O623" i="1"/>
  <c r="O530" i="1"/>
  <c r="O537" i="1"/>
  <c r="O538" i="1"/>
  <c r="O541" i="1"/>
  <c r="L582" i="1"/>
  <c r="L605" i="1"/>
  <c r="O606" i="1"/>
  <c r="L638" i="1"/>
  <c r="O638" i="1"/>
  <c r="P677" i="1"/>
  <c r="O590" i="1"/>
  <c r="O171" i="1"/>
  <c r="L171" i="1"/>
  <c r="L530" i="1"/>
  <c r="L537" i="1"/>
  <c r="L541" i="1"/>
  <c r="O582" i="1"/>
  <c r="L633" i="1"/>
  <c r="O633" i="1"/>
  <c r="L696" i="1"/>
  <c r="O696" i="1"/>
  <c r="O697" i="1"/>
  <c r="O484" i="1"/>
  <c r="O485" i="1"/>
  <c r="O488" i="1"/>
  <c r="O512" i="1"/>
  <c r="L512" i="1"/>
  <c r="L546" i="1"/>
  <c r="O574" i="1"/>
  <c r="L574" i="1"/>
  <c r="O585" i="1"/>
  <c r="L590" i="1"/>
  <c r="Q591" i="1" s="1"/>
  <c r="L672" i="1"/>
  <c r="O672" i="1"/>
  <c r="L693" i="1"/>
  <c r="O693" i="1"/>
  <c r="P696" i="1"/>
  <c r="L482" i="1"/>
  <c r="O510" i="1"/>
  <c r="L510" i="1"/>
  <c r="O565" i="1"/>
  <c r="L565" i="1"/>
  <c r="L594" i="1"/>
  <c r="L627" i="1"/>
  <c r="O627" i="1"/>
  <c r="O628" i="1"/>
  <c r="P639" i="1"/>
  <c r="P690" i="1"/>
  <c r="O159" i="1"/>
  <c r="O181" i="1"/>
  <c r="O225" i="1"/>
  <c r="L225" i="1"/>
  <c r="P239" i="1"/>
  <c r="O244" i="1"/>
  <c r="L484" i="1"/>
  <c r="L488" i="1"/>
  <c r="O498" i="1"/>
  <c r="O519" i="1"/>
  <c r="L519" i="1"/>
  <c r="L531" i="1"/>
  <c r="O546" i="1"/>
  <c r="L585" i="1"/>
  <c r="O610" i="1"/>
  <c r="L610" i="1"/>
  <c r="O482" i="1"/>
  <c r="L517" i="1"/>
  <c r="Q517" i="1" s="1"/>
  <c r="O594" i="1"/>
  <c r="P661" i="1"/>
  <c r="P685" i="1"/>
  <c r="O583" i="1"/>
  <c r="P697" i="1"/>
  <c r="P698" i="1"/>
  <c r="O524" i="1"/>
  <c r="L555" i="1"/>
  <c r="O556" i="1"/>
  <c r="L560" i="1"/>
  <c r="O566" i="1"/>
  <c r="L566" i="1"/>
  <c r="L595" i="1"/>
  <c r="O595" i="1"/>
  <c r="O599" i="1"/>
  <c r="O600" i="1"/>
  <c r="L625" i="1"/>
  <c r="Q626" i="1" s="1"/>
  <c r="O625" i="1"/>
  <c r="O626" i="1"/>
  <c r="P648" i="1"/>
  <c r="P680" i="1"/>
  <c r="P695" i="1"/>
  <c r="O500" i="1"/>
  <c r="L570" i="1"/>
  <c r="L631" i="1"/>
  <c r="O631" i="1"/>
  <c r="O632" i="1"/>
  <c r="P638" i="1"/>
  <c r="P649" i="1"/>
  <c r="P650" i="1"/>
  <c r="L654" i="1"/>
  <c r="O654" i="1"/>
  <c r="P659" i="1"/>
  <c r="L677" i="1"/>
  <c r="O678" i="1"/>
  <c r="P703" i="1"/>
  <c r="Q425" i="1"/>
  <c r="O548" i="1"/>
  <c r="L619" i="1"/>
  <c r="O494" i="1"/>
  <c r="L518" i="1"/>
  <c r="O520" i="1"/>
  <c r="L535" i="1"/>
  <c r="O544" i="1"/>
  <c r="O545" i="1"/>
  <c r="L544" i="1"/>
  <c r="O573" i="1"/>
  <c r="L573" i="1"/>
  <c r="O579" i="1"/>
  <c r="O580" i="1"/>
  <c r="O611" i="1"/>
  <c r="L611" i="1"/>
  <c r="O612" i="1"/>
  <c r="P645" i="1"/>
  <c r="P644" i="1"/>
  <c r="L647" i="1"/>
  <c r="O647" i="1"/>
  <c r="P652" i="1"/>
  <c r="O677" i="1"/>
  <c r="L493" i="1"/>
  <c r="O536" i="1"/>
  <c r="L607" i="1"/>
  <c r="O607" i="1"/>
  <c r="O618" i="1"/>
  <c r="L635" i="1"/>
  <c r="O635" i="1"/>
  <c r="L639" i="1"/>
  <c r="P646" i="1"/>
  <c r="L652" i="1"/>
  <c r="O652" i="1"/>
  <c r="L664" i="1"/>
  <c r="Q664" i="1" s="1"/>
  <c r="O664" i="1"/>
  <c r="P666" i="1"/>
  <c r="L674" i="1"/>
  <c r="O674" i="1"/>
  <c r="P687" i="1"/>
  <c r="L487" i="1"/>
  <c r="O507" i="1"/>
  <c r="L523" i="1"/>
  <c r="L532" i="1"/>
  <c r="O533" i="1"/>
  <c r="L536" i="1"/>
  <c r="L550" i="1"/>
  <c r="L572" i="1"/>
  <c r="L575" i="1"/>
  <c r="O596" i="1"/>
  <c r="L604" i="1"/>
  <c r="O614" i="1"/>
  <c r="L614" i="1"/>
  <c r="L617" i="1"/>
  <c r="P635" i="1"/>
  <c r="O639" i="1"/>
  <c r="L660" i="1"/>
  <c r="O660" i="1"/>
  <c r="L662" i="1"/>
  <c r="P672" i="1"/>
  <c r="L688" i="1"/>
  <c r="O689" i="1"/>
  <c r="O493" i="1"/>
  <c r="O572" i="1"/>
  <c r="O586" i="1"/>
  <c r="L601" i="1"/>
  <c r="O617" i="1"/>
  <c r="L624" i="1"/>
  <c r="O624" i="1"/>
  <c r="L628" i="1"/>
  <c r="L643" i="1"/>
  <c r="O643" i="1"/>
  <c r="O656" i="1"/>
  <c r="P660" i="1"/>
  <c r="L690" i="1"/>
  <c r="O691" i="1"/>
  <c r="O542" i="1"/>
  <c r="O549" i="1"/>
  <c r="O553" i="1"/>
  <c r="L559" i="1"/>
  <c r="O559" i="1"/>
  <c r="O608" i="1"/>
  <c r="L630" i="1"/>
  <c r="P647" i="1"/>
  <c r="L669" i="1"/>
  <c r="P682" i="1"/>
  <c r="O495" i="1"/>
  <c r="O568" i="1"/>
  <c r="L571" i="1"/>
  <c r="O601" i="1"/>
  <c r="L621" i="1"/>
  <c r="O621" i="1"/>
  <c r="P630" i="1"/>
  <c r="L640" i="1"/>
  <c r="O640" i="1"/>
  <c r="P667" i="1"/>
  <c r="P668" i="1"/>
  <c r="L700" i="1"/>
  <c r="Q701" i="1" s="1"/>
  <c r="O700" i="1"/>
  <c r="P702" i="1"/>
  <c r="O602" i="1"/>
  <c r="L648" i="1"/>
  <c r="O648" i="1"/>
  <c r="L666" i="1"/>
  <c r="O667" i="1"/>
  <c r="L682" i="1"/>
  <c r="O682" i="1"/>
  <c r="L687" i="1"/>
  <c r="L697" i="1"/>
  <c r="L702" i="1"/>
  <c r="Q702" i="1" s="1"/>
  <c r="O562" i="1"/>
  <c r="L563" i="1"/>
  <c r="L578" i="1"/>
  <c r="L584" i="1"/>
  <c r="L598" i="1"/>
  <c r="L602" i="1"/>
  <c r="L613" i="1"/>
  <c r="L637" i="1"/>
  <c r="L645" i="1"/>
  <c r="O645" i="1"/>
  <c r="L651" i="1"/>
  <c r="P654" i="1"/>
  <c r="P662" i="1"/>
  <c r="P664" i="1"/>
  <c r="O666" i="1"/>
  <c r="L684" i="1"/>
  <c r="O684" i="1"/>
  <c r="L583" i="1"/>
  <c r="O584" i="1"/>
  <c r="O620" i="1"/>
  <c r="L634" i="1"/>
  <c r="P651" i="1"/>
  <c r="L659" i="1"/>
  <c r="O659" i="1"/>
  <c r="P691" i="1"/>
  <c r="P692" i="1"/>
  <c r="L694" i="1"/>
  <c r="P631" i="1"/>
  <c r="L658" i="1"/>
  <c r="O658" i="1"/>
  <c r="L670" i="1"/>
  <c r="L676" i="1"/>
  <c r="L683" i="1"/>
  <c r="O683" i="1"/>
  <c r="L686" i="1"/>
  <c r="O699" i="1"/>
  <c r="P624" i="1"/>
  <c r="L646" i="1"/>
  <c r="L649" i="1"/>
  <c r="L653" i="1"/>
  <c r="P658" i="1"/>
  <c r="P673" i="1"/>
  <c r="P701" i="1"/>
  <c r="L623" i="1"/>
  <c r="L629" i="1"/>
  <c r="P637" i="1"/>
  <c r="L650" i="1"/>
  <c r="L657" i="1"/>
  <c r="L681" i="1"/>
  <c r="L705" i="1"/>
  <c r="L636" i="1"/>
  <c r="O636" i="1"/>
  <c r="L642" i="1"/>
  <c r="L661" i="1"/>
  <c r="L665" i="1"/>
  <c r="L671" i="1"/>
  <c r="O671" i="1"/>
  <c r="L675" i="1"/>
  <c r="L685" i="1"/>
  <c r="L689" i="1"/>
  <c r="L695" i="1"/>
  <c r="O695" i="1"/>
  <c r="L699" i="1"/>
  <c r="L632" i="1"/>
  <c r="L644" i="1"/>
  <c r="L656" i="1"/>
  <c r="L668" i="1"/>
  <c r="L680" i="1"/>
  <c r="L692" i="1"/>
  <c r="L704" i="1"/>
  <c r="L667" i="1"/>
  <c r="L679" i="1"/>
  <c r="L691" i="1"/>
  <c r="L703" i="1"/>
  <c r="Q87" i="1" l="1"/>
  <c r="Q125" i="1"/>
  <c r="Q124" i="1"/>
  <c r="Q269" i="1"/>
  <c r="Q182" i="1"/>
  <c r="Q160" i="1"/>
  <c r="Q11" i="1"/>
  <c r="Q232" i="1"/>
  <c r="Q295" i="1"/>
  <c r="Q211" i="1"/>
  <c r="Q212" i="1"/>
  <c r="Q346" i="1"/>
  <c r="Q296" i="1"/>
  <c r="Q470" i="1"/>
  <c r="Q408" i="1"/>
  <c r="Q712" i="1"/>
  <c r="Q766" i="1"/>
  <c r="Q479" i="1"/>
  <c r="N699" i="1"/>
  <c r="N144" i="1"/>
  <c r="N647" i="1"/>
  <c r="Q369" i="1"/>
  <c r="Q2017" i="1"/>
  <c r="Q1433" i="1"/>
  <c r="Q1162" i="1"/>
  <c r="Q2559" i="1"/>
  <c r="Q3798" i="1"/>
  <c r="Q3600" i="1"/>
  <c r="Q2123" i="1"/>
  <c r="Q3191" i="1"/>
  <c r="Q2569" i="1"/>
  <c r="Q717" i="1"/>
  <c r="Q3444" i="1"/>
  <c r="Q3325" i="1"/>
  <c r="Q2161" i="1"/>
  <c r="Q1996" i="1"/>
  <c r="Q1839" i="1"/>
  <c r="Q1130" i="1"/>
  <c r="Q718" i="1"/>
  <c r="Q3849" i="1"/>
  <c r="Q2821" i="1"/>
  <c r="Q3070" i="1"/>
  <c r="Q3672" i="1"/>
  <c r="Q1579" i="1"/>
  <c r="Q902" i="1"/>
  <c r="Q3848" i="1"/>
  <c r="Q3433" i="1"/>
  <c r="Q1706" i="1"/>
  <c r="Q1146" i="1"/>
  <c r="Q1755" i="1"/>
  <c r="Q1705" i="1"/>
  <c r="Q679" i="1"/>
  <c r="Q354" i="1"/>
  <c r="Q549" i="1"/>
  <c r="Q3770" i="1"/>
  <c r="Q2902" i="1"/>
  <c r="Q3700" i="1"/>
  <c r="Q302" i="1"/>
  <c r="Q3825" i="1"/>
  <c r="Q3280" i="1"/>
  <c r="Q3257" i="1"/>
  <c r="Q3160" i="1"/>
  <c r="Q3106" i="1"/>
  <c r="Q1829" i="1"/>
  <c r="Q2322" i="1"/>
  <c r="Q2310" i="1"/>
  <c r="Q2242" i="1"/>
  <c r="Q1681" i="1"/>
  <c r="Q1101" i="1"/>
  <c r="Q2081" i="1"/>
  <c r="Q289" i="1"/>
  <c r="Q3726" i="1"/>
  <c r="Q2914" i="1"/>
  <c r="Q1995" i="1"/>
  <c r="Q931" i="1"/>
  <c r="Q3196" i="1"/>
  <c r="Q333" i="1"/>
  <c r="Q427" i="1"/>
  <c r="Q2784" i="1"/>
  <c r="Q393" i="1"/>
  <c r="Q491" i="1"/>
  <c r="Q2903" i="1"/>
  <c r="Q2699" i="1"/>
  <c r="Q2526" i="1"/>
  <c r="Q1840" i="1"/>
  <c r="Q1445" i="1"/>
  <c r="Q391" i="1"/>
  <c r="Q2619" i="1"/>
  <c r="Q2252" i="1"/>
  <c r="Q2890" i="1"/>
  <c r="Q3427" i="1"/>
  <c r="Q465" i="1"/>
  <c r="Q493" i="1"/>
  <c r="Q656" i="1"/>
  <c r="Q30" i="1"/>
  <c r="Q413" i="1"/>
  <c r="Q428" i="1"/>
  <c r="Q3865" i="1"/>
  <c r="Q3376" i="1"/>
  <c r="Q3222" i="1"/>
  <c r="Q2868" i="1"/>
  <c r="Q2019" i="1"/>
  <c r="Q934" i="1"/>
  <c r="Q897" i="1"/>
  <c r="Q1884" i="1"/>
  <c r="Q2099" i="1"/>
  <c r="Q1951" i="1"/>
  <c r="Q3507" i="1"/>
  <c r="Q2815" i="1"/>
  <c r="Q3203" i="1"/>
  <c r="Q1723" i="1"/>
  <c r="Q2094" i="1"/>
  <c r="Q3568" i="1"/>
  <c r="Q3281" i="1"/>
  <c r="Q2760" i="1"/>
  <c r="Q2481" i="1"/>
  <c r="Q1057" i="1"/>
  <c r="Q1103" i="1"/>
  <c r="Q2807" i="1"/>
  <c r="Q2367" i="1"/>
  <c r="Q1939" i="1"/>
  <c r="Q3246" i="1"/>
  <c r="Q550" i="1"/>
  <c r="Q210" i="1"/>
  <c r="Q231" i="1"/>
  <c r="Q3326" i="1"/>
  <c r="Q2700" i="1"/>
  <c r="Q2162" i="1"/>
  <c r="Q2165" i="1"/>
  <c r="Q1365" i="1"/>
  <c r="Q1781" i="1"/>
  <c r="Q1885" i="1"/>
  <c r="Q1878" i="1"/>
  <c r="Q1340" i="1"/>
  <c r="Q198" i="1"/>
  <c r="Q543" i="1"/>
  <c r="Q3314" i="1"/>
  <c r="Q2891" i="1"/>
  <c r="Q2783" i="1"/>
  <c r="Q2726" i="1"/>
  <c r="Q2642" i="1"/>
  <c r="Q2410" i="1"/>
  <c r="Q2228" i="1"/>
  <c r="Q1697" i="1"/>
  <c r="Q3701" i="1"/>
  <c r="Q2470" i="1"/>
  <c r="Q1522" i="1"/>
  <c r="Q476" i="1"/>
  <c r="Q3420" i="1"/>
  <c r="Q2001" i="1"/>
  <c r="Q2950" i="1"/>
  <c r="Q3213" i="1"/>
  <c r="Q3123" i="1"/>
  <c r="Q1976" i="1"/>
  <c r="Q1855" i="1"/>
  <c r="Q3822" i="1"/>
  <c r="Q3258" i="1"/>
  <c r="Q452" i="1"/>
  <c r="Q3712" i="1"/>
  <c r="Q2565" i="1"/>
  <c r="Q3298" i="1"/>
  <c r="Q594" i="1"/>
  <c r="Q2304" i="1"/>
  <c r="Q1581" i="1"/>
  <c r="Q477" i="1"/>
  <c r="Q474" i="1"/>
  <c r="Q3271" i="1"/>
  <c r="Q2407" i="1"/>
  <c r="Q1753" i="1"/>
  <c r="Q2430" i="1"/>
  <c r="Q2008" i="1"/>
  <c r="Q3095" i="1"/>
  <c r="Q3508" i="1"/>
  <c r="Q2246" i="1"/>
  <c r="Q1724" i="1"/>
  <c r="Q3406" i="1"/>
  <c r="Q261" i="1"/>
  <c r="Q3204" i="1"/>
  <c r="Q1971" i="1"/>
  <c r="Q1865" i="1"/>
  <c r="Q2816" i="1"/>
  <c r="Q3259" i="1"/>
  <c r="Q2995" i="1"/>
  <c r="Q3407" i="1"/>
  <c r="Q3860" i="1"/>
  <c r="Q1523" i="1"/>
  <c r="Q3823" i="1"/>
  <c r="Q355" i="1"/>
  <c r="Q497" i="1"/>
  <c r="Q28" i="1"/>
  <c r="Q451" i="1"/>
  <c r="Q730" i="1"/>
  <c r="Q2309" i="1"/>
  <c r="Q2263" i="1"/>
  <c r="Q729" i="1"/>
  <c r="Q3663" i="1"/>
  <c r="Q548" i="1"/>
  <c r="Q3772" i="1"/>
  <c r="Q2951" i="1"/>
  <c r="Q2887" i="1"/>
  <c r="Q1582" i="1"/>
  <c r="Q1983" i="1"/>
  <c r="Q1109" i="1"/>
  <c r="Q3322" i="1"/>
  <c r="M697" i="1"/>
  <c r="M194" i="1"/>
  <c r="M531" i="1"/>
  <c r="Q521" i="1"/>
  <c r="Q961" i="1"/>
  <c r="Q1945" i="1"/>
  <c r="Q2069" i="1"/>
  <c r="Q1808" i="1"/>
  <c r="Q2557" i="1"/>
  <c r="Q2919" i="1"/>
  <c r="Q3605" i="1"/>
  <c r="Q3295" i="1"/>
  <c r="Q2348" i="1"/>
  <c r="Q3334" i="1"/>
  <c r="Q1335" i="1"/>
  <c r="Q1752" i="1"/>
  <c r="Q2840" i="1"/>
  <c r="Q2558" i="1"/>
  <c r="Q2084" i="1"/>
  <c r="Q2203" i="1"/>
  <c r="Q2171" i="1"/>
  <c r="Q1336" i="1"/>
  <c r="Q3449" i="1"/>
  <c r="Q3176" i="1"/>
  <c r="Q2330" i="1"/>
  <c r="Q1118" i="1"/>
  <c r="Q321" i="1"/>
  <c r="Q287" i="1"/>
  <c r="Q410" i="1"/>
  <c r="Q409" i="1"/>
  <c r="Q3753" i="1"/>
  <c r="Q3619" i="1"/>
  <c r="Q2949" i="1"/>
  <c r="Q1584" i="1"/>
  <c r="Q1373" i="1"/>
  <c r="Q1349" i="1"/>
  <c r="Q1940" i="1"/>
  <c r="Q3442" i="1"/>
  <c r="Q3410" i="1"/>
  <c r="Q3361" i="1"/>
  <c r="Q2321" i="1"/>
  <c r="Q319" i="1"/>
  <c r="Q2287" i="1"/>
  <c r="Q2787" i="1"/>
  <c r="Q2108" i="1"/>
  <c r="Q2047" i="1"/>
  <c r="Q1708" i="1"/>
  <c r="Q3606" i="1"/>
  <c r="Q520" i="1"/>
  <c r="Q98" i="1"/>
  <c r="Q3735" i="1"/>
  <c r="Q3302" i="1"/>
  <c r="Q3178" i="1"/>
  <c r="Q3066" i="1"/>
  <c r="Q2319" i="1"/>
  <c r="Q1741" i="1"/>
  <c r="Q2803" i="1"/>
  <c r="Q568" i="1"/>
  <c r="Q3316" i="1"/>
  <c r="Q3189" i="1"/>
  <c r="Q2928" i="1"/>
  <c r="Q2596" i="1"/>
  <c r="Q2655" i="1"/>
  <c r="Q2207" i="1"/>
  <c r="Q1814" i="1"/>
  <c r="Q1649" i="1"/>
  <c r="Q1813" i="1"/>
  <c r="Q2854" i="1"/>
  <c r="Q3441" i="1"/>
  <c r="Q3301" i="1"/>
  <c r="Q3440" i="1"/>
  <c r="Q245" i="1"/>
  <c r="Q398" i="1"/>
  <c r="Q3764" i="1"/>
  <c r="Q3664" i="1"/>
  <c r="Q3197" i="1"/>
  <c r="Q3289" i="1"/>
  <c r="Q2197" i="1"/>
  <c r="Q2119" i="1"/>
  <c r="Q2033" i="1"/>
  <c r="Q1809" i="1"/>
  <c r="Q760" i="1"/>
  <c r="Q1994" i="1"/>
  <c r="Q2896" i="1"/>
  <c r="Q364" i="1"/>
  <c r="Q401" i="1"/>
  <c r="Q3267" i="1"/>
  <c r="Q2897" i="1"/>
  <c r="Q2369" i="1"/>
  <c r="Q1712" i="1"/>
  <c r="Q1765" i="1"/>
  <c r="Q1513" i="1"/>
  <c r="Q1717" i="1"/>
  <c r="Q2331" i="1"/>
  <c r="Q3699" i="1"/>
  <c r="Q3660" i="1"/>
  <c r="Q97" i="1"/>
  <c r="Q3276" i="1"/>
  <c r="Q2772" i="1"/>
  <c r="Q2005" i="1"/>
  <c r="Q1802" i="1"/>
  <c r="Q1036" i="1"/>
  <c r="Q244" i="1"/>
  <c r="Q565" i="1"/>
  <c r="Q162" i="1"/>
  <c r="Q374" i="1"/>
  <c r="Q3792" i="1"/>
  <c r="Q2855" i="1"/>
  <c r="Q2766" i="1"/>
  <c r="Q2413" i="1"/>
  <c r="Q2198" i="1"/>
  <c r="Q1608" i="1"/>
  <c r="Q1343" i="1"/>
  <c r="Q2048" i="1"/>
  <c r="Q1889" i="1"/>
  <c r="Q601" i="1"/>
  <c r="Q260" i="1"/>
  <c r="Q593" i="1"/>
  <c r="Q3782" i="1"/>
  <c r="Q3698" i="1"/>
  <c r="Q3432" i="1"/>
  <c r="Q3367" i="1"/>
  <c r="Q3335" i="1"/>
  <c r="Q3186" i="1"/>
  <c r="Q3175" i="1"/>
  <c r="Q2055" i="1"/>
  <c r="Q2057" i="1"/>
  <c r="Q1793" i="1"/>
  <c r="Q1764" i="1"/>
  <c r="Q962" i="1"/>
  <c r="Q2406" i="1"/>
  <c r="N630" i="1"/>
  <c r="M482" i="1"/>
  <c r="M88" i="1"/>
  <c r="M184" i="1"/>
  <c r="M686" i="1"/>
  <c r="M546" i="1"/>
  <c r="M206" i="1"/>
  <c r="M517" i="1"/>
  <c r="M236" i="1"/>
  <c r="M134" i="1"/>
  <c r="N702" i="1"/>
  <c r="M572" i="1"/>
  <c r="M518" i="1"/>
  <c r="M510" i="1"/>
  <c r="M80" i="1"/>
  <c r="M559" i="1"/>
  <c r="M540" i="1"/>
  <c r="M201" i="1"/>
  <c r="M571" i="1"/>
  <c r="M594" i="1"/>
  <c r="M537" i="1"/>
  <c r="M227" i="1"/>
  <c r="M648" i="1"/>
  <c r="M484" i="1"/>
  <c r="M239" i="1"/>
  <c r="M576" i="1"/>
  <c r="M705" i="1"/>
  <c r="N646" i="1"/>
  <c r="N652" i="1"/>
  <c r="M590" i="1"/>
  <c r="M589" i="1"/>
  <c r="M646" i="1"/>
  <c r="N115" i="1"/>
  <c r="M631" i="1"/>
  <c r="M585" i="1"/>
  <c r="M547" i="1"/>
  <c r="M483" i="1"/>
  <c r="M26" i="1"/>
  <c r="M120" i="1"/>
  <c r="N624" i="1"/>
  <c r="M702" i="1"/>
  <c r="M536" i="1"/>
  <c r="M647" i="1"/>
  <c r="M189" i="1"/>
  <c r="M46" i="1"/>
  <c r="N695" i="1"/>
  <c r="Q514" i="1"/>
  <c r="Q2901" i="1"/>
  <c r="Q2688" i="1"/>
  <c r="Q2192" i="1"/>
  <c r="Q2038" i="1"/>
  <c r="Q1736" i="1"/>
  <c r="Q1727" i="1"/>
  <c r="Q1524" i="1"/>
  <c r="N635" i="1"/>
  <c r="N659" i="1"/>
  <c r="N687" i="1"/>
  <c r="N640" i="1"/>
  <c r="Q462" i="1"/>
  <c r="Q3379" i="1"/>
  <c r="Q3135" i="1"/>
  <c r="Q2042" i="1"/>
  <c r="Q1329" i="1"/>
  <c r="Q1317" i="1"/>
  <c r="Q1305" i="1"/>
  <c r="Q1293" i="1"/>
  <c r="Q1281" i="1"/>
  <c r="Q1269" i="1"/>
  <c r="Q1257" i="1"/>
  <c r="Q1245" i="1"/>
  <c r="Q1214" i="1"/>
  <c r="Q1196" i="1"/>
  <c r="Q1178" i="1"/>
  <c r="Q1861" i="1"/>
  <c r="N91" i="1"/>
  <c r="Q559" i="1"/>
  <c r="N672" i="1"/>
  <c r="N679" i="1"/>
  <c r="N685" i="1"/>
  <c r="N182" i="1"/>
  <c r="Q3362" i="1"/>
  <c r="Q3263" i="1"/>
  <c r="Q2230" i="1"/>
  <c r="Q2189" i="1"/>
  <c r="Q2292" i="1"/>
  <c r="Q1883" i="1"/>
  <c r="Q1423" i="1"/>
  <c r="Q1016" i="1"/>
  <c r="Q944" i="1"/>
  <c r="Q3332" i="1"/>
  <c r="Q1751" i="1"/>
  <c r="N649" i="1"/>
  <c r="N185" i="1"/>
  <c r="N183" i="1"/>
  <c r="N95" i="1"/>
  <c r="Q84" i="1"/>
  <c r="Q3789" i="1"/>
  <c r="Q3693" i="1"/>
  <c r="Q3577" i="1"/>
  <c r="Q3238" i="1"/>
  <c r="Q3089" i="1"/>
  <c r="Q3003" i="1"/>
  <c r="Q2431" i="1"/>
  <c r="Q2395" i="1"/>
  <c r="Q2219" i="1"/>
  <c r="Q1571" i="1"/>
  <c r="Q1012" i="1"/>
  <c r="Q2589" i="1"/>
  <c r="Q1925" i="1"/>
  <c r="Q3788" i="1"/>
  <c r="Q2806" i="1"/>
  <c r="Q3381" i="1"/>
  <c r="Q2394" i="1"/>
  <c r="Q161" i="1"/>
  <c r="Q3255" i="1"/>
  <c r="Q3000" i="1"/>
  <c r="Q2218" i="1"/>
  <c r="Q2960" i="1"/>
  <c r="Q3409" i="1"/>
  <c r="Q3337" i="1"/>
  <c r="N686" i="1"/>
  <c r="N683" i="1"/>
  <c r="N671" i="1"/>
  <c r="N689" i="1"/>
  <c r="N666" i="1"/>
  <c r="N644" i="1"/>
  <c r="N703" i="1"/>
  <c r="N648" i="1"/>
  <c r="N72" i="1"/>
  <c r="Q349" i="1"/>
  <c r="Q366" i="1"/>
  <c r="Q3027" i="1"/>
  <c r="Q2425" i="1"/>
  <c r="Q2985" i="1"/>
  <c r="Q1907" i="1"/>
  <c r="Q1963" i="1"/>
  <c r="Q3841" i="1"/>
  <c r="Q3836" i="1"/>
  <c r="Q3364" i="1"/>
  <c r="Q3108" i="1"/>
  <c r="Q2991" i="1"/>
  <c r="Q3090" i="1"/>
  <c r="Q2555" i="1"/>
  <c r="Q1025" i="1"/>
  <c r="Q2329" i="1"/>
  <c r="Q2926" i="1"/>
  <c r="N623" i="1"/>
  <c r="N682" i="1"/>
  <c r="Q79" i="1"/>
  <c r="Q3096" i="1"/>
  <c r="Q2957" i="1"/>
  <c r="Q2288" i="1"/>
  <c r="Q1964" i="1"/>
  <c r="Q736" i="1"/>
  <c r="Q2041" i="1"/>
  <c r="Q1104" i="1"/>
  <c r="Q139" i="1"/>
  <c r="Q2680" i="1"/>
  <c r="Q2422" i="1"/>
  <c r="Q1728" i="1"/>
  <c r="N638" i="1"/>
  <c r="N156" i="1"/>
  <c r="N700" i="1"/>
  <c r="N670" i="1"/>
  <c r="N654" i="1"/>
  <c r="N690" i="1"/>
  <c r="Q186" i="1"/>
  <c r="Q461" i="1"/>
  <c r="Q3657" i="1"/>
  <c r="Q3340" i="1"/>
  <c r="Q3437" i="1"/>
  <c r="Q3824" i="1"/>
  <c r="Q3188" i="1"/>
  <c r="Q2078" i="1"/>
  <c r="N676" i="1"/>
  <c r="N662" i="1"/>
  <c r="N119" i="1"/>
  <c r="Q3656" i="1"/>
  <c r="Q3284" i="1"/>
  <c r="Q3072" i="1"/>
  <c r="Q2316" i="1"/>
  <c r="Q2191" i="1"/>
  <c r="Q1661" i="1"/>
  <c r="Q1871" i="1"/>
  <c r="Q2320" i="1"/>
  <c r="Q1942" i="1"/>
  <c r="Q3016" i="1"/>
  <c r="Q2706" i="1"/>
  <c r="Q1667" i="1"/>
  <c r="Q3752" i="1"/>
  <c r="Q588" i="1"/>
  <c r="M617" i="1"/>
  <c r="M548" i="1"/>
  <c r="N697" i="1"/>
  <c r="M211" i="1"/>
  <c r="N160" i="1"/>
  <c r="M158" i="1"/>
  <c r="M84" i="1"/>
  <c r="N31" i="1"/>
  <c r="Q386" i="1"/>
  <c r="Q2704" i="1"/>
  <c r="Q2467" i="1"/>
  <c r="Q2537" i="1"/>
  <c r="Q2225" i="1"/>
  <c r="Q1869" i="1"/>
  <c r="Q1979" i="1"/>
  <c r="Q589" i="1"/>
  <c r="Q180" i="1"/>
  <c r="N667" i="1"/>
  <c r="M664" i="1"/>
  <c r="N658" i="1"/>
  <c r="N651" i="1"/>
  <c r="N674" i="1"/>
  <c r="N664" i="1"/>
  <c r="M554" i="1"/>
  <c r="Q66" i="1"/>
  <c r="Q109" i="1"/>
  <c r="Q3705" i="1"/>
  <c r="Q3627" i="1"/>
  <c r="Q3473" i="1"/>
  <c r="Q3013" i="1"/>
  <c r="Q2930" i="1"/>
  <c r="Q2831" i="1"/>
  <c r="Q2847" i="1"/>
  <c r="Q2702" i="1"/>
  <c r="Q2572" i="1"/>
  <c r="Q2357" i="1"/>
  <c r="Q2114" i="1"/>
  <c r="Q1837" i="1"/>
  <c r="Q1622" i="1"/>
  <c r="Q2346" i="1"/>
  <c r="Q1934" i="1"/>
  <c r="Q313" i="1"/>
  <c r="Q3424" i="1"/>
  <c r="Q2927" i="1"/>
  <c r="Q2644" i="1"/>
  <c r="Q3610" i="1"/>
  <c r="Q1337" i="1"/>
  <c r="Q1915" i="1"/>
  <c r="Q208" i="1"/>
  <c r="Q14" i="1"/>
  <c r="Q58" i="1"/>
  <c r="Q221" i="1"/>
  <c r="Q3054" i="1"/>
  <c r="Q2793" i="1"/>
  <c r="Q2718" i="1"/>
  <c r="Q2138" i="1"/>
  <c r="Q2226" i="1"/>
  <c r="Q1043" i="1"/>
  <c r="Q1073" i="1"/>
  <c r="Q955" i="1"/>
  <c r="Q2658" i="1"/>
  <c r="Q2258" i="1"/>
  <c r="Q725" i="1"/>
  <c r="Q1936" i="1"/>
  <c r="Q3811" i="1"/>
  <c r="Q3299" i="1"/>
  <c r="Q2892" i="1"/>
  <c r="Q2490" i="1"/>
  <c r="Q2579" i="1"/>
  <c r="Q1992" i="1"/>
  <c r="Q1067" i="1"/>
  <c r="Q2819" i="1"/>
  <c r="Q62" i="1"/>
  <c r="Q320" i="1"/>
  <c r="Q3861" i="1"/>
  <c r="Q3704" i="1"/>
  <c r="Q3544" i="1"/>
  <c r="Q3053" i="1"/>
  <c r="Q2746" i="1"/>
  <c r="Q1867" i="1"/>
  <c r="Q1573" i="1"/>
  <c r="Q1541" i="1"/>
  <c r="Q1453" i="1"/>
  <c r="Q2932" i="1"/>
  <c r="Q2082" i="1"/>
  <c r="Q2673" i="1"/>
  <c r="Q2375" i="1"/>
  <c r="Q2224" i="1"/>
  <c r="Q2158" i="1"/>
  <c r="Q1663" i="1"/>
  <c r="Q1853" i="1"/>
  <c r="Q741" i="1"/>
  <c r="Q3445" i="1"/>
  <c r="Q234" i="1"/>
  <c r="Q3833" i="1"/>
  <c r="Q3542" i="1"/>
  <c r="Q3084" i="1"/>
  <c r="Q3103" i="1"/>
  <c r="Q3224" i="1"/>
  <c r="Q2889" i="1"/>
  <c r="Q1361" i="1"/>
  <c r="Q2810" i="1"/>
  <c r="Q128" i="1"/>
  <c r="Q455" i="1"/>
  <c r="Q2091" i="1"/>
  <c r="Q3354" i="1"/>
  <c r="Q3439" i="1"/>
  <c r="Q1791" i="1"/>
  <c r="Q3055" i="1"/>
  <c r="Q2791" i="1"/>
  <c r="Q2676" i="1"/>
  <c r="Q1731" i="1"/>
  <c r="Q1449" i="1"/>
  <c r="Q2299" i="1"/>
  <c r="Q3680" i="1"/>
  <c r="Q441" i="1"/>
  <c r="Q592" i="1"/>
  <c r="Q3678" i="1"/>
  <c r="Q3391" i="1"/>
  <c r="Q1952" i="1"/>
  <c r="Q2054" i="1"/>
  <c r="Q1634" i="1"/>
  <c r="Q1408" i="1"/>
  <c r="Q1390" i="1"/>
  <c r="Q1069" i="1"/>
  <c r="Q2090" i="1"/>
  <c r="M5" i="1"/>
  <c r="M312" i="1"/>
  <c r="Q327" i="1"/>
  <c r="Q400" i="1"/>
  <c r="Q3373" i="1"/>
  <c r="Q1858" i="1"/>
  <c r="Q1435" i="1"/>
  <c r="Q1142" i="1"/>
  <c r="Q1033" i="1"/>
  <c r="Q914" i="1"/>
  <c r="M4" i="1"/>
  <c r="Q132" i="1"/>
  <c r="Q1756" i="1"/>
  <c r="Q1076" i="1"/>
  <c r="Q3047" i="1"/>
  <c r="Q3859" i="1"/>
  <c r="Q3550" i="1"/>
  <c r="Q2774" i="1"/>
  <c r="Q2013" i="1"/>
  <c r="Q2027" i="1"/>
  <c r="Q1675" i="1"/>
  <c r="Q1704" i="1"/>
  <c r="Q1138" i="1"/>
  <c r="Q915" i="1"/>
  <c r="Q133" i="1"/>
  <c r="Q103" i="1"/>
  <c r="Q3048" i="1"/>
  <c r="Q2453" i="1"/>
  <c r="Q2240" i="1"/>
  <c r="Q1784" i="1"/>
  <c r="Q1092" i="1"/>
  <c r="Q950" i="1"/>
  <c r="Q2328" i="1"/>
  <c r="Q3443" i="1"/>
  <c r="Q699" i="1"/>
  <c r="Q50" i="1"/>
  <c r="Q3438" i="1"/>
  <c r="Q3087" i="1"/>
  <c r="Q2940" i="1"/>
  <c r="Q765" i="1"/>
  <c r="Q486" i="1"/>
  <c r="Q332" i="1"/>
  <c r="Q368" i="1"/>
  <c r="Q3467" i="1"/>
  <c r="Q3388" i="1"/>
  <c r="Q1859" i="1"/>
  <c r="Q754" i="1"/>
  <c r="Q2380" i="1"/>
  <c r="Q1898" i="1"/>
  <c r="Q698" i="1"/>
  <c r="Q2980" i="1"/>
  <c r="Q2961" i="1"/>
  <c r="Q2502" i="1"/>
  <c r="Q1980" i="1"/>
  <c r="Q742" i="1"/>
  <c r="Q3208" i="1"/>
  <c r="M6" i="1"/>
  <c r="Q259" i="1"/>
  <c r="Q2775" i="1"/>
  <c r="Q421" i="1"/>
  <c r="Q2547" i="1"/>
  <c r="Q2111" i="1"/>
  <c r="Q1988" i="1"/>
  <c r="Q753" i="1"/>
  <c r="Q3870" i="1"/>
  <c r="Q2755" i="1"/>
  <c r="Q2506" i="1"/>
  <c r="Q1944" i="1"/>
  <c r="Q1916" i="1"/>
  <c r="Q3817" i="1"/>
  <c r="Q3552" i="1"/>
  <c r="Q3327" i="1"/>
  <c r="Q3091" i="1"/>
  <c r="Q2837" i="1"/>
  <c r="Q2034" i="1"/>
  <c r="Q1818" i="1"/>
  <c r="Q1774" i="1"/>
  <c r="Q1549" i="1"/>
  <c r="Q1227" i="1"/>
  <c r="Q3846" i="1"/>
  <c r="Q3225" i="1"/>
  <c r="Q1064" i="1"/>
  <c r="Q886" i="1"/>
  <c r="Q874" i="1"/>
  <c r="Q862" i="1"/>
  <c r="Q850" i="1"/>
  <c r="Q838" i="1"/>
  <c r="Q826" i="1"/>
  <c r="Q814" i="1"/>
  <c r="Q802" i="1"/>
  <c r="Q790" i="1"/>
  <c r="Q778" i="1"/>
  <c r="Q3107" i="1"/>
  <c r="Q2347" i="1"/>
  <c r="Q2374" i="1"/>
  <c r="Q1743" i="1"/>
  <c r="Q1158" i="1"/>
  <c r="Q1134" i="1"/>
  <c r="Q2379" i="1"/>
  <c r="Q2550" i="1"/>
  <c r="Q1399" i="1"/>
  <c r="Q1381" i="1"/>
  <c r="Q1089" i="1"/>
  <c r="Q713" i="1"/>
  <c r="Q3290" i="1"/>
  <c r="Q1565" i="1"/>
  <c r="Q1533" i="1"/>
  <c r="Q1150" i="1"/>
  <c r="Q1126" i="1"/>
  <c r="Q964" i="1"/>
  <c r="Q3356" i="1"/>
  <c r="Q3285" i="1"/>
  <c r="Q3562" i="1"/>
  <c r="Q3056" i="1"/>
  <c r="Q1854" i="1"/>
  <c r="Q1595" i="1"/>
  <c r="Q1202" i="1"/>
  <c r="Q1184" i="1"/>
  <c r="Q1166" i="1"/>
  <c r="M1618" i="1"/>
  <c r="U1475" i="1"/>
  <c r="Q1517" i="1"/>
  <c r="Q1714" i="1"/>
  <c r="Q3754" i="1"/>
  <c r="Q175" i="1"/>
  <c r="Q569" i="1"/>
  <c r="Q600" i="1"/>
  <c r="Q3801" i="1"/>
  <c r="U2207" i="1"/>
  <c r="Q1822" i="1"/>
  <c r="Q1788" i="1"/>
  <c r="Q724" i="1"/>
  <c r="Q3785" i="1"/>
  <c r="Q3631" i="1"/>
  <c r="Q3582" i="1"/>
  <c r="Q3554" i="1"/>
  <c r="Q2543" i="1"/>
  <c r="Q1787" i="1"/>
  <c r="Q1617" i="1"/>
  <c r="Q3172" i="1"/>
  <c r="Q3874" i="1"/>
  <c r="Q3230" i="1"/>
  <c r="U2806" i="1"/>
  <c r="Q2264" i="1"/>
  <c r="Q1447" i="1"/>
  <c r="Q3011" i="1"/>
  <c r="Q2275" i="1"/>
  <c r="Q2326" i="1"/>
  <c r="Q376" i="1"/>
  <c r="Q3481" i="1"/>
  <c r="Q3338" i="1"/>
  <c r="Q2734" i="1"/>
  <c r="Q2476" i="1"/>
  <c r="Q2313" i="1"/>
  <c r="Q3413" i="1"/>
  <c r="Q323" i="1"/>
  <c r="Q3806" i="1"/>
  <c r="Q3488" i="1"/>
  <c r="Q1848" i="1"/>
  <c r="U3628" i="1"/>
  <c r="Q2694" i="1"/>
  <c r="Q2244" i="1"/>
  <c r="U1978" i="1"/>
  <c r="Q326" i="1"/>
  <c r="Q356" i="1"/>
  <c r="Q3866" i="1"/>
  <c r="Q2449" i="1"/>
  <c r="Q1520" i="1"/>
  <c r="Q1079" i="1"/>
  <c r="Q750" i="1"/>
  <c r="Q1926" i="1"/>
  <c r="Q2337" i="1"/>
  <c r="Q3555" i="1"/>
  <c r="Q3080" i="1"/>
  <c r="Q2731" i="1"/>
  <c r="U1943" i="1"/>
  <c r="U1954" i="1"/>
  <c r="Q1426" i="1"/>
  <c r="Q2336" i="1"/>
  <c r="Q3228" i="1"/>
  <c r="U946" i="1"/>
  <c r="Q464" i="1"/>
  <c r="Q3877" i="1"/>
  <c r="Q3842" i="1"/>
  <c r="Q3464" i="1"/>
  <c r="Q2300" i="1"/>
  <c r="Q1825" i="1"/>
  <c r="Q2354" i="1"/>
  <c r="Q3883" i="1"/>
  <c r="Q2298" i="1"/>
  <c r="U1259" i="1"/>
  <c r="U1493" i="1"/>
  <c r="Q3879" i="1"/>
  <c r="U2570" i="1"/>
  <c r="Q2605" i="1"/>
  <c r="Q2290" i="1"/>
  <c r="U2013" i="1"/>
  <c r="Q1097" i="1"/>
  <c r="Q969" i="1"/>
  <c r="Q3415" i="1"/>
  <c r="Q3446" i="1"/>
  <c r="Q1616" i="1"/>
  <c r="U1585" i="1"/>
  <c r="Q613" i="1"/>
  <c r="Q3111" i="1"/>
  <c r="U3334" i="1"/>
  <c r="Q2590" i="1"/>
  <c r="U2627" i="1"/>
  <c r="Q2269" i="1"/>
  <c r="U896" i="1"/>
  <c r="Q283" i="1"/>
  <c r="Q3652" i="1"/>
  <c r="Q3593" i="1"/>
  <c r="Q3563" i="1"/>
  <c r="U3839" i="1"/>
  <c r="Q3454" i="1"/>
  <c r="Q3067" i="1"/>
  <c r="U3195" i="1"/>
  <c r="U3263" i="1"/>
  <c r="Q2844" i="1"/>
  <c r="Q2798" i="1"/>
  <c r="Q2441" i="1"/>
  <c r="Q2520" i="1"/>
  <c r="U2188" i="1"/>
  <c r="U2612" i="1"/>
  <c r="Q1679" i="1"/>
  <c r="Q1421" i="1"/>
  <c r="Q756" i="1"/>
  <c r="Q1886" i="1"/>
  <c r="Q683" i="1"/>
  <c r="Q118" i="1"/>
  <c r="Q496" i="1"/>
  <c r="U901" i="1"/>
  <c r="U923" i="1"/>
  <c r="Q495" i="1"/>
  <c r="Q3780" i="1"/>
  <c r="Q3635" i="1"/>
  <c r="N3659" i="1"/>
  <c r="Q3113" i="1"/>
  <c r="Q3114" i="1"/>
  <c r="U3139" i="1"/>
  <c r="Q2710" i="1"/>
  <c r="N2717" i="1"/>
  <c r="N2440" i="1"/>
  <c r="U2256" i="1"/>
  <c r="Q1357" i="1"/>
  <c r="Q1122" i="1"/>
  <c r="Q1219" i="1"/>
  <c r="U1297" i="1"/>
  <c r="Q1086" i="1"/>
  <c r="Q1031" i="1"/>
  <c r="Q737" i="1"/>
  <c r="Q2667" i="1"/>
  <c r="Q2341" i="1"/>
  <c r="U2130" i="1"/>
  <c r="U931" i="1"/>
  <c r="U947" i="1"/>
  <c r="Q138" i="1"/>
  <c r="N3826" i="1"/>
  <c r="N3670" i="1"/>
  <c r="Q3561" i="1"/>
  <c r="Q3492" i="1"/>
  <c r="Q3474" i="1"/>
  <c r="Q3092" i="1"/>
  <c r="N2711" i="1"/>
  <c r="Q2516" i="1"/>
  <c r="Q2213" i="1"/>
  <c r="Q2250" i="1"/>
  <c r="Q1965" i="1"/>
  <c r="U2027" i="1"/>
  <c r="Q1687" i="1"/>
  <c r="Q1209" i="1"/>
  <c r="Q1191" i="1"/>
  <c r="Q1173" i="1"/>
  <c r="Q1028" i="1"/>
  <c r="U1260" i="1"/>
  <c r="U3559" i="1"/>
  <c r="Q3812" i="1"/>
  <c r="Q3884" i="1"/>
  <c r="Q3485" i="1"/>
  <c r="Q3416" i="1"/>
  <c r="U3322" i="1"/>
  <c r="Q2212" i="1"/>
  <c r="Q2072" i="1"/>
  <c r="Q1669" i="1"/>
  <c r="Q1624" i="1"/>
  <c r="Q1232" i="1"/>
  <c r="Q1217" i="1"/>
  <c r="Q1199" i="1"/>
  <c r="Q1181" i="1"/>
  <c r="U1185" i="1"/>
  <c r="Q1045" i="1"/>
  <c r="Q1081" i="1"/>
  <c r="Q2355" i="1"/>
  <c r="Q1913" i="1"/>
  <c r="Q3261" i="1"/>
  <c r="Q168" i="1"/>
  <c r="M601" i="1"/>
  <c r="Q663" i="1"/>
  <c r="Q325" i="1"/>
  <c r="M146" i="1"/>
  <c r="Q36" i="1"/>
  <c r="Q60" i="1"/>
  <c r="Q609" i="1"/>
  <c r="Q388" i="1"/>
  <c r="Q501" i="1"/>
  <c r="Q251" i="1"/>
  <c r="Q415" i="1"/>
  <c r="Q314" i="1"/>
  <c r="Q3829" i="1"/>
  <c r="Q3762" i="1"/>
  <c r="Q3739" i="1"/>
  <c r="Q3721" i="1"/>
  <c r="Q3623" i="1"/>
  <c r="U3849" i="1"/>
  <c r="U3582" i="1"/>
  <c r="U3388" i="1"/>
  <c r="U3107" i="1"/>
  <c r="Q2933" i="1"/>
  <c r="N2839" i="1"/>
  <c r="Q2692" i="1"/>
  <c r="Q2691" i="1"/>
  <c r="Q2542" i="1"/>
  <c r="Q2204" i="1"/>
  <c r="Q2126" i="1"/>
  <c r="U2087" i="1"/>
  <c r="Q1673" i="1"/>
  <c r="U1810" i="1"/>
  <c r="Q1568" i="1"/>
  <c r="Q1602" i="1"/>
  <c r="Q1405" i="1"/>
  <c r="Q1387" i="1"/>
  <c r="Q1204" i="1"/>
  <c r="Q1186" i="1"/>
  <c r="Q1168" i="1"/>
  <c r="Q958" i="1"/>
  <c r="Q978" i="1"/>
  <c r="Q2356" i="1"/>
  <c r="Q2215" i="1"/>
  <c r="Q2809" i="1"/>
  <c r="Q3607" i="1"/>
  <c r="Q26" i="1"/>
  <c r="Q3670" i="1"/>
  <c r="Q3584" i="1"/>
  <c r="U3794" i="1"/>
  <c r="U3723" i="1"/>
  <c r="Q3229" i="1"/>
  <c r="N3170" i="1"/>
  <c r="Q3024" i="1"/>
  <c r="U3199" i="1"/>
  <c r="Q2497" i="1"/>
  <c r="Q2391" i="1"/>
  <c r="Q2270" i="1"/>
  <c r="Q1849" i="1"/>
  <c r="Q1606" i="1"/>
  <c r="U1391" i="1"/>
  <c r="U1359" i="1"/>
  <c r="Q1820" i="1"/>
  <c r="Q1947" i="1"/>
  <c r="Q3414" i="1"/>
  <c r="M505" i="1"/>
  <c r="M140" i="1"/>
  <c r="M196" i="1"/>
  <c r="M198" i="1"/>
  <c r="Q350" i="1"/>
  <c r="Q403" i="1"/>
  <c r="Q83" i="1"/>
  <c r="Q308" i="1"/>
  <c r="Q3581" i="1"/>
  <c r="Q3587" i="1"/>
  <c r="Q3505" i="1"/>
  <c r="N3560" i="1"/>
  <c r="Q3497" i="1"/>
  <c r="N3469" i="1"/>
  <c r="Q3279" i="1"/>
  <c r="N3262" i="1"/>
  <c r="U3246" i="1"/>
  <c r="Q3033" i="1"/>
  <c r="U3283" i="1"/>
  <c r="U3158" i="1"/>
  <c r="U2992" i="1"/>
  <c r="Q2584" i="1"/>
  <c r="Q2545" i="1"/>
  <c r="Q2540" i="1"/>
  <c r="Q2549" i="1"/>
  <c r="Q2392" i="1"/>
  <c r="Q1950" i="1"/>
  <c r="Q1850" i="1"/>
  <c r="Q1655" i="1"/>
  <c r="Q1588" i="1"/>
  <c r="Q1497" i="1"/>
  <c r="Q1485" i="1"/>
  <c r="Q1473" i="1"/>
  <c r="Q1461" i="1"/>
  <c r="Q758" i="1"/>
  <c r="Q2166" i="1"/>
  <c r="Q1899" i="1"/>
  <c r="Q1922" i="1"/>
  <c r="Q3418" i="1"/>
  <c r="Q2345" i="1"/>
  <c r="Q2818" i="1"/>
  <c r="Q471" i="1"/>
  <c r="Q338" i="1"/>
  <c r="N3731" i="1"/>
  <c r="U3875" i="1"/>
  <c r="Q3578" i="1"/>
  <c r="U3833" i="1"/>
  <c r="U3784" i="1"/>
  <c r="N3504" i="1"/>
  <c r="N3532" i="1"/>
  <c r="U3735" i="1"/>
  <c r="U3599" i="1"/>
  <c r="Q2364" i="1"/>
  <c r="Q1962" i="1"/>
  <c r="Q1455" i="1"/>
  <c r="Q1327" i="1"/>
  <c r="Q1315" i="1"/>
  <c r="Q1303" i="1"/>
  <c r="Q1291" i="1"/>
  <c r="Q1279" i="1"/>
  <c r="Q1267" i="1"/>
  <c r="Q1255" i="1"/>
  <c r="Q1243" i="1"/>
  <c r="Q1095" i="1"/>
  <c r="Q1055" i="1"/>
  <c r="Q2368" i="1"/>
  <c r="Q2436" i="1"/>
  <c r="Q2811" i="1"/>
  <c r="Q1901" i="1"/>
  <c r="Q3421" i="1"/>
  <c r="Q120" i="1"/>
  <c r="Q61" i="1"/>
  <c r="Q3787" i="1"/>
  <c r="Q3669" i="1"/>
  <c r="Q3173" i="1"/>
  <c r="Q3231" i="1"/>
  <c r="U3309" i="1"/>
  <c r="Q2720" i="1"/>
  <c r="Q1890" i="1"/>
  <c r="U936" i="1"/>
  <c r="U949" i="1"/>
  <c r="N3571" i="1"/>
  <c r="Q3538" i="1"/>
  <c r="U3765" i="1"/>
  <c r="U3605" i="1"/>
  <c r="U3506" i="1"/>
  <c r="Q3223" i="1"/>
  <c r="Q2968" i="1"/>
  <c r="U3141" i="1"/>
  <c r="Q2464" i="1"/>
  <c r="Q2415" i="1"/>
  <c r="U2055" i="1"/>
  <c r="Q1682" i="1"/>
  <c r="Q1643" i="1"/>
  <c r="U1913" i="1"/>
  <c r="Q1458" i="1"/>
  <c r="U1539" i="1"/>
  <c r="Q1154" i="1"/>
  <c r="Q1088" i="1"/>
  <c r="Q2388" i="1"/>
  <c r="Q3688" i="1"/>
  <c r="Q2334" i="1"/>
  <c r="Q3035" i="1"/>
  <c r="Q453" i="1"/>
  <c r="Q292" i="1"/>
  <c r="Q381" i="1"/>
  <c r="Q3783" i="1"/>
  <c r="Q3658" i="1"/>
  <c r="Q3571" i="1"/>
  <c r="U3734" i="1"/>
  <c r="Q3469" i="1"/>
  <c r="Q3124" i="1"/>
  <c r="Q3330" i="1"/>
  <c r="Q2898" i="1"/>
  <c r="U3099" i="1"/>
  <c r="Q2716" i="1"/>
  <c r="Q2524" i="1"/>
  <c r="Q2500" i="1"/>
  <c r="Q2416" i="1"/>
  <c r="Q2036" i="1"/>
  <c r="U1965" i="1"/>
  <c r="Q1729" i="1"/>
  <c r="Q1767" i="1"/>
  <c r="Q1576" i="1"/>
  <c r="Q1414" i="1"/>
  <c r="Q1396" i="1"/>
  <c r="Q1062" i="1"/>
  <c r="Q940" i="1"/>
  <c r="Q1002" i="1"/>
  <c r="Q905" i="1"/>
  <c r="Q889" i="1"/>
  <c r="Q877" i="1"/>
  <c r="Q865" i="1"/>
  <c r="Q853" i="1"/>
  <c r="Q841" i="1"/>
  <c r="Q829" i="1"/>
  <c r="Q817" i="1"/>
  <c r="Q805" i="1"/>
  <c r="Q793" i="1"/>
  <c r="Q781" i="1"/>
  <c r="Q769" i="1"/>
  <c r="Q3059" i="1"/>
  <c r="Q2768" i="1"/>
  <c r="Q1892" i="1"/>
  <c r="Q3756" i="1"/>
  <c r="N3807" i="1"/>
  <c r="N2960" i="1"/>
  <c r="N3880" i="1"/>
  <c r="N3803" i="1"/>
  <c r="N3693" i="1"/>
  <c r="N3624" i="1"/>
  <c r="N2696" i="1"/>
  <c r="N3848" i="1"/>
  <c r="M3754" i="1"/>
  <c r="N3809" i="1"/>
  <c r="N3194" i="1"/>
  <c r="N3867" i="1"/>
  <c r="N3739" i="1"/>
  <c r="N2522" i="1"/>
  <c r="N3714" i="1"/>
  <c r="N3583" i="1"/>
  <c r="N3533" i="1"/>
  <c r="N3836" i="1"/>
  <c r="N3779" i="1"/>
  <c r="N3530" i="1"/>
  <c r="N3355" i="1"/>
  <c r="N3832" i="1"/>
  <c r="N3777" i="1"/>
  <c r="N3709" i="1"/>
  <c r="N3665" i="1"/>
  <c r="N3649" i="1"/>
  <c r="N3647" i="1"/>
  <c r="N2675" i="1"/>
  <c r="N2377" i="1"/>
  <c r="N3878" i="1"/>
  <c r="N3941" i="1"/>
  <c r="N3894" i="1"/>
  <c r="N3928" i="1"/>
  <c r="N3934" i="1"/>
  <c r="Q499" i="1"/>
  <c r="Q430" i="1"/>
  <c r="Q3729" i="1"/>
  <c r="Q3718" i="1"/>
  <c r="Q3771" i="1"/>
  <c r="Q3617" i="1"/>
  <c r="Q3559" i="1"/>
  <c r="Q3521" i="1"/>
  <c r="Q3528" i="1"/>
  <c r="Q3436" i="1"/>
  <c r="Q3459" i="1"/>
  <c r="Q3256" i="1"/>
  <c r="Q2708" i="1"/>
  <c r="Q2647" i="1"/>
  <c r="Q2532" i="1"/>
  <c r="Q2641" i="1"/>
  <c r="Q2276" i="1"/>
  <c r="Q2277" i="1"/>
  <c r="Q1504" i="1"/>
  <c r="Q1492" i="1"/>
  <c r="Q1480" i="1"/>
  <c r="Q1468" i="1"/>
  <c r="Q1519" i="1"/>
  <c r="Q1636" i="1"/>
  <c r="Q1352" i="1"/>
  <c r="Q2944" i="1"/>
  <c r="Q1981" i="1"/>
  <c r="Q2829" i="1"/>
  <c r="Q1928" i="1"/>
  <c r="T3760" i="1"/>
  <c r="Q478" i="1"/>
  <c r="Q195" i="1"/>
  <c r="T3920" i="1"/>
  <c r="T3917" i="1"/>
  <c r="T3939" i="1"/>
  <c r="T3810" i="1"/>
  <c r="Q3475" i="1"/>
  <c r="T3343" i="1"/>
  <c r="Q3036" i="1"/>
  <c r="Q2141" i="1"/>
  <c r="Q2273" i="1"/>
  <c r="T2401" i="1"/>
  <c r="T2183" i="1"/>
  <c r="Q998" i="1"/>
  <c r="Q738" i="1"/>
  <c r="T2162" i="1"/>
  <c r="Q1937" i="1"/>
  <c r="Q3262" i="1"/>
  <c r="Q2342" i="1"/>
  <c r="Q3757" i="1"/>
  <c r="Q92" i="1"/>
  <c r="Q82" i="1"/>
  <c r="Q52" i="1"/>
  <c r="Q558" i="1"/>
  <c r="Q77" i="1"/>
  <c r="Q183" i="1"/>
  <c r="Q557" i="1"/>
  <c r="Q562" i="1"/>
  <c r="Q3808" i="1"/>
  <c r="Q3709" i="1"/>
  <c r="Q3677" i="1"/>
  <c r="Q3620" i="1"/>
  <c r="T3897" i="1"/>
  <c r="Q3734" i="1"/>
  <c r="T3865" i="1"/>
  <c r="Q3557" i="1"/>
  <c r="Q3549" i="1"/>
  <c r="Q3484" i="1"/>
  <c r="Q3466" i="1"/>
  <c r="Q3389" i="1"/>
  <c r="Q3398" i="1"/>
  <c r="Q3210" i="1"/>
  <c r="Q2486" i="1"/>
  <c r="Q2024" i="1"/>
  <c r="T1956" i="1"/>
  <c r="Q1528" i="1"/>
  <c r="Q1229" i="1"/>
  <c r="Q1050" i="1"/>
  <c r="Q761" i="1"/>
  <c r="Q2178" i="1"/>
  <c r="Q2236" i="1"/>
  <c r="Q2823" i="1"/>
  <c r="Q1910" i="1"/>
  <c r="Q2335" i="1"/>
  <c r="Q3408" i="1"/>
  <c r="Q1707" i="1"/>
  <c r="Q3871" i="1"/>
  <c r="Q3881" i="1"/>
  <c r="T3885" i="1"/>
  <c r="Q3642" i="1"/>
  <c r="T3422" i="1"/>
  <c r="Q2724" i="1"/>
  <c r="Q2656" i="1"/>
  <c r="Q2172" i="1"/>
  <c r="Q744" i="1"/>
  <c r="Q1932" i="1"/>
  <c r="Q554" i="1"/>
  <c r="Q3856" i="1"/>
  <c r="Q3805" i="1"/>
  <c r="T3907" i="1"/>
  <c r="Q3638" i="1"/>
  <c r="Q3661" i="1"/>
  <c r="T3841" i="1"/>
  <c r="T3638" i="1"/>
  <c r="Q3292" i="1"/>
  <c r="Q3277" i="1"/>
  <c r="Q3242" i="1"/>
  <c r="Q2966" i="1"/>
  <c r="Q2439" i="1"/>
  <c r="Q1585" i="1"/>
  <c r="Q1039" i="1"/>
  <c r="Q1929" i="1"/>
  <c r="Q1911" i="1"/>
  <c r="M3837" i="1"/>
  <c r="Q3689" i="1"/>
  <c r="Q3722" i="1"/>
  <c r="Q3545" i="1"/>
  <c r="Q3478" i="1"/>
  <c r="Q3387" i="1"/>
  <c r="T3564" i="1"/>
  <c r="Q3291" i="1"/>
  <c r="T3473" i="1"/>
  <c r="Q3030" i="1"/>
  <c r="Q2512" i="1"/>
  <c r="Q1821" i="1"/>
  <c r="Q1083" i="1"/>
  <c r="Q919" i="1"/>
  <c r="Q759" i="1"/>
  <c r="Q2160" i="1"/>
  <c r="Q1938" i="1"/>
  <c r="Q3674" i="1"/>
  <c r="Q3755" i="1"/>
  <c r="Q253" i="1"/>
  <c r="Q3867" i="1"/>
  <c r="Q3796" i="1"/>
  <c r="Q3790" i="1"/>
  <c r="Q3744" i="1"/>
  <c r="Q3668" i="1"/>
  <c r="T3873" i="1"/>
  <c r="Q3629" i="1"/>
  <c r="Q3589" i="1"/>
  <c r="Q3614" i="1"/>
  <c r="Q3514" i="1"/>
  <c r="Q3486" i="1"/>
  <c r="Q3468" i="1"/>
  <c r="Q3405" i="1"/>
  <c r="Q3341" i="1"/>
  <c r="Q3199" i="1"/>
  <c r="Q3200" i="1"/>
  <c r="Q2606" i="1"/>
  <c r="Q2473" i="1"/>
  <c r="Q2510" i="1"/>
  <c r="T2428" i="1"/>
  <c r="Q1614" i="1"/>
  <c r="Q1611" i="1"/>
  <c r="Q1583" i="1"/>
  <c r="Q1645" i="1"/>
  <c r="Q1535" i="1"/>
  <c r="Q1114" i="1"/>
  <c r="Q974" i="1"/>
  <c r="Q708" i="1"/>
  <c r="Q1084" i="1"/>
  <c r="T3889" i="1"/>
  <c r="Q3382" i="1"/>
  <c r="Q331" i="1"/>
  <c r="Q703" i="1"/>
  <c r="Q621" i="1"/>
  <c r="Q276" i="1"/>
  <c r="Q3694" i="1"/>
  <c r="T3869" i="1"/>
  <c r="Q3644" i="1"/>
  <c r="Q3625" i="1"/>
  <c r="Q3503" i="1"/>
  <c r="Q3212" i="1"/>
  <c r="Q3012" i="1"/>
  <c r="Q2600" i="1"/>
  <c r="Q2143" i="1"/>
  <c r="Q1552" i="1"/>
  <c r="Q1694" i="1"/>
  <c r="T944" i="1"/>
  <c r="Q639" i="1"/>
  <c r="Q473" i="1"/>
  <c r="Q402" i="1"/>
  <c r="Q3749" i="1"/>
  <c r="Q3690" i="1"/>
  <c r="T3934" i="1"/>
  <c r="Q3647" i="1"/>
  <c r="T3854" i="1"/>
  <c r="Q3640" i="1"/>
  <c r="T3881" i="1"/>
  <c r="Q3621" i="1"/>
  <c r="Q3585" i="1"/>
  <c r="Q3569" i="1"/>
  <c r="Q3548" i="1"/>
  <c r="Q3530" i="1"/>
  <c r="Q3649" i="1"/>
  <c r="Q3535" i="1"/>
  <c r="Q3494" i="1"/>
  <c r="Q3455" i="1"/>
  <c r="T3536" i="1"/>
  <c r="Q3323" i="1"/>
  <c r="T3480" i="1"/>
  <c r="Q3321" i="1"/>
  <c r="Q3324" i="1"/>
  <c r="Q3368" i="1"/>
  <c r="Q3045" i="1"/>
  <c r="Q2883" i="1"/>
  <c r="Q2575" i="1"/>
  <c r="Q2580" i="1"/>
  <c r="Q2117" i="1"/>
  <c r="Q1632" i="1"/>
  <c r="Q1369" i="1"/>
  <c r="Q1345" i="1"/>
  <c r="Q1362" i="1"/>
  <c r="Q1410" i="1"/>
  <c r="Q1392" i="1"/>
  <c r="Q1106" i="1"/>
  <c r="Q748" i="1"/>
  <c r="Q3010" i="1"/>
  <c r="Q1973" i="1"/>
  <c r="T1507" i="1"/>
  <c r="T979" i="1"/>
  <c r="T3924" i="1"/>
  <c r="Q228" i="1"/>
  <c r="Q3890" i="1"/>
  <c r="Q3844" i="1"/>
  <c r="Q3636" i="1"/>
  <c r="Q3682" i="1"/>
  <c r="T3802" i="1"/>
  <c r="Q3634" i="1"/>
  <c r="Q3541" i="1"/>
  <c r="Q3500" i="1"/>
  <c r="Q3476" i="1"/>
  <c r="Q3490" i="1"/>
  <c r="Q3309" i="1"/>
  <c r="Q3300" i="1"/>
  <c r="Q3305" i="1"/>
  <c r="Q3187" i="1"/>
  <c r="Q3031" i="1"/>
  <c r="Q2992" i="1"/>
  <c r="Q2769" i="1"/>
  <c r="Q2728" i="1"/>
  <c r="Q2653" i="1"/>
  <c r="Q2603" i="1"/>
  <c r="Q2552" i="1"/>
  <c r="Q2504" i="1"/>
  <c r="Q2150" i="1"/>
  <c r="Q2156" i="1"/>
  <c r="Q1810" i="1"/>
  <c r="Q1638" i="1"/>
  <c r="Q1547" i="1"/>
  <c r="Q1506" i="1"/>
  <c r="Q1494" i="1"/>
  <c r="Q1482" i="1"/>
  <c r="Q1470" i="1"/>
  <c r="Q1009" i="1"/>
  <c r="Q2353" i="1"/>
  <c r="Q670" i="1"/>
  <c r="Q575" i="1"/>
  <c r="Q3800" i="1"/>
  <c r="Q3730" i="1"/>
  <c r="Q3773" i="1"/>
  <c r="T3931" i="1"/>
  <c r="T3905" i="1"/>
  <c r="T3857" i="1"/>
  <c r="Q3592" i="1"/>
  <c r="Q3546" i="1"/>
  <c r="Q3524" i="1"/>
  <c r="Q3532" i="1"/>
  <c r="Q3461" i="1"/>
  <c r="Q3480" i="1"/>
  <c r="Q3506" i="1"/>
  <c r="Q3385" i="1"/>
  <c r="Q3226" i="1"/>
  <c r="Q3131" i="1"/>
  <c r="Q3190" i="1"/>
  <c r="Q3181" i="1"/>
  <c r="M3006" i="1"/>
  <c r="Q3216" i="1"/>
  <c r="Q2993" i="1"/>
  <c r="Q2495" i="1"/>
  <c r="Q2461" i="1"/>
  <c r="T2542" i="1"/>
  <c r="Q2282" i="1"/>
  <c r="Q2147" i="1"/>
  <c r="Q1748" i="1"/>
  <c r="Q1544" i="1"/>
  <c r="Q1161" i="1"/>
  <c r="Q1145" i="1"/>
  <c r="Q1129" i="1"/>
  <c r="Q2827" i="1"/>
  <c r="Q2350" i="1"/>
  <c r="Q1919" i="1"/>
  <c r="Q2338" i="1"/>
  <c r="Q907" i="1"/>
  <c r="Q91" i="1"/>
  <c r="T947" i="1"/>
  <c r="Q194" i="1"/>
  <c r="M3790" i="1"/>
  <c r="M3598" i="1"/>
  <c r="M3552" i="1"/>
  <c r="M3531" i="1"/>
  <c r="Q3137" i="1"/>
  <c r="T3330" i="1"/>
  <c r="Q2989" i="1"/>
  <c r="Q3046" i="1"/>
  <c r="T3269" i="1"/>
  <c r="M2775" i="1"/>
  <c r="Q2751" i="1"/>
  <c r="Q2741" i="1"/>
  <c r="Q2627" i="1"/>
  <c r="T2830" i="1"/>
  <c r="T2808" i="1"/>
  <c r="Q2483" i="1"/>
  <c r="Q2576" i="1"/>
  <c r="Q2479" i="1"/>
  <c r="Q2216" i="1"/>
  <c r="Q2196" i="1"/>
  <c r="Q2135" i="1"/>
  <c r="Q2179" i="1"/>
  <c r="Q2130" i="1"/>
  <c r="Q2067" i="1"/>
  <c r="Q1875" i="1"/>
  <c r="Q1776" i="1"/>
  <c r="Q1566" i="1"/>
  <c r="Q1618" i="1"/>
  <c r="Q1503" i="1"/>
  <c r="Q1491" i="1"/>
  <c r="Q1479" i="1"/>
  <c r="Q1467" i="1"/>
  <c r="Q1428" i="1"/>
  <c r="Q1441" i="1"/>
  <c r="Q1419" i="1"/>
  <c r="Q1326" i="1"/>
  <c r="Q1314" i="1"/>
  <c r="Q1302" i="1"/>
  <c r="Q1290" i="1"/>
  <c r="Q1278" i="1"/>
  <c r="Q1266" i="1"/>
  <c r="Q1254" i="1"/>
  <c r="Q1242" i="1"/>
  <c r="Q1225" i="1"/>
  <c r="Q1211" i="1"/>
  <c r="Q1193" i="1"/>
  <c r="Q1175" i="1"/>
  <c r="Q1220" i="1"/>
  <c r="Q1438" i="1"/>
  <c r="Q970" i="1"/>
  <c r="Q1047" i="1"/>
  <c r="Q1030" i="1"/>
  <c r="Q2828" i="1"/>
  <c r="Q3023" i="1"/>
  <c r="Q2826" i="1"/>
  <c r="Q3083" i="1"/>
  <c r="Q1902" i="1"/>
  <c r="Q1917" i="1"/>
  <c r="T2512" i="1"/>
  <c r="Q399" i="1"/>
  <c r="M3714" i="1"/>
  <c r="M3594" i="1"/>
  <c r="M3570" i="1"/>
  <c r="Q3136" i="1"/>
  <c r="T3295" i="1"/>
  <c r="Q3102" i="1"/>
  <c r="Q2744" i="1"/>
  <c r="Q2714" i="1"/>
  <c r="Q2740" i="1"/>
  <c r="Q2663" i="1"/>
  <c r="Q2358" i="1"/>
  <c r="Q2534" i="1"/>
  <c r="Q2363" i="1"/>
  <c r="Q2521" i="1"/>
  <c r="T2441" i="1"/>
  <c r="Q2127" i="1"/>
  <c r="Q2429" i="1"/>
  <c r="Q2058" i="1"/>
  <c r="T1814" i="1"/>
  <c r="Q1761" i="1"/>
  <c r="Q1862" i="1"/>
  <c r="Q1620" i="1"/>
  <c r="T1727" i="1"/>
  <c r="Q1436" i="1"/>
  <c r="T1535" i="1"/>
  <c r="Q1013" i="1"/>
  <c r="Q989" i="1"/>
  <c r="T2450" i="1"/>
  <c r="Q300" i="1"/>
  <c r="M3866" i="1"/>
  <c r="M3879" i="1"/>
  <c r="M3566" i="1"/>
  <c r="M3358" i="1"/>
  <c r="Q2965" i="1"/>
  <c r="M3219" i="1"/>
  <c r="Q2971" i="1"/>
  <c r="T3052" i="1"/>
  <c r="Q2727" i="1"/>
  <c r="Q2712" i="1"/>
  <c r="Q2485" i="1"/>
  <c r="Q2478" i="1"/>
  <c r="Q2488" i="1"/>
  <c r="Q2721" i="1"/>
  <c r="Q2447" i="1"/>
  <c r="Q2129" i="1"/>
  <c r="T2116" i="1"/>
  <c r="Q2556" i="1"/>
  <c r="T2327" i="1"/>
  <c r="Q2022" i="1"/>
  <c r="Q2020" i="1"/>
  <c r="Q1785" i="1"/>
  <c r="Q1868" i="1"/>
  <c r="Q1557" i="1"/>
  <c r="Q1613" i="1"/>
  <c r="Q1545" i="1"/>
  <c r="Q1501" i="1"/>
  <c r="Q1489" i="1"/>
  <c r="Q1477" i="1"/>
  <c r="Q1465" i="1"/>
  <c r="Q1590" i="1"/>
  <c r="Q1416" i="1"/>
  <c r="M1451" i="1"/>
  <c r="Q1451" i="1"/>
  <c r="Q1324" i="1"/>
  <c r="Q1312" i="1"/>
  <c r="Q1300" i="1"/>
  <c r="Q1288" i="1"/>
  <c r="Q1276" i="1"/>
  <c r="Q1264" i="1"/>
  <c r="Q1252" i="1"/>
  <c r="Q1240" i="1"/>
  <c r="Q1223" i="1"/>
  <c r="Q1208" i="1"/>
  <c r="Q1190" i="1"/>
  <c r="Q1172" i="1"/>
  <c r="Q1231" i="1"/>
  <c r="Q1074" i="1"/>
  <c r="Q946" i="1"/>
  <c r="Q928" i="1"/>
  <c r="Q1053" i="1"/>
  <c r="Q1078" i="1"/>
  <c r="Q892" i="1"/>
  <c r="Q880" i="1"/>
  <c r="Q868" i="1"/>
  <c r="Q856" i="1"/>
  <c r="Q844" i="1"/>
  <c r="Q832" i="1"/>
  <c r="Q820" i="1"/>
  <c r="Q808" i="1"/>
  <c r="Q796" i="1"/>
  <c r="Q784" i="1"/>
  <c r="Q772" i="1"/>
  <c r="Q746" i="1"/>
  <c r="Q2986" i="1"/>
  <c r="Q2853" i="1"/>
  <c r="Q2155" i="1"/>
  <c r="Q1935" i="1"/>
  <c r="Q2820" i="1"/>
  <c r="Q1904" i="1"/>
  <c r="Q1905" i="1"/>
  <c r="M3889" i="1"/>
  <c r="M3755" i="1"/>
  <c r="M3745" i="1"/>
  <c r="M3653" i="1"/>
  <c r="M3610" i="1"/>
  <c r="M3646" i="1"/>
  <c r="Q2976" i="1"/>
  <c r="Q2943" i="1"/>
  <c r="Q2875" i="1"/>
  <c r="Q2832" i="1"/>
  <c r="Q2457" i="1"/>
  <c r="Q2578" i="1"/>
  <c r="Q2482" i="1"/>
  <c r="Q2517" i="1"/>
  <c r="Q2056" i="1"/>
  <c r="T2066" i="1"/>
  <c r="Q1586" i="1"/>
  <c r="Q1411" i="1"/>
  <c r="Q1393" i="1"/>
  <c r="Q945" i="1"/>
  <c r="Q2817" i="1"/>
  <c r="Q181" i="1"/>
  <c r="T949" i="1"/>
  <c r="M3859" i="1"/>
  <c r="M3825" i="1"/>
  <c r="M3694" i="1"/>
  <c r="M3652" i="1"/>
  <c r="M3498" i="1"/>
  <c r="Q3060" i="1"/>
  <c r="Q3101" i="1"/>
  <c r="T3211" i="1"/>
  <c r="M3053" i="1"/>
  <c r="T3139" i="1"/>
  <c r="Q2886" i="1"/>
  <c r="Q2872" i="1"/>
  <c r="Q2711" i="1"/>
  <c r="Q2468" i="1"/>
  <c r="Q2116" i="1"/>
  <c r="Q1797" i="1"/>
  <c r="Q1811" i="1"/>
  <c r="Q1695" i="1"/>
  <c r="Q1555" i="1"/>
  <c r="Q1652" i="1"/>
  <c r="Q1540" i="1"/>
  <c r="Q1406" i="1"/>
  <c r="Q1388" i="1"/>
  <c r="Q1367" i="1"/>
  <c r="Q1456" i="1"/>
  <c r="Q904" i="1"/>
  <c r="Q1066" i="1"/>
  <c r="Q722" i="1"/>
  <c r="Q910" i="1"/>
  <c r="Q2814" i="1"/>
  <c r="Q583" i="1"/>
  <c r="Q563" i="1"/>
  <c r="Q535" i="1"/>
  <c r="T946" i="1"/>
  <c r="M3922" i="1"/>
  <c r="M3773" i="1"/>
  <c r="M3819" i="1"/>
  <c r="Q3169" i="1"/>
  <c r="Q2857" i="1"/>
  <c r="Q2882" i="1"/>
  <c r="T3005" i="1"/>
  <c r="Q2873" i="1"/>
  <c r="Q2737" i="1"/>
  <c r="Q2609" i="1"/>
  <c r="Q2389" i="1"/>
  <c r="Q2562" i="1"/>
  <c r="Q2444" i="1"/>
  <c r="Q2271" i="1"/>
  <c r="T2400" i="1"/>
  <c r="Q2645" i="1"/>
  <c r="Q2009" i="1"/>
  <c r="Q1685" i="1"/>
  <c r="Q1857" i="1"/>
  <c r="Q1860" i="1"/>
  <c r="Q1870" i="1"/>
  <c r="Q1538" i="1"/>
  <c r="Q1430" i="1"/>
  <c r="Q1401" i="1"/>
  <c r="Q1383" i="1"/>
  <c r="Q1895" i="1"/>
  <c r="Q3152" i="1"/>
  <c r="Q1887" i="1"/>
  <c r="Q189" i="1"/>
  <c r="Q56" i="1"/>
  <c r="M3820" i="1"/>
  <c r="M3812" i="1"/>
  <c r="M3568" i="1"/>
  <c r="M3492" i="1"/>
  <c r="Q3104" i="1"/>
  <c r="T2997" i="1"/>
  <c r="Q2492" i="1"/>
  <c r="T2380" i="1"/>
  <c r="Q1589" i="1"/>
  <c r="Q1702" i="1"/>
  <c r="Q1637" i="1"/>
  <c r="Q1320" i="1"/>
  <c r="Q1308" i="1"/>
  <c r="Q1296" i="1"/>
  <c r="Q1284" i="1"/>
  <c r="Q1272" i="1"/>
  <c r="Q1260" i="1"/>
  <c r="Q1248" i="1"/>
  <c r="Q1236" i="1"/>
  <c r="Q1403" i="1"/>
  <c r="Q1385" i="1"/>
  <c r="Q888" i="1"/>
  <c r="Q876" i="1"/>
  <c r="Q864" i="1"/>
  <c r="Q852" i="1"/>
  <c r="Q840" i="1"/>
  <c r="Q828" i="1"/>
  <c r="Q816" i="1"/>
  <c r="Q804" i="1"/>
  <c r="Q792" i="1"/>
  <c r="Q780" i="1"/>
  <c r="Q2351" i="1"/>
  <c r="Q2808" i="1"/>
  <c r="Q1920" i="1"/>
  <c r="Q642" i="1"/>
  <c r="Q619" i="1"/>
  <c r="Q80" i="1"/>
  <c r="Q22" i="1"/>
  <c r="Q395" i="1"/>
  <c r="Q515" i="1"/>
  <c r="M3926" i="1"/>
  <c r="M3759" i="1"/>
  <c r="M3649" i="1"/>
  <c r="Q3166" i="1"/>
  <c r="T3304" i="1"/>
  <c r="M2820" i="1"/>
  <c r="T2566" i="1"/>
  <c r="Q2508" i="1"/>
  <c r="T2540" i="1"/>
  <c r="Q2145" i="1"/>
  <c r="Q2109" i="1"/>
  <c r="Q2237" i="1"/>
  <c r="Q1564" i="1"/>
  <c r="Q1626" i="1"/>
  <c r="Q977" i="1"/>
  <c r="Q1982" i="1"/>
  <c r="Q2805" i="1"/>
  <c r="Q1914" i="1"/>
  <c r="T2553" i="1"/>
  <c r="Q636" i="1"/>
  <c r="Q444" i="1"/>
  <c r="Q378" i="1"/>
  <c r="Q540" i="1"/>
  <c r="Q361" i="1"/>
  <c r="Q580" i="1"/>
  <c r="Q380" i="1"/>
  <c r="M3927" i="1"/>
  <c r="M3796" i="1"/>
  <c r="M3464" i="1"/>
  <c r="M3140" i="1"/>
  <c r="T3096" i="1"/>
  <c r="Q2835" i="1"/>
  <c r="Q2735" i="1"/>
  <c r="Q2586" i="1"/>
  <c r="Q2530" i="1"/>
  <c r="Q2253" i="1"/>
  <c r="Q2267" i="1"/>
  <c r="Q1562" i="1"/>
  <c r="Q1725" i="1"/>
  <c r="T1476" i="1"/>
  <c r="Q1163" i="1"/>
  <c r="Q1147" i="1"/>
  <c r="Q1131" i="1"/>
  <c r="Q1115" i="1"/>
  <c r="Q1368" i="1"/>
  <c r="Q731" i="1"/>
  <c r="Q733" i="1"/>
  <c r="Q1049" i="1"/>
  <c r="Q2974" i="1"/>
  <c r="Q1908" i="1"/>
  <c r="M3880" i="1"/>
  <c r="M3934" i="1"/>
  <c r="M3764" i="1"/>
  <c r="M3713" i="1"/>
  <c r="M3637" i="1"/>
  <c r="M3544" i="1"/>
  <c r="M3535" i="1"/>
  <c r="M3469" i="1"/>
  <c r="Q2981" i="1"/>
  <c r="Q2899" i="1"/>
  <c r="Q2863" i="1"/>
  <c r="Q2893" i="1"/>
  <c r="M2805" i="1"/>
  <c r="Q2738" i="1"/>
  <c r="Q2643" i="1"/>
  <c r="Q2528" i="1"/>
  <c r="T2490" i="1"/>
  <c r="Q2460" i="1"/>
  <c r="Q2628" i="1"/>
  <c r="Q2167" i="1"/>
  <c r="Q2144" i="1"/>
  <c r="Q2176" i="1"/>
  <c r="Q2152" i="1"/>
  <c r="T2473" i="1"/>
  <c r="T1952" i="1"/>
  <c r="T2002" i="1"/>
  <c r="Q1542" i="1"/>
  <c r="Q1559" i="1"/>
  <c r="Q1521" i="1"/>
  <c r="Q1021" i="1"/>
  <c r="Q997" i="1"/>
  <c r="Q973" i="1"/>
  <c r="Q2830" i="1"/>
  <c r="T824" i="1"/>
  <c r="M3784" i="1"/>
  <c r="M3478" i="1"/>
  <c r="M3180" i="1"/>
  <c r="Q3161" i="1"/>
  <c r="Q3028" i="1"/>
  <c r="Q3018" i="1"/>
  <c r="Q3014" i="1"/>
  <c r="T3283" i="1"/>
  <c r="Q2967" i="1"/>
  <c r="Q2761" i="1"/>
  <c r="Q2839" i="1"/>
  <c r="Q2753" i="1"/>
  <c r="Q2241" i="1"/>
  <c r="T2405" i="1"/>
  <c r="Q1968" i="1"/>
  <c r="Q1872" i="1"/>
  <c r="T1938" i="1"/>
  <c r="Q1623" i="1"/>
  <c r="Q1556" i="1"/>
  <c r="Q1443" i="1"/>
  <c r="Q1415" i="1"/>
  <c r="Q1206" i="1"/>
  <c r="Q1188" i="1"/>
  <c r="Q1170" i="1"/>
  <c r="Q884" i="1"/>
  <c r="Q872" i="1"/>
  <c r="Q860" i="1"/>
  <c r="Q848" i="1"/>
  <c r="Q836" i="1"/>
  <c r="Q824" i="1"/>
  <c r="Q812" i="1"/>
  <c r="Q800" i="1"/>
  <c r="Q788" i="1"/>
  <c r="Q776" i="1"/>
  <c r="Q1070" i="1"/>
  <c r="T3886" i="1"/>
  <c r="T3815" i="1"/>
  <c r="T3816" i="1"/>
  <c r="U3863" i="1"/>
  <c r="T3899" i="1"/>
  <c r="Q3076" i="1"/>
  <c r="Q3077" i="1"/>
  <c r="U3471" i="1"/>
  <c r="U3291" i="1"/>
  <c r="Q3118" i="1"/>
  <c r="Q3119" i="1"/>
  <c r="Q2153" i="1"/>
  <c r="Q2154" i="1"/>
  <c r="T840" i="1"/>
  <c r="T879" i="1"/>
  <c r="T823" i="1"/>
  <c r="T792" i="1"/>
  <c r="T729" i="1"/>
  <c r="T802" i="1"/>
  <c r="U869" i="1"/>
  <c r="T749" i="1"/>
  <c r="T848" i="1"/>
  <c r="T743" i="1"/>
  <c r="T724" i="1"/>
  <c r="T807" i="1"/>
  <c r="U863" i="1"/>
  <c r="T901" i="1"/>
  <c r="T745" i="1"/>
  <c r="T799" i="1"/>
  <c r="T762" i="1"/>
  <c r="Q3691" i="1"/>
  <c r="Q3692" i="1"/>
  <c r="T3863" i="1"/>
  <c r="Q3632" i="1"/>
  <c r="U3853" i="1"/>
  <c r="U3852" i="1"/>
  <c r="U3869" i="1"/>
  <c r="Q3696" i="1"/>
  <c r="U3861" i="1"/>
  <c r="T3837" i="1"/>
  <c r="T3804" i="1"/>
  <c r="Q3516" i="1"/>
  <c r="Q3517" i="1"/>
  <c r="T3736" i="1"/>
  <c r="T3721" i="1"/>
  <c r="Q3510" i="1"/>
  <c r="Q3511" i="1"/>
  <c r="U3652" i="1"/>
  <c r="U3713" i="1"/>
  <c r="U3712" i="1"/>
  <c r="Q3393" i="1"/>
  <c r="Q3394" i="1"/>
  <c r="T3478" i="1"/>
  <c r="U3718" i="1"/>
  <c r="T3378" i="1"/>
  <c r="U3373" i="1"/>
  <c r="T3455" i="1"/>
  <c r="T3463" i="1"/>
  <c r="U3415" i="1"/>
  <c r="U3405" i="1"/>
  <c r="U3271" i="1"/>
  <c r="T3107" i="1"/>
  <c r="T3105" i="1"/>
  <c r="T2964" i="1"/>
  <c r="T812" i="1"/>
  <c r="T797" i="1"/>
  <c r="T861" i="1"/>
  <c r="U916" i="1"/>
  <c r="T918" i="1"/>
  <c r="T891" i="1"/>
  <c r="Q500" i="1"/>
  <c r="T827" i="1"/>
  <c r="Q506" i="1"/>
  <c r="U850" i="1"/>
  <c r="Q597" i="1"/>
  <c r="Q343" i="1"/>
  <c r="T733" i="1"/>
  <c r="U944" i="1"/>
  <c r="T723" i="1"/>
  <c r="U861" i="1"/>
  <c r="Q204" i="1"/>
  <c r="T783" i="1"/>
  <c r="T716" i="1"/>
  <c r="U802" i="1"/>
  <c r="T798" i="1"/>
  <c r="T821" i="1"/>
  <c r="T874" i="1"/>
  <c r="U743" i="1"/>
  <c r="U719" i="1"/>
  <c r="U780" i="1"/>
  <c r="T707" i="1"/>
  <c r="U730" i="1"/>
  <c r="T731" i="1"/>
  <c r="U864" i="1"/>
  <c r="U722" i="1"/>
  <c r="U830" i="1"/>
  <c r="U777" i="1"/>
  <c r="U709" i="1"/>
  <c r="U760" i="1"/>
  <c r="U759" i="1"/>
  <c r="U721" i="1"/>
  <c r="N3911" i="1"/>
  <c r="Q3863" i="1"/>
  <c r="Q3864" i="1"/>
  <c r="M3877" i="1"/>
  <c r="Q3926" i="1"/>
  <c r="Q3878" i="1"/>
  <c r="M3940" i="1"/>
  <c r="N3869" i="1"/>
  <c r="M3847" i="1"/>
  <c r="Q3917" i="1"/>
  <c r="Q3931" i="1"/>
  <c r="N3814" i="1"/>
  <c r="Q3834" i="1"/>
  <c r="N3930" i="1"/>
  <c r="Q3845" i="1"/>
  <c r="Q3858" i="1"/>
  <c r="M3801" i="1"/>
  <c r="N3791" i="1"/>
  <c r="M3794" i="1"/>
  <c r="M3783" i="1"/>
  <c r="M3679" i="1"/>
  <c r="N3785" i="1"/>
  <c r="N3741" i="1"/>
  <c r="M3800" i="1"/>
  <c r="M3730" i="1"/>
  <c r="M3806" i="1"/>
  <c r="N3820" i="1"/>
  <c r="N3835" i="1"/>
  <c r="Q3777" i="1"/>
  <c r="Q3778" i="1"/>
  <c r="N3690" i="1"/>
  <c r="U3931" i="1"/>
  <c r="M3651" i="1"/>
  <c r="N3691" i="1"/>
  <c r="M3691" i="1"/>
  <c r="N3695" i="1"/>
  <c r="T3919" i="1"/>
  <c r="U3903" i="1"/>
  <c r="U3902" i="1"/>
  <c r="M3659" i="1"/>
  <c r="Q3628" i="1"/>
  <c r="T3926" i="1"/>
  <c r="T3930" i="1"/>
  <c r="M3633" i="1"/>
  <c r="U3841" i="1"/>
  <c r="M3663" i="1"/>
  <c r="N3617" i="1"/>
  <c r="U3925" i="1"/>
  <c r="U3865" i="1"/>
  <c r="M3696" i="1"/>
  <c r="N3676" i="1"/>
  <c r="U3855" i="1"/>
  <c r="T3901" i="1"/>
  <c r="T3898" i="1"/>
  <c r="M3590" i="1"/>
  <c r="U3888" i="1"/>
  <c r="M3565" i="1"/>
  <c r="T3896" i="1"/>
  <c r="T3842" i="1"/>
  <c r="T3826" i="1"/>
  <c r="T3858" i="1"/>
  <c r="M3670" i="1"/>
  <c r="U3828" i="1"/>
  <c r="Q3618" i="1"/>
  <c r="Q3583" i="1"/>
  <c r="U3880" i="1"/>
  <c r="T3927" i="1"/>
  <c r="N3589" i="1"/>
  <c r="U3879" i="1"/>
  <c r="U3830" i="1"/>
  <c r="U3829" i="1"/>
  <c r="N3517" i="1"/>
  <c r="N3527" i="1"/>
  <c r="M3530" i="1"/>
  <c r="U3813" i="1"/>
  <c r="N3578" i="1"/>
  <c r="Q3531" i="1"/>
  <c r="N3582" i="1"/>
  <c r="T3893" i="1"/>
  <c r="M3516" i="1"/>
  <c r="T3759" i="1"/>
  <c r="U3768" i="1"/>
  <c r="U3808" i="1"/>
  <c r="M3497" i="1"/>
  <c r="T3751" i="1"/>
  <c r="N3516" i="1"/>
  <c r="U3701" i="1"/>
  <c r="T3669" i="1"/>
  <c r="T3651" i="1"/>
  <c r="U3714" i="1"/>
  <c r="U3703" i="1"/>
  <c r="T3679" i="1"/>
  <c r="T3667" i="1"/>
  <c r="U3598" i="1"/>
  <c r="T3635" i="1"/>
  <c r="T3633" i="1"/>
  <c r="M3376" i="1"/>
  <c r="U3641" i="1"/>
  <c r="M3374" i="1"/>
  <c r="M3384" i="1"/>
  <c r="U3636" i="1"/>
  <c r="U3634" i="1"/>
  <c r="U3510" i="1"/>
  <c r="T3493" i="1"/>
  <c r="M3295" i="1"/>
  <c r="M3355" i="1"/>
  <c r="M3274" i="1"/>
  <c r="M3349" i="1"/>
  <c r="T3636" i="1"/>
  <c r="T3658" i="1"/>
  <c r="T3545" i="1"/>
  <c r="T3567" i="1"/>
  <c r="Q3342" i="1"/>
  <c r="N3307" i="1"/>
  <c r="T3373" i="1"/>
  <c r="T3483" i="1"/>
  <c r="M3049" i="1"/>
  <c r="N3116" i="1"/>
  <c r="M3209" i="1"/>
  <c r="U3462" i="1"/>
  <c r="U3457" i="1"/>
  <c r="U3455" i="1"/>
  <c r="U3456" i="1"/>
  <c r="U3454" i="1"/>
  <c r="U3459" i="1"/>
  <c r="U3453" i="1"/>
  <c r="T3465" i="1"/>
  <c r="U3341" i="1"/>
  <c r="U3245" i="1"/>
  <c r="U3244" i="1"/>
  <c r="U3243" i="1"/>
  <c r="U3242" i="1"/>
  <c r="U3306" i="1"/>
  <c r="U3439" i="1"/>
  <c r="Q3021" i="1"/>
  <c r="Q3022" i="1"/>
  <c r="T3387" i="1"/>
  <c r="T3375" i="1"/>
  <c r="T3385" i="1"/>
  <c r="T3381" i="1"/>
  <c r="T3646" i="1"/>
  <c r="M3041" i="1"/>
  <c r="T3380" i="1"/>
  <c r="U3136" i="1"/>
  <c r="T3178" i="1"/>
  <c r="Q2954" i="1"/>
  <c r="Q2955" i="1"/>
  <c r="U3128" i="1"/>
  <c r="U3182" i="1"/>
  <c r="U3101" i="1"/>
  <c r="U3094" i="1"/>
  <c r="U3088" i="1"/>
  <c r="U3093" i="1"/>
  <c r="U3089" i="1"/>
  <c r="U3095" i="1"/>
  <c r="U3092" i="1"/>
  <c r="U3090" i="1"/>
  <c r="U3096" i="1"/>
  <c r="U3100" i="1"/>
  <c r="U3098" i="1"/>
  <c r="U3013" i="1"/>
  <c r="T3113" i="1"/>
  <c r="T3110" i="1"/>
  <c r="T3059" i="1"/>
  <c r="T3086" i="1"/>
  <c r="U3083" i="1"/>
  <c r="M2860" i="1"/>
  <c r="U3087" i="1"/>
  <c r="T2962" i="1"/>
  <c r="U2937" i="1"/>
  <c r="U3003" i="1"/>
  <c r="U2986" i="1"/>
  <c r="U2959" i="1"/>
  <c r="Q2682" i="1"/>
  <c r="Q2683" i="1"/>
  <c r="T2996" i="1"/>
  <c r="M2591" i="1"/>
  <c r="M2397" i="1"/>
  <c r="U2889" i="1"/>
  <c r="N2205" i="1"/>
  <c r="U2647" i="1"/>
  <c r="Q3797" i="1"/>
  <c r="U3929" i="1"/>
  <c r="U3640" i="1"/>
  <c r="U3633" i="1"/>
  <c r="U3632" i="1"/>
  <c r="U3648" i="1"/>
  <c r="U3602" i="1"/>
  <c r="T3561" i="1"/>
  <c r="Q3142" i="1"/>
  <c r="Q3143" i="1"/>
  <c r="T726" i="1"/>
  <c r="T741" i="1"/>
  <c r="Q587" i="1"/>
  <c r="T915" i="1"/>
  <c r="Q653" i="1"/>
  <c r="T902" i="1"/>
  <c r="Q634" i="1"/>
  <c r="T910" i="1"/>
  <c r="U912" i="1"/>
  <c r="T739" i="1"/>
  <c r="T793" i="1"/>
  <c r="T817" i="1"/>
  <c r="Q463" i="1"/>
  <c r="T898" i="1"/>
  <c r="T744" i="1"/>
  <c r="T844" i="1"/>
  <c r="Q429" i="1"/>
  <c r="T809" i="1"/>
  <c r="T728" i="1"/>
  <c r="N242" i="1"/>
  <c r="T886" i="1"/>
  <c r="T820" i="1"/>
  <c r="Q141" i="1"/>
  <c r="Q95" i="1"/>
  <c r="T832" i="1"/>
  <c r="Q44" i="1"/>
  <c r="M121" i="1"/>
  <c r="M3886" i="1"/>
  <c r="M3874" i="1"/>
  <c r="M3862" i="1"/>
  <c r="M3850" i="1"/>
  <c r="M3935" i="1"/>
  <c r="M3923" i="1"/>
  <c r="M3911" i="1"/>
  <c r="M3887" i="1"/>
  <c r="M3875" i="1"/>
  <c r="M3851" i="1"/>
  <c r="M3839" i="1"/>
  <c r="M3936" i="1"/>
  <c r="M3924" i="1"/>
  <c r="M3912" i="1"/>
  <c r="M3900" i="1"/>
  <c r="M3888" i="1"/>
  <c r="M3876" i="1"/>
  <c r="M3864" i="1"/>
  <c r="M3852" i="1"/>
  <c r="M3840" i="1"/>
  <c r="M3930" i="1"/>
  <c r="M3918" i="1"/>
  <c r="M3906" i="1"/>
  <c r="M3894" i="1"/>
  <c r="M3882" i="1"/>
  <c r="M3870" i="1"/>
  <c r="M3858" i="1"/>
  <c r="M3846" i="1"/>
  <c r="M3931" i="1"/>
  <c r="M3919" i="1"/>
  <c r="M3907" i="1"/>
  <c r="M3895" i="1"/>
  <c r="M3883" i="1"/>
  <c r="M3871" i="1"/>
  <c r="M3872" i="1"/>
  <c r="M3823" i="1"/>
  <c r="M3811" i="1"/>
  <c r="M3896" i="1"/>
  <c r="M3824" i="1"/>
  <c r="M3920" i="1"/>
  <c r="M3860" i="1"/>
  <c r="M3838" i="1"/>
  <c r="M3836" i="1"/>
  <c r="M3832" i="1"/>
  <c r="M3827" i="1"/>
  <c r="M3815" i="1"/>
  <c r="M3803" i="1"/>
  <c r="M3828" i="1"/>
  <c r="M3816" i="1"/>
  <c r="M3817" i="1"/>
  <c r="M3805" i="1"/>
  <c r="M3793" i="1"/>
  <c r="M3781" i="1"/>
  <c r="M3769" i="1"/>
  <c r="M3884" i="1"/>
  <c r="M3848" i="1"/>
  <c r="M3908" i="1"/>
  <c r="M3810" i="1"/>
  <c r="M3762" i="1"/>
  <c r="M3750" i="1"/>
  <c r="M3736" i="1"/>
  <c r="M3787" i="1"/>
  <c r="M3767" i="1"/>
  <c r="M3776" i="1"/>
  <c r="M3751" i="1"/>
  <c r="M3747" i="1"/>
  <c r="M3821" i="1"/>
  <c r="M3798" i="1"/>
  <c r="M3774" i="1"/>
  <c r="M3739" i="1"/>
  <c r="M3727" i="1"/>
  <c r="M3715" i="1"/>
  <c r="M3703" i="1"/>
  <c r="M3809" i="1"/>
  <c r="M3792" i="1"/>
  <c r="M3763" i="1"/>
  <c r="M3752" i="1"/>
  <c r="M3741" i="1"/>
  <c r="M3932" i="1"/>
  <c r="M3804" i="1"/>
  <c r="M3779" i="1"/>
  <c r="M3768" i="1"/>
  <c r="M3761" i="1"/>
  <c r="M3743" i="1"/>
  <c r="M3731" i="1"/>
  <c r="M3719" i="1"/>
  <c r="M3707" i="1"/>
  <c r="M3797" i="1"/>
  <c r="M3786" i="1"/>
  <c r="M3775" i="1"/>
  <c r="M3756" i="1"/>
  <c r="M3799" i="1"/>
  <c r="M3746" i="1"/>
  <c r="M3734" i="1"/>
  <c r="M3722" i="1"/>
  <c r="M3710" i="1"/>
  <c r="M3698" i="1"/>
  <c r="M3686" i="1"/>
  <c r="M3757" i="1"/>
  <c r="M3712" i="1"/>
  <c r="M3688" i="1"/>
  <c r="M3676" i="1"/>
  <c r="M3822" i="1"/>
  <c r="M3735" i="1"/>
  <c r="M3700" i="1"/>
  <c r="M3711" i="1"/>
  <c r="M3668" i="1"/>
  <c r="M3693" i="1"/>
  <c r="M3687" i="1"/>
  <c r="M3695" i="1"/>
  <c r="M3791" i="1"/>
  <c r="M3729" i="1"/>
  <c r="M3780" i="1"/>
  <c r="M3705" i="1"/>
  <c r="M3636" i="1"/>
  <c r="M3632" i="1"/>
  <c r="M3628" i="1"/>
  <c r="M3624" i="1"/>
  <c r="M3620" i="1"/>
  <c r="M3608" i="1"/>
  <c r="M3661" i="1"/>
  <c r="M3615" i="1"/>
  <c r="M3609" i="1"/>
  <c r="M3597" i="1"/>
  <c r="M3697" i="1"/>
  <c r="M3717" i="1"/>
  <c r="M3724" i="1"/>
  <c r="M3681" i="1"/>
  <c r="M3672" i="1"/>
  <c r="M3667" i="1"/>
  <c r="M3674" i="1"/>
  <c r="M3660" i="1"/>
  <c r="M3699" i="1"/>
  <c r="M3618" i="1"/>
  <c r="M3612" i="1"/>
  <c r="M3683" i="1"/>
  <c r="M3647" i="1"/>
  <c r="M3643" i="1"/>
  <c r="M3639" i="1"/>
  <c r="M3723" i="1"/>
  <c r="M3631" i="1"/>
  <c r="M3619" i="1"/>
  <c r="M3614" i="1"/>
  <c r="M3573" i="1"/>
  <c r="M3605" i="1"/>
  <c r="M3603" i="1"/>
  <c r="M3595" i="1"/>
  <c r="M3591" i="1"/>
  <c r="M3587" i="1"/>
  <c r="M3601" i="1"/>
  <c r="M3673" i="1"/>
  <c r="M3627" i="1"/>
  <c r="M3613" i="1"/>
  <c r="M3596" i="1"/>
  <c r="M3592" i="1"/>
  <c r="M3588" i="1"/>
  <c r="M3584" i="1"/>
  <c r="M3580" i="1"/>
  <c r="M3662" i="1"/>
  <c r="M3604" i="1"/>
  <c r="M3602" i="1"/>
  <c r="M3623" i="1"/>
  <c r="M3577" i="1"/>
  <c r="M3515" i="1"/>
  <c r="M3508" i="1"/>
  <c r="M3581" i="1"/>
  <c r="M3585" i="1"/>
  <c r="M3589" i="1"/>
  <c r="M3511" i="1"/>
  <c r="M3507" i="1"/>
  <c r="M3457" i="1"/>
  <c r="M3571" i="1"/>
  <c r="M3452" i="1"/>
  <c r="M3448" i="1"/>
  <c r="M3444" i="1"/>
  <c r="M3440" i="1"/>
  <c r="M3436" i="1"/>
  <c r="M3432" i="1"/>
  <c r="M3428" i="1"/>
  <c r="M3424" i="1"/>
  <c r="M3420" i="1"/>
  <c r="M3416" i="1"/>
  <c r="M3411" i="1"/>
  <c r="M3405" i="1"/>
  <c r="M3412" i="1"/>
  <c r="M3406" i="1"/>
  <c r="M3398" i="1"/>
  <c r="M3386" i="1"/>
  <c r="M3449" i="1"/>
  <c r="M3445" i="1"/>
  <c r="M3441" i="1"/>
  <c r="M3437" i="1"/>
  <c r="M3433" i="1"/>
  <c r="M3429" i="1"/>
  <c r="M3425" i="1"/>
  <c r="M3421" i="1"/>
  <c r="M3417" i="1"/>
  <c r="M3399" i="1"/>
  <c r="M3401" i="1"/>
  <c r="M3456" i="1"/>
  <c r="M3450" i="1"/>
  <c r="M3446" i="1"/>
  <c r="M3442" i="1"/>
  <c r="M3438" i="1"/>
  <c r="M3434" i="1"/>
  <c r="M3430" i="1"/>
  <c r="M3426" i="1"/>
  <c r="M3422" i="1"/>
  <c r="M3418" i="1"/>
  <c r="M3414" i="1"/>
  <c r="M3408" i="1"/>
  <c r="M3402" i="1"/>
  <c r="M3635" i="1"/>
  <c r="M3409" i="1"/>
  <c r="M3403" i="1"/>
  <c r="M3427" i="1"/>
  <c r="M3388" i="1"/>
  <c r="M3431" i="1"/>
  <c r="M3407" i="1"/>
  <c r="M3395" i="1"/>
  <c r="M3393" i="1"/>
  <c r="M3383" i="1"/>
  <c r="M3435" i="1"/>
  <c r="M3423" i="1"/>
  <c r="M3439" i="1"/>
  <c r="M3381" i="1"/>
  <c r="M3443" i="1"/>
  <c r="M3419" i="1"/>
  <c r="M3400" i="1"/>
  <c r="M3447" i="1"/>
  <c r="M3410" i="1"/>
  <c r="M3415" i="1"/>
  <c r="M3351" i="1"/>
  <c r="M3345" i="1"/>
  <c r="M3451" i="1"/>
  <c r="M3413" i="1"/>
  <c r="M3394" i="1"/>
  <c r="M3387" i="1"/>
  <c r="M3593" i="1"/>
  <c r="M3404" i="1"/>
  <c r="M3347" i="1"/>
  <c r="M3333" i="1"/>
  <c r="M3321" i="1"/>
  <c r="M3309" i="1"/>
  <c r="M3297" i="1"/>
  <c r="M3285" i="1"/>
  <c r="M3273" i="1"/>
  <c r="M3269" i="1"/>
  <c r="M3265" i="1"/>
  <c r="M3261" i="1"/>
  <c r="M3257" i="1"/>
  <c r="M3253" i="1"/>
  <c r="M3249" i="1"/>
  <c r="M3245" i="1"/>
  <c r="M3239" i="1"/>
  <c r="M3233" i="1"/>
  <c r="M3338" i="1"/>
  <c r="M3326" i="1"/>
  <c r="M3314" i="1"/>
  <c r="M3302" i="1"/>
  <c r="M3331" i="1"/>
  <c r="M3319" i="1"/>
  <c r="M3307" i="1"/>
  <c r="M3385" i="1"/>
  <c r="M3336" i="1"/>
  <c r="M3324" i="1"/>
  <c r="M3312" i="1"/>
  <c r="M3300" i="1"/>
  <c r="M3341" i="1"/>
  <c r="M3329" i="1"/>
  <c r="M3317" i="1"/>
  <c r="M3305" i="1"/>
  <c r="M3293" i="1"/>
  <c r="M3241" i="1"/>
  <c r="M3235" i="1"/>
  <c r="M3220" i="1"/>
  <c r="M3334" i="1"/>
  <c r="M3322" i="1"/>
  <c r="M3310" i="1"/>
  <c r="M3298" i="1"/>
  <c r="M3286" i="1"/>
  <c r="M3354" i="1"/>
  <c r="M3339" i="1"/>
  <c r="M3327" i="1"/>
  <c r="M3315" i="1"/>
  <c r="M3303" i="1"/>
  <c r="M3214" i="1"/>
  <c r="M3202" i="1"/>
  <c r="M3332" i="1"/>
  <c r="M3320" i="1"/>
  <c r="M3308" i="1"/>
  <c r="M3296" i="1"/>
  <c r="M3284" i="1"/>
  <c r="M3337" i="1"/>
  <c r="M3325" i="1"/>
  <c r="M3313" i="1"/>
  <c r="M3301" i="1"/>
  <c r="M3342" i="1"/>
  <c r="M3330" i="1"/>
  <c r="M3318" i="1"/>
  <c r="M3306" i="1"/>
  <c r="M3171" i="1"/>
  <c r="M3134" i="1"/>
  <c r="M3107" i="1"/>
  <c r="M3095" i="1"/>
  <c r="M3083" i="1"/>
  <c r="M3335" i="1"/>
  <c r="M3316" i="1"/>
  <c r="M3282" i="1"/>
  <c r="M3218" i="1"/>
  <c r="M3203" i="1"/>
  <c r="M3191" i="1"/>
  <c r="M3182" i="1"/>
  <c r="M3158" i="1"/>
  <c r="M3223" i="1"/>
  <c r="M3201" i="1"/>
  <c r="M3195" i="1"/>
  <c r="M3153" i="1"/>
  <c r="M3328" i="1"/>
  <c r="M3213" i="1"/>
  <c r="M3207" i="1"/>
  <c r="M3189" i="1"/>
  <c r="M3165" i="1"/>
  <c r="M3292" i="1"/>
  <c r="M3225" i="1"/>
  <c r="M3136" i="1"/>
  <c r="M3121" i="1"/>
  <c r="M3117" i="1"/>
  <c r="M3111" i="1"/>
  <c r="M3099" i="1"/>
  <c r="M3087" i="1"/>
  <c r="M3075" i="1"/>
  <c r="M3063" i="1"/>
  <c r="M3244" i="1"/>
  <c r="M3230" i="1"/>
  <c r="M3172" i="1"/>
  <c r="M3112" i="1"/>
  <c r="M3100" i="1"/>
  <c r="M3088" i="1"/>
  <c r="M3076" i="1"/>
  <c r="M3064" i="1"/>
  <c r="M3052" i="1"/>
  <c r="M3040" i="1"/>
  <c r="M3028" i="1"/>
  <c r="M3340" i="1"/>
  <c r="M3299" i="1"/>
  <c r="M3183" i="1"/>
  <c r="M3159" i="1"/>
  <c r="M3146" i="1"/>
  <c r="M3122" i="1"/>
  <c r="M3276" i="1"/>
  <c r="M3238" i="1"/>
  <c r="M3179" i="1"/>
  <c r="M3170" i="1"/>
  <c r="M3311" i="1"/>
  <c r="M3287" i="1"/>
  <c r="M3196" i="1"/>
  <c r="M3194" i="1"/>
  <c r="M3232" i="1"/>
  <c r="M3208" i="1"/>
  <c r="M3206" i="1"/>
  <c r="M3177" i="1"/>
  <c r="M3353" i="1"/>
  <c r="M3304" i="1"/>
  <c r="M3184" i="1"/>
  <c r="M3143" i="1"/>
  <c r="M3124" i="1"/>
  <c r="M3045" i="1"/>
  <c r="M3003" i="1"/>
  <c r="M2986" i="1"/>
  <c r="M2974" i="1"/>
  <c r="M3081" i="1"/>
  <c r="M3071" i="1"/>
  <c r="M3047" i="1"/>
  <c r="M3016" i="1"/>
  <c r="M3133" i="1"/>
  <c r="M3011" i="1"/>
  <c r="M3155" i="1"/>
  <c r="M3106" i="1"/>
  <c r="M3051" i="1"/>
  <c r="M3033" i="1"/>
  <c r="M3021" i="1"/>
  <c r="M2998" i="1"/>
  <c r="M3058" i="1"/>
  <c r="M3035" i="1"/>
  <c r="M2990" i="1"/>
  <c r="M2978" i="1"/>
  <c r="M2966" i="1"/>
  <c r="M2954" i="1"/>
  <c r="M2942" i="1"/>
  <c r="M3129" i="1"/>
  <c r="M3004" i="1"/>
  <c r="M2991" i="1"/>
  <c r="M2979" i="1"/>
  <c r="M2967" i="1"/>
  <c r="M2955" i="1"/>
  <c r="M2943" i="1"/>
  <c r="M2931" i="1"/>
  <c r="M3094" i="1"/>
  <c r="M3070" i="1"/>
  <c r="M3039" i="1"/>
  <c r="M2999" i="1"/>
  <c r="M2996" i="1"/>
  <c r="M2992" i="1"/>
  <c r="M2980" i="1"/>
  <c r="M2968" i="1"/>
  <c r="M3323" i="1"/>
  <c r="M3148" i="1"/>
  <c r="M3119" i="1"/>
  <c r="M3105" i="1"/>
  <c r="M3046" i="1"/>
  <c r="M3022" i="1"/>
  <c r="M3009" i="1"/>
  <c r="M3279" i="1"/>
  <c r="M3082" i="1"/>
  <c r="M3057" i="1"/>
  <c r="M3160" i="1"/>
  <c r="M3023" i="1"/>
  <c r="M3018" i="1"/>
  <c r="M3010" i="1"/>
  <c r="M2950" i="1"/>
  <c r="M2932" i="1"/>
  <c r="M2889" i="1"/>
  <c r="M2956" i="1"/>
  <c r="M2894" i="1"/>
  <c r="M2846" i="1"/>
  <c r="M2930" i="1"/>
  <c r="M2926" i="1"/>
  <c r="M2919" i="1"/>
  <c r="M2912" i="1"/>
  <c r="M2878" i="1"/>
  <c r="M2852" i="1"/>
  <c r="M2984" i="1"/>
  <c r="M2972" i="1"/>
  <c r="M2961" i="1"/>
  <c r="M2908" i="1"/>
  <c r="M2901" i="1"/>
  <c r="M3020" i="1"/>
  <c r="M2936" i="1"/>
  <c r="M2890" i="1"/>
  <c r="M3059" i="1"/>
  <c r="M2938" i="1"/>
  <c r="M2924" i="1"/>
  <c r="M2906" i="1"/>
  <c r="M2949" i="1"/>
  <c r="M2944" i="1"/>
  <c r="M2920" i="1"/>
  <c r="M2895" i="1"/>
  <c r="M2883" i="1"/>
  <c r="M3069" i="1"/>
  <c r="M2960" i="1"/>
  <c r="M2913" i="1"/>
  <c r="M2902" i="1"/>
  <c r="M2888" i="1"/>
  <c r="M2864" i="1"/>
  <c r="M2994" i="1"/>
  <c r="M2918" i="1"/>
  <c r="M3034" i="1"/>
  <c r="M2997" i="1"/>
  <c r="M2985" i="1"/>
  <c r="M2973" i="1"/>
  <c r="M2948" i="1"/>
  <c r="M2937" i="1"/>
  <c r="M2914" i="1"/>
  <c r="M2896" i="1"/>
  <c r="M2884" i="1"/>
  <c r="M2873" i="1"/>
  <c r="M2870" i="1"/>
  <c r="M2845" i="1"/>
  <c r="M2851" i="1"/>
  <c r="M3093" i="1"/>
  <c r="M2876" i="1"/>
  <c r="M2861" i="1"/>
  <c r="M2866" i="1"/>
  <c r="M2962" i="1"/>
  <c r="M2863" i="1"/>
  <c r="M2854" i="1"/>
  <c r="M2907" i="1"/>
  <c r="M2859" i="1"/>
  <c r="M2925" i="1"/>
  <c r="M2877" i="1"/>
  <c r="M2865" i="1"/>
  <c r="M2900" i="1"/>
  <c r="M2668" i="1"/>
  <c r="M2662" i="1"/>
  <c r="M2671" i="1"/>
  <c r="M2624" i="1"/>
  <c r="M2595" i="1"/>
  <c r="M2583" i="1"/>
  <c r="M2571" i="1"/>
  <c r="M2629" i="1"/>
  <c r="M2608" i="1"/>
  <c r="M2602" i="1"/>
  <c r="M2596" i="1"/>
  <c r="M2584" i="1"/>
  <c r="M2572" i="1"/>
  <c r="M2560" i="1"/>
  <c r="M2632" i="1"/>
  <c r="M2587" i="1"/>
  <c r="M2575" i="1"/>
  <c r="M2563" i="1"/>
  <c r="M2661" i="1"/>
  <c r="M2657" i="1"/>
  <c r="M2625" i="1"/>
  <c r="M2610" i="1"/>
  <c r="M2604" i="1"/>
  <c r="M2598" i="1"/>
  <c r="M2588" i="1"/>
  <c r="M2576" i="1"/>
  <c r="M2564" i="1"/>
  <c r="M2665" i="1"/>
  <c r="M2630" i="1"/>
  <c r="M2589" i="1"/>
  <c r="M2577" i="1"/>
  <c r="M2565" i="1"/>
  <c r="M2380" i="1"/>
  <c r="M2368" i="1"/>
  <c r="M2626" i="1"/>
  <c r="M2612" i="1"/>
  <c r="M2558" i="1"/>
  <c r="M2656" i="1"/>
  <c r="M2594" i="1"/>
  <c r="M2615" i="1"/>
  <c r="M2582" i="1"/>
  <c r="M2618" i="1"/>
  <c r="M2373" i="1"/>
  <c r="M2361" i="1"/>
  <c r="M2658" i="1"/>
  <c r="M2593" i="1"/>
  <c r="M2570" i="1"/>
  <c r="M2557" i="1"/>
  <c r="M2374" i="1"/>
  <c r="M2362" i="1"/>
  <c r="M2621" i="1"/>
  <c r="M2559" i="1"/>
  <c r="M2581" i="1"/>
  <c r="M2607" i="1"/>
  <c r="M2601" i="1"/>
  <c r="M2367" i="1"/>
  <c r="M2347" i="1"/>
  <c r="M2335" i="1"/>
  <c r="M2323" i="1"/>
  <c r="M2314" i="1"/>
  <c r="M2310" i="1"/>
  <c r="M2305" i="1"/>
  <c r="M2299" i="1"/>
  <c r="M2293" i="1"/>
  <c r="M2287" i="1"/>
  <c r="M2281" i="1"/>
  <c r="M2275" i="1"/>
  <c r="M2269" i="1"/>
  <c r="M2263" i="1"/>
  <c r="M2257" i="1"/>
  <c r="M2251" i="1"/>
  <c r="M2245" i="1"/>
  <c r="M2239" i="1"/>
  <c r="M2233" i="1"/>
  <c r="M2227" i="1"/>
  <c r="M2221" i="1"/>
  <c r="M2215" i="1"/>
  <c r="M2209" i="1"/>
  <c r="M2569" i="1"/>
  <c r="M2378" i="1"/>
  <c r="M2340" i="1"/>
  <c r="M2328" i="1"/>
  <c r="M2345" i="1"/>
  <c r="M2333" i="1"/>
  <c r="M2306" i="1"/>
  <c r="M2300" i="1"/>
  <c r="M2294" i="1"/>
  <c r="M2338" i="1"/>
  <c r="M2326" i="1"/>
  <c r="M2321" i="1"/>
  <c r="M2318" i="1"/>
  <c r="M2315" i="1"/>
  <c r="M2311" i="1"/>
  <c r="M2366" i="1"/>
  <c r="M2356" i="1"/>
  <c r="M2354" i="1"/>
  <c r="M2352" i="1"/>
  <c r="M2350" i="1"/>
  <c r="M2343" i="1"/>
  <c r="M2331" i="1"/>
  <c r="M2307" i="1"/>
  <c r="M2301" i="1"/>
  <c r="M2295" i="1"/>
  <c r="M2289" i="1"/>
  <c r="M2283" i="1"/>
  <c r="M2277" i="1"/>
  <c r="M2271" i="1"/>
  <c r="M2265" i="1"/>
  <c r="M2259" i="1"/>
  <c r="M2253" i="1"/>
  <c r="M2247" i="1"/>
  <c r="M2241" i="1"/>
  <c r="M2235" i="1"/>
  <c r="M2229" i="1"/>
  <c r="M2223" i="1"/>
  <c r="M2348" i="1"/>
  <c r="M2336" i="1"/>
  <c r="M2324" i="1"/>
  <c r="M2177" i="1"/>
  <c r="M2165" i="1"/>
  <c r="M2341" i="1"/>
  <c r="M2329" i="1"/>
  <c r="M2312" i="1"/>
  <c r="M2308" i="1"/>
  <c r="M2302" i="1"/>
  <c r="M2296" i="1"/>
  <c r="M2290" i="1"/>
  <c r="M2284" i="1"/>
  <c r="M2278" i="1"/>
  <c r="M2272" i="1"/>
  <c r="M2266" i="1"/>
  <c r="M2260" i="1"/>
  <c r="M2254" i="1"/>
  <c r="M2248" i="1"/>
  <c r="M2242" i="1"/>
  <c r="M2236" i="1"/>
  <c r="M2230" i="1"/>
  <c r="M2224" i="1"/>
  <c r="M2218" i="1"/>
  <c r="M2212" i="1"/>
  <c r="M2206" i="1"/>
  <c r="M2200" i="1"/>
  <c r="M2194" i="1"/>
  <c r="M2346" i="1"/>
  <c r="M2334" i="1"/>
  <c r="M2322" i="1"/>
  <c r="M2319" i="1"/>
  <c r="M2316" i="1"/>
  <c r="M2339" i="1"/>
  <c r="M2327" i="1"/>
  <c r="M2303" i="1"/>
  <c r="M2297" i="1"/>
  <c r="M2379" i="1"/>
  <c r="M2344" i="1"/>
  <c r="M2332" i="1"/>
  <c r="M2313" i="1"/>
  <c r="M2309" i="1"/>
  <c r="M2342" i="1"/>
  <c r="M2292" i="1"/>
  <c r="M2208" i="1"/>
  <c r="M2196" i="1"/>
  <c r="M2153" i="1"/>
  <c r="M2150" i="1"/>
  <c r="M2147" i="1"/>
  <c r="M2144" i="1"/>
  <c r="M2141" i="1"/>
  <c r="M2138" i="1"/>
  <c r="M2135" i="1"/>
  <c r="M2132" i="1"/>
  <c r="M2129" i="1"/>
  <c r="M2126" i="1"/>
  <c r="M2123" i="1"/>
  <c r="M2120" i="1"/>
  <c r="M2117" i="1"/>
  <c r="M2114" i="1"/>
  <c r="M2111" i="1"/>
  <c r="M2108" i="1"/>
  <c r="M2076" i="1"/>
  <c r="M2070" i="1"/>
  <c r="M2063" i="1"/>
  <c r="M2355" i="1"/>
  <c r="M2203" i="1"/>
  <c r="M2191" i="1"/>
  <c r="M2158" i="1"/>
  <c r="M2187" i="1"/>
  <c r="M2176" i="1"/>
  <c r="M2105" i="1"/>
  <c r="M2101" i="1"/>
  <c r="M2097" i="1"/>
  <c r="M2093" i="1"/>
  <c r="M2089" i="1"/>
  <c r="M2085" i="1"/>
  <c r="M2081" i="1"/>
  <c r="M2077" i="1"/>
  <c r="M2071" i="1"/>
  <c r="M2065" i="1"/>
  <c r="M2053" i="1"/>
  <c r="M2205" i="1"/>
  <c r="M2193" i="1"/>
  <c r="M2185" i="1"/>
  <c r="M2156" i="1"/>
  <c r="M2349" i="1"/>
  <c r="M2325" i="1"/>
  <c r="M2320" i="1"/>
  <c r="M2183" i="1"/>
  <c r="M2172" i="1"/>
  <c r="M2151" i="1"/>
  <c r="M2148" i="1"/>
  <c r="M2145" i="1"/>
  <c r="M2142" i="1"/>
  <c r="M2139" i="1"/>
  <c r="M2136" i="1"/>
  <c r="M2133" i="1"/>
  <c r="M2130" i="1"/>
  <c r="M2127" i="1"/>
  <c r="M2124" i="1"/>
  <c r="M2121" i="1"/>
  <c r="M2118" i="1"/>
  <c r="M2250" i="1"/>
  <c r="M2244" i="1"/>
  <c r="M2238" i="1"/>
  <c r="M2232" i="1"/>
  <c r="M2226" i="1"/>
  <c r="M2170" i="1"/>
  <c r="M2166" i="1"/>
  <c r="M2161" i="1"/>
  <c r="M2154" i="1"/>
  <c r="M2106" i="1"/>
  <c r="M2102" i="1"/>
  <c r="M2098" i="1"/>
  <c r="M2094" i="1"/>
  <c r="M2090" i="1"/>
  <c r="M2086" i="1"/>
  <c r="M2082" i="1"/>
  <c r="M2078" i="1"/>
  <c r="M2056" i="1"/>
  <c r="M2044" i="1"/>
  <c r="M2032" i="1"/>
  <c r="M2330" i="1"/>
  <c r="M2256" i="1"/>
  <c r="M2220" i="1"/>
  <c r="M2202" i="1"/>
  <c r="M2188" i="1"/>
  <c r="M2159" i="1"/>
  <c r="M2351" i="1"/>
  <c r="M2317" i="1"/>
  <c r="M2262" i="1"/>
  <c r="M2217" i="1"/>
  <c r="M2197" i="1"/>
  <c r="M2631" i="1"/>
  <c r="M2268" i="1"/>
  <c r="M2157" i="1"/>
  <c r="M2152" i="1"/>
  <c r="M2149" i="1"/>
  <c r="M2146" i="1"/>
  <c r="M2143" i="1"/>
  <c r="M2140" i="1"/>
  <c r="M2137" i="1"/>
  <c r="M2134" i="1"/>
  <c r="M2131" i="1"/>
  <c r="M2128" i="1"/>
  <c r="M2125" i="1"/>
  <c r="M2122" i="1"/>
  <c r="M2119" i="1"/>
  <c r="M2116" i="1"/>
  <c r="M2304" i="1"/>
  <c r="M2274" i="1"/>
  <c r="M2214" i="1"/>
  <c r="M2199" i="1"/>
  <c r="M2184" i="1"/>
  <c r="M2164" i="1"/>
  <c r="M2029" i="1"/>
  <c r="M2024" i="1"/>
  <c r="M1997" i="1"/>
  <c r="M1985" i="1"/>
  <c r="M1973" i="1"/>
  <c r="M1961" i="1"/>
  <c r="M1949" i="1"/>
  <c r="M2173" i="1"/>
  <c r="M2104" i="1"/>
  <c r="M2096" i="1"/>
  <c r="M2088" i="1"/>
  <c r="M2080" i="1"/>
  <c r="M2060" i="1"/>
  <c r="M2057" i="1"/>
  <c r="M2298" i="1"/>
  <c r="M2069" i="1"/>
  <c r="M2051" i="1"/>
  <c r="M2049" i="1"/>
  <c r="M1987" i="1"/>
  <c r="M1975" i="1"/>
  <c r="M1963" i="1"/>
  <c r="M1951" i="1"/>
  <c r="M2337" i="1"/>
  <c r="M2155" i="1"/>
  <c r="M2062" i="1"/>
  <c r="M2286" i="1"/>
  <c r="M2211" i="1"/>
  <c r="M2041" i="1"/>
  <c r="M2025" i="1"/>
  <c r="M2100" i="1"/>
  <c r="M2092" i="1"/>
  <c r="M2084" i="1"/>
  <c r="M2061" i="1"/>
  <c r="M2280" i="1"/>
  <c r="M2182" i="1"/>
  <c r="M2160" i="1"/>
  <c r="M2075" i="1"/>
  <c r="M2003" i="1"/>
  <c r="M1996" i="1"/>
  <c r="M1984" i="1"/>
  <c r="M1972" i="1"/>
  <c r="M1960" i="1"/>
  <c r="M1948" i="1"/>
  <c r="M2015" i="1"/>
  <c r="M1841" i="1"/>
  <c r="M1971" i="1"/>
  <c r="M1946" i="1"/>
  <c r="M1944" i="1"/>
  <c r="M1942" i="1"/>
  <c r="M1940" i="1"/>
  <c r="M1938" i="1"/>
  <c r="M1936" i="1"/>
  <c r="M1934" i="1"/>
  <c r="M1932" i="1"/>
  <c r="M1930" i="1"/>
  <c r="M1928" i="1"/>
  <c r="M1926" i="1"/>
  <c r="M1924" i="1"/>
  <c r="M1922" i="1"/>
  <c r="M1920" i="1"/>
  <c r="M1918" i="1"/>
  <c r="M1916" i="1"/>
  <c r="M1914" i="1"/>
  <c r="M1912" i="1"/>
  <c r="M1910" i="1"/>
  <c r="M1908" i="1"/>
  <c r="M1906" i="1"/>
  <c r="M1904" i="1"/>
  <c r="M1902" i="1"/>
  <c r="M1900" i="1"/>
  <c r="M1898" i="1"/>
  <c r="M1896" i="1"/>
  <c r="M1894" i="1"/>
  <c r="M1892" i="1"/>
  <c r="M1890" i="1"/>
  <c r="M1888" i="1"/>
  <c r="M1886" i="1"/>
  <c r="M1884" i="1"/>
  <c r="M1882" i="1"/>
  <c r="M1880" i="1"/>
  <c r="M1878" i="1"/>
  <c r="M1876" i="1"/>
  <c r="M1874" i="1"/>
  <c r="M1872" i="1"/>
  <c r="M1870" i="1"/>
  <c r="M1868" i="1"/>
  <c r="M1866" i="1"/>
  <c r="M1864" i="1"/>
  <c r="M1862" i="1"/>
  <c r="M1860" i="1"/>
  <c r="M1858" i="1"/>
  <c r="M1856" i="1"/>
  <c r="M1854" i="1"/>
  <c r="M1852" i="1"/>
  <c r="M1850" i="1"/>
  <c r="M1848" i="1"/>
  <c r="M1846" i="1"/>
  <c r="M1801" i="1"/>
  <c r="M1795" i="1"/>
  <c r="M1789" i="1"/>
  <c r="M1780" i="1"/>
  <c r="M1768" i="1"/>
  <c r="M1756" i="1"/>
  <c r="M1744" i="1"/>
  <c r="M1732" i="1"/>
  <c r="M1720" i="1"/>
  <c r="M1708" i="1"/>
  <c r="M1696" i="1"/>
  <c r="M2171" i="1"/>
  <c r="M2039" i="1"/>
  <c r="M1983" i="1"/>
  <c r="M1844" i="1"/>
  <c r="M1834" i="1"/>
  <c r="M1830" i="1"/>
  <c r="M1826" i="1"/>
  <c r="M1822" i="1"/>
  <c r="M1818" i="1"/>
  <c r="M1814" i="1"/>
  <c r="M1810" i="1"/>
  <c r="M1806" i="1"/>
  <c r="M1802" i="1"/>
  <c r="M1796" i="1"/>
  <c r="M1790" i="1"/>
  <c r="M1782" i="1"/>
  <c r="M1770" i="1"/>
  <c r="M1758" i="1"/>
  <c r="M1746" i="1"/>
  <c r="M1734" i="1"/>
  <c r="M1722" i="1"/>
  <c r="M1710" i="1"/>
  <c r="M1698" i="1"/>
  <c r="M2011" i="1"/>
  <c r="M1995" i="1"/>
  <c r="M2353" i="1"/>
  <c r="M1959" i="1"/>
  <c r="M2026" i="1"/>
  <c r="M2002" i="1"/>
  <c r="M1970" i="1"/>
  <c r="M2178" i="1"/>
  <c r="M1947" i="1"/>
  <c r="M1945" i="1"/>
  <c r="M1943" i="1"/>
  <c r="M1941" i="1"/>
  <c r="M1939" i="1"/>
  <c r="M1937" i="1"/>
  <c r="M1935" i="1"/>
  <c r="M1933" i="1"/>
  <c r="M1931" i="1"/>
  <c r="M1929" i="1"/>
  <c r="M1927" i="1"/>
  <c r="M1925" i="1"/>
  <c r="M1923" i="1"/>
  <c r="M1921" i="1"/>
  <c r="M1919" i="1"/>
  <c r="M1917" i="1"/>
  <c r="M1915" i="1"/>
  <c r="M1913" i="1"/>
  <c r="M1911" i="1"/>
  <c r="M1909" i="1"/>
  <c r="M1907" i="1"/>
  <c r="M1905" i="1"/>
  <c r="M1903" i="1"/>
  <c r="M1901" i="1"/>
  <c r="M1899" i="1"/>
  <c r="M1897" i="1"/>
  <c r="M1895" i="1"/>
  <c r="M1893" i="1"/>
  <c r="M1891" i="1"/>
  <c r="M1889" i="1"/>
  <c r="M1887" i="1"/>
  <c r="M1885" i="1"/>
  <c r="M1883" i="1"/>
  <c r="M1881" i="1"/>
  <c r="M1879" i="1"/>
  <c r="M1877" i="1"/>
  <c r="M1875" i="1"/>
  <c r="M1873" i="1"/>
  <c r="M1871" i="1"/>
  <c r="M1869" i="1"/>
  <c r="M1867" i="1"/>
  <c r="M1865" i="1"/>
  <c r="M1863" i="1"/>
  <c r="M1861" i="1"/>
  <c r="M1859" i="1"/>
  <c r="M1857" i="1"/>
  <c r="M1855" i="1"/>
  <c r="M1853" i="1"/>
  <c r="M1851" i="1"/>
  <c r="M1849" i="1"/>
  <c r="M1847" i="1"/>
  <c r="M2067" i="1"/>
  <c r="M2037" i="1"/>
  <c r="M1982" i="1"/>
  <c r="M1809" i="1"/>
  <c r="M1781" i="1"/>
  <c r="M1779" i="1"/>
  <c r="M1765" i="1"/>
  <c r="M1721" i="1"/>
  <c r="M2007" i="1"/>
  <c r="M1776" i="1"/>
  <c r="M1729" i="1"/>
  <c r="M1817" i="1"/>
  <c r="M1733" i="1"/>
  <c r="M1808" i="1"/>
  <c r="M1787" i="1"/>
  <c r="M1769" i="1"/>
  <c r="M1767" i="1"/>
  <c r="M1741" i="1"/>
  <c r="M1731" i="1"/>
  <c r="M1689" i="1"/>
  <c r="M1958" i="1"/>
  <c r="M1843" i="1"/>
  <c r="M1839" i="1"/>
  <c r="M1825" i="1"/>
  <c r="M1764" i="1"/>
  <c r="M1745" i="1"/>
  <c r="M1716" i="1"/>
  <c r="M1706" i="1"/>
  <c r="M1684" i="1"/>
  <c r="M1672" i="1"/>
  <c r="M1660" i="1"/>
  <c r="M1648" i="1"/>
  <c r="M1994" i="1"/>
  <c r="M1816" i="1"/>
  <c r="M1805" i="1"/>
  <c r="M1753" i="1"/>
  <c r="M1743" i="1"/>
  <c r="M1691" i="1"/>
  <c r="M1679" i="1"/>
  <c r="M1667" i="1"/>
  <c r="M1655" i="1"/>
  <c r="M1643" i="1"/>
  <c r="M1833" i="1"/>
  <c r="M1757" i="1"/>
  <c r="M1813" i="1"/>
  <c r="M1755" i="1"/>
  <c r="M1693" i="1"/>
  <c r="M2018" i="1"/>
  <c r="M1838" i="1"/>
  <c r="M1697" i="1"/>
  <c r="M1829" i="1"/>
  <c r="M1717" i="1"/>
  <c r="M1707" i="1"/>
  <c r="M1752" i="1"/>
  <c r="M1604" i="1"/>
  <c r="M1591" i="1"/>
  <c r="M1525" i="1"/>
  <c r="M1513" i="1"/>
  <c r="M1705" i="1"/>
  <c r="M1653" i="1"/>
  <c r="M1642" i="1"/>
  <c r="M1619" i="1"/>
  <c r="M1602" i="1"/>
  <c r="M1583" i="1"/>
  <c r="M1576" i="1"/>
  <c r="M1571" i="1"/>
  <c r="M1563" i="1"/>
  <c r="M1555" i="1"/>
  <c r="M1547" i="1"/>
  <c r="M1539" i="1"/>
  <c r="M1812" i="1"/>
  <c r="M1777" i="1"/>
  <c r="M1683" i="1"/>
  <c r="M1597" i="1"/>
  <c r="M1585" i="1"/>
  <c r="M1574" i="1"/>
  <c r="M1566" i="1"/>
  <c r="M1558" i="1"/>
  <c r="M1550" i="1"/>
  <c r="M1542" i="1"/>
  <c r="M1534" i="1"/>
  <c r="M1527" i="1"/>
  <c r="M1515" i="1"/>
  <c r="M1821" i="1"/>
  <c r="M1742" i="1"/>
  <c r="M1695" i="1"/>
  <c r="M1687" i="1"/>
  <c r="M1675" i="1"/>
  <c r="M1671" i="1"/>
  <c r="M1641" i="1"/>
  <c r="M1637" i="1"/>
  <c r="M1615" i="1"/>
  <c r="M1592" i="1"/>
  <c r="M1579" i="1"/>
  <c r="M1569" i="1"/>
  <c r="M1561" i="1"/>
  <c r="M1553" i="1"/>
  <c r="M1545" i="1"/>
  <c r="M1537" i="1"/>
  <c r="M1529" i="1"/>
  <c r="M1517" i="1"/>
  <c r="M2021" i="1"/>
  <c r="M1627" i="1"/>
  <c r="M1610" i="1"/>
  <c r="M1608" i="1"/>
  <c r="M1577" i="1"/>
  <c r="M1572" i="1"/>
  <c r="M1564" i="1"/>
  <c r="M1556" i="1"/>
  <c r="M1548" i="1"/>
  <c r="M1540" i="1"/>
  <c r="M1530" i="1"/>
  <c r="M1518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663" i="1"/>
  <c r="M1659" i="1"/>
  <c r="M1586" i="1"/>
  <c r="M1709" i="1"/>
  <c r="M1631" i="1"/>
  <c r="M1603" i="1"/>
  <c r="M1588" i="1"/>
  <c r="M1567" i="1"/>
  <c r="M1559" i="1"/>
  <c r="M1551" i="1"/>
  <c r="M1543" i="1"/>
  <c r="M1535" i="1"/>
  <c r="M1651" i="1"/>
  <c r="M1647" i="1"/>
  <c r="M1605" i="1"/>
  <c r="M1580" i="1"/>
  <c r="M1719" i="1"/>
  <c r="M1677" i="1"/>
  <c r="M1598" i="1"/>
  <c r="M1596" i="1"/>
  <c r="M1582" i="1"/>
  <c r="M1522" i="1"/>
  <c r="M1510" i="1"/>
  <c r="M1665" i="1"/>
  <c r="M1639" i="1"/>
  <c r="M1589" i="1"/>
  <c r="M1421" i="1"/>
  <c r="M1339" i="1"/>
  <c r="M1625" i="1"/>
  <c r="M1557" i="1"/>
  <c r="M1533" i="1"/>
  <c r="M1511" i="1"/>
  <c r="M1426" i="1"/>
  <c r="M1414" i="1"/>
  <c r="M1411" i="1"/>
  <c r="M1408" i="1"/>
  <c r="M1405" i="1"/>
  <c r="M1402" i="1"/>
  <c r="M1399" i="1"/>
  <c r="M1396" i="1"/>
  <c r="M1393" i="1"/>
  <c r="M1390" i="1"/>
  <c r="M1387" i="1"/>
  <c r="M1384" i="1"/>
  <c r="M1381" i="1"/>
  <c r="M1609" i="1"/>
  <c r="M1461" i="1"/>
  <c r="M1459" i="1"/>
  <c r="M1341" i="1"/>
  <c r="M1614" i="1"/>
  <c r="M1342" i="1"/>
  <c r="M1429" i="1"/>
  <c r="M1417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565" i="1"/>
  <c r="M1541" i="1"/>
  <c r="M1832" i="1"/>
  <c r="M1654" i="1"/>
  <c r="M1616" i="1"/>
  <c r="M1578" i="1"/>
  <c r="M1460" i="1"/>
  <c r="M1458" i="1"/>
  <c r="M1428" i="1"/>
  <c r="M1416" i="1"/>
  <c r="M1377" i="1"/>
  <c r="M1373" i="1"/>
  <c r="M1369" i="1"/>
  <c r="M1365" i="1"/>
  <c r="M1361" i="1"/>
  <c r="M1357" i="1"/>
  <c r="M1353" i="1"/>
  <c r="M1349" i="1"/>
  <c r="M1345" i="1"/>
  <c r="M1338" i="1"/>
  <c r="M1523" i="1"/>
  <c r="M1410" i="1"/>
  <c r="M1398" i="1"/>
  <c r="M1386" i="1"/>
  <c r="M1109" i="1"/>
  <c r="M1336" i="1"/>
  <c r="M1413" i="1"/>
  <c r="M1401" i="1"/>
  <c r="M1389" i="1"/>
  <c r="M1164" i="1"/>
  <c r="M1160" i="1"/>
  <c r="M1156" i="1"/>
  <c r="M1152" i="1"/>
  <c r="M1148" i="1"/>
  <c r="M1144" i="1"/>
  <c r="M1140" i="1"/>
  <c r="M1136" i="1"/>
  <c r="M1132" i="1"/>
  <c r="M1128" i="1"/>
  <c r="M1124" i="1"/>
  <c r="M1120" i="1"/>
  <c r="M1116" i="1"/>
  <c r="M1111" i="1"/>
  <c r="M1105" i="1"/>
  <c r="M1573" i="1"/>
  <c r="M1226" i="1"/>
  <c r="M1224" i="1"/>
  <c r="M1222" i="1"/>
  <c r="M1220" i="1"/>
  <c r="M1218" i="1"/>
  <c r="M1404" i="1"/>
  <c r="M1392" i="1"/>
  <c r="M1380" i="1"/>
  <c r="M1423" i="1"/>
  <c r="M1549" i="1"/>
  <c r="M1407" i="1"/>
  <c r="M1395" i="1"/>
  <c r="M1383" i="1"/>
  <c r="M1430" i="1"/>
  <c r="M1418" i="1"/>
  <c r="M1337" i="1"/>
  <c r="M1225" i="1"/>
  <c r="M1223" i="1"/>
  <c r="M1221" i="1"/>
  <c r="M1219" i="1"/>
  <c r="M1217" i="1"/>
  <c r="M1214" i="1"/>
  <c r="M1211" i="1"/>
  <c r="M1208" i="1"/>
  <c r="M1205" i="1"/>
  <c r="M1202" i="1"/>
  <c r="M1199" i="1"/>
  <c r="M1196" i="1"/>
  <c r="M1193" i="1"/>
  <c r="M1190" i="1"/>
  <c r="M1187" i="1"/>
  <c r="M1184" i="1"/>
  <c r="M1181" i="1"/>
  <c r="M1178" i="1"/>
  <c r="M1175" i="1"/>
  <c r="M1172" i="1"/>
  <c r="M1169" i="1"/>
  <c r="M1166" i="1"/>
  <c r="M926" i="1"/>
  <c r="M914" i="1"/>
  <c r="M902" i="1"/>
  <c r="M765" i="1"/>
  <c r="M753" i="1"/>
  <c r="M741" i="1"/>
  <c r="M729" i="1"/>
  <c r="M717" i="1"/>
  <c r="M1103" i="1"/>
  <c r="M900" i="1"/>
  <c r="M929" i="1"/>
  <c r="M917" i="1"/>
  <c r="M905" i="1"/>
  <c r="M912" i="1"/>
  <c r="M919" i="1"/>
  <c r="M907" i="1"/>
  <c r="M895" i="1"/>
  <c r="M758" i="1"/>
  <c r="M746" i="1"/>
  <c r="M734" i="1"/>
  <c r="M722" i="1"/>
  <c r="M710" i="1"/>
  <c r="M751" i="1"/>
  <c r="M763" i="1"/>
  <c r="M1108" i="1"/>
  <c r="M1099" i="1"/>
  <c r="M924" i="1"/>
  <c r="M1162" i="1"/>
  <c r="M1158" i="1"/>
  <c r="M1154" i="1"/>
  <c r="M1150" i="1"/>
  <c r="M1146" i="1"/>
  <c r="M1142" i="1"/>
  <c r="M1138" i="1"/>
  <c r="M1134" i="1"/>
  <c r="M1130" i="1"/>
  <c r="M1126" i="1"/>
  <c r="M1122" i="1"/>
  <c r="M1118" i="1"/>
  <c r="M1114" i="1"/>
  <c r="M925" i="1"/>
  <c r="M913" i="1"/>
  <c r="M901" i="1"/>
  <c r="M764" i="1"/>
  <c r="M752" i="1"/>
  <c r="M740" i="1"/>
  <c r="M728" i="1"/>
  <c r="M716" i="1"/>
  <c r="M727" i="1"/>
  <c r="M715" i="1"/>
  <c r="M739" i="1"/>
  <c r="M903" i="1"/>
  <c r="M766" i="1"/>
  <c r="M718" i="1"/>
  <c r="M712" i="1"/>
  <c r="M915" i="1"/>
  <c r="M988" i="1"/>
  <c r="M2525" i="1"/>
  <c r="M749" i="1"/>
  <c r="M922" i="1"/>
  <c r="M999" i="1"/>
  <c r="M1097" i="1"/>
  <c r="M935" i="1"/>
  <c r="M1066" i="1"/>
  <c r="M1004" i="1"/>
  <c r="M773" i="1"/>
  <c r="M785" i="1"/>
  <c r="M797" i="1"/>
  <c r="M809" i="1"/>
  <c r="M821" i="1"/>
  <c r="M833" i="1"/>
  <c r="M845" i="1"/>
  <c r="M857" i="1"/>
  <c r="M869" i="1"/>
  <c r="M881" i="1"/>
  <c r="M893" i="1"/>
  <c r="M974" i="1"/>
  <c r="M1022" i="1"/>
  <c r="M940" i="1"/>
  <c r="M964" i="1"/>
  <c r="M742" i="1"/>
  <c r="M920" i="1"/>
  <c r="M1052" i="1"/>
  <c r="M1012" i="1"/>
  <c r="M943" i="1"/>
  <c r="M967" i="1"/>
  <c r="M748" i="1"/>
  <c r="M960" i="1"/>
  <c r="M1003" i="1"/>
  <c r="M1056" i="1"/>
  <c r="M984" i="1"/>
  <c r="M1102" i="1"/>
  <c r="M944" i="1"/>
  <c r="M968" i="1"/>
  <c r="M1024" i="1"/>
  <c r="M738" i="1"/>
  <c r="M911" i="1"/>
  <c r="M1082" i="1"/>
  <c r="M1061" i="1"/>
  <c r="M1007" i="1"/>
  <c r="M1027" i="1"/>
  <c r="M723" i="1"/>
  <c r="M1032" i="1"/>
  <c r="M1051" i="1"/>
  <c r="M1088" i="1"/>
  <c r="M941" i="1"/>
  <c r="M1030" i="1"/>
  <c r="M745" i="1"/>
  <c r="M775" i="1"/>
  <c r="M787" i="1"/>
  <c r="M799" i="1"/>
  <c r="M811" i="1"/>
  <c r="M823" i="1"/>
  <c r="M835" i="1"/>
  <c r="M847" i="1"/>
  <c r="M859" i="1"/>
  <c r="M871" i="1"/>
  <c r="M883" i="1"/>
  <c r="M982" i="1"/>
  <c r="M1053" i="1"/>
  <c r="M1096" i="1"/>
  <c r="M743" i="1"/>
  <c r="M916" i="1"/>
  <c r="M1034" i="1"/>
  <c r="M1001" i="1"/>
  <c r="M1107" i="1"/>
  <c r="M1117" i="1"/>
  <c r="M1165" i="1"/>
  <c r="M1201" i="1"/>
  <c r="M706" i="1"/>
  <c r="M730" i="1"/>
  <c r="M761" i="1"/>
  <c r="M760" i="1"/>
  <c r="M930" i="1"/>
  <c r="M966" i="1"/>
  <c r="M1011" i="1"/>
  <c r="M1046" i="1"/>
  <c r="M776" i="1"/>
  <c r="M788" i="1"/>
  <c r="M800" i="1"/>
  <c r="M812" i="1"/>
  <c r="M824" i="1"/>
  <c r="M836" i="1"/>
  <c r="M848" i="1"/>
  <c r="M860" i="1"/>
  <c r="M872" i="1"/>
  <c r="M884" i="1"/>
  <c r="M986" i="1"/>
  <c r="M972" i="1"/>
  <c r="M946" i="1"/>
  <c r="M1055" i="1"/>
  <c r="M927" i="1"/>
  <c r="M980" i="1"/>
  <c r="M949" i="1"/>
  <c r="M1015" i="1"/>
  <c r="M1039" i="1"/>
  <c r="M1230" i="1"/>
  <c r="M908" i="1"/>
  <c r="M896" i="1"/>
  <c r="M950" i="1"/>
  <c r="M750" i="1"/>
  <c r="M923" i="1"/>
  <c r="M1054" i="1"/>
  <c r="M713" i="1"/>
  <c r="M1063" i="1"/>
  <c r="M897" i="1"/>
  <c r="M936" i="1"/>
  <c r="M971" i="1"/>
  <c r="M1019" i="1"/>
  <c r="M735" i="1"/>
  <c r="M1035" i="1"/>
  <c r="M1091" i="1"/>
  <c r="M736" i="1"/>
  <c r="M724" i="1"/>
  <c r="M1072" i="1"/>
  <c r="M1077" i="1"/>
  <c r="M898" i="1"/>
  <c r="M975" i="1"/>
  <c r="M1023" i="1"/>
  <c r="M1068" i="1"/>
  <c r="M1093" i="1"/>
  <c r="M953" i="1"/>
  <c r="M779" i="1"/>
  <c r="M791" i="1"/>
  <c r="M803" i="1"/>
  <c r="M815" i="1"/>
  <c r="M827" i="1"/>
  <c r="M839" i="1"/>
  <c r="M851" i="1"/>
  <c r="M863" i="1"/>
  <c r="M875" i="1"/>
  <c r="M887" i="1"/>
  <c r="M906" i="1"/>
  <c r="M998" i="1"/>
  <c r="M2501" i="1"/>
  <c r="M952" i="1"/>
  <c r="M747" i="1"/>
  <c r="M931" i="1"/>
  <c r="M955" i="1"/>
  <c r="M725" i="1"/>
  <c r="M942" i="1"/>
  <c r="M979" i="1"/>
  <c r="M1073" i="1"/>
  <c r="M2513" i="1"/>
  <c r="M1058" i="1"/>
  <c r="M780" i="1"/>
  <c r="M792" i="1"/>
  <c r="M804" i="1"/>
  <c r="M816" i="1"/>
  <c r="M828" i="1"/>
  <c r="M840" i="1"/>
  <c r="M852" i="1"/>
  <c r="M864" i="1"/>
  <c r="M876" i="1"/>
  <c r="M888" i="1"/>
  <c r="M1002" i="1"/>
  <c r="M1071" i="1"/>
  <c r="M932" i="1"/>
  <c r="M956" i="1"/>
  <c r="M714" i="1"/>
  <c r="M762" i="1"/>
  <c r="M992" i="1"/>
  <c r="M909" i="1"/>
  <c r="M983" i="1"/>
  <c r="M1026" i="1"/>
  <c r="M1038" i="1"/>
  <c r="M1094" i="1"/>
  <c r="M959" i="1"/>
  <c r="M721" i="1"/>
  <c r="M769" i="1"/>
  <c r="M781" i="1"/>
  <c r="M793" i="1"/>
  <c r="M805" i="1"/>
  <c r="M817" i="1"/>
  <c r="M829" i="1"/>
  <c r="M841" i="1"/>
  <c r="M853" i="1"/>
  <c r="M865" i="1"/>
  <c r="M877" i="1"/>
  <c r="M889" i="1"/>
  <c r="M1006" i="1"/>
  <c r="M1059" i="1"/>
  <c r="M1000" i="1"/>
  <c r="M719" i="1"/>
  <c r="M754" i="1"/>
  <c r="M1087" i="1"/>
  <c r="M737" i="1"/>
  <c r="M910" i="1"/>
  <c r="M1075" i="1"/>
  <c r="M948" i="1"/>
  <c r="M987" i="1"/>
  <c r="M1044" i="1"/>
  <c r="M759" i="1"/>
  <c r="M770" i="1"/>
  <c r="M782" i="1"/>
  <c r="M794" i="1"/>
  <c r="M806" i="1"/>
  <c r="M818" i="1"/>
  <c r="M830" i="1"/>
  <c r="M842" i="1"/>
  <c r="M854" i="1"/>
  <c r="M866" i="1"/>
  <c r="M878" i="1"/>
  <c r="M890" i="1"/>
  <c r="M1010" i="1"/>
  <c r="M934" i="1"/>
  <c r="M958" i="1"/>
  <c r="M1060" i="1"/>
  <c r="M1020" i="1"/>
  <c r="M1092" i="1"/>
  <c r="M1084" i="1"/>
  <c r="M937" i="1"/>
  <c r="M961" i="1"/>
  <c r="M1070" i="1"/>
  <c r="M1049" i="1"/>
  <c r="M991" i="1"/>
  <c r="M1080" i="1"/>
  <c r="M965" i="1"/>
  <c r="M771" i="1"/>
  <c r="M783" i="1"/>
  <c r="M795" i="1"/>
  <c r="M807" i="1"/>
  <c r="M819" i="1"/>
  <c r="M831" i="1"/>
  <c r="M843" i="1"/>
  <c r="M855" i="1"/>
  <c r="M867" i="1"/>
  <c r="M879" i="1"/>
  <c r="M891" i="1"/>
  <c r="M1014" i="1"/>
  <c r="M708" i="1"/>
  <c r="M756" i="1"/>
  <c r="M985" i="1"/>
  <c r="M1033" i="1"/>
  <c r="M1101" i="1"/>
  <c r="M1149" i="1"/>
  <c r="M1189" i="1"/>
  <c r="M1016" i="1"/>
  <c r="M774" i="1"/>
  <c r="M810" i="1"/>
  <c r="M846" i="1"/>
  <c r="M882" i="1"/>
  <c r="M1083" i="1"/>
  <c r="M1065" i="1"/>
  <c r="M1037" i="1"/>
  <c r="M1069" i="1"/>
  <c r="M993" i="1"/>
  <c r="M1352" i="1"/>
  <c r="M1368" i="1"/>
  <c r="M1438" i="1"/>
  <c r="M1456" i="1"/>
  <c r="M1141" i="1"/>
  <c r="M1192" i="1"/>
  <c r="M1197" i="1"/>
  <c r="M1151" i="1"/>
  <c r="M1333" i="1"/>
  <c r="M1436" i="1"/>
  <c r="M1575" i="1"/>
  <c r="M1343" i="1"/>
  <c r="M1388" i="1"/>
  <c r="M1234" i="1"/>
  <c r="M1350" i="1"/>
  <c r="M1431" i="1"/>
  <c r="M1455" i="1"/>
  <c r="M1544" i="1"/>
  <c r="M1521" i="1"/>
  <c r="M1593" i="1"/>
  <c r="M1682" i="1"/>
  <c r="M1803" i="1"/>
  <c r="M1980" i="1"/>
  <c r="M1797" i="1"/>
  <c r="M726" i="1"/>
  <c r="M711" i="1"/>
  <c r="M777" i="1"/>
  <c r="M813" i="1"/>
  <c r="M849" i="1"/>
  <c r="M885" i="1"/>
  <c r="M970" i="1"/>
  <c r="M732" i="1"/>
  <c r="M933" i="1"/>
  <c r="M957" i="1"/>
  <c r="M997" i="1"/>
  <c r="M1145" i="1"/>
  <c r="M1195" i="1"/>
  <c r="M1434" i="1"/>
  <c r="M1200" i="1"/>
  <c r="M1454" i="1"/>
  <c r="M1155" i="1"/>
  <c r="M1227" i="1"/>
  <c r="M1347" i="1"/>
  <c r="M1391" i="1"/>
  <c r="M1532" i="1"/>
  <c r="M1235" i="1"/>
  <c r="M1354" i="1"/>
  <c r="M1433" i="1"/>
  <c r="M1457" i="1"/>
  <c r="M1630" i="1"/>
  <c r="M1562" i="1"/>
  <c r="M1686" i="1"/>
  <c r="M1599" i="1"/>
  <c r="M1728" i="1"/>
  <c r="M1607" i="1"/>
  <c r="M1718" i="1"/>
  <c r="M1800" i="1"/>
  <c r="M1714" i="1"/>
  <c r="M1749" i="1"/>
  <c r="M1763" i="1"/>
  <c r="M2033" i="1"/>
  <c r="M1736" i="1"/>
  <c r="M1969" i="1"/>
  <c r="M938" i="1"/>
  <c r="M1085" i="1"/>
  <c r="M947" i="1"/>
  <c r="M778" i="1"/>
  <c r="M814" i="1"/>
  <c r="M850" i="1"/>
  <c r="M886" i="1"/>
  <c r="M978" i="1"/>
  <c r="M1064" i="1"/>
  <c r="M976" i="1"/>
  <c r="M755" i="1"/>
  <c r="M1025" i="1"/>
  <c r="M1334" i="1"/>
  <c r="M1005" i="1"/>
  <c r="M1153" i="1"/>
  <c r="M1198" i="1"/>
  <c r="M1420" i="1"/>
  <c r="M1167" i="1"/>
  <c r="M1203" i="1"/>
  <c r="M1159" i="1"/>
  <c r="M1427" i="1"/>
  <c r="M1351" i="1"/>
  <c r="M1394" i="1"/>
  <c r="M1236" i="1"/>
  <c r="M1358" i="1"/>
  <c r="M1435" i="1"/>
  <c r="M1512" i="1"/>
  <c r="M1635" i="1"/>
  <c r="M1611" i="1"/>
  <c r="M1640" i="1"/>
  <c r="M1676" i="1"/>
  <c r="M1738" i="1"/>
  <c r="M1726" i="1"/>
  <c r="M2010" i="1"/>
  <c r="M1762" i="1"/>
  <c r="M1658" i="1"/>
  <c r="M1692" i="1"/>
  <c r="M1042" i="1"/>
  <c r="M1029" i="1"/>
  <c r="M709" i="1"/>
  <c r="M784" i="1"/>
  <c r="M820" i="1"/>
  <c r="M856" i="1"/>
  <c r="M892" i="1"/>
  <c r="M990" i="1"/>
  <c r="M1047" i="1"/>
  <c r="M1040" i="1"/>
  <c r="M1095" i="1"/>
  <c r="M1009" i="1"/>
  <c r="M1074" i="1"/>
  <c r="M1057" i="1"/>
  <c r="M1356" i="1"/>
  <c r="M1372" i="1"/>
  <c r="M1444" i="1"/>
  <c r="M1157" i="1"/>
  <c r="M1204" i="1"/>
  <c r="M1100" i="1"/>
  <c r="M1170" i="1"/>
  <c r="M1206" i="1"/>
  <c r="M1115" i="1"/>
  <c r="M1163" i="1"/>
  <c r="M1442" i="1"/>
  <c r="M1355" i="1"/>
  <c r="M1397" i="1"/>
  <c r="M1237" i="1"/>
  <c r="M1362" i="1"/>
  <c r="M1437" i="1"/>
  <c r="M1528" i="1"/>
  <c r="M1508" i="1"/>
  <c r="M1552" i="1"/>
  <c r="M1600" i="1"/>
  <c r="M1601" i="1"/>
  <c r="M1644" i="1"/>
  <c r="M1622" i="1"/>
  <c r="M1786" i="1"/>
  <c r="M1661" i="1"/>
  <c r="M1713" i="1"/>
  <c r="M1827" i="1"/>
  <c r="M1737" i="1"/>
  <c r="M1775" i="1"/>
  <c r="M1748" i="1"/>
  <c r="M2225" i="1"/>
  <c r="M2222" i="1"/>
  <c r="M786" i="1"/>
  <c r="M822" i="1"/>
  <c r="M858" i="1"/>
  <c r="M894" i="1"/>
  <c r="M994" i="1"/>
  <c r="M744" i="1"/>
  <c r="M767" i="1"/>
  <c r="M1081" i="1"/>
  <c r="M939" i="1"/>
  <c r="M963" i="1"/>
  <c r="M1013" i="1"/>
  <c r="M1161" i="1"/>
  <c r="M1207" i="1"/>
  <c r="M1440" i="1"/>
  <c r="M1173" i="1"/>
  <c r="M1209" i="1"/>
  <c r="M1119" i="1"/>
  <c r="M1520" i="1"/>
  <c r="M1621" i="1"/>
  <c r="M1359" i="1"/>
  <c r="M1400" i="1"/>
  <c r="M1238" i="1"/>
  <c r="M1666" i="1"/>
  <c r="M1366" i="1"/>
  <c r="M1439" i="1"/>
  <c r="M1538" i="1"/>
  <c r="M1570" i="1"/>
  <c r="M1754" i="1"/>
  <c r="M1979" i="1"/>
  <c r="M1606" i="1"/>
  <c r="M1657" i="1"/>
  <c r="M1669" i="1"/>
  <c r="M1650" i="1"/>
  <c r="M1711" i="1"/>
  <c r="M1815" i="1"/>
  <c r="M1828" i="1"/>
  <c r="M1783" i="1"/>
  <c r="M1992" i="1"/>
  <c r="M2014" i="1"/>
  <c r="M2519" i="1"/>
  <c r="M921" i="1"/>
  <c r="M789" i="1"/>
  <c r="M825" i="1"/>
  <c r="M861" i="1"/>
  <c r="M1018" i="1"/>
  <c r="M1113" i="1"/>
  <c r="M1076" i="1"/>
  <c r="M1028" i="1"/>
  <c r="M1043" i="1"/>
  <c r="M1017" i="1"/>
  <c r="M1168" i="1"/>
  <c r="M1210" i="1"/>
  <c r="M1098" i="1"/>
  <c r="M1176" i="1"/>
  <c r="M1212" i="1"/>
  <c r="M1123" i="1"/>
  <c r="M1363" i="1"/>
  <c r="M1403" i="1"/>
  <c r="M1239" i="1"/>
  <c r="M1370" i="1"/>
  <c r="M1441" i="1"/>
  <c r="M1674" i="1"/>
  <c r="M1656" i="1"/>
  <c r="M1581" i="1"/>
  <c r="M1623" i="1"/>
  <c r="M1766" i="1"/>
  <c r="M1587" i="1"/>
  <c r="M1831" i="1"/>
  <c r="M1694" i="1"/>
  <c r="M1845" i="1"/>
  <c r="M1950" i="1"/>
  <c r="M1962" i="1"/>
  <c r="M1760" i="1"/>
  <c r="M899" i="1"/>
  <c r="M954" i="1"/>
  <c r="M733" i="1"/>
  <c r="M790" i="1"/>
  <c r="M826" i="1"/>
  <c r="M862" i="1"/>
  <c r="M904" i="1"/>
  <c r="M1021" i="1"/>
  <c r="M1344" i="1"/>
  <c r="M1360" i="1"/>
  <c r="M1376" i="1"/>
  <c r="M1448" i="1"/>
  <c r="M1171" i="1"/>
  <c r="M1213" i="1"/>
  <c r="M1106" i="1"/>
  <c r="M1231" i="1"/>
  <c r="M1179" i="1"/>
  <c r="M1215" i="1"/>
  <c r="M1127" i="1"/>
  <c r="M1526" i="1"/>
  <c r="M1703" i="1"/>
  <c r="M1367" i="1"/>
  <c r="M1406" i="1"/>
  <c r="M1240" i="1"/>
  <c r="M1824" i="1"/>
  <c r="M1374" i="1"/>
  <c r="M1443" i="1"/>
  <c r="M1340" i="1"/>
  <c r="M1524" i="1"/>
  <c r="M1560" i="1"/>
  <c r="M1617" i="1"/>
  <c r="M1584" i="1"/>
  <c r="M1750" i="1"/>
  <c r="M1678" i="1"/>
  <c r="M1799" i="1"/>
  <c r="M1624" i="1"/>
  <c r="M1620" i="1"/>
  <c r="M1652" i="1"/>
  <c r="M1688" i="1"/>
  <c r="M1778" i="1"/>
  <c r="M1771" i="1"/>
  <c r="M1735" i="1"/>
  <c r="M1785" i="1"/>
  <c r="M1820" i="1"/>
  <c r="M2237" i="1"/>
  <c r="M962" i="1"/>
  <c r="M995" i="1"/>
  <c r="M796" i="1"/>
  <c r="M832" i="1"/>
  <c r="M868" i="1"/>
  <c r="M707" i="1"/>
  <c r="M1031" i="1"/>
  <c r="M1086" i="1"/>
  <c r="M945" i="1"/>
  <c r="M969" i="1"/>
  <c r="M1050" i="1"/>
  <c r="M1067" i="1"/>
  <c r="M1121" i="1"/>
  <c r="M1174" i="1"/>
  <c r="M1216" i="1"/>
  <c r="M1182" i="1"/>
  <c r="M1104" i="1"/>
  <c r="M1446" i="1"/>
  <c r="M1131" i="1"/>
  <c r="M1371" i="1"/>
  <c r="M1409" i="1"/>
  <c r="M1241" i="1"/>
  <c r="M1378" i="1"/>
  <c r="M1445" i="1"/>
  <c r="M1662" i="1"/>
  <c r="M1681" i="1"/>
  <c r="M1793" i="1"/>
  <c r="M1546" i="1"/>
  <c r="M1690" i="1"/>
  <c r="M1613" i="1"/>
  <c r="M1673" i="1"/>
  <c r="M1715" i="1"/>
  <c r="M1730" i="1"/>
  <c r="M1836" i="1"/>
  <c r="M1701" i="1"/>
  <c r="M1670" i="1"/>
  <c r="M1704" i="1"/>
  <c r="M1823" i="1"/>
  <c r="M1700" i="1"/>
  <c r="M1772" i="1"/>
  <c r="M2023" i="1"/>
  <c r="M1041" i="1"/>
  <c r="M1078" i="1"/>
  <c r="M798" i="1"/>
  <c r="M834" i="1"/>
  <c r="M870" i="1"/>
  <c r="M918" i="1"/>
  <c r="M996" i="1"/>
  <c r="M768" i="1"/>
  <c r="M1036" i="1"/>
  <c r="M973" i="1"/>
  <c r="M1228" i="1"/>
  <c r="M1125" i="1"/>
  <c r="M1177" i="1"/>
  <c r="M1233" i="1"/>
  <c r="M1531" i="1"/>
  <c r="M1185" i="1"/>
  <c r="M1229" i="1"/>
  <c r="M1135" i="1"/>
  <c r="M1516" i="1"/>
  <c r="M1375" i="1"/>
  <c r="M1412" i="1"/>
  <c r="M1242" i="1"/>
  <c r="M1419" i="1"/>
  <c r="M1447" i="1"/>
  <c r="M1509" i="1"/>
  <c r="M1699" i="1"/>
  <c r="M1759" i="1"/>
  <c r="M1819" i="1"/>
  <c r="M1991" i="1"/>
  <c r="M1792" i="1"/>
  <c r="M1773" i="1"/>
  <c r="M1837" i="1"/>
  <c r="M1955" i="1"/>
  <c r="M1967" i="1"/>
  <c r="M1842" i="1"/>
  <c r="M2046" i="1"/>
  <c r="M2103" i="1"/>
  <c r="M757" i="1"/>
  <c r="M801" i="1"/>
  <c r="M837" i="1"/>
  <c r="M873" i="1"/>
  <c r="M1008" i="1"/>
  <c r="M1048" i="1"/>
  <c r="M977" i="1"/>
  <c r="M1348" i="1"/>
  <c r="M1364" i="1"/>
  <c r="M1432" i="1"/>
  <c r="M1452" i="1"/>
  <c r="M1129" i="1"/>
  <c r="M1180" i="1"/>
  <c r="M1112" i="1"/>
  <c r="M1425" i="1"/>
  <c r="M1188" i="1"/>
  <c r="M1110" i="1"/>
  <c r="M1612" i="1"/>
  <c r="M1139" i="1"/>
  <c r="M1379" i="1"/>
  <c r="M1243" i="1"/>
  <c r="M1507" i="1"/>
  <c r="M1449" i="1"/>
  <c r="M1514" i="1"/>
  <c r="M1536" i="1"/>
  <c r="M1568" i="1"/>
  <c r="M1794" i="1"/>
  <c r="M1590" i="1"/>
  <c r="M1632" i="1"/>
  <c r="M1645" i="1"/>
  <c r="M1668" i="1"/>
  <c r="M1740" i="1"/>
  <c r="M1804" i="1"/>
  <c r="M1751" i="1"/>
  <c r="M1739" i="1"/>
  <c r="M1646" i="1"/>
  <c r="M1788" i="1"/>
  <c r="M1680" i="1"/>
  <c r="M1723" i="1"/>
  <c r="M1774" i="1"/>
  <c r="M2068" i="1"/>
  <c r="M1712" i="1"/>
  <c r="M1784" i="1"/>
  <c r="M2249" i="1"/>
  <c r="M1968" i="1"/>
  <c r="M1957" i="1"/>
  <c r="M2180" i="1"/>
  <c r="M1953" i="1"/>
  <c r="M2027" i="1"/>
  <c r="M1183" i="1"/>
  <c r="M1147" i="1"/>
  <c r="M1664" i="1"/>
  <c r="M1974" i="1"/>
  <c r="M2013" i="1"/>
  <c r="M1964" i="1"/>
  <c r="M2110" i="1"/>
  <c r="M2174" i="1"/>
  <c r="M2055" i="1"/>
  <c r="M2112" i="1"/>
  <c r="M2503" i="1"/>
  <c r="M2527" i="1"/>
  <c r="M2392" i="1"/>
  <c r="M2416" i="1"/>
  <c r="M2409" i="1"/>
  <c r="M2471" i="1"/>
  <c r="M2420" i="1"/>
  <c r="M2703" i="1"/>
  <c r="M2389" i="1"/>
  <c r="M2413" i="1"/>
  <c r="M2437" i="1"/>
  <c r="M2568" i="1"/>
  <c r="M2488" i="1"/>
  <c r="M2497" i="1"/>
  <c r="M2553" i="1"/>
  <c r="M2620" i="1"/>
  <c r="M2717" i="1"/>
  <c r="M2638" i="1"/>
  <c r="M2597" i="1"/>
  <c r="M2651" i="1"/>
  <c r="M2635" i="1"/>
  <c r="M2647" i="1"/>
  <c r="M2694" i="1"/>
  <c r="M731" i="1"/>
  <c r="M981" i="1"/>
  <c r="M2507" i="1"/>
  <c r="M1079" i="1"/>
  <c r="M1186" i="1"/>
  <c r="M1628" i="1"/>
  <c r="M1685" i="1"/>
  <c r="M1724" i="1"/>
  <c r="M1986" i="1"/>
  <c r="M2000" i="1"/>
  <c r="M2074" i="1"/>
  <c r="M2204" i="1"/>
  <c r="M2243" i="1"/>
  <c r="M2016" i="1"/>
  <c r="M2091" i="1"/>
  <c r="M2228" i="1"/>
  <c r="M2168" i="1"/>
  <c r="M2115" i="1"/>
  <c r="M2198" i="1"/>
  <c r="M2216" i="1"/>
  <c r="M2028" i="1"/>
  <c r="M2167" i="1"/>
  <c r="M2261" i="1"/>
  <c r="M2448" i="1"/>
  <c r="M2480" i="1"/>
  <c r="M2270" i="1"/>
  <c r="M2499" i="1"/>
  <c r="M2523" i="1"/>
  <c r="M2546" i="1"/>
  <c r="M2415" i="1"/>
  <c r="M2455" i="1"/>
  <c r="M2539" i="1"/>
  <c r="M2578" i="1"/>
  <c r="M2426" i="1"/>
  <c r="M2599" i="1"/>
  <c r="M2508" i="1"/>
  <c r="M2520" i="1"/>
  <c r="M2360" i="1"/>
  <c r="M2547" i="1"/>
  <c r="M2467" i="1"/>
  <c r="M2394" i="1"/>
  <c r="M2418" i="1"/>
  <c r="M2441" i="1"/>
  <c r="M2457" i="1"/>
  <c r="M2538" i="1"/>
  <c r="M2393" i="1"/>
  <c r="M2429" i="1"/>
  <c r="M2655" i="1"/>
  <c r="M2603" i="1"/>
  <c r="M2660" i="1"/>
  <c r="M2698" i="1"/>
  <c r="M2754" i="1"/>
  <c r="M2809" i="1"/>
  <c r="M2829" i="1"/>
  <c r="M2745" i="1"/>
  <c r="M2708" i="1"/>
  <c r="M2720" i="1"/>
  <c r="M2743" i="1"/>
  <c r="M2696" i="1"/>
  <c r="M2766" i="1"/>
  <c r="M2874" i="1"/>
  <c r="M989" i="1"/>
  <c r="M1450" i="1"/>
  <c r="M1335" i="1"/>
  <c r="M1332" i="1"/>
  <c r="M1626" i="1"/>
  <c r="M2001" i="1"/>
  <c r="M2073" i="1"/>
  <c r="M1977" i="1"/>
  <c r="M2019" i="1"/>
  <c r="M2240" i="1"/>
  <c r="M2179" i="1"/>
  <c r="M2189" i="1"/>
  <c r="M2169" i="1"/>
  <c r="M2376" i="1"/>
  <c r="M2472" i="1"/>
  <c r="M2370" i="1"/>
  <c r="M2377" i="1"/>
  <c r="M2421" i="1"/>
  <c r="M2672" i="1"/>
  <c r="M2474" i="1"/>
  <c r="M2432" i="1"/>
  <c r="M2549" i="1"/>
  <c r="M2446" i="1"/>
  <c r="M2590" i="1"/>
  <c r="M2481" i="1"/>
  <c r="M2371" i="1"/>
  <c r="M2652" i="1"/>
  <c r="M2531" i="1"/>
  <c r="M2640" i="1"/>
  <c r="M2659" i="1"/>
  <c r="M2653" i="1"/>
  <c r="M2609" i="1"/>
  <c r="M2713" i="1"/>
  <c r="M2637" i="1"/>
  <c r="M2747" i="1"/>
  <c r="M2752" i="1"/>
  <c r="M2693" i="1"/>
  <c r="M772" i="1"/>
  <c r="M1807" i="1"/>
  <c r="M1835" i="1"/>
  <c r="M1629" i="1"/>
  <c r="M1761" i="1"/>
  <c r="M1811" i="1"/>
  <c r="M1791" i="1"/>
  <c r="M2466" i="1"/>
  <c r="M2047" i="1"/>
  <c r="M2255" i="1"/>
  <c r="M1976" i="1"/>
  <c r="M2022" i="1"/>
  <c r="M2099" i="1"/>
  <c r="M2042" i="1"/>
  <c r="M2252" i="1"/>
  <c r="M2210" i="1"/>
  <c r="M2219" i="1"/>
  <c r="M2358" i="1"/>
  <c r="M2509" i="1"/>
  <c r="M2398" i="1"/>
  <c r="M2422" i="1"/>
  <c r="M2276" i="1"/>
  <c r="M2427" i="1"/>
  <c r="M2459" i="1"/>
  <c r="M2544" i="1"/>
  <c r="M2438" i="1"/>
  <c r="M2491" i="1"/>
  <c r="M2709" i="1"/>
  <c r="M2498" i="1"/>
  <c r="M2510" i="1"/>
  <c r="M2522" i="1"/>
  <c r="M2395" i="1"/>
  <c r="M2419" i="1"/>
  <c r="M2579" i="1"/>
  <c r="M2470" i="1"/>
  <c r="M2600" i="1"/>
  <c r="M2399" i="1"/>
  <c r="M2435" i="1"/>
  <c r="M2723" i="1"/>
  <c r="M2613" i="1"/>
  <c r="M2666" i="1"/>
  <c r="M2561" i="1"/>
  <c r="M2862" i="1"/>
  <c r="M2710" i="1"/>
  <c r="M2722" i="1"/>
  <c r="M2793" i="1"/>
  <c r="M2676" i="1"/>
  <c r="M2772" i="1"/>
  <c r="M802" i="1"/>
  <c r="M1382" i="1"/>
  <c r="M1638" i="1"/>
  <c r="M1747" i="1"/>
  <c r="M1840" i="1"/>
  <c r="M2006" i="1"/>
  <c r="M2048" i="1"/>
  <c r="M1954" i="1"/>
  <c r="M2192" i="1"/>
  <c r="M2066" i="1"/>
  <c r="M2040" i="1"/>
  <c r="M2267" i="1"/>
  <c r="M2452" i="1"/>
  <c r="M2363" i="1"/>
  <c r="M2505" i="1"/>
  <c r="M2529" i="1"/>
  <c r="M2482" i="1"/>
  <c r="M2566" i="1"/>
  <c r="M2433" i="1"/>
  <c r="M2605" i="1"/>
  <c r="M2542" i="1"/>
  <c r="M2552" i="1"/>
  <c r="M2606" i="1"/>
  <c r="M2400" i="1"/>
  <c r="M2424" i="1"/>
  <c r="M2445" i="1"/>
  <c r="M2495" i="1"/>
  <c r="M2749" i="1"/>
  <c r="M2642" i="1"/>
  <c r="M2663" i="1"/>
  <c r="M2616" i="1"/>
  <c r="M2639" i="1"/>
  <c r="M2730" i="1"/>
  <c r="M2673" i="1"/>
  <c r="M2697" i="1"/>
  <c r="M2755" i="1"/>
  <c r="M2741" i="1"/>
  <c r="M2691" i="1"/>
  <c r="M2783" i="1"/>
  <c r="M2816" i="1"/>
  <c r="M808" i="1"/>
  <c r="M1045" i="1"/>
  <c r="M1385" i="1"/>
  <c r="M1725" i="1"/>
  <c r="M1554" i="1"/>
  <c r="M1702" i="1"/>
  <c r="M1649" i="1"/>
  <c r="M2050" i="1"/>
  <c r="M2079" i="1"/>
  <c r="M1989" i="1"/>
  <c r="M1988" i="1"/>
  <c r="M1998" i="1"/>
  <c r="M2107" i="1"/>
  <c r="M2181" i="1"/>
  <c r="M2382" i="1"/>
  <c r="M2213" i="1"/>
  <c r="M2273" i="1"/>
  <c r="M2282" i="1"/>
  <c r="M2439" i="1"/>
  <c r="M2477" i="1"/>
  <c r="M2551" i="1"/>
  <c r="M2484" i="1"/>
  <c r="M2450" i="1"/>
  <c r="M2500" i="1"/>
  <c r="M2512" i="1"/>
  <c r="M2524" i="1"/>
  <c r="M2372" i="1"/>
  <c r="M2383" i="1"/>
  <c r="M2473" i="1"/>
  <c r="M2478" i="1"/>
  <c r="M2405" i="1"/>
  <c r="M2574" i="1"/>
  <c r="M2619" i="1"/>
  <c r="M2719" i="1"/>
  <c r="M2654" i="1"/>
  <c r="M838" i="1"/>
  <c r="M951" i="1"/>
  <c r="M1062" i="1"/>
  <c r="M1191" i="1"/>
  <c r="M1422" i="1"/>
  <c r="M1346" i="1"/>
  <c r="M1636" i="1"/>
  <c r="M1966" i="1"/>
  <c r="M2017" i="1"/>
  <c r="M2031" i="1"/>
  <c r="M2072" i="1"/>
  <c r="M2365" i="1"/>
  <c r="M2548" i="1"/>
  <c r="M2536" i="1"/>
  <c r="M2515" i="1"/>
  <c r="M2487" i="1"/>
  <c r="M2541" i="1"/>
  <c r="M2404" i="1"/>
  <c r="M2428" i="1"/>
  <c r="M2364" i="1"/>
  <c r="M2492" i="1"/>
  <c r="M2462" i="1"/>
  <c r="M2715" i="1"/>
  <c r="M2401" i="1"/>
  <c r="M2425" i="1"/>
  <c r="M2533" i="1"/>
  <c r="M2550" i="1"/>
  <c r="M2705" i="1"/>
  <c r="M2644" i="1"/>
  <c r="M2670" i="1"/>
  <c r="M2622" i="1"/>
  <c r="M2573" i="1"/>
  <c r="M2737" i="1"/>
  <c r="M2641" i="1"/>
  <c r="M844" i="1"/>
  <c r="M1194" i="1"/>
  <c r="M1244" i="1"/>
  <c r="M1424" i="1"/>
  <c r="M1594" i="1"/>
  <c r="M1595" i="1"/>
  <c r="M1634" i="1"/>
  <c r="M1981" i="1"/>
  <c r="M2059" i="1"/>
  <c r="M2087" i="1"/>
  <c r="M2234" i="1"/>
  <c r="M2020" i="1"/>
  <c r="M2034" i="1"/>
  <c r="M1999" i="1"/>
  <c r="M2036" i="1"/>
  <c r="M2004" i="1"/>
  <c r="M2045" i="1"/>
  <c r="M2617" i="1"/>
  <c r="M2291" i="1"/>
  <c r="M2052" i="1"/>
  <c r="M2463" i="1"/>
  <c r="M2440" i="1"/>
  <c r="M2456" i="1"/>
  <c r="M2288" i="1"/>
  <c r="M2381" i="1"/>
  <c r="M2511" i="1"/>
  <c r="M2494" i="1"/>
  <c r="M2443" i="1"/>
  <c r="M2554" i="1"/>
  <c r="M2390" i="1"/>
  <c r="M2611" i="1"/>
  <c r="M2502" i="1"/>
  <c r="M2514" i="1"/>
  <c r="M2526" i="1"/>
  <c r="M2493" i="1"/>
  <c r="M2555" i="1"/>
  <c r="M2476" i="1"/>
  <c r="M2406" i="1"/>
  <c r="M2430" i="1"/>
  <c r="M2449" i="1"/>
  <c r="M2580" i="1"/>
  <c r="M2411" i="1"/>
  <c r="M2485" i="1"/>
  <c r="M2543" i="1"/>
  <c r="M874" i="1"/>
  <c r="M720" i="1"/>
  <c r="M1245" i="1"/>
  <c r="M1633" i="1"/>
  <c r="M2175" i="1"/>
  <c r="M2035" i="1"/>
  <c r="M2190" i="1"/>
  <c r="M2246" i="1"/>
  <c r="M2038" i="1"/>
  <c r="M2195" i="1"/>
  <c r="M2285" i="1"/>
  <c r="M2469" i="1"/>
  <c r="M2385" i="1"/>
  <c r="M2489" i="1"/>
  <c r="M2465" i="1"/>
  <c r="M2496" i="1"/>
  <c r="M2396" i="1"/>
  <c r="M2567" i="1"/>
  <c r="M2454" i="1"/>
  <c r="M2535" i="1"/>
  <c r="M2623" i="1"/>
  <c r="M2490" i="1"/>
  <c r="M2634" i="1"/>
  <c r="M2646" i="1"/>
  <c r="M2627" i="1"/>
  <c r="M2701" i="1"/>
  <c r="M2725" i="1"/>
  <c r="M2817" i="1"/>
  <c r="M2649" i="1"/>
  <c r="M2643" i="1"/>
  <c r="M2678" i="1"/>
  <c r="M2681" i="1"/>
  <c r="M2733" i="1"/>
  <c r="M880" i="1"/>
  <c r="M928" i="1"/>
  <c r="M1089" i="1"/>
  <c r="M1090" i="1"/>
  <c r="M1798" i="1"/>
  <c r="M2095" i="1"/>
  <c r="M1978" i="1"/>
  <c r="M2005" i="1"/>
  <c r="M2008" i="1"/>
  <c r="M2186" i="1"/>
  <c r="M2043" i="1"/>
  <c r="M2521" i="1"/>
  <c r="M2369" i="1"/>
  <c r="M2386" i="1"/>
  <c r="M2410" i="1"/>
  <c r="M2434" i="1"/>
  <c r="M2534" i="1"/>
  <c r="M2391" i="1"/>
  <c r="M2447" i="1"/>
  <c r="M2614" i="1"/>
  <c r="M2402" i="1"/>
  <c r="M2537" i="1"/>
  <c r="M2721" i="1"/>
  <c r="M2504" i="1"/>
  <c r="M2516" i="1"/>
  <c r="M2528" i="1"/>
  <c r="M2407" i="1"/>
  <c r="M2431" i="1"/>
  <c r="M2461" i="1"/>
  <c r="M2556" i="1"/>
  <c r="M2417" i="1"/>
  <c r="M2650" i="1"/>
  <c r="M2711" i="1"/>
  <c r="M2586" i="1"/>
  <c r="M2585" i="1"/>
  <c r="M2664" i="1"/>
  <c r="M2682" i="1"/>
  <c r="M2742" i="1"/>
  <c r="M2738" i="1"/>
  <c r="M2704" i="1"/>
  <c r="M2716" i="1"/>
  <c r="M2731" i="1"/>
  <c r="M2801" i="1"/>
  <c r="M2688" i="1"/>
  <c r="M2727" i="1"/>
  <c r="M1453" i="1"/>
  <c r="M2030" i="1"/>
  <c r="M2403" i="1"/>
  <c r="M2414" i="1"/>
  <c r="M2562" i="1"/>
  <c r="M2464" i="1"/>
  <c r="M2453" i="1"/>
  <c r="M2685" i="1"/>
  <c r="M2750" i="1"/>
  <c r="M2667" i="1"/>
  <c r="M2734" i="1"/>
  <c r="M2695" i="1"/>
  <c r="M2764" i="1"/>
  <c r="M2770" i="1"/>
  <c r="M2794" i="1"/>
  <c r="M2818" i="1"/>
  <c r="M2869" i="1"/>
  <c r="M2970" i="1"/>
  <c r="M2899" i="1"/>
  <c r="M2987" i="1"/>
  <c r="M2941" i="1"/>
  <c r="M2988" i="1"/>
  <c r="M3113" i="1"/>
  <c r="M3068" i="1"/>
  <c r="M3198" i="1"/>
  <c r="M3255" i="1"/>
  <c r="M3392" i="1"/>
  <c r="M3370" i="1"/>
  <c r="M3234" i="1"/>
  <c r="M1415" i="1"/>
  <c r="M1519" i="1"/>
  <c r="M2628" i="1"/>
  <c r="M2479" i="1"/>
  <c r="M2506" i="1"/>
  <c r="M2423" i="1"/>
  <c r="M2706" i="1"/>
  <c r="M2744" i="1"/>
  <c r="M2788" i="1"/>
  <c r="M2824" i="1"/>
  <c r="M2844" i="1"/>
  <c r="M2871" i="1"/>
  <c r="M2791" i="1"/>
  <c r="M2815" i="1"/>
  <c r="M2781" i="1"/>
  <c r="M2904" i="1"/>
  <c r="M2897" i="1"/>
  <c r="M2940" i="1"/>
  <c r="M2928" i="1"/>
  <c r="M2898" i="1"/>
  <c r="M3029" i="1"/>
  <c r="M3048" i="1"/>
  <c r="M3090" i="1"/>
  <c r="M3044" i="1"/>
  <c r="M3102" i="1"/>
  <c r="M3001" i="1"/>
  <c r="M3166" i="1"/>
  <c r="M2977" i="1"/>
  <c r="M3036" i="1"/>
  <c r="M3152" i="1"/>
  <c r="M3127" i="1"/>
  <c r="M3215" i="1"/>
  <c r="M3368" i="1"/>
  <c r="M3259" i="1"/>
  <c r="M3163" i="1"/>
  <c r="M3224" i="1"/>
  <c r="M3288" i="1"/>
  <c r="M3277" i="1"/>
  <c r="M3459" i="1"/>
  <c r="M3453" i="1"/>
  <c r="M3458" i="1"/>
  <c r="M3504" i="1"/>
  <c r="M3520" i="1"/>
  <c r="M3499" i="1"/>
  <c r="M3467" i="1"/>
  <c r="M3479" i="1"/>
  <c r="M3491" i="1"/>
  <c r="M3547" i="1"/>
  <c r="M2113" i="1"/>
  <c r="M2109" i="1"/>
  <c r="M2357" i="1"/>
  <c r="M2592" i="1"/>
  <c r="M2648" i="1"/>
  <c r="M2707" i="1"/>
  <c r="M2689" i="1"/>
  <c r="M2763" i="1"/>
  <c r="M2724" i="1"/>
  <c r="M2789" i="1"/>
  <c r="M2680" i="1"/>
  <c r="M2699" i="1"/>
  <c r="M2792" i="1"/>
  <c r="M2776" i="1"/>
  <c r="M2855" i="1"/>
  <c r="M2774" i="1"/>
  <c r="M2798" i="1"/>
  <c r="M2822" i="1"/>
  <c r="M2946" i="1"/>
  <c r="M3032" i="1"/>
  <c r="M3002" i="1"/>
  <c r="M3012" i="1"/>
  <c r="M3030" i="1"/>
  <c r="M3008" i="1"/>
  <c r="M3089" i="1"/>
  <c r="M3000" i="1"/>
  <c r="M3061" i="1"/>
  <c r="M3109" i="1"/>
  <c r="M3149" i="1"/>
  <c r="M3139" i="1"/>
  <c r="M3186" i="1"/>
  <c r="M3359" i="1"/>
  <c r="M3263" i="1"/>
  <c r="M3365" i="1"/>
  <c r="M3280" i="1"/>
  <c r="M3576" i="1"/>
  <c r="M3471" i="1"/>
  <c r="M3483" i="1"/>
  <c r="M3553" i="1"/>
  <c r="M3518" i="1"/>
  <c r="M1727" i="1"/>
  <c r="M2058" i="1"/>
  <c r="M2009" i="1"/>
  <c r="M2207" i="1"/>
  <c r="M2201" i="1"/>
  <c r="M2460" i="1"/>
  <c r="M2375" i="1"/>
  <c r="M2530" i="1"/>
  <c r="M2669" i="1"/>
  <c r="M2436" i="1"/>
  <c r="M2545" i="1"/>
  <c r="M2633" i="1"/>
  <c r="M2729" i="1"/>
  <c r="M2675" i="1"/>
  <c r="M2838" i="1"/>
  <c r="M2796" i="1"/>
  <c r="M2828" i="1"/>
  <c r="M2795" i="1"/>
  <c r="M2819" i="1"/>
  <c r="M2847" i="1"/>
  <c r="M2767" i="1"/>
  <c r="M2993" i="1"/>
  <c r="M2881" i="1"/>
  <c r="M3144" i="1"/>
  <c r="M3062" i="1"/>
  <c r="M3055" i="1"/>
  <c r="M3086" i="1"/>
  <c r="M3013" i="1"/>
  <c r="M3268" i="1"/>
  <c r="M3080" i="1"/>
  <c r="M3217" i="1"/>
  <c r="M3174" i="1"/>
  <c r="M3348" i="1"/>
  <c r="M3169" i="1"/>
  <c r="M3150" i="1"/>
  <c r="M3162" i="1"/>
  <c r="M3267" i="1"/>
  <c r="M3175" i="1"/>
  <c r="M3228" i="1"/>
  <c r="M3240" i="1"/>
  <c r="M3283" i="1"/>
  <c r="M3372" i="1"/>
  <c r="M3396" i="1"/>
  <c r="M3350" i="1"/>
  <c r="M3373" i="1"/>
  <c r="M3375" i="1"/>
  <c r="M3466" i="1"/>
  <c r="M3462" i="1"/>
  <c r="M3487" i="1"/>
  <c r="M3502" i="1"/>
  <c r="M3523" i="1"/>
  <c r="M3505" i="1"/>
  <c r="M3524" i="1"/>
  <c r="M3554" i="1"/>
  <c r="M3650" i="1"/>
  <c r="M2517" i="1"/>
  <c r="M2451" i="1"/>
  <c r="M2458" i="1"/>
  <c r="M2684" i="1"/>
  <c r="M2756" i="1"/>
  <c r="M2800" i="1"/>
  <c r="M2782" i="1"/>
  <c r="M2761" i="1"/>
  <c r="M2760" i="1"/>
  <c r="M2802" i="1"/>
  <c r="M2826" i="1"/>
  <c r="M2982" i="1"/>
  <c r="M2947" i="1"/>
  <c r="M2887" i="1"/>
  <c r="M2969" i="1"/>
  <c r="M3096" i="1"/>
  <c r="M3015" i="1"/>
  <c r="M3132" i="1"/>
  <c r="M3120" i="1"/>
  <c r="M2989" i="1"/>
  <c r="M3005" i="1"/>
  <c r="M3147" i="1"/>
  <c r="M3137" i="1"/>
  <c r="M3390" i="1"/>
  <c r="M3131" i="1"/>
  <c r="M3178" i="1"/>
  <c r="M3167" i="1"/>
  <c r="M3237" i="1"/>
  <c r="M3346" i="1"/>
  <c r="M3271" i="1"/>
  <c r="M3246" i="1"/>
  <c r="M3362" i="1"/>
  <c r="M3364" i="1"/>
  <c r="M3366" i="1"/>
  <c r="M3460" i="1"/>
  <c r="M3529" i="1"/>
  <c r="M3510" i="1"/>
  <c r="M3461" i="1"/>
  <c r="M3470" i="1"/>
  <c r="M3482" i="1"/>
  <c r="M3500" i="1"/>
  <c r="M3522" i="1"/>
  <c r="M3541" i="1"/>
  <c r="M3549" i="1"/>
  <c r="M2012" i="1"/>
  <c r="M2064" i="1"/>
  <c r="M2468" i="1"/>
  <c r="M2843" i="1"/>
  <c r="M2728" i="1"/>
  <c r="M2712" i="1"/>
  <c r="M2746" i="1"/>
  <c r="M2679" i="1"/>
  <c r="M2804" i="1"/>
  <c r="M2839" i="1"/>
  <c r="M2799" i="1"/>
  <c r="M2823" i="1"/>
  <c r="M2837" i="1"/>
  <c r="M2833" i="1"/>
  <c r="M2780" i="1"/>
  <c r="M2858" i="1"/>
  <c r="M2773" i="1"/>
  <c r="M2935" i="1"/>
  <c r="M2879" i="1"/>
  <c r="M3043" i="1"/>
  <c r="M3128" i="1"/>
  <c r="M2892" i="1"/>
  <c r="M2934" i="1"/>
  <c r="M2945" i="1"/>
  <c r="M2921" i="1"/>
  <c r="M3110" i="1"/>
  <c r="M3050" i="1"/>
  <c r="M3074" i="1"/>
  <c r="M3157" i="1"/>
  <c r="M3017" i="1"/>
  <c r="M3123" i="1"/>
  <c r="M3114" i="1"/>
  <c r="M3164" i="1"/>
  <c r="M3204" i="1"/>
  <c r="M3154" i="1"/>
  <c r="M3222" i="1"/>
  <c r="M3073" i="1"/>
  <c r="M3260" i="1"/>
  <c r="M3294" i="1"/>
  <c r="M3275" i="1"/>
  <c r="M3343" i="1"/>
  <c r="M3187" i="1"/>
  <c r="M3250" i="1"/>
  <c r="M1993" i="1"/>
  <c r="M2279" i="1"/>
  <c r="M2444" i="1"/>
  <c r="M2359" i="1"/>
  <c r="M2540" i="1"/>
  <c r="M2412" i="1"/>
  <c r="M2483" i="1"/>
  <c r="M2735" i="1"/>
  <c r="M2821" i="1"/>
  <c r="M2739" i="1"/>
  <c r="M2778" i="1"/>
  <c r="M2832" i="1"/>
  <c r="M2765" i="1"/>
  <c r="M2929" i="1"/>
  <c r="M2762" i="1"/>
  <c r="M2868" i="1"/>
  <c r="M2835" i="1"/>
  <c r="M2806" i="1"/>
  <c r="M2830" i="1"/>
  <c r="M2891" i="1"/>
  <c r="M2840" i="1"/>
  <c r="M2880" i="1"/>
  <c r="M2957" i="1"/>
  <c r="M2953" i="1"/>
  <c r="M2922" i="1"/>
  <c r="M2951" i="1"/>
  <c r="M3066" i="1"/>
  <c r="M2905" i="1"/>
  <c r="M2952" i="1"/>
  <c r="M3007" i="1"/>
  <c r="M3027" i="1"/>
  <c r="M3072" i="1"/>
  <c r="M3077" i="1"/>
  <c r="M3188" i="1"/>
  <c r="M3193" i="1"/>
  <c r="M3289" i="1"/>
  <c r="M3256" i="1"/>
  <c r="M3221" i="1"/>
  <c r="M2475" i="1"/>
  <c r="M2442" i="1"/>
  <c r="M2486" i="1"/>
  <c r="M2384" i="1"/>
  <c r="M2636" i="1"/>
  <c r="M2674" i="1"/>
  <c r="M2726" i="1"/>
  <c r="M2714" i="1"/>
  <c r="M2797" i="1"/>
  <c r="M2692" i="1"/>
  <c r="M2736" i="1"/>
  <c r="M2813" i="1"/>
  <c r="M2683" i="1"/>
  <c r="M2825" i="1"/>
  <c r="M2834" i="1"/>
  <c r="M2808" i="1"/>
  <c r="M2803" i="1"/>
  <c r="M2827" i="1"/>
  <c r="M2769" i="1"/>
  <c r="M2779" i="1"/>
  <c r="M2917" i="1"/>
  <c r="M2963" i="1"/>
  <c r="M2910" i="1"/>
  <c r="M2971" i="1"/>
  <c r="M3116" i="1"/>
  <c r="M3019" i="1"/>
  <c r="M3038" i="1"/>
  <c r="M3227" i="1"/>
  <c r="M3078" i="1"/>
  <c r="M3092" i="1"/>
  <c r="M3185" i="1"/>
  <c r="M3141" i="1"/>
  <c r="M3025" i="1"/>
  <c r="M3125" i="1"/>
  <c r="M3173" i="1"/>
  <c r="M3236" i="1"/>
  <c r="M3281" i="1"/>
  <c r="M3357" i="1"/>
  <c r="M3199" i="1"/>
  <c r="M3258" i="1"/>
  <c r="M1133" i="1"/>
  <c r="M1965" i="1"/>
  <c r="M1952" i="1"/>
  <c r="M2231" i="1"/>
  <c r="M2163" i="1"/>
  <c r="M2258" i="1"/>
  <c r="M2518" i="1"/>
  <c r="M2686" i="1"/>
  <c r="M2740" i="1"/>
  <c r="M2700" i="1"/>
  <c r="M2784" i="1"/>
  <c r="M2836" i="1"/>
  <c r="M2771" i="1"/>
  <c r="M2812" i="1"/>
  <c r="M2786" i="1"/>
  <c r="M2810" i="1"/>
  <c r="M2911" i="1"/>
  <c r="M2927" i="1"/>
  <c r="M2885" i="1"/>
  <c r="M2842" i="1"/>
  <c r="M2853" i="1"/>
  <c r="M3054" i="1"/>
  <c r="M3079" i="1"/>
  <c r="M3014" i="1"/>
  <c r="M3091" i="1"/>
  <c r="M3056" i="1"/>
  <c r="M3243" i="1"/>
  <c r="M3031" i="1"/>
  <c r="M3118" i="1"/>
  <c r="M3168" i="1"/>
  <c r="M3145" i="1"/>
  <c r="M3176" i="1"/>
  <c r="M3197" i="1"/>
  <c r="M3085" i="1"/>
  <c r="M3126" i="1"/>
  <c r="M3115" i="1"/>
  <c r="M3291" i="1"/>
  <c r="M3262" i="1"/>
  <c r="M3367" i="1"/>
  <c r="M3465" i="1"/>
  <c r="M3477" i="1"/>
  <c r="M3489" i="1"/>
  <c r="M3454" i="1"/>
  <c r="M3528" i="1"/>
  <c r="M1137" i="1"/>
  <c r="M1956" i="1"/>
  <c r="M2162" i="1"/>
  <c r="M2264" i="1"/>
  <c r="M2388" i="1"/>
  <c r="M2690" i="1"/>
  <c r="M2757" i="1"/>
  <c r="M2677" i="1"/>
  <c r="M2687" i="1"/>
  <c r="M2751" i="1"/>
  <c r="M2732" i="1"/>
  <c r="M2893" i="1"/>
  <c r="M2850" i="1"/>
  <c r="M2807" i="1"/>
  <c r="M2831" i="1"/>
  <c r="M2909" i="1"/>
  <c r="M2759" i="1"/>
  <c r="M2758" i="1"/>
  <c r="M2785" i="1"/>
  <c r="M2916" i="1"/>
  <c r="M2848" i="1"/>
  <c r="M2915" i="1"/>
  <c r="M2975" i="1"/>
  <c r="M2867" i="1"/>
  <c r="M2958" i="1"/>
  <c r="M2903" i="1"/>
  <c r="M2959" i="1"/>
  <c r="M3101" i="1"/>
  <c r="M2983" i="1"/>
  <c r="M3138" i="1"/>
  <c r="M3200" i="1"/>
  <c r="M3060" i="1"/>
  <c r="M3190" i="1"/>
  <c r="M3142" i="1"/>
  <c r="M3065" i="1"/>
  <c r="M3130" i="1"/>
  <c r="M2995" i="1"/>
  <c r="M3084" i="1"/>
  <c r="M3181" i="1"/>
  <c r="M3210" i="1"/>
  <c r="M3192" i="1"/>
  <c r="M3161" i="1"/>
  <c r="M3037" i="1"/>
  <c r="M3231" i="1"/>
  <c r="M3226" i="1"/>
  <c r="M3242" i="1"/>
  <c r="M3377" i="1"/>
  <c r="M3211" i="1"/>
  <c r="M3266" i="1"/>
  <c r="M3378" i="1"/>
  <c r="M3391" i="1"/>
  <c r="M3380" i="1"/>
  <c r="M3481" i="1"/>
  <c r="M3475" i="1"/>
  <c r="M3506" i="1"/>
  <c r="M3533" i="1"/>
  <c r="U851" i="1"/>
  <c r="T841" i="1"/>
  <c r="Q424" i="1"/>
  <c r="T766" i="1"/>
  <c r="T711" i="1"/>
  <c r="T929" i="1"/>
  <c r="U785" i="1"/>
  <c r="U822" i="1"/>
  <c r="U793" i="1"/>
  <c r="U739" i="1"/>
  <c r="U713" i="1"/>
  <c r="U789" i="1"/>
  <c r="U810" i="1"/>
  <c r="T863" i="1"/>
  <c r="T948" i="1"/>
  <c r="U720" i="1"/>
  <c r="U707" i="1"/>
  <c r="T708" i="1"/>
  <c r="T842" i="1"/>
  <c r="U818" i="1"/>
  <c r="U726" i="1"/>
  <c r="T923" i="1"/>
  <c r="T819" i="1"/>
  <c r="U909" i="1"/>
  <c r="U754" i="1"/>
  <c r="U747" i="1"/>
  <c r="M3910" i="1"/>
  <c r="M3863" i="1"/>
  <c r="N3938" i="1"/>
  <c r="N3866" i="1"/>
  <c r="N3855" i="1"/>
  <c r="N3916" i="1"/>
  <c r="N3868" i="1"/>
  <c r="N3929" i="1"/>
  <c r="M3868" i="1"/>
  <c r="Q3880" i="1"/>
  <c r="Q3927" i="1"/>
  <c r="M3917" i="1"/>
  <c r="Q3882" i="1"/>
  <c r="M3813" i="1"/>
  <c r="M3831" i="1"/>
  <c r="M3845" i="1"/>
  <c r="N3870" i="1"/>
  <c r="M3933" i="1"/>
  <c r="N3862" i="1"/>
  <c r="N3858" i="1"/>
  <c r="N3833" i="1"/>
  <c r="M3897" i="1"/>
  <c r="M3740" i="1"/>
  <c r="Q3802" i="1"/>
  <c r="Q3803" i="1"/>
  <c r="M3802" i="1"/>
  <c r="Q3786" i="1"/>
  <c r="N3819" i="1"/>
  <c r="M3777" i="1"/>
  <c r="U3930" i="1"/>
  <c r="M3808" i="1"/>
  <c r="N3681" i="1"/>
  <c r="N3726" i="1"/>
  <c r="U3936" i="1"/>
  <c r="Q3740" i="1"/>
  <c r="M3689" i="1"/>
  <c r="U3939" i="1"/>
  <c r="N3671" i="1"/>
  <c r="Q3791" i="1"/>
  <c r="U3850" i="1"/>
  <c r="T3904" i="1"/>
  <c r="Q3624" i="1"/>
  <c r="M3682" i="1"/>
  <c r="Q3679" i="1"/>
  <c r="T3876" i="1"/>
  <c r="U3860" i="1"/>
  <c r="T3940" i="1"/>
  <c r="M3642" i="1"/>
  <c r="Q3723" i="1"/>
  <c r="N3648" i="1"/>
  <c r="T3833" i="1"/>
  <c r="M3586" i="1"/>
  <c r="N3634" i="1"/>
  <c r="M3564" i="1"/>
  <c r="N3595" i="1"/>
  <c r="N3579" i="1"/>
  <c r="Q3560" i="1"/>
  <c r="Q3611" i="1"/>
  <c r="T3914" i="1"/>
  <c r="U3824" i="1"/>
  <c r="N3608" i="1"/>
  <c r="T3827" i="1"/>
  <c r="Q3630" i="1"/>
  <c r="Q3650" i="1"/>
  <c r="Q3575" i="1"/>
  <c r="Q3588" i="1"/>
  <c r="U3876" i="1"/>
  <c r="U3826" i="1"/>
  <c r="M3550" i="1"/>
  <c r="M3542" i="1"/>
  <c r="M3512" i="1"/>
  <c r="N3521" i="1"/>
  <c r="T3814" i="1"/>
  <c r="T3774" i="1"/>
  <c r="N3536" i="1"/>
  <c r="N3563" i="1"/>
  <c r="U3797" i="1"/>
  <c r="M3545" i="1"/>
  <c r="T3772" i="1"/>
  <c r="Q3539" i="1"/>
  <c r="N3515" i="1"/>
  <c r="N3509" i="1"/>
  <c r="T3735" i="1"/>
  <c r="M3476" i="1"/>
  <c r="M3606" i="1"/>
  <c r="T3741" i="1"/>
  <c r="T3733" i="1"/>
  <c r="M3474" i="1"/>
  <c r="U3740" i="1"/>
  <c r="U3711" i="1"/>
  <c r="U3708" i="1"/>
  <c r="U3695" i="1"/>
  <c r="U3689" i="1"/>
  <c r="U3658" i="1"/>
  <c r="U3693" i="1"/>
  <c r="U3659" i="1"/>
  <c r="U3666" i="1"/>
  <c r="U3682" i="1"/>
  <c r="U3669" i="1"/>
  <c r="U3646" i="1"/>
  <c r="Q3456" i="1"/>
  <c r="N3397" i="1"/>
  <c r="T3632" i="1"/>
  <c r="T3575" i="1"/>
  <c r="T3620" i="1"/>
  <c r="M3389" i="1"/>
  <c r="U3594" i="1"/>
  <c r="U3593" i="1"/>
  <c r="T3618" i="1"/>
  <c r="M3379" i="1"/>
  <c r="U3631" i="1"/>
  <c r="U3626" i="1"/>
  <c r="U3624" i="1"/>
  <c r="U3630" i="1"/>
  <c r="T3563" i="1"/>
  <c r="T3547" i="1"/>
  <c r="M3270" i="1"/>
  <c r="T3507" i="1"/>
  <c r="Q3377" i="1"/>
  <c r="Q3378" i="1"/>
  <c r="Q3153" i="1"/>
  <c r="Q3154" i="1"/>
  <c r="U3473" i="1"/>
  <c r="U3472" i="1"/>
  <c r="T3370" i="1"/>
  <c r="T3369" i="1"/>
  <c r="T3366" i="1"/>
  <c r="T3364" i="1"/>
  <c r="T3365" i="1"/>
  <c r="N3038" i="1"/>
  <c r="N3201" i="1"/>
  <c r="U3417" i="1"/>
  <c r="U3360" i="1"/>
  <c r="U3356" i="1"/>
  <c r="U3357" i="1"/>
  <c r="U3354" i="1"/>
  <c r="U3355" i="1"/>
  <c r="U3352" i="1"/>
  <c r="U3359" i="1"/>
  <c r="U3549" i="1"/>
  <c r="T3407" i="1"/>
  <c r="T3406" i="1"/>
  <c r="U3239" i="1"/>
  <c r="U3238" i="1"/>
  <c r="M3098" i="1"/>
  <c r="T3241" i="1"/>
  <c r="T3240" i="1"/>
  <c r="T3220" i="1"/>
  <c r="T3341" i="1"/>
  <c r="M2886" i="1"/>
  <c r="U3097" i="1"/>
  <c r="M2882" i="1"/>
  <c r="U3191" i="1"/>
  <c r="U3187" i="1"/>
  <c r="U3189" i="1"/>
  <c r="T3121" i="1"/>
  <c r="N2882" i="1"/>
  <c r="T3132" i="1"/>
  <c r="T3196" i="1"/>
  <c r="N2893" i="1"/>
  <c r="T3214" i="1"/>
  <c r="T3210" i="1"/>
  <c r="T3205" i="1"/>
  <c r="T3212" i="1"/>
  <c r="N2856" i="1"/>
  <c r="U3020" i="1"/>
  <c r="Q2864" i="1"/>
  <c r="Q2865" i="1"/>
  <c r="M2814" i="1"/>
  <c r="M2768" i="1"/>
  <c r="M2872" i="1"/>
  <c r="M2811" i="1"/>
  <c r="T2995" i="1"/>
  <c r="U3002" i="1"/>
  <c r="U2985" i="1"/>
  <c r="U2994" i="1"/>
  <c r="U2995" i="1"/>
  <c r="U2996" i="1"/>
  <c r="U2997" i="1"/>
  <c r="U2987" i="1"/>
  <c r="U2998" i="1"/>
  <c r="U2976" i="1"/>
  <c r="U2999" i="1"/>
  <c r="U2977" i="1"/>
  <c r="U2988" i="1"/>
  <c r="U2974" i="1"/>
  <c r="U2984" i="1"/>
  <c r="U2989" i="1"/>
  <c r="U2990" i="1"/>
  <c r="U2991" i="1"/>
  <c r="N2740" i="1"/>
  <c r="U2957" i="1"/>
  <c r="Q2678" i="1"/>
  <c r="Q2679" i="1"/>
  <c r="M2856" i="1"/>
  <c r="T2801" i="1"/>
  <c r="T2663" i="1"/>
  <c r="T2783" i="1"/>
  <c r="T2788" i="1"/>
  <c r="T2969" i="1"/>
  <c r="N2495" i="1"/>
  <c r="N2414" i="1"/>
  <c r="U2395" i="1"/>
  <c r="U2359" i="1"/>
  <c r="T875" i="1"/>
  <c r="Q3760" i="1"/>
  <c r="Q3759" i="1"/>
  <c r="T3913" i="1"/>
  <c r="U3873" i="1"/>
  <c r="T3938" i="1"/>
  <c r="U3937" i="1"/>
  <c r="T3880" i="1"/>
  <c r="T3270" i="1"/>
  <c r="T3185" i="1"/>
  <c r="T3183" i="1"/>
  <c r="T3181" i="1"/>
  <c r="T3184" i="1"/>
  <c r="T3182" i="1"/>
  <c r="T3128" i="1"/>
  <c r="T3170" i="1"/>
  <c r="U3102" i="1"/>
  <c r="U3091" i="1"/>
  <c r="T3061" i="1"/>
  <c r="U881" i="1"/>
  <c r="T864" i="1"/>
  <c r="U908" i="1"/>
  <c r="U911" i="1"/>
  <c r="U926" i="1"/>
  <c r="T786" i="1"/>
  <c r="U910" i="1"/>
  <c r="T862" i="1"/>
  <c r="U888" i="1"/>
  <c r="Q544" i="1"/>
  <c r="T843" i="1"/>
  <c r="T763" i="1"/>
  <c r="Q370" i="1"/>
  <c r="T785" i="1"/>
  <c r="T885" i="1"/>
  <c r="T773" i="1"/>
  <c r="T753" i="1"/>
  <c r="T831" i="1"/>
  <c r="N47" i="1"/>
  <c r="N3887" i="1"/>
  <c r="N3875" i="1"/>
  <c r="N3863" i="1"/>
  <c r="N3851" i="1"/>
  <c r="N3936" i="1"/>
  <c r="N3924" i="1"/>
  <c r="N3912" i="1"/>
  <c r="N3900" i="1"/>
  <c r="N3888" i="1"/>
  <c r="N3876" i="1"/>
  <c r="N3864" i="1"/>
  <c r="N3852" i="1"/>
  <c r="N3840" i="1"/>
  <c r="N3937" i="1"/>
  <c r="N3925" i="1"/>
  <c r="N3913" i="1"/>
  <c r="N3901" i="1"/>
  <c r="N3889" i="1"/>
  <c r="N3877" i="1"/>
  <c r="N3865" i="1"/>
  <c r="N3853" i="1"/>
  <c r="N3841" i="1"/>
  <c r="N3931" i="1"/>
  <c r="N3919" i="1"/>
  <c r="N3907" i="1"/>
  <c r="N3895" i="1"/>
  <c r="N3883" i="1"/>
  <c r="N3871" i="1"/>
  <c r="N3859" i="1"/>
  <c r="N3847" i="1"/>
  <c r="N3932" i="1"/>
  <c r="N3920" i="1"/>
  <c r="N3908" i="1"/>
  <c r="N3896" i="1"/>
  <c r="N3884" i="1"/>
  <c r="N3872" i="1"/>
  <c r="N3860" i="1"/>
  <c r="N3824" i="1"/>
  <c r="N3812" i="1"/>
  <c r="N3825" i="1"/>
  <c r="N3885" i="1"/>
  <c r="N3909" i="1"/>
  <c r="N3849" i="1"/>
  <c r="N3828" i="1"/>
  <c r="N3816" i="1"/>
  <c r="N3804" i="1"/>
  <c r="N3933" i="1"/>
  <c r="N3817" i="1"/>
  <c r="N3818" i="1"/>
  <c r="N3806" i="1"/>
  <c r="N3794" i="1"/>
  <c r="N3782" i="1"/>
  <c r="N3770" i="1"/>
  <c r="N3758" i="1"/>
  <c r="N3873" i="1"/>
  <c r="N3897" i="1"/>
  <c r="N3839" i="1"/>
  <c r="N3837" i="1"/>
  <c r="N3787" i="1"/>
  <c r="N3737" i="1"/>
  <c r="N3776" i="1"/>
  <c r="N3751" i="1"/>
  <c r="N3861" i="1"/>
  <c r="N3798" i="1"/>
  <c r="N3781" i="1"/>
  <c r="N3921" i="1"/>
  <c r="N3800" i="1"/>
  <c r="N3792" i="1"/>
  <c r="N3763" i="1"/>
  <c r="N3740" i="1"/>
  <c r="N3728" i="1"/>
  <c r="N3716" i="1"/>
  <c r="N3704" i="1"/>
  <c r="N3692" i="1"/>
  <c r="N3680" i="1"/>
  <c r="N3752" i="1"/>
  <c r="N3768" i="1"/>
  <c r="N3748" i="1"/>
  <c r="N3742" i="1"/>
  <c r="N3823" i="1"/>
  <c r="N3788" i="1"/>
  <c r="N3811" i="1"/>
  <c r="N3793" i="1"/>
  <c r="N3786" i="1"/>
  <c r="N3775" i="1"/>
  <c r="N3756" i="1"/>
  <c r="N3744" i="1"/>
  <c r="N3732" i="1"/>
  <c r="N3720" i="1"/>
  <c r="N3708" i="1"/>
  <c r="N3799" i="1"/>
  <c r="N3764" i="1"/>
  <c r="N3745" i="1"/>
  <c r="N3769" i="1"/>
  <c r="N3746" i="1"/>
  <c r="N3822" i="1"/>
  <c r="N3780" i="1"/>
  <c r="N3757" i="1"/>
  <c r="N3735" i="1"/>
  <c r="N3723" i="1"/>
  <c r="N3711" i="1"/>
  <c r="N3699" i="1"/>
  <c r="N3687" i="1"/>
  <c r="N3805" i="1"/>
  <c r="N3694" i="1"/>
  <c r="N3750" i="1"/>
  <c r="N3696" i="1"/>
  <c r="N3686" i="1"/>
  <c r="N3700" i="1"/>
  <c r="N3724" i="1"/>
  <c r="N3684" i="1"/>
  <c r="N3677" i="1"/>
  <c r="N3718" i="1"/>
  <c r="N3713" i="1"/>
  <c r="N3689" i="1"/>
  <c r="N3669" i="1"/>
  <c r="N3810" i="1"/>
  <c r="N3762" i="1"/>
  <c r="N3701" i="1"/>
  <c r="N3673" i="1"/>
  <c r="N3736" i="1"/>
  <c r="N3725" i="1"/>
  <c r="N3712" i="1"/>
  <c r="N3675" i="1"/>
  <c r="N3661" i="1"/>
  <c r="N3654" i="1"/>
  <c r="N3652" i="1"/>
  <c r="N3650" i="1"/>
  <c r="N3615" i="1"/>
  <c r="N3609" i="1"/>
  <c r="N3688" i="1"/>
  <c r="N3663" i="1"/>
  <c r="N3598" i="1"/>
  <c r="N3679" i="1"/>
  <c r="N3674" i="1"/>
  <c r="N3655" i="1"/>
  <c r="N3653" i="1"/>
  <c r="N3651" i="1"/>
  <c r="N3730" i="1"/>
  <c r="N3710" i="1"/>
  <c r="N3662" i="1"/>
  <c r="N3604" i="1"/>
  <c r="N3668" i="1"/>
  <c r="N3637" i="1"/>
  <c r="N3625" i="1"/>
  <c r="N3706" i="1"/>
  <c r="N3656" i="1"/>
  <c r="N3605" i="1"/>
  <c r="N3567" i="1"/>
  <c r="N3640" i="1"/>
  <c r="N3616" i="1"/>
  <c r="N3603" i="1"/>
  <c r="N3633" i="1"/>
  <c r="N3621" i="1"/>
  <c r="N3610" i="1"/>
  <c r="N3606" i="1"/>
  <c r="N3576" i="1"/>
  <c r="N3570" i="1"/>
  <c r="N3645" i="1"/>
  <c r="N3629" i="1"/>
  <c r="N3597" i="1"/>
  <c r="N3641" i="1"/>
  <c r="N3572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632" i="1"/>
  <c r="N3620" i="1"/>
  <c r="N3602" i="1"/>
  <c r="N3491" i="1"/>
  <c r="N3488" i="1"/>
  <c r="N3485" i="1"/>
  <c r="N3482" i="1"/>
  <c r="N3479" i="1"/>
  <c r="N3476" i="1"/>
  <c r="N3473" i="1"/>
  <c r="N3470" i="1"/>
  <c r="N3489" i="1"/>
  <c r="N3486" i="1"/>
  <c r="N3483" i="1"/>
  <c r="N3480" i="1"/>
  <c r="N3477" i="1"/>
  <c r="N3474" i="1"/>
  <c r="N3471" i="1"/>
  <c r="N3468" i="1"/>
  <c r="N3458" i="1"/>
  <c r="N3490" i="1"/>
  <c r="N3487" i="1"/>
  <c r="N3484" i="1"/>
  <c r="N3481" i="1"/>
  <c r="N3452" i="1"/>
  <c r="N3448" i="1"/>
  <c r="N3444" i="1"/>
  <c r="N3440" i="1"/>
  <c r="N3436" i="1"/>
  <c r="N3432" i="1"/>
  <c r="N3428" i="1"/>
  <c r="N3462" i="1"/>
  <c r="N3412" i="1"/>
  <c r="N3406" i="1"/>
  <c r="N3467" i="1"/>
  <c r="N3449" i="1"/>
  <c r="N3445" i="1"/>
  <c r="N3441" i="1"/>
  <c r="N3437" i="1"/>
  <c r="N3433" i="1"/>
  <c r="N3429" i="1"/>
  <c r="N3425" i="1"/>
  <c r="N3421" i="1"/>
  <c r="N3417" i="1"/>
  <c r="N3399" i="1"/>
  <c r="N3387" i="1"/>
  <c r="N3413" i="1"/>
  <c r="N3407" i="1"/>
  <c r="N3400" i="1"/>
  <c r="N3464" i="1"/>
  <c r="N3453" i="1"/>
  <c r="N3450" i="1"/>
  <c r="N3446" i="1"/>
  <c r="N3442" i="1"/>
  <c r="N3438" i="1"/>
  <c r="N3434" i="1"/>
  <c r="N3430" i="1"/>
  <c r="N3426" i="1"/>
  <c r="N3422" i="1"/>
  <c r="N3418" i="1"/>
  <c r="N3414" i="1"/>
  <c r="N3408" i="1"/>
  <c r="N3402" i="1"/>
  <c r="N3461" i="1"/>
  <c r="N3451" i="1"/>
  <c r="N3447" i="1"/>
  <c r="N3443" i="1"/>
  <c r="N3439" i="1"/>
  <c r="N3435" i="1"/>
  <c r="N3431" i="1"/>
  <c r="N3427" i="1"/>
  <c r="N3423" i="1"/>
  <c r="N3419" i="1"/>
  <c r="N3415" i="1"/>
  <c r="N3409" i="1"/>
  <c r="N3395" i="1"/>
  <c r="N3383" i="1"/>
  <c r="N3378" i="1"/>
  <c r="N3366" i="1"/>
  <c r="N3371" i="1"/>
  <c r="N3405" i="1"/>
  <c r="N3410" i="1"/>
  <c r="N3374" i="1"/>
  <c r="N3362" i="1"/>
  <c r="N3384" i="1"/>
  <c r="N3379" i="1"/>
  <c r="N3367" i="1"/>
  <c r="N3403" i="1"/>
  <c r="N3396" i="1"/>
  <c r="N3394" i="1"/>
  <c r="N3424" i="1"/>
  <c r="N3401" i="1"/>
  <c r="N3392" i="1"/>
  <c r="N3382" i="1"/>
  <c r="N3377" i="1"/>
  <c r="N3365" i="1"/>
  <c r="N3457" i="1"/>
  <c r="N3420" i="1"/>
  <c r="N3411" i="1"/>
  <c r="N3338" i="1"/>
  <c r="N3326" i="1"/>
  <c r="N3314" i="1"/>
  <c r="N3302" i="1"/>
  <c r="N3290" i="1"/>
  <c r="N3349" i="1"/>
  <c r="N3240" i="1"/>
  <c r="N3234" i="1"/>
  <c r="N3343" i="1"/>
  <c r="N3465" i="1"/>
  <c r="N3388" i="1"/>
  <c r="N3373" i="1"/>
  <c r="N3310" i="1"/>
  <c r="N3298" i="1"/>
  <c r="N3286" i="1"/>
  <c r="N3380" i="1"/>
  <c r="N3354" i="1"/>
  <c r="N3339" i="1"/>
  <c r="N3327" i="1"/>
  <c r="N3315" i="1"/>
  <c r="N3303" i="1"/>
  <c r="N3291" i="1"/>
  <c r="N3281" i="1"/>
  <c r="N3278" i="1"/>
  <c r="N3275" i="1"/>
  <c r="N3271" i="1"/>
  <c r="N3267" i="1"/>
  <c r="N3263" i="1"/>
  <c r="N3259" i="1"/>
  <c r="N3255" i="1"/>
  <c r="N3251" i="1"/>
  <c r="N3247" i="1"/>
  <c r="N3368" i="1"/>
  <c r="N3350" i="1"/>
  <c r="N3348" i="1"/>
  <c r="N3231" i="1"/>
  <c r="N3226" i="1"/>
  <c r="N3215" i="1"/>
  <c r="N3203" i="1"/>
  <c r="N3191" i="1"/>
  <c r="N3361" i="1"/>
  <c r="N3356" i="1"/>
  <c r="N3344" i="1"/>
  <c r="N3337" i="1"/>
  <c r="N3325" i="1"/>
  <c r="N3313" i="1"/>
  <c r="N3301" i="1"/>
  <c r="N3289" i="1"/>
  <c r="N3243" i="1"/>
  <c r="N3237" i="1"/>
  <c r="N3416" i="1"/>
  <c r="N3345" i="1"/>
  <c r="N3316" i="1"/>
  <c r="N3297" i="1"/>
  <c r="N3249" i="1"/>
  <c r="N3218" i="1"/>
  <c r="N3144" i="1"/>
  <c r="N3130" i="1"/>
  <c r="N3120" i="1"/>
  <c r="N3108" i="1"/>
  <c r="N3096" i="1"/>
  <c r="N3084" i="1"/>
  <c r="N3404" i="1"/>
  <c r="N3245" i="1"/>
  <c r="N3242" i="1"/>
  <c r="N3223" i="1"/>
  <c r="N3197" i="1"/>
  <c r="N3195" i="1"/>
  <c r="N3178" i="1"/>
  <c r="N3135" i="1"/>
  <c r="N3328" i="1"/>
  <c r="N3285" i="1"/>
  <c r="N3209" i="1"/>
  <c r="N3207" i="1"/>
  <c r="N3309" i="1"/>
  <c r="N3292" i="1"/>
  <c r="N3239" i="1"/>
  <c r="N3236" i="1"/>
  <c r="N3051" i="1"/>
  <c r="N3027" i="1"/>
  <c r="N3228" i="1"/>
  <c r="N3185" i="1"/>
  <c r="N3172" i="1"/>
  <c r="N3161" i="1"/>
  <c r="N3151" i="1"/>
  <c r="N3127" i="1"/>
  <c r="N3112" i="1"/>
  <c r="N3100" i="1"/>
  <c r="N3088" i="1"/>
  <c r="N3076" i="1"/>
  <c r="N3064" i="1"/>
  <c r="N3351" i="1"/>
  <c r="N3340" i="1"/>
  <c r="N3321" i="1"/>
  <c r="N3233" i="1"/>
  <c r="N3183" i="1"/>
  <c r="N3159" i="1"/>
  <c r="N3154" i="1"/>
  <c r="N3146" i="1"/>
  <c r="N3137" i="1"/>
  <c r="N3122" i="1"/>
  <c r="N3113" i="1"/>
  <c r="N3101" i="1"/>
  <c r="N3089" i="1"/>
  <c r="N3077" i="1"/>
  <c r="N3065" i="1"/>
  <c r="N3053" i="1"/>
  <c r="N3041" i="1"/>
  <c r="N3029" i="1"/>
  <c r="N3273" i="1"/>
  <c r="N3358" i="1"/>
  <c r="N3269" i="1"/>
  <c r="N3204" i="1"/>
  <c r="N3202" i="1"/>
  <c r="N3196" i="1"/>
  <c r="N3192" i="1"/>
  <c r="N3190" i="1"/>
  <c r="N3168" i="1"/>
  <c r="N3166" i="1"/>
  <c r="N3147" i="1"/>
  <c r="N3123" i="1"/>
  <c r="N3333" i="1"/>
  <c r="N3265" i="1"/>
  <c r="N3219" i="1"/>
  <c r="N3214" i="1"/>
  <c r="N3208" i="1"/>
  <c r="N3261" i="1"/>
  <c r="N3253" i="1"/>
  <c r="N3071" i="1"/>
  <c r="N3047" i="1"/>
  <c r="N3040" i="1"/>
  <c r="N3016" i="1"/>
  <c r="N2987" i="1"/>
  <c r="N2975" i="1"/>
  <c r="N3257" i="1"/>
  <c r="N3095" i="1"/>
  <c r="N3011" i="1"/>
  <c r="N3173" i="1"/>
  <c r="N3106" i="1"/>
  <c r="N2998" i="1"/>
  <c r="N3149" i="1"/>
  <c r="N3139" i="1"/>
  <c r="N3058" i="1"/>
  <c r="N3035" i="1"/>
  <c r="N3083" i="1"/>
  <c r="N3060" i="1"/>
  <c r="N3024" i="1"/>
  <c r="N2991" i="1"/>
  <c r="N2979" i="1"/>
  <c r="N2967" i="1"/>
  <c r="N2955" i="1"/>
  <c r="N2943" i="1"/>
  <c r="N3094" i="1"/>
  <c r="N3070" i="1"/>
  <c r="N3017" i="1"/>
  <c r="N2999" i="1"/>
  <c r="N2992" i="1"/>
  <c r="N2980" i="1"/>
  <c r="N2968" i="1"/>
  <c r="N2956" i="1"/>
  <c r="N2944" i="1"/>
  <c r="N2932" i="1"/>
  <c r="N3046" i="1"/>
  <c r="N3022" i="1"/>
  <c r="N3012" i="1"/>
  <c r="N3009" i="1"/>
  <c r="N2981" i="1"/>
  <c r="N2969" i="1"/>
  <c r="N3072" i="1"/>
  <c r="N3048" i="1"/>
  <c r="N2993" i="1"/>
  <c r="N3125" i="1"/>
  <c r="N3082" i="1"/>
  <c r="N3171" i="1"/>
  <c r="N3059" i="1"/>
  <c r="N3052" i="1"/>
  <c r="N3034" i="1"/>
  <c r="N3005" i="1"/>
  <c r="N3304" i="1"/>
  <c r="N3184" i="1"/>
  <c r="N3134" i="1"/>
  <c r="N3107" i="1"/>
  <c r="N2945" i="1"/>
  <c r="N2926" i="1"/>
  <c r="N2919" i="1"/>
  <c r="N2878" i="1"/>
  <c r="N2867" i="1"/>
  <c r="N2852" i="1"/>
  <c r="N2961" i="1"/>
  <c r="N2908" i="1"/>
  <c r="N2901" i="1"/>
  <c r="N3160" i="1"/>
  <c r="N3036" i="1"/>
  <c r="N3010" i="1"/>
  <c r="N2915" i="1"/>
  <c r="N2890" i="1"/>
  <c r="N2853" i="1"/>
  <c r="N2963" i="1"/>
  <c r="N2938" i="1"/>
  <c r="N2897" i="1"/>
  <c r="N2879" i="1"/>
  <c r="N2951" i="1"/>
  <c r="N2949" i="1"/>
  <c r="N2920" i="1"/>
  <c r="N2895" i="1"/>
  <c r="N2883" i="1"/>
  <c r="N2863" i="1"/>
  <c r="N2859" i="1"/>
  <c r="N2854" i="1"/>
  <c r="N3023" i="1"/>
  <c r="N2933" i="1"/>
  <c r="N2913" i="1"/>
  <c r="N2902" i="1"/>
  <c r="N2875" i="1"/>
  <c r="N3115" i="1"/>
  <c r="N2986" i="1"/>
  <c r="N2974" i="1"/>
  <c r="N2957" i="1"/>
  <c r="N2931" i="1"/>
  <c r="N2927" i="1"/>
  <c r="N2855" i="1"/>
  <c r="N2909" i="1"/>
  <c r="N2891" i="1"/>
  <c r="N2860" i="1"/>
  <c r="N2850" i="1"/>
  <c r="N2844" i="1"/>
  <c r="N3000" i="1"/>
  <c r="N2962" i="1"/>
  <c r="N2925" i="1"/>
  <c r="N2907" i="1"/>
  <c r="N2865" i="1"/>
  <c r="N2950" i="1"/>
  <c r="N2921" i="1"/>
  <c r="N2903" i="1"/>
  <c r="N2889" i="1"/>
  <c r="N2877" i="1"/>
  <c r="N2866" i="1"/>
  <c r="N2861" i="1"/>
  <c r="N2851" i="1"/>
  <c r="N2845" i="1"/>
  <c r="N2872" i="1"/>
  <c r="N2857" i="1"/>
  <c r="N2783" i="1"/>
  <c r="N2777" i="1"/>
  <c r="N2771" i="1"/>
  <c r="N2765" i="1"/>
  <c r="N2985" i="1"/>
  <c r="N2973" i="1"/>
  <c r="N2997" i="1"/>
  <c r="N2937" i="1"/>
  <c r="N2849" i="1"/>
  <c r="N2846" i="1"/>
  <c r="N2884" i="1"/>
  <c r="N2843" i="1"/>
  <c r="N2896" i="1"/>
  <c r="N2873" i="1"/>
  <c r="N2768" i="1"/>
  <c r="N2774" i="1"/>
  <c r="N2914" i="1"/>
  <c r="N2760" i="1"/>
  <c r="N2780" i="1"/>
  <c r="N2608" i="1"/>
  <c r="N2602" i="1"/>
  <c r="N2596" i="1"/>
  <c r="N2584" i="1"/>
  <c r="N2572" i="1"/>
  <c r="N2585" i="1"/>
  <c r="N2573" i="1"/>
  <c r="N2561" i="1"/>
  <c r="N2659" i="1"/>
  <c r="N2657" i="1"/>
  <c r="N2610" i="1"/>
  <c r="N2604" i="1"/>
  <c r="N2598" i="1"/>
  <c r="N2588" i="1"/>
  <c r="N2576" i="1"/>
  <c r="N2564" i="1"/>
  <c r="N2589" i="1"/>
  <c r="N2577" i="1"/>
  <c r="N2565" i="1"/>
  <c r="N2605" i="1"/>
  <c r="N2599" i="1"/>
  <c r="N2590" i="1"/>
  <c r="N2578" i="1"/>
  <c r="N2566" i="1"/>
  <c r="N2558" i="1"/>
  <c r="N2457" i="1"/>
  <c r="N2453" i="1"/>
  <c r="N2449" i="1"/>
  <c r="N2445" i="1"/>
  <c r="N2441" i="1"/>
  <c r="N2381" i="1"/>
  <c r="N2369" i="1"/>
  <c r="N2594" i="1"/>
  <c r="N2571" i="1"/>
  <c r="N2560" i="1"/>
  <c r="N2437" i="1"/>
  <c r="N2431" i="1"/>
  <c r="N2425" i="1"/>
  <c r="N2419" i="1"/>
  <c r="N2413" i="1"/>
  <c r="N2407" i="1"/>
  <c r="N2401" i="1"/>
  <c r="N2395" i="1"/>
  <c r="N2389" i="1"/>
  <c r="N2582" i="1"/>
  <c r="N2361" i="1"/>
  <c r="N2658" i="1"/>
  <c r="N2570" i="1"/>
  <c r="N2433" i="1"/>
  <c r="N2427" i="1"/>
  <c r="N2421" i="1"/>
  <c r="N2415" i="1"/>
  <c r="N2409" i="1"/>
  <c r="N2403" i="1"/>
  <c r="N2397" i="1"/>
  <c r="N2391" i="1"/>
  <c r="N2385" i="1"/>
  <c r="N2374" i="1"/>
  <c r="N2362" i="1"/>
  <c r="N2559" i="1"/>
  <c r="N2459" i="1"/>
  <c r="N2455" i="1"/>
  <c r="N2451" i="1"/>
  <c r="N2447" i="1"/>
  <c r="N2443" i="1"/>
  <c r="N2439" i="1"/>
  <c r="N2375" i="1"/>
  <c r="N2363" i="1"/>
  <c r="N2434" i="1"/>
  <c r="N2428" i="1"/>
  <c r="N2422" i="1"/>
  <c r="N2416" i="1"/>
  <c r="N2410" i="1"/>
  <c r="N2404" i="1"/>
  <c r="N2398" i="1"/>
  <c r="N2392" i="1"/>
  <c r="N2386" i="1"/>
  <c r="N2759" i="1"/>
  <c r="N2607" i="1"/>
  <c r="N2601" i="1"/>
  <c r="N2595" i="1"/>
  <c r="N2340" i="1"/>
  <c r="N2328" i="1"/>
  <c r="N2345" i="1"/>
  <c r="N2333" i="1"/>
  <c r="N2306" i="1"/>
  <c r="N2338" i="1"/>
  <c r="N2326" i="1"/>
  <c r="N2321" i="1"/>
  <c r="N2318" i="1"/>
  <c r="N2315" i="1"/>
  <c r="N2311" i="1"/>
  <c r="N2356" i="1"/>
  <c r="N2354" i="1"/>
  <c r="N2352" i="1"/>
  <c r="N2350" i="1"/>
  <c r="N2343" i="1"/>
  <c r="N2331" i="1"/>
  <c r="N2307" i="1"/>
  <c r="N2380" i="1"/>
  <c r="N2348" i="1"/>
  <c r="N2336" i="1"/>
  <c r="N2324" i="1"/>
  <c r="N2583" i="1"/>
  <c r="N2341" i="1"/>
  <c r="N2329" i="1"/>
  <c r="N2312" i="1"/>
  <c r="N2308" i="1"/>
  <c r="N2302" i="1"/>
  <c r="N2296" i="1"/>
  <c r="N2290" i="1"/>
  <c r="N2284" i="1"/>
  <c r="N2278" i="1"/>
  <c r="N2272" i="1"/>
  <c r="N2266" i="1"/>
  <c r="N2260" i="1"/>
  <c r="N2254" i="1"/>
  <c r="N2248" i="1"/>
  <c r="N2242" i="1"/>
  <c r="N2236" i="1"/>
  <c r="N2230" i="1"/>
  <c r="N2224" i="1"/>
  <c r="N2218" i="1"/>
  <c r="N2212" i="1"/>
  <c r="N2206" i="1"/>
  <c r="N2200" i="1"/>
  <c r="N2194" i="1"/>
  <c r="N2188" i="1"/>
  <c r="N2178" i="1"/>
  <c r="N2166" i="1"/>
  <c r="N2436" i="1"/>
  <c r="N2430" i="1"/>
  <c r="N2424" i="1"/>
  <c r="N2418" i="1"/>
  <c r="N2412" i="1"/>
  <c r="N2406" i="1"/>
  <c r="N2400" i="1"/>
  <c r="N2394" i="1"/>
  <c r="N2388" i="1"/>
  <c r="N2346" i="1"/>
  <c r="N2334" i="1"/>
  <c r="N2322" i="1"/>
  <c r="N2319" i="1"/>
  <c r="N2316" i="1"/>
  <c r="N2368" i="1"/>
  <c r="N2339" i="1"/>
  <c r="N2327" i="1"/>
  <c r="N2379" i="1"/>
  <c r="N2344" i="1"/>
  <c r="N2332" i="1"/>
  <c r="N2313" i="1"/>
  <c r="N2309" i="1"/>
  <c r="N2355" i="1"/>
  <c r="N2353" i="1"/>
  <c r="N2351" i="1"/>
  <c r="N2349" i="1"/>
  <c r="N2337" i="1"/>
  <c r="N2325" i="1"/>
  <c r="N2203" i="1"/>
  <c r="N2191" i="1"/>
  <c r="N2158" i="1"/>
  <c r="N2064" i="1"/>
  <c r="N2347" i="1"/>
  <c r="N2323" i="1"/>
  <c r="N2251" i="1"/>
  <c r="N2245" i="1"/>
  <c r="N2239" i="1"/>
  <c r="N2233" i="1"/>
  <c r="N2227" i="1"/>
  <c r="N2221" i="1"/>
  <c r="N2165" i="1"/>
  <c r="N2257" i="1"/>
  <c r="N2185" i="1"/>
  <c r="N2156" i="1"/>
  <c r="N2054" i="1"/>
  <c r="N2320" i="1"/>
  <c r="N2263" i="1"/>
  <c r="N2179" i="1"/>
  <c r="N2174" i="1"/>
  <c r="N2172" i="1"/>
  <c r="N2310" i="1"/>
  <c r="N2305" i="1"/>
  <c r="N2269" i="1"/>
  <c r="N2215" i="1"/>
  <c r="N2161" i="1"/>
  <c r="N2357" i="1"/>
  <c r="N2330" i="1"/>
  <c r="N2275" i="1"/>
  <c r="N2159" i="1"/>
  <c r="N2073" i="1"/>
  <c r="N2067" i="1"/>
  <c r="N2057" i="1"/>
  <c r="N2045" i="1"/>
  <c r="N2033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367" i="1"/>
  <c r="N2317" i="1"/>
  <c r="N2299" i="1"/>
  <c r="N2281" i="1"/>
  <c r="N2197" i="1"/>
  <c r="N2177" i="1"/>
  <c r="N2335" i="1"/>
  <c r="N2287" i="1"/>
  <c r="N2209" i="1"/>
  <c r="N2293" i="1"/>
  <c r="N2184" i="1"/>
  <c r="N2314" i="1"/>
  <c r="N2173" i="1"/>
  <c r="N2155" i="1"/>
  <c r="N2132" i="1"/>
  <c r="N2114" i="1"/>
  <c r="N2104" i="1"/>
  <c r="N2096" i="1"/>
  <c r="N2088" i="1"/>
  <c r="N2080" i="1"/>
  <c r="N1998" i="1"/>
  <c r="N1986" i="1"/>
  <c r="N1974" i="1"/>
  <c r="N1962" i="1"/>
  <c r="N1950" i="1"/>
  <c r="N2069" i="1"/>
  <c r="N2049" i="1"/>
  <c r="N2040" i="1"/>
  <c r="N1987" i="1"/>
  <c r="N1975" i="1"/>
  <c r="N2135" i="1"/>
  <c r="N2117" i="1"/>
  <c r="N2062" i="1"/>
  <c r="N2038" i="1"/>
  <c r="N2034" i="1"/>
  <c r="N1999" i="1"/>
  <c r="N1988" i="1"/>
  <c r="N1976" i="1"/>
  <c r="N1964" i="1"/>
  <c r="N1952" i="1"/>
  <c r="N2147" i="1"/>
  <c r="N1989" i="1"/>
  <c r="N1977" i="1"/>
  <c r="N2138" i="1"/>
  <c r="N2120" i="1"/>
  <c r="N2000" i="1"/>
  <c r="N1990" i="1"/>
  <c r="N1978" i="1"/>
  <c r="N2030" i="1"/>
  <c r="N1991" i="1"/>
  <c r="N1979" i="1"/>
  <c r="N1967" i="1"/>
  <c r="N2342" i="1"/>
  <c r="N2123" i="1"/>
  <c r="N2100" i="1"/>
  <c r="N2092" i="1"/>
  <c r="N2084" i="1"/>
  <c r="N2052" i="1"/>
  <c r="N2001" i="1"/>
  <c r="N1992" i="1"/>
  <c r="N1980" i="1"/>
  <c r="N1968" i="1"/>
  <c r="N2150" i="1"/>
  <c r="N2141" i="1"/>
  <c r="N2076" i="1"/>
  <c r="N2061" i="1"/>
  <c r="N2050" i="1"/>
  <c r="N2046" i="1"/>
  <c r="N1993" i="1"/>
  <c r="N1981" i="1"/>
  <c r="N1969" i="1"/>
  <c r="N2171" i="1"/>
  <c r="N2126" i="1"/>
  <c r="N2108" i="1"/>
  <c r="N2002" i="1"/>
  <c r="N1994" i="1"/>
  <c r="N1982" i="1"/>
  <c r="N1970" i="1"/>
  <c r="N2153" i="1"/>
  <c r="N2144" i="1"/>
  <c r="N1997" i="1"/>
  <c r="N1985" i="1"/>
  <c r="N1973" i="1"/>
  <c r="N1961" i="1"/>
  <c r="N1949" i="1"/>
  <c r="N2160" i="1"/>
  <c r="N2129" i="1"/>
  <c r="N2070" i="1"/>
  <c r="N1971" i="1"/>
  <c r="N1960" i="1"/>
  <c r="N1946" i="1"/>
  <c r="N1944" i="1"/>
  <c r="N1942" i="1"/>
  <c r="N1940" i="1"/>
  <c r="N1938" i="1"/>
  <c r="N1936" i="1"/>
  <c r="N1934" i="1"/>
  <c r="N1932" i="1"/>
  <c r="N1930" i="1"/>
  <c r="N1928" i="1"/>
  <c r="N1926" i="1"/>
  <c r="N1924" i="1"/>
  <c r="N1922" i="1"/>
  <c r="N1920" i="1"/>
  <c r="N1918" i="1"/>
  <c r="N1916" i="1"/>
  <c r="N1914" i="1"/>
  <c r="N1912" i="1"/>
  <c r="N1910" i="1"/>
  <c r="N1908" i="1"/>
  <c r="N1906" i="1"/>
  <c r="N1904" i="1"/>
  <c r="N1902" i="1"/>
  <c r="N1900" i="1"/>
  <c r="N1898" i="1"/>
  <c r="N1896" i="1"/>
  <c r="N1894" i="1"/>
  <c r="N1892" i="1"/>
  <c r="N1890" i="1"/>
  <c r="N1888" i="1"/>
  <c r="N1886" i="1"/>
  <c r="N1884" i="1"/>
  <c r="N1882" i="1"/>
  <c r="N1880" i="1"/>
  <c r="N1878" i="1"/>
  <c r="N1876" i="1"/>
  <c r="N1874" i="1"/>
  <c r="N1872" i="1"/>
  <c r="N1870" i="1"/>
  <c r="N1868" i="1"/>
  <c r="N1866" i="1"/>
  <c r="N1864" i="1"/>
  <c r="N1862" i="1"/>
  <c r="N1860" i="1"/>
  <c r="N1858" i="1"/>
  <c r="N1856" i="1"/>
  <c r="N1854" i="1"/>
  <c r="N1852" i="1"/>
  <c r="N1850" i="1"/>
  <c r="N1848" i="1"/>
  <c r="N1846" i="1"/>
  <c r="N1948" i="1"/>
  <c r="N1839" i="1"/>
  <c r="N1781" i="1"/>
  <c r="N1769" i="1"/>
  <c r="N1757" i="1"/>
  <c r="N1745" i="1"/>
  <c r="N1733" i="1"/>
  <c r="N1721" i="1"/>
  <c r="N1709" i="1"/>
  <c r="N1697" i="1"/>
  <c r="N2167" i="1"/>
  <c r="N2003" i="1"/>
  <c r="N1983" i="1"/>
  <c r="N2042" i="1"/>
  <c r="N1995" i="1"/>
  <c r="N1837" i="1"/>
  <c r="N1783" i="1"/>
  <c r="N1771" i="1"/>
  <c r="N1759" i="1"/>
  <c r="N1747" i="1"/>
  <c r="N1735" i="1"/>
  <c r="N1723" i="1"/>
  <c r="N1711" i="1"/>
  <c r="N1699" i="1"/>
  <c r="N1959" i="1"/>
  <c r="N2026" i="1"/>
  <c r="N2111" i="1"/>
  <c r="N1947" i="1"/>
  <c r="N1945" i="1"/>
  <c r="N1943" i="1"/>
  <c r="N1941" i="1"/>
  <c r="N1939" i="1"/>
  <c r="N1937" i="1"/>
  <c r="N1935" i="1"/>
  <c r="N1933" i="1"/>
  <c r="N1931" i="1"/>
  <c r="N1929" i="1"/>
  <c r="N1927" i="1"/>
  <c r="N1925" i="1"/>
  <c r="N1923" i="1"/>
  <c r="N1921" i="1"/>
  <c r="N1919" i="1"/>
  <c r="N1917" i="1"/>
  <c r="N1915" i="1"/>
  <c r="N1913" i="1"/>
  <c r="N1911" i="1"/>
  <c r="N1909" i="1"/>
  <c r="N1907" i="1"/>
  <c r="N1905" i="1"/>
  <c r="N1903" i="1"/>
  <c r="N1901" i="1"/>
  <c r="N1899" i="1"/>
  <c r="N1897" i="1"/>
  <c r="N1895" i="1"/>
  <c r="N1893" i="1"/>
  <c r="N1891" i="1"/>
  <c r="N1889" i="1"/>
  <c r="N1887" i="1"/>
  <c r="N1885" i="1"/>
  <c r="N1883" i="1"/>
  <c r="N1881" i="1"/>
  <c r="N1972" i="1"/>
  <c r="N1844" i="1"/>
  <c r="N1806" i="1"/>
  <c r="N1756" i="1"/>
  <c r="N1984" i="1"/>
  <c r="N1834" i="1"/>
  <c r="N1790" i="1"/>
  <c r="N1814" i="1"/>
  <c r="N1795" i="1"/>
  <c r="N1696" i="1"/>
  <c r="N1843" i="1"/>
  <c r="N1800" i="1"/>
  <c r="N1710" i="1"/>
  <c r="N1706" i="1"/>
  <c r="N2063" i="1"/>
  <c r="N1822" i="1"/>
  <c r="N1778" i="1"/>
  <c r="N1753" i="1"/>
  <c r="N1743" i="1"/>
  <c r="N1708" i="1"/>
  <c r="N1836" i="1"/>
  <c r="N1802" i="1"/>
  <c r="N1782" i="1"/>
  <c r="N1722" i="1"/>
  <c r="N1718" i="1"/>
  <c r="N1830" i="1"/>
  <c r="N1789" i="1"/>
  <c r="N1780" i="1"/>
  <c r="N1720" i="1"/>
  <c r="N1810" i="1"/>
  <c r="N1794" i="1"/>
  <c r="N1766" i="1"/>
  <c r="N1734" i="1"/>
  <c r="N1730" i="1"/>
  <c r="N2075" i="1"/>
  <c r="N1996" i="1"/>
  <c r="N1770" i="1"/>
  <c r="N1732" i="1"/>
  <c r="N1826" i="1"/>
  <c r="N1788" i="1"/>
  <c r="N1758" i="1"/>
  <c r="N1754" i="1"/>
  <c r="N1526" i="1"/>
  <c r="N1514" i="1"/>
  <c r="N1597" i="1"/>
  <c r="N1585" i="1"/>
  <c r="N1527" i="1"/>
  <c r="N1515" i="1"/>
  <c r="N1742" i="1"/>
  <c r="N1717" i="1"/>
  <c r="N1528" i="1"/>
  <c r="N1516" i="1"/>
  <c r="N1615" i="1"/>
  <c r="N1613" i="1"/>
  <c r="N1579" i="1"/>
  <c r="N1529" i="1"/>
  <c r="N1517" i="1"/>
  <c r="N1698" i="1"/>
  <c r="N1610" i="1"/>
  <c r="N1608" i="1"/>
  <c r="N1577" i="1"/>
  <c r="N1572" i="1"/>
  <c r="N1564" i="1"/>
  <c r="N1556" i="1"/>
  <c r="N1548" i="1"/>
  <c r="N1540" i="1"/>
  <c r="N1530" i="1"/>
  <c r="N1518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531" i="1"/>
  <c r="N1519" i="1"/>
  <c r="N1507" i="1"/>
  <c r="N1707" i="1"/>
  <c r="N1694" i="1"/>
  <c r="N1603" i="1"/>
  <c r="N1601" i="1"/>
  <c r="N1588" i="1"/>
  <c r="N1532" i="1"/>
  <c r="N1520" i="1"/>
  <c r="N1768" i="1"/>
  <c r="N1744" i="1"/>
  <c r="N1521" i="1"/>
  <c r="N1801" i="1"/>
  <c r="N1596" i="1"/>
  <c r="N1582" i="1"/>
  <c r="N1522" i="1"/>
  <c r="N1746" i="1"/>
  <c r="N1609" i="1"/>
  <c r="N1523" i="1"/>
  <c r="N1511" i="1"/>
  <c r="N1818" i="1"/>
  <c r="N1796" i="1"/>
  <c r="N1591" i="1"/>
  <c r="N1525" i="1"/>
  <c r="N1513" i="1"/>
  <c r="N1490" i="1"/>
  <c r="N1478" i="1"/>
  <c r="N1466" i="1"/>
  <c r="N1426" i="1"/>
  <c r="N1414" i="1"/>
  <c r="N1411" i="1"/>
  <c r="N1408" i="1"/>
  <c r="N1405" i="1"/>
  <c r="N1402" i="1"/>
  <c r="N1399" i="1"/>
  <c r="N1396" i="1"/>
  <c r="N1393" i="1"/>
  <c r="N1390" i="1"/>
  <c r="N1387" i="1"/>
  <c r="N1384" i="1"/>
  <c r="N1381" i="1"/>
  <c r="N1340" i="1"/>
  <c r="N1552" i="1"/>
  <c r="N1485" i="1"/>
  <c r="N1473" i="1"/>
  <c r="N1461" i="1"/>
  <c r="N1459" i="1"/>
  <c r="N1457" i="1"/>
  <c r="N1455" i="1"/>
  <c r="N1453" i="1"/>
  <c r="N1451" i="1"/>
  <c r="N1449" i="1"/>
  <c r="N1447" i="1"/>
  <c r="N1445" i="1"/>
  <c r="N1443" i="1"/>
  <c r="N1441" i="1"/>
  <c r="N1439" i="1"/>
  <c r="N1437" i="1"/>
  <c r="N1435" i="1"/>
  <c r="N1433" i="1"/>
  <c r="N1431" i="1"/>
  <c r="N1419" i="1"/>
  <c r="N1378" i="1"/>
  <c r="N1374" i="1"/>
  <c r="N1370" i="1"/>
  <c r="N1366" i="1"/>
  <c r="N1362" i="1"/>
  <c r="N1358" i="1"/>
  <c r="N1354" i="1"/>
  <c r="N1350" i="1"/>
  <c r="N1346" i="1"/>
  <c r="N1492" i="1"/>
  <c r="N1480" i="1"/>
  <c r="N1468" i="1"/>
  <c r="N1342" i="1"/>
  <c r="N1487" i="1"/>
  <c r="N1475" i="1"/>
  <c r="N1463" i="1"/>
  <c r="N1331" i="1"/>
  <c r="N1330" i="1"/>
  <c r="N1329" i="1"/>
  <c r="N1328" i="1"/>
  <c r="N1327" i="1"/>
  <c r="N1524" i="1"/>
  <c r="N1482" i="1"/>
  <c r="N1470" i="1"/>
  <c r="N1422" i="1"/>
  <c r="N1412" i="1"/>
  <c r="N1409" i="1"/>
  <c r="N1406" i="1"/>
  <c r="N1403" i="1"/>
  <c r="N1400" i="1"/>
  <c r="N1397" i="1"/>
  <c r="N1394" i="1"/>
  <c r="N1391" i="1"/>
  <c r="N1388" i="1"/>
  <c r="N1385" i="1"/>
  <c r="N1382" i="1"/>
  <c r="N1379" i="1"/>
  <c r="N1375" i="1"/>
  <c r="N1371" i="1"/>
  <c r="N1367" i="1"/>
  <c r="N1363" i="1"/>
  <c r="N1359" i="1"/>
  <c r="N1355" i="1"/>
  <c r="N1351" i="1"/>
  <c r="N1347" i="1"/>
  <c r="N1343" i="1"/>
  <c r="N1332" i="1"/>
  <c r="N1560" i="1"/>
  <c r="N1536" i="1"/>
  <c r="N1489" i="1"/>
  <c r="N1477" i="1"/>
  <c r="N1465" i="1"/>
  <c r="N1484" i="1"/>
  <c r="N1472" i="1"/>
  <c r="N1491" i="1"/>
  <c r="N1479" i="1"/>
  <c r="N1467" i="1"/>
  <c r="N1460" i="1"/>
  <c r="N1458" i="1"/>
  <c r="N1456" i="1"/>
  <c r="N1454" i="1"/>
  <c r="N1452" i="1"/>
  <c r="N1450" i="1"/>
  <c r="N1448" i="1"/>
  <c r="N1446" i="1"/>
  <c r="N1444" i="1"/>
  <c r="N1607" i="1"/>
  <c r="N1486" i="1"/>
  <c r="N1474" i="1"/>
  <c r="N1462" i="1"/>
  <c r="N1483" i="1"/>
  <c r="N1471" i="1"/>
  <c r="N1421" i="1"/>
  <c r="N1339" i="1"/>
  <c r="N1469" i="1"/>
  <c r="N1476" i="1"/>
  <c r="N1568" i="1"/>
  <c r="N1377" i="1"/>
  <c r="N1373" i="1"/>
  <c r="N1369" i="1"/>
  <c r="N1365" i="1"/>
  <c r="N1361" i="1"/>
  <c r="N1357" i="1"/>
  <c r="N1353" i="1"/>
  <c r="N1349" i="1"/>
  <c r="N1345" i="1"/>
  <c r="N1428" i="1"/>
  <c r="N1416" i="1"/>
  <c r="N1464" i="1"/>
  <c r="N1338" i="1"/>
  <c r="N1423" i="1"/>
  <c r="N1544" i="1"/>
  <c r="N1512" i="1"/>
  <c r="N1481" i="1"/>
  <c r="N1095" i="1"/>
  <c r="N1092" i="1"/>
  <c r="N1089" i="1"/>
  <c r="N1086" i="1"/>
  <c r="N1081" i="1"/>
  <c r="N1069" i="1"/>
  <c r="N1055" i="1"/>
  <c r="N1043" i="1"/>
  <c r="N1040" i="1"/>
  <c r="N1037" i="1"/>
  <c r="N1034" i="1"/>
  <c r="N1031" i="1"/>
  <c r="N1028" i="1"/>
  <c r="N1025" i="1"/>
  <c r="N964" i="1"/>
  <c r="N958" i="1"/>
  <c r="N952" i="1"/>
  <c r="N946" i="1"/>
  <c r="N940" i="1"/>
  <c r="N934" i="1"/>
  <c r="N927" i="1"/>
  <c r="N915" i="1"/>
  <c r="N903" i="1"/>
  <c r="N766" i="1"/>
  <c r="N754" i="1"/>
  <c r="N742" i="1"/>
  <c r="N730" i="1"/>
  <c r="N718" i="1"/>
  <c r="N706" i="1"/>
  <c r="N951" i="1"/>
  <c r="N1076" i="1"/>
  <c r="N1064" i="1"/>
  <c r="N1060" i="1"/>
  <c r="N1048" i="1"/>
  <c r="N1022" i="1"/>
  <c r="N973" i="1"/>
  <c r="N933" i="1"/>
  <c r="N925" i="1"/>
  <c r="N764" i="1"/>
  <c r="N1083" i="1"/>
  <c r="N1071" i="1"/>
  <c r="N1053" i="1"/>
  <c r="N1009" i="1"/>
  <c r="N985" i="1"/>
  <c r="N939" i="1"/>
  <c r="N1078" i="1"/>
  <c r="N1066" i="1"/>
  <c r="N1058" i="1"/>
  <c r="N1046" i="1"/>
  <c r="N918" i="1"/>
  <c r="N906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1079" i="1"/>
  <c r="N1067" i="1"/>
  <c r="N945" i="1"/>
  <c r="N901" i="1"/>
  <c r="N1337" i="1"/>
  <c r="N1094" i="1"/>
  <c r="N1091" i="1"/>
  <c r="N1088" i="1"/>
  <c r="N1085" i="1"/>
  <c r="N1073" i="1"/>
  <c r="N1051" i="1"/>
  <c r="N1041" i="1"/>
  <c r="N1038" i="1"/>
  <c r="N1035" i="1"/>
  <c r="N1032" i="1"/>
  <c r="N1029" i="1"/>
  <c r="N1026" i="1"/>
  <c r="N1023" i="1"/>
  <c r="N1019" i="1"/>
  <c r="N1015" i="1"/>
  <c r="N1011" i="1"/>
  <c r="N1007" i="1"/>
  <c r="N1003" i="1"/>
  <c r="N999" i="1"/>
  <c r="N995" i="1"/>
  <c r="N991" i="1"/>
  <c r="N987" i="1"/>
  <c r="N983" i="1"/>
  <c r="N979" i="1"/>
  <c r="N975" i="1"/>
  <c r="N971" i="1"/>
  <c r="N966" i="1"/>
  <c r="N960" i="1"/>
  <c r="N954" i="1"/>
  <c r="N948" i="1"/>
  <c r="N942" i="1"/>
  <c r="N936" i="1"/>
  <c r="N930" i="1"/>
  <c r="N2939" i="1"/>
  <c r="N989" i="1"/>
  <c r="N963" i="1"/>
  <c r="N1080" i="1"/>
  <c r="N1068" i="1"/>
  <c r="N1056" i="1"/>
  <c r="N1044" i="1"/>
  <c r="N920" i="1"/>
  <c r="N908" i="1"/>
  <c r="N896" i="1"/>
  <c r="N759" i="1"/>
  <c r="N747" i="1"/>
  <c r="N735" i="1"/>
  <c r="N723" i="1"/>
  <c r="N711" i="1"/>
  <c r="N1045" i="1"/>
  <c r="N1075" i="1"/>
  <c r="N1063" i="1"/>
  <c r="N1061" i="1"/>
  <c r="N1049" i="1"/>
  <c r="N1021" i="1"/>
  <c r="N1005" i="1"/>
  <c r="N913" i="1"/>
  <c r="N1082" i="1"/>
  <c r="N1070" i="1"/>
  <c r="N1054" i="1"/>
  <c r="N1020" i="1"/>
  <c r="N1016" i="1"/>
  <c r="N1012" i="1"/>
  <c r="N1008" i="1"/>
  <c r="N1004" i="1"/>
  <c r="N1000" i="1"/>
  <c r="N996" i="1"/>
  <c r="N992" i="1"/>
  <c r="N988" i="1"/>
  <c r="N984" i="1"/>
  <c r="N980" i="1"/>
  <c r="N976" i="1"/>
  <c r="N972" i="1"/>
  <c r="N1488" i="1"/>
  <c r="N1096" i="1"/>
  <c r="N1093" i="1"/>
  <c r="N1090" i="1"/>
  <c r="N1087" i="1"/>
  <c r="N1077" i="1"/>
  <c r="N1065" i="1"/>
  <c r="N1059" i="1"/>
  <c r="N1047" i="1"/>
  <c r="N1042" i="1"/>
  <c r="N1039" i="1"/>
  <c r="N1036" i="1"/>
  <c r="N1033" i="1"/>
  <c r="N1030" i="1"/>
  <c r="N1027" i="1"/>
  <c r="N1024" i="1"/>
  <c r="N1013" i="1"/>
  <c r="N997" i="1"/>
  <c r="N981" i="1"/>
  <c r="N969" i="1"/>
  <c r="N1084" i="1"/>
  <c r="N1072" i="1"/>
  <c r="N1052" i="1"/>
  <c r="N1017" i="1"/>
  <c r="N993" i="1"/>
  <c r="N977" i="1"/>
  <c r="N957" i="1"/>
  <c r="N1074" i="1"/>
  <c r="N1062" i="1"/>
  <c r="N1050" i="1"/>
  <c r="N926" i="1"/>
  <c r="N914" i="1"/>
  <c r="N902" i="1"/>
  <c r="N765" i="1"/>
  <c r="N753" i="1"/>
  <c r="N741" i="1"/>
  <c r="N729" i="1"/>
  <c r="N717" i="1"/>
  <c r="N1057" i="1"/>
  <c r="N1001" i="1"/>
  <c r="N752" i="1"/>
  <c r="N716" i="1"/>
  <c r="N740" i="1"/>
  <c r="N728" i="1"/>
  <c r="N955" i="1"/>
  <c r="N986" i="1"/>
  <c r="N931" i="1"/>
  <c r="N719" i="1"/>
  <c r="N961" i="1"/>
  <c r="N727" i="1"/>
  <c r="N900" i="1"/>
  <c r="N922" i="1"/>
  <c r="N712" i="1"/>
  <c r="N734" i="1"/>
  <c r="N919" i="1"/>
  <c r="N779" i="1"/>
  <c r="N990" i="1"/>
  <c r="N750" i="1"/>
  <c r="N923" i="1"/>
  <c r="N994" i="1"/>
  <c r="N949" i="1"/>
  <c r="N767" i="1"/>
  <c r="N932" i="1"/>
  <c r="N749" i="1"/>
  <c r="N1395" i="1"/>
  <c r="N895" i="1"/>
  <c r="N721" i="1"/>
  <c r="N769" i="1"/>
  <c r="N781" i="1"/>
  <c r="N1134" i="1"/>
  <c r="N1244" i="1"/>
  <c r="N1157" i="1"/>
  <c r="N1195" i="1"/>
  <c r="N1235" i="1"/>
  <c r="N1283" i="1"/>
  <c r="N1252" i="1"/>
  <c r="N998" i="1"/>
  <c r="N739" i="1"/>
  <c r="N912" i="1"/>
  <c r="N938" i="1"/>
  <c r="N724" i="1"/>
  <c r="N746" i="1"/>
  <c r="N770" i="1"/>
  <c r="N782" i="1"/>
  <c r="N744" i="1"/>
  <c r="N917" i="1"/>
  <c r="N725" i="1"/>
  <c r="N1002" i="1"/>
  <c r="N967" i="1"/>
  <c r="N762" i="1"/>
  <c r="N944" i="1"/>
  <c r="N761" i="1"/>
  <c r="N1006" i="1"/>
  <c r="N950" i="1"/>
  <c r="N1407" i="1"/>
  <c r="N916" i="1"/>
  <c r="N1010" i="1"/>
  <c r="N751" i="1"/>
  <c r="N924" i="1"/>
  <c r="N714" i="1"/>
  <c r="N956" i="1"/>
  <c r="N898" i="1"/>
  <c r="N736" i="1"/>
  <c r="N710" i="1"/>
  <c r="N758" i="1"/>
  <c r="N773" i="1"/>
  <c r="N1261" i="1"/>
  <c r="N708" i="1"/>
  <c r="N756" i="1"/>
  <c r="N929" i="1"/>
  <c r="N1014" i="1"/>
  <c r="N743" i="1"/>
  <c r="N748" i="1"/>
  <c r="N713" i="1"/>
  <c r="N1297" i="1"/>
  <c r="N899" i="1"/>
  <c r="N962" i="1"/>
  <c r="N1097" i="1"/>
  <c r="N907" i="1"/>
  <c r="N928" i="1"/>
  <c r="N921" i="1"/>
  <c r="N970" i="1"/>
  <c r="N1018" i="1"/>
  <c r="N755" i="1"/>
  <c r="N726" i="1"/>
  <c r="N968" i="1"/>
  <c r="N745" i="1"/>
  <c r="N775" i="1"/>
  <c r="N707" i="1"/>
  <c r="N974" i="1"/>
  <c r="N737" i="1"/>
  <c r="N715" i="1"/>
  <c r="N763" i="1"/>
  <c r="N910" i="1"/>
  <c r="N1249" i="1"/>
  <c r="N722" i="1"/>
  <c r="N776" i="1"/>
  <c r="N720" i="1"/>
  <c r="N768" i="1"/>
  <c r="N941" i="1"/>
  <c r="N731" i="1"/>
  <c r="N937" i="1"/>
  <c r="N904" i="1"/>
  <c r="N978" i="1"/>
  <c r="N897" i="1"/>
  <c r="N943" i="1"/>
  <c r="N1285" i="1"/>
  <c r="N738" i="1"/>
  <c r="N911" i="1"/>
  <c r="N1237" i="1"/>
  <c r="N760" i="1"/>
  <c r="N1321" i="1"/>
  <c r="N777" i="1"/>
  <c r="N947" i="1"/>
  <c r="N1118" i="1"/>
  <c r="N1436" i="1"/>
  <c r="N1230" i="1"/>
  <c r="N1278" i="1"/>
  <c r="N1427" i="1"/>
  <c r="N1141" i="1"/>
  <c r="N1183" i="1"/>
  <c r="N909" i="1"/>
  <c r="N778" i="1"/>
  <c r="N935" i="1"/>
  <c r="N1108" i="1"/>
  <c r="N1162" i="1"/>
  <c r="N1326" i="1"/>
  <c r="N1149" i="1"/>
  <c r="N1198" i="1"/>
  <c r="N1307" i="1"/>
  <c r="N1300" i="1"/>
  <c r="N1348" i="1"/>
  <c r="N1372" i="1"/>
  <c r="N1693" i="1"/>
  <c r="N1099" i="1"/>
  <c r="N1140" i="1"/>
  <c r="N1250" i="1"/>
  <c r="N1170" i="1"/>
  <c r="N1206" i="1"/>
  <c r="N1243" i="1"/>
  <c r="N1291" i="1"/>
  <c r="N1119" i="1"/>
  <c r="N1270" i="1"/>
  <c r="N1169" i="1"/>
  <c r="N1205" i="1"/>
  <c r="N1594" i="1"/>
  <c r="N1695" i="1"/>
  <c r="N1604" i="1"/>
  <c r="N1638" i="1"/>
  <c r="N1634" i="1"/>
  <c r="N1869" i="1"/>
  <c r="N1825" i="1"/>
  <c r="N1654" i="1"/>
  <c r="N1729" i="1"/>
  <c r="N1841" i="1"/>
  <c r="N1804" i="1"/>
  <c r="N2072" i="1"/>
  <c r="N1725" i="1"/>
  <c r="N1823" i="1"/>
  <c r="N982" i="1"/>
  <c r="N780" i="1"/>
  <c r="N953" i="1"/>
  <c r="N1232" i="1"/>
  <c r="N1292" i="1"/>
  <c r="N1554" i="1"/>
  <c r="N1153" i="1"/>
  <c r="N1201" i="1"/>
  <c r="N1247" i="1"/>
  <c r="N1312" i="1"/>
  <c r="N1233" i="1"/>
  <c r="N1281" i="1"/>
  <c r="N1144" i="1"/>
  <c r="N1310" i="1"/>
  <c r="N1173" i="1"/>
  <c r="N1209" i="1"/>
  <c r="N1401" i="1"/>
  <c r="N1296" i="1"/>
  <c r="N1123" i="1"/>
  <c r="N1109" i="1"/>
  <c r="N1172" i="1"/>
  <c r="N1208" i="1"/>
  <c r="N1630" i="1"/>
  <c r="N1605" i="1"/>
  <c r="N1593" i="1"/>
  <c r="N1541" i="1"/>
  <c r="N1565" i="1"/>
  <c r="N1715" i="1"/>
  <c r="N1598" i="1"/>
  <c r="N1777" i="1"/>
  <c r="N1566" i="1"/>
  <c r="N1539" i="1"/>
  <c r="N1563" i="1"/>
  <c r="N1616" i="1"/>
  <c r="N1674" i="1"/>
  <c r="N1833" i="1"/>
  <c r="N1641" i="1"/>
  <c r="N1677" i="1"/>
  <c r="N1658" i="1"/>
  <c r="N1704" i="1"/>
  <c r="N1751" i="1"/>
  <c r="N1817" i="1"/>
  <c r="N1656" i="1"/>
  <c r="N1714" i="1"/>
  <c r="N1875" i="1"/>
  <c r="N1690" i="1"/>
  <c r="N1832" i="1"/>
  <c r="N2023" i="1"/>
  <c r="N2492" i="1"/>
  <c r="N2103" i="1"/>
  <c r="N733" i="1"/>
  <c r="N783" i="1"/>
  <c r="N959" i="1"/>
  <c r="N1098" i="1"/>
  <c r="N1114" i="1"/>
  <c r="N1304" i="1"/>
  <c r="N1101" i="1"/>
  <c r="N1266" i="1"/>
  <c r="N1334" i="1"/>
  <c r="N1161" i="1"/>
  <c r="N1204" i="1"/>
  <c r="N1319" i="1"/>
  <c r="N1352" i="1"/>
  <c r="N1376" i="1"/>
  <c r="N1105" i="1"/>
  <c r="N1148" i="1"/>
  <c r="N1176" i="1"/>
  <c r="N1212" i="1"/>
  <c r="N1248" i="1"/>
  <c r="N1434" i="1"/>
  <c r="N1127" i="1"/>
  <c r="N1277" i="1"/>
  <c r="N1417" i="1"/>
  <c r="N1175" i="1"/>
  <c r="N1211" i="1"/>
  <c r="N1239" i="1"/>
  <c r="N1287" i="1"/>
  <c r="N1580" i="1"/>
  <c r="N1599" i="1"/>
  <c r="N1675" i="1"/>
  <c r="N1646" i="1"/>
  <c r="N1602" i="1"/>
  <c r="N1639" i="1"/>
  <c r="N1659" i="1"/>
  <c r="N1679" i="1"/>
  <c r="N1648" i="1"/>
  <c r="N1684" i="1"/>
  <c r="N1861" i="1"/>
  <c r="N1809" i="1"/>
  <c r="N1865" i="1"/>
  <c r="N1764" i="1"/>
  <c r="N1808" i="1"/>
  <c r="N1737" i="1"/>
  <c r="N1803" i="1"/>
  <c r="N1827" i="1"/>
  <c r="N2149" i="1"/>
  <c r="N2140" i="1"/>
  <c r="N1383" i="1"/>
  <c r="N965" i="1"/>
  <c r="N1122" i="1"/>
  <c r="N1107" i="1"/>
  <c r="N1165" i="1"/>
  <c r="N1207" i="1"/>
  <c r="N1324" i="1"/>
  <c r="N1293" i="1"/>
  <c r="N1420" i="1"/>
  <c r="N1152" i="1"/>
  <c r="N1262" i="1"/>
  <c r="N1322" i="1"/>
  <c r="N1179" i="1"/>
  <c r="N1215" i="1"/>
  <c r="N1255" i="1"/>
  <c r="N1303" i="1"/>
  <c r="N1308" i="1"/>
  <c r="N1131" i="1"/>
  <c r="N1282" i="1"/>
  <c r="N1178" i="1"/>
  <c r="N1214" i="1"/>
  <c r="N1584" i="1"/>
  <c r="N1612" i="1"/>
  <c r="N1712" i="1"/>
  <c r="N1543" i="1"/>
  <c r="N1567" i="1"/>
  <c r="N1617" i="1"/>
  <c r="N1652" i="1"/>
  <c r="N1765" i="1"/>
  <c r="N1553" i="1"/>
  <c r="N1574" i="1"/>
  <c r="N1700" i="1"/>
  <c r="N1750" i="1"/>
  <c r="N1853" i="1"/>
  <c r="N1738" i="1"/>
  <c r="N1805" i="1"/>
  <c r="N1847" i="1"/>
  <c r="N1779" i="1"/>
  <c r="N1855" i="1"/>
  <c r="N1812" i="1"/>
  <c r="N1838" i="1"/>
  <c r="N2164" i="1"/>
  <c r="N2304" i="1"/>
  <c r="N2116" i="1"/>
  <c r="N1955" i="1"/>
  <c r="N1126" i="1"/>
  <c r="N1316" i="1"/>
  <c r="N1168" i="1"/>
  <c r="N1210" i="1"/>
  <c r="N1259" i="1"/>
  <c r="N1100" i="1"/>
  <c r="N1264" i="1"/>
  <c r="N1356" i="1"/>
  <c r="N1380" i="1"/>
  <c r="N1245" i="1"/>
  <c r="N1111" i="1"/>
  <c r="N1156" i="1"/>
  <c r="N1182" i="1"/>
  <c r="N1413" i="1"/>
  <c r="N1135" i="1"/>
  <c r="N1229" i="1"/>
  <c r="N1429" i="1"/>
  <c r="N1234" i="1"/>
  <c r="N1181" i="1"/>
  <c r="N1217" i="1"/>
  <c r="N1299" i="1"/>
  <c r="N1546" i="1"/>
  <c r="N1614" i="1"/>
  <c r="N1640" i="1"/>
  <c r="N1632" i="1"/>
  <c r="N1645" i="1"/>
  <c r="N1755" i="1"/>
  <c r="N1619" i="1"/>
  <c r="N1649" i="1"/>
  <c r="N1611" i="1"/>
  <c r="N1760" i="1"/>
  <c r="N1772" i="1"/>
  <c r="N1784" i="1"/>
  <c r="N1792" i="1"/>
  <c r="N1692" i="1"/>
  <c r="N1762" i="1"/>
  <c r="N1666" i="1"/>
  <c r="N1776" i="1"/>
  <c r="N1749" i="1"/>
  <c r="N1807" i="1"/>
  <c r="N1831" i="1"/>
  <c r="N1842" i="1"/>
  <c r="N2214" i="1"/>
  <c r="N1130" i="1"/>
  <c r="N1113" i="1"/>
  <c r="N1117" i="1"/>
  <c r="N1171" i="1"/>
  <c r="N1213" i="1"/>
  <c r="N1106" i="1"/>
  <c r="N1432" i="1"/>
  <c r="N1305" i="1"/>
  <c r="N1160" i="1"/>
  <c r="N1185" i="1"/>
  <c r="N1315" i="1"/>
  <c r="N1260" i="1"/>
  <c r="N1320" i="1"/>
  <c r="N1440" i="1"/>
  <c r="N1139" i="1"/>
  <c r="N1289" i="1"/>
  <c r="N1294" i="1"/>
  <c r="N1386" i="1"/>
  <c r="N1184" i="1"/>
  <c r="N1219" i="1"/>
  <c r="N1251" i="1"/>
  <c r="N1538" i="1"/>
  <c r="N1549" i="1"/>
  <c r="N1573" i="1"/>
  <c r="N1622" i="1"/>
  <c r="N1606" i="1"/>
  <c r="N1845" i="1"/>
  <c r="N1849" i="1"/>
  <c r="N1534" i="1"/>
  <c r="N1547" i="1"/>
  <c r="N1571" i="1"/>
  <c r="N1650" i="1"/>
  <c r="N1686" i="1"/>
  <c r="N1643" i="1"/>
  <c r="N1691" i="1"/>
  <c r="N1748" i="1"/>
  <c r="N1775" i="1"/>
  <c r="N1867" i="1"/>
  <c r="N1653" i="1"/>
  <c r="N1689" i="1"/>
  <c r="N1736" i="1"/>
  <c r="N1857" i="1"/>
  <c r="N1670" i="1"/>
  <c r="N1767" i="1"/>
  <c r="N1797" i="1"/>
  <c r="N1724" i="1"/>
  <c r="N1731" i="1"/>
  <c r="N1798" i="1"/>
  <c r="N1787" i="1"/>
  <c r="N1816" i="1"/>
  <c r="N2261" i="1"/>
  <c r="N1309" i="1"/>
  <c r="N757" i="1"/>
  <c r="N1138" i="1"/>
  <c r="N1256" i="1"/>
  <c r="N1121" i="1"/>
  <c r="N1174" i="1"/>
  <c r="N1216" i="1"/>
  <c r="N1271" i="1"/>
  <c r="N1112" i="1"/>
  <c r="N1228" i="1"/>
  <c r="N1360" i="1"/>
  <c r="N1116" i="1"/>
  <c r="N1164" i="1"/>
  <c r="N1274" i="1"/>
  <c r="N1188" i="1"/>
  <c r="N1267" i="1"/>
  <c r="N1143" i="1"/>
  <c r="N1241" i="1"/>
  <c r="N1246" i="1"/>
  <c r="N1187" i="1"/>
  <c r="N1221" i="1"/>
  <c r="N1418" i="1"/>
  <c r="N1570" i="1"/>
  <c r="N1681" i="1"/>
  <c r="N1637" i="1"/>
  <c r="N1657" i="1"/>
  <c r="N1624" i="1"/>
  <c r="N1671" i="1"/>
  <c r="N1728" i="1"/>
  <c r="N1660" i="1"/>
  <c r="N1687" i="1"/>
  <c r="N1668" i="1"/>
  <c r="N1840" i="1"/>
  <c r="N1702" i="1"/>
  <c r="N1752" i="1"/>
  <c r="N1761" i="1"/>
  <c r="N1811" i="1"/>
  <c r="N1835" i="1"/>
  <c r="N1956" i="1"/>
  <c r="N2039" i="1"/>
  <c r="N1957" i="1"/>
  <c r="N905" i="1"/>
  <c r="N1273" i="1"/>
  <c r="N1142" i="1"/>
  <c r="N1290" i="1"/>
  <c r="N1125" i="1"/>
  <c r="N1177" i="1"/>
  <c r="N1276" i="1"/>
  <c r="N1335" i="1"/>
  <c r="N1392" i="1"/>
  <c r="N1218" i="1"/>
  <c r="N1257" i="1"/>
  <c r="N1317" i="1"/>
  <c r="N1120" i="1"/>
  <c r="N1191" i="1"/>
  <c r="N1104" i="1"/>
  <c r="N1147" i="1"/>
  <c r="N1301" i="1"/>
  <c r="N1306" i="1"/>
  <c r="N1190" i="1"/>
  <c r="N1223" i="1"/>
  <c r="N1311" i="1"/>
  <c r="N1740" i="1"/>
  <c r="N1719" i="1"/>
  <c r="N1341" i="1"/>
  <c r="N1562" i="1"/>
  <c r="N1575" i="1"/>
  <c r="N1651" i="1"/>
  <c r="N1626" i="1"/>
  <c r="N1551" i="1"/>
  <c r="N1627" i="1"/>
  <c r="N1618" i="1"/>
  <c r="N1664" i="1"/>
  <c r="N1537" i="1"/>
  <c r="N1561" i="1"/>
  <c r="N1583" i="1"/>
  <c r="N1628" i="1"/>
  <c r="N1542" i="1"/>
  <c r="N1589" i="1"/>
  <c r="N1774" i="1"/>
  <c r="N1786" i="1"/>
  <c r="N1877" i="1"/>
  <c r="N1726" i="1"/>
  <c r="N1871" i="1"/>
  <c r="N1879" i="1"/>
  <c r="N1793" i="1"/>
  <c r="N1820" i="1"/>
  <c r="N1146" i="1"/>
  <c r="N1302" i="1"/>
  <c r="N1129" i="1"/>
  <c r="N1180" i="1"/>
  <c r="N1364" i="1"/>
  <c r="N1438" i="1"/>
  <c r="N1220" i="1"/>
  <c r="N1124" i="1"/>
  <c r="N1194" i="1"/>
  <c r="N1336" i="1"/>
  <c r="N1272" i="1"/>
  <c r="N1151" i="1"/>
  <c r="N1253" i="1"/>
  <c r="N1398" i="1"/>
  <c r="N1193" i="1"/>
  <c r="N1225" i="1"/>
  <c r="N1263" i="1"/>
  <c r="N1509" i="1"/>
  <c r="N1635" i="1"/>
  <c r="N1621" i="1"/>
  <c r="N1586" i="1"/>
  <c r="N1636" i="1"/>
  <c r="N1581" i="1"/>
  <c r="N1859" i="1"/>
  <c r="N1595" i="1"/>
  <c r="N1629" i="1"/>
  <c r="N1688" i="1"/>
  <c r="N1576" i="1"/>
  <c r="N1791" i="1"/>
  <c r="N1655" i="1"/>
  <c r="N1644" i="1"/>
  <c r="N1739" i="1"/>
  <c r="N1642" i="1"/>
  <c r="N1678" i="1"/>
  <c r="N1829" i="1"/>
  <c r="N1701" i="1"/>
  <c r="N1773" i="1"/>
  <c r="N1815" i="1"/>
  <c r="N709" i="1"/>
  <c r="N771" i="1"/>
  <c r="N1150" i="1"/>
  <c r="N1268" i="1"/>
  <c r="N1242" i="1"/>
  <c r="N1133" i="1"/>
  <c r="N1186" i="1"/>
  <c r="N1222" i="1"/>
  <c r="N1673" i="1"/>
  <c r="N1128" i="1"/>
  <c r="N1238" i="1"/>
  <c r="N1286" i="1"/>
  <c r="N1197" i="1"/>
  <c r="N1231" i="1"/>
  <c r="N1279" i="1"/>
  <c r="N1110" i="1"/>
  <c r="N1155" i="1"/>
  <c r="N1313" i="1"/>
  <c r="N1258" i="1"/>
  <c r="N1318" i="1"/>
  <c r="N1196" i="1"/>
  <c r="N1227" i="1"/>
  <c r="N1323" i="1"/>
  <c r="N1430" i="1"/>
  <c r="N1620" i="1"/>
  <c r="N1533" i="1"/>
  <c r="N1557" i="1"/>
  <c r="N1510" i="1"/>
  <c r="N1631" i="1"/>
  <c r="N1623" i="1"/>
  <c r="N1821" i="1"/>
  <c r="N1587" i="1"/>
  <c r="N1633" i="1"/>
  <c r="N1676" i="1"/>
  <c r="N1873" i="1"/>
  <c r="N1550" i="1"/>
  <c r="N1555" i="1"/>
  <c r="N1661" i="1"/>
  <c r="N1662" i="1"/>
  <c r="N1665" i="1"/>
  <c r="N1682" i="1"/>
  <c r="N1741" i="1"/>
  <c r="N1851" i="1"/>
  <c r="N2048" i="1"/>
  <c r="N1799" i="1"/>
  <c r="N1824" i="1"/>
  <c r="N1951" i="1"/>
  <c r="N2028" i="1"/>
  <c r="N2137" i="1"/>
  <c r="N2059" i="1"/>
  <c r="N2087" i="1"/>
  <c r="N2036" i="1"/>
  <c r="N1158" i="1"/>
  <c r="N1254" i="1"/>
  <c r="N1404" i="1"/>
  <c r="N1625" i="1"/>
  <c r="N1559" i="1"/>
  <c r="N1545" i="1"/>
  <c r="N1600" i="1"/>
  <c r="N1669" i="1"/>
  <c r="N1683" i="1"/>
  <c r="N1863" i="1"/>
  <c r="N1713" i="1"/>
  <c r="N2041" i="1"/>
  <c r="N2146" i="1"/>
  <c r="N2466" i="1"/>
  <c r="N2047" i="1"/>
  <c r="N2024" i="1"/>
  <c r="N2231" i="1"/>
  <c r="N2086" i="1"/>
  <c r="N2543" i="1"/>
  <c r="N2364" i="1"/>
  <c r="N2213" i="1"/>
  <c r="N2303" i="1"/>
  <c r="N2503" i="1"/>
  <c r="N2444" i="1"/>
  <c r="N2211" i="1"/>
  <c r="N2247" i="1"/>
  <c r="N2283" i="1"/>
  <c r="N2480" i="1"/>
  <c r="N2246" i="1"/>
  <c r="N2282" i="1"/>
  <c r="N2645" i="1"/>
  <c r="N2541" i="1"/>
  <c r="N2628" i="1"/>
  <c r="N2534" i="1"/>
  <c r="N2542" i="1"/>
  <c r="N2360" i="1"/>
  <c r="N2420" i="1"/>
  <c r="N2597" i="1"/>
  <c r="N2639" i="1"/>
  <c r="N2533" i="1"/>
  <c r="N2580" i="1"/>
  <c r="N2655" i="1"/>
  <c r="N2636" i="1"/>
  <c r="N2648" i="1"/>
  <c r="N2732" i="1"/>
  <c r="N2721" i="1"/>
  <c r="N2749" i="1"/>
  <c r="N772" i="1"/>
  <c r="N1314" i="1"/>
  <c r="N1284" i="1"/>
  <c r="N1663" i="1"/>
  <c r="N1727" i="1"/>
  <c r="N2058" i="1"/>
  <c r="N2043" i="1"/>
  <c r="N1965" i="1"/>
  <c r="N2190" i="1"/>
  <c r="N2056" i="1"/>
  <c r="N2118" i="1"/>
  <c r="N2136" i="1"/>
  <c r="N2198" i="1"/>
  <c r="N2093" i="1"/>
  <c r="N2519" i="1"/>
  <c r="N2475" i="1"/>
  <c r="N2359" i="1"/>
  <c r="N2511" i="1"/>
  <c r="N2366" i="1"/>
  <c r="N2484" i="1"/>
  <c r="N2544" i="1"/>
  <c r="N2491" i="1"/>
  <c r="N2500" i="1"/>
  <c r="N2512" i="1"/>
  <c r="N2524" i="1"/>
  <c r="N2426" i="1"/>
  <c r="N2579" i="1"/>
  <c r="N2614" i="1"/>
  <c r="N2616" i="1"/>
  <c r="N2651" i="1"/>
  <c r="N2618" i="1"/>
  <c r="N2723" i="1"/>
  <c r="N2669" i="1"/>
  <c r="N2742" i="1"/>
  <c r="N2747" i="1"/>
  <c r="N2693" i="1"/>
  <c r="N2720" i="1"/>
  <c r="N2684" i="1"/>
  <c r="N2679" i="1"/>
  <c r="N2862" i="1"/>
  <c r="N2874" i="1"/>
  <c r="N774" i="1"/>
  <c r="N732" i="1"/>
  <c r="N1280" i="1"/>
  <c r="N1295" i="1"/>
  <c r="N1275" i="1"/>
  <c r="N1535" i="1"/>
  <c r="N1672" i="1"/>
  <c r="N1785" i="1"/>
  <c r="N2274" i="1"/>
  <c r="N2029" i="1"/>
  <c r="N2110" i="1"/>
  <c r="N2083" i="1"/>
  <c r="N2237" i="1"/>
  <c r="N2207" i="1"/>
  <c r="N2090" i="1"/>
  <c r="N2154" i="1"/>
  <c r="N2297" i="1"/>
  <c r="N2285" i="1"/>
  <c r="N2071" i="1"/>
  <c r="N2387" i="1"/>
  <c r="N2509" i="1"/>
  <c r="N2448" i="1"/>
  <c r="N2217" i="1"/>
  <c r="N2253" i="1"/>
  <c r="N2289" i="1"/>
  <c r="N2252" i="1"/>
  <c r="N2288" i="1"/>
  <c r="N2539" i="1"/>
  <c r="N2432" i="1"/>
  <c r="N2488" i="1"/>
  <c r="N2600" i="1"/>
  <c r="N2756" i="1"/>
  <c r="N2638" i="1"/>
  <c r="N2649" i="1"/>
  <c r="N2744" i="1"/>
  <c r="N2701" i="1"/>
  <c r="N2725" i="1"/>
  <c r="N2674" i="1"/>
  <c r="N2662" i="1"/>
  <c r="N2722" i="1"/>
  <c r="N2755" i="1"/>
  <c r="N1240" i="1"/>
  <c r="N1167" i="1"/>
  <c r="N1115" i="1"/>
  <c r="N1667" i="1"/>
  <c r="N1958" i="1"/>
  <c r="N2037" i="1"/>
  <c r="N2079" i="1"/>
  <c r="N2180" i="1"/>
  <c r="N2022" i="1"/>
  <c r="N2192" i="1"/>
  <c r="N2226" i="1"/>
  <c r="N2423" i="1"/>
  <c r="N2210" i="1"/>
  <c r="N2121" i="1"/>
  <c r="N2139" i="1"/>
  <c r="N2097" i="1"/>
  <c r="N2525" i="1"/>
  <c r="N2517" i="1"/>
  <c r="N2378" i="1"/>
  <c r="N2641" i="1"/>
  <c r="N2537" i="1"/>
  <c r="N2502" i="1"/>
  <c r="N2514" i="1"/>
  <c r="N2526" i="1"/>
  <c r="N2372" i="1"/>
  <c r="N2438" i="1"/>
  <c r="N2493" i="1"/>
  <c r="N2547" i="1"/>
  <c r="N2603" i="1"/>
  <c r="N2591" i="1"/>
  <c r="N2556" i="1"/>
  <c r="N2635" i="1"/>
  <c r="N2617" i="1"/>
  <c r="N2661" i="1"/>
  <c r="N2619" i="1"/>
  <c r="N2621" i="1"/>
  <c r="N2703" i="1"/>
  <c r="N2678" i="1"/>
  <c r="N2668" i="1"/>
  <c r="N2673" i="1"/>
  <c r="N2697" i="1"/>
  <c r="N2750" i="1"/>
  <c r="N2700" i="1"/>
  <c r="N2724" i="1"/>
  <c r="N2688" i="1"/>
  <c r="N2683" i="1"/>
  <c r="N1288" i="1"/>
  <c r="N1368" i="1"/>
  <c r="N1200" i="1"/>
  <c r="N1159" i="1"/>
  <c r="N1333" i="1"/>
  <c r="N1647" i="1"/>
  <c r="N1828" i="1"/>
  <c r="N2157" i="1"/>
  <c r="N2119" i="1"/>
  <c r="N2025" i="1"/>
  <c r="N2255" i="1"/>
  <c r="N2128" i="1"/>
  <c r="N2091" i="1"/>
  <c r="N2243" i="1"/>
  <c r="N2411" i="1"/>
  <c r="N2186" i="1"/>
  <c r="N2232" i="1"/>
  <c r="N2485" i="1"/>
  <c r="N2435" i="1"/>
  <c r="N2094" i="1"/>
  <c r="N2169" i="1"/>
  <c r="N2267" i="1"/>
  <c r="N2429" i="1"/>
  <c r="N2382" i="1"/>
  <c r="N2536" i="1"/>
  <c r="N2515" i="1"/>
  <c r="N2452" i="1"/>
  <c r="N2223" i="1"/>
  <c r="N2259" i="1"/>
  <c r="N2295" i="1"/>
  <c r="N2222" i="1"/>
  <c r="N2258" i="1"/>
  <c r="N2294" i="1"/>
  <c r="N2546" i="1"/>
  <c r="N2477" i="1"/>
  <c r="N2462" i="1"/>
  <c r="N2442" i="1"/>
  <c r="N2461" i="1"/>
  <c r="N2640" i="1"/>
  <c r="N2705" i="1"/>
  <c r="N2762" i="1"/>
  <c r="N2682" i="1"/>
  <c r="N2754" i="1"/>
  <c r="N2752" i="1"/>
  <c r="N2702" i="1"/>
  <c r="N2666" i="1"/>
  <c r="N2779" i="1"/>
  <c r="N2801" i="1"/>
  <c r="N2825" i="1"/>
  <c r="N2784" i="1"/>
  <c r="N2808" i="1"/>
  <c r="N1415" i="1"/>
  <c r="N1224" i="1"/>
  <c r="N1203" i="1"/>
  <c r="N1163" i="1"/>
  <c r="N1813" i="1"/>
  <c r="N2060" i="1"/>
  <c r="N2162" i="1"/>
  <c r="N2256" i="1"/>
  <c r="N2238" i="1"/>
  <c r="N2181" i="1"/>
  <c r="N2124" i="1"/>
  <c r="N2142" i="1"/>
  <c r="N2176" i="1"/>
  <c r="N2077" i="1"/>
  <c r="N2101" i="1"/>
  <c r="N2531" i="1"/>
  <c r="N2469" i="1"/>
  <c r="N2523" i="1"/>
  <c r="N2654" i="1"/>
  <c r="N2465" i="1"/>
  <c r="N2486" i="1"/>
  <c r="N2504" i="1"/>
  <c r="N2516" i="1"/>
  <c r="N2528" i="1"/>
  <c r="N2446" i="1"/>
  <c r="N2552" i="1"/>
  <c r="N2464" i="1"/>
  <c r="N2606" i="1"/>
  <c r="N2545" i="1"/>
  <c r="N2478" i="1"/>
  <c r="N2569" i="1"/>
  <c r="N2620" i="1"/>
  <c r="N2622" i="1"/>
  <c r="N2670" i="1"/>
  <c r="N2707" i="1"/>
  <c r="N1137" i="1"/>
  <c r="N1226" i="1"/>
  <c r="N1132" i="1"/>
  <c r="N1425" i="1"/>
  <c r="N1558" i="1"/>
  <c r="N1578" i="1"/>
  <c r="N2027" i="1"/>
  <c r="N2031" i="1"/>
  <c r="N2095" i="1"/>
  <c r="N2074" i="1"/>
  <c r="N2143" i="1"/>
  <c r="N2053" i="1"/>
  <c r="N2099" i="1"/>
  <c r="N2204" i="1"/>
  <c r="N2249" i="1"/>
  <c r="N2244" i="1"/>
  <c r="N2098" i="1"/>
  <c r="N2196" i="1"/>
  <c r="N2280" i="1"/>
  <c r="N2548" i="1"/>
  <c r="N2521" i="1"/>
  <c r="N2456" i="1"/>
  <c r="N2193" i="1"/>
  <c r="N2229" i="1"/>
  <c r="N2265" i="1"/>
  <c r="N2301" i="1"/>
  <c r="N2163" i="1"/>
  <c r="N2228" i="1"/>
  <c r="N2264" i="1"/>
  <c r="N2300" i="1"/>
  <c r="N2487" i="1"/>
  <c r="N2664" i="1"/>
  <c r="N2637" i="1"/>
  <c r="N2468" i="1"/>
  <c r="N2496" i="1"/>
  <c r="N2373" i="1"/>
  <c r="N2384" i="1"/>
  <c r="N2450" i="1"/>
  <c r="N2555" i="1"/>
  <c r="N2467" i="1"/>
  <c r="N2609" i="1"/>
  <c r="N2538" i="1"/>
  <c r="N2632" i="1"/>
  <c r="N2642" i="1"/>
  <c r="N2653" i="1"/>
  <c r="N2575" i="1"/>
  <c r="N2631" i="1"/>
  <c r="N2709" i="1"/>
  <c r="N1442" i="1"/>
  <c r="N1145" i="1"/>
  <c r="N1269" i="1"/>
  <c r="N1136" i="1"/>
  <c r="N1265" i="1"/>
  <c r="N1166" i="1"/>
  <c r="N1508" i="1"/>
  <c r="N1703" i="1"/>
  <c r="N1680" i="1"/>
  <c r="N2122" i="1"/>
  <c r="N2035" i="1"/>
  <c r="N2250" i="1"/>
  <c r="N2393" i="1"/>
  <c r="N2032" i="1"/>
  <c r="N2109" i="1"/>
  <c r="N2127" i="1"/>
  <c r="N2145" i="1"/>
  <c r="N2183" i="1"/>
  <c r="N2081" i="1"/>
  <c r="N2105" i="1"/>
  <c r="N2189" i="1"/>
  <c r="N2273" i="1"/>
  <c r="N2182" i="1"/>
  <c r="N2501" i="1"/>
  <c r="N2586" i="1"/>
  <c r="N2460" i="1"/>
  <c r="N2529" i="1"/>
  <c r="N2482" i="1"/>
  <c r="N2489" i="1"/>
  <c r="N2551" i="1"/>
  <c r="N2471" i="1"/>
  <c r="N2549" i="1"/>
  <c r="N2506" i="1"/>
  <c r="N2518" i="1"/>
  <c r="N2530" i="1"/>
  <c r="N2390" i="1"/>
  <c r="N2454" i="1"/>
  <c r="N2470" i="1"/>
  <c r="N2483" i="1"/>
  <c r="N2581" i="1"/>
  <c r="N2623" i="1"/>
  <c r="N2630" i="1"/>
  <c r="N2625" i="1"/>
  <c r="N2627" i="1"/>
  <c r="N1189" i="1"/>
  <c r="N1103" i="1"/>
  <c r="N1199" i="1"/>
  <c r="N1705" i="1"/>
  <c r="N1819" i="1"/>
  <c r="N2051" i="1"/>
  <c r="N1954" i="1"/>
  <c r="N2113" i="1"/>
  <c r="N2399" i="1"/>
  <c r="N2066" i="1"/>
  <c r="N2219" i="1"/>
  <c r="N2107" i="1"/>
  <c r="N2262" i="1"/>
  <c r="N2202" i="1"/>
  <c r="N2170" i="1"/>
  <c r="N2078" i="1"/>
  <c r="N2102" i="1"/>
  <c r="N2405" i="1"/>
  <c r="N2279" i="1"/>
  <c r="N2358" i="1"/>
  <c r="N2527" i="1"/>
  <c r="N2383" i="1"/>
  <c r="N2199" i="1"/>
  <c r="N2235" i="1"/>
  <c r="N2271" i="1"/>
  <c r="N2175" i="1"/>
  <c r="N2234" i="1"/>
  <c r="N2270" i="1"/>
  <c r="N2370" i="1"/>
  <c r="N2474" i="1"/>
  <c r="N2532" i="1"/>
  <c r="N2479" i="1"/>
  <c r="N2643" i="1"/>
  <c r="N2396" i="1"/>
  <c r="N2458" i="1"/>
  <c r="N2562" i="1"/>
  <c r="N2473" i="1"/>
  <c r="N2644" i="1"/>
  <c r="N2626" i="1"/>
  <c r="N2713" i="1"/>
  <c r="N2698" i="1"/>
  <c r="N2735" i="1"/>
  <c r="N2667" i="1"/>
  <c r="N2758" i="1"/>
  <c r="N2710" i="1"/>
  <c r="N1102" i="1"/>
  <c r="N1192" i="1"/>
  <c r="N1344" i="1"/>
  <c r="N1325" i="1"/>
  <c r="N1410" i="1"/>
  <c r="N1202" i="1"/>
  <c r="N1424" i="1"/>
  <c r="N1685" i="1"/>
  <c r="N1592" i="1"/>
  <c r="N1963" i="1"/>
  <c r="N2068" i="1"/>
  <c r="N2152" i="1"/>
  <c r="N2055" i="1"/>
  <c r="N2112" i="1"/>
  <c r="N2130" i="1"/>
  <c r="N2148" i="1"/>
  <c r="N2187" i="1"/>
  <c r="N2085" i="1"/>
  <c r="N2286" i="1"/>
  <c r="N2507" i="1"/>
  <c r="N2376" i="1"/>
  <c r="N2592" i="1"/>
  <c r="N2499" i="1"/>
  <c r="N2554" i="1"/>
  <c r="N2633" i="1"/>
  <c r="N2508" i="1"/>
  <c r="N2520" i="1"/>
  <c r="N2402" i="1"/>
  <c r="N2476" i="1"/>
  <c r="N2593" i="1"/>
  <c r="N2888" i="1"/>
  <c r="N2624" i="1"/>
  <c r="N2612" i="1"/>
  <c r="N2715" i="1"/>
  <c r="N2730" i="1"/>
  <c r="N2773" i="1"/>
  <c r="N2685" i="1"/>
  <c r="N2712" i="1"/>
  <c r="N2676" i="1"/>
  <c r="N2695" i="1"/>
  <c r="N1590" i="1"/>
  <c r="N2220" i="1"/>
  <c r="N2291" i="1"/>
  <c r="N2563" i="1"/>
  <c r="N2277" i="1"/>
  <c r="N2719" i="1"/>
  <c r="N2681" i="1"/>
  <c r="N2708" i="1"/>
  <c r="N2817" i="1"/>
  <c r="N2820" i="1"/>
  <c r="N2782" i="1"/>
  <c r="N2935" i="1"/>
  <c r="N2918" i="1"/>
  <c r="N2989" i="1"/>
  <c r="N2936" i="1"/>
  <c r="N2858" i="1"/>
  <c r="N2885" i="1"/>
  <c r="N2941" i="1"/>
  <c r="N3057" i="1"/>
  <c r="N3043" i="1"/>
  <c r="N3224" i="1"/>
  <c r="N3097" i="1"/>
  <c r="N3375" i="1"/>
  <c r="N3003" i="1"/>
  <c r="N3042" i="1"/>
  <c r="N3105" i="1"/>
  <c r="N3143" i="1"/>
  <c r="N3198" i="1"/>
  <c r="N3254" i="1"/>
  <c r="N3222" i="1"/>
  <c r="N3324" i="1"/>
  <c r="N3270" i="1"/>
  <c r="N3126" i="1"/>
  <c r="N3274" i="1"/>
  <c r="N3050" i="1"/>
  <c r="N3098" i="1"/>
  <c r="N3189" i="1"/>
  <c r="N3152" i="1"/>
  <c r="N3329" i="1"/>
  <c r="N1236" i="1"/>
  <c r="N2106" i="1"/>
  <c r="N2115" i="1"/>
  <c r="N2298" i="1"/>
  <c r="N2568" i="1"/>
  <c r="N2656" i="1"/>
  <c r="N2663" i="1"/>
  <c r="N2714" i="1"/>
  <c r="N2761" i="1"/>
  <c r="N2793" i="1"/>
  <c r="N2796" i="1"/>
  <c r="N2803" i="1"/>
  <c r="N2827" i="1"/>
  <c r="N2842" i="1"/>
  <c r="N2769" i="1"/>
  <c r="N2798" i="1"/>
  <c r="N2822" i="1"/>
  <c r="N2848" i="1"/>
  <c r="N2880" i="1"/>
  <c r="N2971" i="1"/>
  <c r="N3054" i="1"/>
  <c r="N2942" i="1"/>
  <c r="N2995" i="1"/>
  <c r="N2868" i="1"/>
  <c r="N2870" i="1"/>
  <c r="N2952" i="1"/>
  <c r="N3232" i="1"/>
  <c r="N3002" i="1"/>
  <c r="N3175" i="1"/>
  <c r="N3216" i="1"/>
  <c r="N3102" i="1"/>
  <c r="N3001" i="1"/>
  <c r="N3030" i="1"/>
  <c r="N3068" i="1"/>
  <c r="N3121" i="1"/>
  <c r="N3163" i="1"/>
  <c r="N3256" i="1"/>
  <c r="N3322" i="1"/>
  <c r="N3360" i="1"/>
  <c r="N3455" i="1"/>
  <c r="N3552" i="1"/>
  <c r="N3520" i="1"/>
  <c r="N3562" i="1"/>
  <c r="N3594" i="1"/>
  <c r="N3514" i="1"/>
  <c r="N3525" i="1"/>
  <c r="N3558" i="1"/>
  <c r="N1154" i="1"/>
  <c r="N1298" i="1"/>
  <c r="N1763" i="1"/>
  <c r="N2268" i="1"/>
  <c r="N2292" i="1"/>
  <c r="N2089" i="1"/>
  <c r="N2540" i="1"/>
  <c r="N2652" i="1"/>
  <c r="N2650" i="1"/>
  <c r="N2686" i="1"/>
  <c r="N2757" i="1"/>
  <c r="N2716" i="1"/>
  <c r="N2672" i="1"/>
  <c r="N2671" i="1"/>
  <c r="N2687" i="1"/>
  <c r="N2821" i="1"/>
  <c r="N2911" i="1"/>
  <c r="N2766" i="1"/>
  <c r="N2824" i="1"/>
  <c r="N2916" i="1"/>
  <c r="N2892" i="1"/>
  <c r="N2934" i="1"/>
  <c r="N3007" i="1"/>
  <c r="N3131" i="1"/>
  <c r="N3037" i="1"/>
  <c r="N3004" i="1"/>
  <c r="N3075" i="1"/>
  <c r="N2978" i="1"/>
  <c r="N3073" i="1"/>
  <c r="N3111" i="1"/>
  <c r="N3045" i="1"/>
  <c r="N3206" i="1"/>
  <c r="N3250" i="1"/>
  <c r="N3318" i="1"/>
  <c r="N3182" i="1"/>
  <c r="N3211" i="1"/>
  <c r="N3300" i="1"/>
  <c r="N3199" i="1"/>
  <c r="N3252" i="1"/>
  <c r="N3164" i="1"/>
  <c r="N3391" i="1"/>
  <c r="N3460" i="1"/>
  <c r="N3535" i="1"/>
  <c r="N3523" i="1"/>
  <c r="N3519" i="1"/>
  <c r="N3539" i="1"/>
  <c r="N3586" i="1"/>
  <c r="N3528" i="1"/>
  <c r="N3638" i="1"/>
  <c r="N3556" i="1"/>
  <c r="N2131" i="1"/>
  <c r="N2133" i="1"/>
  <c r="N2553" i="1"/>
  <c r="N2510" i="1"/>
  <c r="N2490" i="1"/>
  <c r="N2660" i="1"/>
  <c r="N2737" i="1"/>
  <c r="N2690" i="1"/>
  <c r="N2689" i="1"/>
  <c r="N2718" i="1"/>
  <c r="N2741" i="1"/>
  <c r="N2751" i="1"/>
  <c r="N2797" i="1"/>
  <c r="N2800" i="1"/>
  <c r="N2807" i="1"/>
  <c r="N2831" i="1"/>
  <c r="N2775" i="1"/>
  <c r="N2802" i="1"/>
  <c r="N2826" i="1"/>
  <c r="N2886" i="1"/>
  <c r="N2899" i="1"/>
  <c r="N2930" i="1"/>
  <c r="N2958" i="1"/>
  <c r="N3279" i="1"/>
  <c r="N2959" i="1"/>
  <c r="N3157" i="1"/>
  <c r="N3148" i="1"/>
  <c r="N3264" i="1"/>
  <c r="N3246" i="1"/>
  <c r="N3067" i="1"/>
  <c r="N3186" i="1"/>
  <c r="N3006" i="1"/>
  <c r="N3155" i="1"/>
  <c r="N3177" i="1"/>
  <c r="N3104" i="1"/>
  <c r="N3114" i="1"/>
  <c r="N3181" i="1"/>
  <c r="N3311" i="1"/>
  <c r="N3276" i="1"/>
  <c r="N3258" i="1"/>
  <c r="N3174" i="1"/>
  <c r="N3266" i="1"/>
  <c r="N3136" i="1"/>
  <c r="N3062" i="1"/>
  <c r="N3110" i="1"/>
  <c r="N3293" i="1"/>
  <c r="N3341" i="1"/>
  <c r="N3459" i="1"/>
  <c r="N3466" i="1"/>
  <c r="N3526" i="1"/>
  <c r="N3507" i="1"/>
  <c r="N3531" i="1"/>
  <c r="N1389" i="1"/>
  <c r="N2276" i="1"/>
  <c r="N2613" i="1"/>
  <c r="N2587" i="1"/>
  <c r="N2694" i="1"/>
  <c r="N2726" i="1"/>
  <c r="N2767" i="1"/>
  <c r="N2691" i="1"/>
  <c r="N2772" i="1"/>
  <c r="N2828" i="1"/>
  <c r="N2970" i="1"/>
  <c r="N2876" i="1"/>
  <c r="N2898" i="1"/>
  <c r="N2869" i="1"/>
  <c r="N2946" i="1"/>
  <c r="N2906" i="1"/>
  <c r="N2904" i="1"/>
  <c r="N2887" i="1"/>
  <c r="N3268" i="1"/>
  <c r="N3132" i="1"/>
  <c r="N3080" i="1"/>
  <c r="N3320" i="1"/>
  <c r="N3162" i="1"/>
  <c r="N3028" i="1"/>
  <c r="N3021" i="1"/>
  <c r="N3063" i="1"/>
  <c r="N3124" i="1"/>
  <c r="N3061" i="1"/>
  <c r="N3081" i="1"/>
  <c r="N3272" i="1"/>
  <c r="N3280" i="1"/>
  <c r="N3118" i="1"/>
  <c r="N3277" i="1"/>
  <c r="N3220" i="1"/>
  <c r="N3169" i="1"/>
  <c r="N3319" i="1"/>
  <c r="N3335" i="1"/>
  <c r="N3332" i="1"/>
  <c r="N3334" i="1"/>
  <c r="N3176" i="1"/>
  <c r="N3347" i="1"/>
  <c r="N3389" i="1"/>
  <c r="N3393" i="1"/>
  <c r="N3376" i="1"/>
  <c r="N3478" i="1"/>
  <c r="N3564" i="1"/>
  <c r="N3529" i="1"/>
  <c r="N3626" i="1"/>
  <c r="N3534" i="1"/>
  <c r="N2044" i="1"/>
  <c r="N2151" i="1"/>
  <c r="N2513" i="1"/>
  <c r="N2472" i="1"/>
  <c r="N2241" i="1"/>
  <c r="N2557" i="1"/>
  <c r="N2535" i="1"/>
  <c r="N2574" i="1"/>
  <c r="N2731" i="1"/>
  <c r="N2680" i="1"/>
  <c r="N2734" i="1"/>
  <c r="N2829" i="1"/>
  <c r="N2832" i="1"/>
  <c r="N2834" i="1"/>
  <c r="N2804" i="1"/>
  <c r="N2764" i="1"/>
  <c r="N2787" i="1"/>
  <c r="N2811" i="1"/>
  <c r="N2781" i="1"/>
  <c r="N2806" i="1"/>
  <c r="N2830" i="1"/>
  <c r="N2983" i="1"/>
  <c r="N2940" i="1"/>
  <c r="N2948" i="1"/>
  <c r="N2900" i="1"/>
  <c r="N2964" i="1"/>
  <c r="N3066" i="1"/>
  <c r="N3294" i="1"/>
  <c r="N3044" i="1"/>
  <c r="N3033" i="1"/>
  <c r="N3008" i="1"/>
  <c r="N2990" i="1"/>
  <c r="N3283" i="1"/>
  <c r="N3119" i="1"/>
  <c r="N3284" i="1"/>
  <c r="N3390" i="1"/>
  <c r="N3213" i="1"/>
  <c r="N2201" i="1"/>
  <c r="N2225" i="1"/>
  <c r="N2195" i="1"/>
  <c r="N2065" i="1"/>
  <c r="N2646" i="1"/>
  <c r="N2615" i="1"/>
  <c r="N2728" i="1"/>
  <c r="N2738" i="1"/>
  <c r="N2785" i="1"/>
  <c r="N2736" i="1"/>
  <c r="N2805" i="1"/>
  <c r="N2778" i="1"/>
  <c r="N2763" i="1"/>
  <c r="N2982" i="1"/>
  <c r="N2947" i="1"/>
  <c r="N2847" i="1"/>
  <c r="N3342" i="1"/>
  <c r="N3049" i="1"/>
  <c r="N3117" i="1"/>
  <c r="N3013" i="1"/>
  <c r="N3308" i="1"/>
  <c r="N3241" i="1"/>
  <c r="N3187" i="1"/>
  <c r="N3296" i="1"/>
  <c r="N3140" i="1"/>
  <c r="N3248" i="1"/>
  <c r="N3074" i="1"/>
  <c r="N3165" i="1"/>
  <c r="N1569" i="1"/>
  <c r="N2216" i="1"/>
  <c r="N2463" i="1"/>
  <c r="N2481" i="1"/>
  <c r="N2611" i="1"/>
  <c r="N2665" i="1"/>
  <c r="N2699" i="1"/>
  <c r="N2841" i="1"/>
  <c r="N2791" i="1"/>
  <c r="N2815" i="1"/>
  <c r="N2786" i="1"/>
  <c r="N2810" i="1"/>
  <c r="N2953" i="1"/>
  <c r="N2923" i="1"/>
  <c r="N2976" i="1"/>
  <c r="N3079" i="1"/>
  <c r="N3323" i="1"/>
  <c r="N3014" i="1"/>
  <c r="N3092" i="1"/>
  <c r="N3103" i="1"/>
  <c r="N3153" i="1"/>
  <c r="N3018" i="1"/>
  <c r="N3069" i="1"/>
  <c r="N3128" i="1"/>
  <c r="N3210" i="1"/>
  <c r="N3235" i="1"/>
  <c r="N3145" i="1"/>
  <c r="N3193" i="1"/>
  <c r="N3167" i="1"/>
  <c r="N3260" i="1"/>
  <c r="N3352" i="1"/>
  <c r="N2134" i="1"/>
  <c r="N2417" i="1"/>
  <c r="N2498" i="1"/>
  <c r="N2629" i="1"/>
  <c r="N2753" i="1"/>
  <c r="N2746" i="1"/>
  <c r="N2727" i="1"/>
  <c r="N2809" i="1"/>
  <c r="N2838" i="1"/>
  <c r="N2836" i="1"/>
  <c r="N2812" i="1"/>
  <c r="N2770" i="1"/>
  <c r="N2837" i="1"/>
  <c r="N2833" i="1"/>
  <c r="N2965" i="1"/>
  <c r="N2922" i="1"/>
  <c r="N2894" i="1"/>
  <c r="N2881" i="1"/>
  <c r="N2972" i="1"/>
  <c r="N3085" i="1"/>
  <c r="N3055" i="1"/>
  <c r="N3221" i="1"/>
  <c r="N3180" i="1"/>
  <c r="N3109" i="1"/>
  <c r="N3093" i="1"/>
  <c r="N3129" i="1"/>
  <c r="N3217" i="1"/>
  <c r="N3299" i="1"/>
  <c r="N3142" i="1"/>
  <c r="N3306" i="1"/>
  <c r="N3150" i="1"/>
  <c r="N3026" i="1"/>
  <c r="N3346" i="1"/>
  <c r="N3475" i="1"/>
  <c r="N3225" i="1"/>
  <c r="N3200" i="1"/>
  <c r="N3370" i="1"/>
  <c r="N3359" i="1"/>
  <c r="N3580" i="1"/>
  <c r="N3557" i="1"/>
  <c r="N3542" i="1"/>
  <c r="N3537" i="1"/>
  <c r="N3545" i="1"/>
  <c r="N3518" i="1"/>
  <c r="N1966" i="1"/>
  <c r="N1953" i="1"/>
  <c r="N2208" i="1"/>
  <c r="N2371" i="1"/>
  <c r="N2240" i="1"/>
  <c r="N2505" i="1"/>
  <c r="N2647" i="1"/>
  <c r="N2408" i="1"/>
  <c r="N2733" i="1"/>
  <c r="N2692" i="1"/>
  <c r="N2748" i="1"/>
  <c r="N2788" i="1"/>
  <c r="N2795" i="1"/>
  <c r="N2819" i="1"/>
  <c r="N2864" i="1"/>
  <c r="N2790" i="1"/>
  <c r="N2814" i="1"/>
  <c r="N3015" i="1"/>
  <c r="N2871" i="1"/>
  <c r="N2954" i="1"/>
  <c r="N2988" i="1"/>
  <c r="N3032" i="1"/>
  <c r="N3090" i="1"/>
  <c r="N3039" i="1"/>
  <c r="N3019" i="1"/>
  <c r="N3056" i="1"/>
  <c r="N3336" i="1"/>
  <c r="N3020" i="1"/>
  <c r="N3078" i="1"/>
  <c r="N3133" i="1"/>
  <c r="N3287" i="1"/>
  <c r="N3330" i="1"/>
  <c r="N3244" i="1"/>
  <c r="N3312" i="1"/>
  <c r="N3205" i="1"/>
  <c r="N3156" i="1"/>
  <c r="N3086" i="1"/>
  <c r="N3282" i="1"/>
  <c r="N3317" i="1"/>
  <c r="N3357" i="1"/>
  <c r="N3398" i="1"/>
  <c r="N3381" i="1"/>
  <c r="N3544" i="1"/>
  <c r="N3555" i="1"/>
  <c r="N3590" i="1"/>
  <c r="N3553" i="1"/>
  <c r="N3547" i="1"/>
  <c r="N3512" i="1"/>
  <c r="N3524" i="1"/>
  <c r="U886" i="1"/>
  <c r="U774" i="1"/>
  <c r="T919" i="1"/>
  <c r="T805" i="1"/>
  <c r="U786" i="1"/>
  <c r="T761" i="1"/>
  <c r="Q149" i="1"/>
  <c r="U738" i="1"/>
  <c r="U788" i="1"/>
  <c r="U778" i="1"/>
  <c r="U748" i="1"/>
  <c r="U805" i="1"/>
  <c r="U838" i="1"/>
  <c r="T895" i="1"/>
  <c r="U809" i="1"/>
  <c r="U764" i="1"/>
  <c r="U708" i="1"/>
  <c r="U831" i="1"/>
  <c r="U796" i="1"/>
  <c r="U871" i="1"/>
  <c r="T917" i="1"/>
  <c r="U784" i="1"/>
  <c r="T713" i="1"/>
  <c r="U769" i="1"/>
  <c r="Q3850" i="1"/>
  <c r="Q3851" i="1"/>
  <c r="M3937" i="1"/>
  <c r="M3865" i="1"/>
  <c r="M3902" i="1"/>
  <c r="M3854" i="1"/>
  <c r="M3915" i="1"/>
  <c r="M3867" i="1"/>
  <c r="M3928" i="1"/>
  <c r="Q3868" i="1"/>
  <c r="M3921" i="1"/>
  <c r="N3882" i="1"/>
  <c r="M3785" i="1"/>
  <c r="M3833" i="1"/>
  <c r="Q3781" i="1"/>
  <c r="M3778" i="1"/>
  <c r="N3802" i="1"/>
  <c r="N3719" i="1"/>
  <c r="N3795" i="1"/>
  <c r="M3814" i="1"/>
  <c r="N3759" i="1"/>
  <c r="N3784" i="1"/>
  <c r="Q3683" i="1"/>
  <c r="U3938" i="1"/>
  <c r="M3738" i="1"/>
  <c r="N3667" i="1"/>
  <c r="U3935" i="1"/>
  <c r="M3684" i="1"/>
  <c r="M3737" i="1"/>
  <c r="T3937" i="1"/>
  <c r="U3915" i="1"/>
  <c r="T3862" i="1"/>
  <c r="T3891" i="1"/>
  <c r="T3903" i="1"/>
  <c r="M3675" i="1"/>
  <c r="U3909" i="1"/>
  <c r="M3629" i="1"/>
  <c r="T3941" i="1"/>
  <c r="T3859" i="1"/>
  <c r="U3854" i="1"/>
  <c r="U3908" i="1"/>
  <c r="U3892" i="1"/>
  <c r="M3657" i="1"/>
  <c r="M3582" i="1"/>
  <c r="U3878" i="1"/>
  <c r="M3563" i="1"/>
  <c r="Q3594" i="1"/>
  <c r="M3611" i="1"/>
  <c r="U3910" i="1"/>
  <c r="N3575" i="1"/>
  <c r="T3850" i="1"/>
  <c r="Q3579" i="1"/>
  <c r="M3630" i="1"/>
  <c r="T3894" i="1"/>
  <c r="T3819" i="1"/>
  <c r="T3832" i="1"/>
  <c r="Q3626" i="1"/>
  <c r="U3822" i="1"/>
  <c r="U3812" i="1"/>
  <c r="U3811" i="1"/>
  <c r="U3789" i="1"/>
  <c r="U3803" i="1"/>
  <c r="U3820" i="1"/>
  <c r="U3809" i="1"/>
  <c r="U3791" i="1"/>
  <c r="U3788" i="1"/>
  <c r="U3799" i="1"/>
  <c r="U3817" i="1"/>
  <c r="U3793" i="1"/>
  <c r="U3807" i="1"/>
  <c r="U3821" i="1"/>
  <c r="U3802" i="1"/>
  <c r="T3794" i="1"/>
  <c r="T3786" i="1"/>
  <c r="N3511" i="1"/>
  <c r="U3762" i="1"/>
  <c r="M3527" i="1"/>
  <c r="U3775" i="1"/>
  <c r="U3774" i="1"/>
  <c r="U3773" i="1"/>
  <c r="Q3525" i="1"/>
  <c r="N3551" i="1"/>
  <c r="N3565" i="1"/>
  <c r="M3525" i="1"/>
  <c r="M3539" i="1"/>
  <c r="N3508" i="1"/>
  <c r="N3584" i="1"/>
  <c r="U3776" i="1"/>
  <c r="U3796" i="1"/>
  <c r="T3652" i="1"/>
  <c r="T3743" i="1"/>
  <c r="U3685" i="1"/>
  <c r="U3702" i="1"/>
  <c r="M3490" i="1"/>
  <c r="U3790" i="1"/>
  <c r="U3691" i="1"/>
  <c r="N3456" i="1"/>
  <c r="Q3399" i="1"/>
  <c r="U3635" i="1"/>
  <c r="U3627" i="1"/>
  <c r="U3615" i="1"/>
  <c r="M3344" i="1"/>
  <c r="U3613" i="1"/>
  <c r="T3631" i="1"/>
  <c r="U3588" i="1"/>
  <c r="U3611" i="1"/>
  <c r="T3623" i="1"/>
  <c r="Q3311" i="1"/>
  <c r="Q3312" i="1"/>
  <c r="U3490" i="1"/>
  <c r="M3254" i="1"/>
  <c r="T3559" i="1"/>
  <c r="T3477" i="1"/>
  <c r="M3278" i="1"/>
  <c r="U3732" i="1"/>
  <c r="U3541" i="1"/>
  <c r="U3511" i="1"/>
  <c r="U3514" i="1"/>
  <c r="U3518" i="1"/>
  <c r="U3533" i="1"/>
  <c r="U3534" i="1"/>
  <c r="U3527" i="1"/>
  <c r="U3535" i="1"/>
  <c r="U3536" i="1"/>
  <c r="U3507" i="1"/>
  <c r="U3522" i="1"/>
  <c r="U3494" i="1"/>
  <c r="N3229" i="1"/>
  <c r="M3135" i="1"/>
  <c r="U3573" i="1"/>
  <c r="U3445" i="1"/>
  <c r="U3411" i="1"/>
  <c r="N3295" i="1"/>
  <c r="U3337" i="1"/>
  <c r="N2994" i="1"/>
  <c r="U3333" i="1"/>
  <c r="T3254" i="1"/>
  <c r="T3239" i="1"/>
  <c r="N3099" i="1"/>
  <c r="M3024" i="1"/>
  <c r="N3141" i="1"/>
  <c r="T3171" i="1"/>
  <c r="T3233" i="1"/>
  <c r="U3123" i="1"/>
  <c r="U3111" i="1"/>
  <c r="U3126" i="1"/>
  <c r="U3117" i="1"/>
  <c r="U3125" i="1"/>
  <c r="U3122" i="1"/>
  <c r="U3124" i="1"/>
  <c r="T3131" i="1"/>
  <c r="T3130" i="1"/>
  <c r="T3122" i="1"/>
  <c r="N2924" i="1"/>
  <c r="N2818" i="1"/>
  <c r="N2799" i="1"/>
  <c r="M2777" i="1"/>
  <c r="N2789" i="1"/>
  <c r="N2739" i="1"/>
  <c r="M2748" i="1"/>
  <c r="M2387" i="1"/>
  <c r="T2738" i="1"/>
  <c r="T2564" i="1"/>
  <c r="U2778" i="1"/>
  <c r="U2392" i="1"/>
  <c r="U2356" i="1"/>
  <c r="U2608" i="1"/>
  <c r="U2553" i="1"/>
  <c r="U2576" i="1"/>
  <c r="U2571" i="1"/>
  <c r="U2560" i="1"/>
  <c r="U2561" i="1"/>
  <c r="U2603" i="1"/>
  <c r="U2552" i="1"/>
  <c r="U2587" i="1"/>
  <c r="U2550" i="1"/>
  <c r="U2589" i="1"/>
  <c r="U2554" i="1"/>
  <c r="U2593" i="1"/>
  <c r="U2578" i="1"/>
  <c r="U2556" i="1"/>
  <c r="U2568" i="1"/>
  <c r="U2582" i="1"/>
  <c r="U2558" i="1"/>
  <c r="U2564" i="1"/>
  <c r="U2595" i="1"/>
  <c r="U2594" i="1"/>
  <c r="U2605" i="1"/>
  <c r="U2567" i="1"/>
  <c r="U2597" i="1"/>
  <c r="U2607" i="1"/>
  <c r="U2588" i="1"/>
  <c r="U2580" i="1"/>
  <c r="U2596" i="1"/>
  <c r="U2599" i="1"/>
  <c r="U2590" i="1"/>
  <c r="U2598" i="1"/>
  <c r="U2555" i="1"/>
  <c r="U2557" i="1"/>
  <c r="U2601" i="1"/>
  <c r="U2600" i="1"/>
  <c r="U2559" i="1"/>
  <c r="U2579" i="1"/>
  <c r="U2574" i="1"/>
  <c r="U2604" i="1"/>
  <c r="U2573" i="1"/>
  <c r="U2592" i="1"/>
  <c r="U2551" i="1"/>
  <c r="U2602" i="1"/>
  <c r="U2569" i="1"/>
  <c r="U2583" i="1"/>
  <c r="U2606" i="1"/>
  <c r="U2562" i="1"/>
  <c r="U2591" i="1"/>
  <c r="U2563" i="1"/>
  <c r="U2572" i="1"/>
  <c r="U2586" i="1"/>
  <c r="U2544" i="1"/>
  <c r="U2565" i="1"/>
  <c r="U2585" i="1"/>
  <c r="U2577" i="1"/>
  <c r="U2575" i="1"/>
  <c r="U2584" i="1"/>
  <c r="U2566" i="1"/>
  <c r="T759" i="1"/>
  <c r="T905" i="1"/>
  <c r="T814" i="1"/>
  <c r="T897" i="1"/>
  <c r="U3715" i="1"/>
  <c r="T3673" i="1"/>
  <c r="U3705" i="1"/>
  <c r="U854" i="1"/>
  <c r="T787" i="1"/>
  <c r="Q357" i="1"/>
  <c r="T770" i="1"/>
  <c r="U835" i="1"/>
  <c r="U817" i="1"/>
  <c r="U766" i="1"/>
  <c r="U733" i="1"/>
  <c r="U752" i="1"/>
  <c r="U914" i="1"/>
  <c r="U767" i="1"/>
  <c r="U729" i="1"/>
  <c r="U749" i="1"/>
  <c r="U885" i="1"/>
  <c r="U859" i="1"/>
  <c r="U783" i="1"/>
  <c r="U798" i="1"/>
  <c r="Q3875" i="1"/>
  <c r="Q3876" i="1"/>
  <c r="U3907" i="1"/>
  <c r="U3832" i="1"/>
  <c r="T3791" i="1"/>
  <c r="T935" i="1"/>
  <c r="T830" i="1"/>
  <c r="T904" i="1"/>
  <c r="T851" i="1"/>
  <c r="U889" i="1"/>
  <c r="T789" i="1"/>
  <c r="U894" i="1"/>
  <c r="T839" i="1"/>
  <c r="T742" i="1"/>
  <c r="U934" i="1"/>
  <c r="T829" i="1"/>
  <c r="T941" i="1"/>
  <c r="T782" i="1"/>
  <c r="T791" i="1"/>
  <c r="T748" i="1"/>
  <c r="T752" i="1"/>
  <c r="T776" i="1"/>
  <c r="T813" i="1"/>
  <c r="T767" i="1"/>
  <c r="U801" i="1"/>
  <c r="U772" i="1"/>
  <c r="T772" i="1"/>
  <c r="U735" i="1"/>
  <c r="U712" i="1"/>
  <c r="U787" i="1"/>
  <c r="Q53" i="1"/>
  <c r="U745" i="1"/>
  <c r="T893" i="1"/>
  <c r="U731" i="1"/>
  <c r="U826" i="1"/>
  <c r="U857" i="1"/>
  <c r="U794" i="1"/>
  <c r="U765" i="1"/>
  <c r="U813" i="1"/>
  <c r="U706" i="1"/>
  <c r="T837" i="1"/>
  <c r="U887" i="1"/>
  <c r="U853" i="1"/>
  <c r="T930" i="1"/>
  <c r="Q3838" i="1"/>
  <c r="Q3839" i="1"/>
  <c r="N3926" i="1"/>
  <c r="N3854" i="1"/>
  <c r="N3917" i="1"/>
  <c r="N3857" i="1"/>
  <c r="Q3915" i="1"/>
  <c r="M3844" i="1"/>
  <c r="M3914" i="1"/>
  <c r="Q3818" i="1"/>
  <c r="N3783" i="1"/>
  <c r="N3778" i="1"/>
  <c r="M3893" i="1"/>
  <c r="N3729" i="1"/>
  <c r="M3718" i="1"/>
  <c r="N3753" i="1"/>
  <c r="N3808" i="1"/>
  <c r="M3753" i="1"/>
  <c r="T3923" i="1"/>
  <c r="M3692" i="1"/>
  <c r="M3666" i="1"/>
  <c r="T3928" i="1"/>
  <c r="N3678" i="1"/>
  <c r="N3614" i="1"/>
  <c r="M3644" i="1"/>
  <c r="M3732" i="1"/>
  <c r="U3900" i="1"/>
  <c r="U3858" i="1"/>
  <c r="N3747" i="1"/>
  <c r="N3658" i="1"/>
  <c r="T3872" i="1"/>
  <c r="Q3697" i="1"/>
  <c r="M3658" i="1"/>
  <c r="N3611" i="1"/>
  <c r="U3913" i="1"/>
  <c r="N3672" i="1"/>
  <c r="M3638" i="1"/>
  <c r="U3901" i="1"/>
  <c r="M3678" i="1"/>
  <c r="T3829" i="1"/>
  <c r="N3644" i="1"/>
  <c r="M3578" i="1"/>
  <c r="N3628" i="1"/>
  <c r="M3562" i="1"/>
  <c r="M3634" i="1"/>
  <c r="T3838" i="1"/>
  <c r="T3822" i="1"/>
  <c r="Q3558" i="1"/>
  <c r="T3855" i="1"/>
  <c r="N3569" i="1"/>
  <c r="U3847" i="1"/>
  <c r="T3823" i="1"/>
  <c r="T3874" i="1"/>
  <c r="N3642" i="1"/>
  <c r="N3585" i="1"/>
  <c r="M3626" i="1"/>
  <c r="N3592" i="1"/>
  <c r="M3517" i="1"/>
  <c r="N3561" i="1"/>
  <c r="T3771" i="1"/>
  <c r="U3772" i="1"/>
  <c r="U3771" i="1"/>
  <c r="U3770" i="1"/>
  <c r="M3556" i="1"/>
  <c r="N3549" i="1"/>
  <c r="U3804" i="1"/>
  <c r="T3769" i="1"/>
  <c r="T3783" i="1"/>
  <c r="U3801" i="1"/>
  <c r="U3819" i="1"/>
  <c r="M3488" i="1"/>
  <c r="U3792" i="1"/>
  <c r="Q3526" i="1"/>
  <c r="M3486" i="1"/>
  <c r="M3494" i="1"/>
  <c r="U3681" i="1"/>
  <c r="T3693" i="1"/>
  <c r="T3734" i="1"/>
  <c r="M3496" i="1"/>
  <c r="U3687" i="1"/>
  <c r="U3680" i="1"/>
  <c r="T3641" i="1"/>
  <c r="U3622" i="1"/>
  <c r="T3703" i="1"/>
  <c r="N3369" i="1"/>
  <c r="U3587" i="1"/>
  <c r="U3578" i="1"/>
  <c r="U3564" i="1"/>
  <c r="U3581" i="1"/>
  <c r="U3585" i="1"/>
  <c r="T3630" i="1"/>
  <c r="T3629" i="1"/>
  <c r="T3627" i="1"/>
  <c r="T3551" i="1"/>
  <c r="M3382" i="1"/>
  <c r="T3468" i="1"/>
  <c r="U3596" i="1"/>
  <c r="U3595" i="1"/>
  <c r="M3251" i="1"/>
  <c r="Q3296" i="1"/>
  <c r="Q3297" i="1"/>
  <c r="U3499" i="1"/>
  <c r="N3331" i="1"/>
  <c r="M3156" i="1"/>
  <c r="T3361" i="1"/>
  <c r="T3360" i="1"/>
  <c r="N3179" i="1"/>
  <c r="T3454" i="1"/>
  <c r="T3451" i="1"/>
  <c r="T3446" i="1"/>
  <c r="T3452" i="1"/>
  <c r="T3441" i="1"/>
  <c r="T3447" i="1"/>
  <c r="T3453" i="1"/>
  <c r="U3253" i="1"/>
  <c r="Q3068" i="1"/>
  <c r="Q3069" i="1"/>
  <c r="N2966" i="1"/>
  <c r="U3377" i="1"/>
  <c r="T3236" i="1"/>
  <c r="T3342" i="1"/>
  <c r="T3265" i="1"/>
  <c r="N2996" i="1"/>
  <c r="T3327" i="1"/>
  <c r="U3237" i="1"/>
  <c r="U3236" i="1"/>
  <c r="U3231" i="1"/>
  <c r="U3234" i="1"/>
  <c r="U3223" i="1"/>
  <c r="U3235" i="1"/>
  <c r="U3230" i="1"/>
  <c r="U3206" i="1"/>
  <c r="U3213" i="1"/>
  <c r="U3219" i="1"/>
  <c r="U3221" i="1"/>
  <c r="U3225" i="1"/>
  <c r="U3233" i="1"/>
  <c r="U3257" i="1"/>
  <c r="M2976" i="1"/>
  <c r="T3187" i="1"/>
  <c r="M2857" i="1"/>
  <c r="N2840" i="1"/>
  <c r="U3062" i="1"/>
  <c r="U3010" i="1"/>
  <c r="U3222" i="1"/>
  <c r="U3043" i="1"/>
  <c r="T3120" i="1"/>
  <c r="N2792" i="1"/>
  <c r="M2753" i="1"/>
  <c r="N2743" i="1"/>
  <c r="Q2801" i="1"/>
  <c r="Q2802" i="1"/>
  <c r="Q2661" i="1"/>
  <c r="Q2662" i="1"/>
  <c r="T2986" i="1"/>
  <c r="T2985" i="1"/>
  <c r="T2984" i="1"/>
  <c r="T2983" i="1"/>
  <c r="T2893" i="1"/>
  <c r="U2734" i="1"/>
  <c r="N2494" i="1"/>
  <c r="N2125" i="1"/>
  <c r="U1869" i="1"/>
  <c r="U1846" i="1"/>
  <c r="U1733" i="1"/>
  <c r="U1771" i="1"/>
  <c r="U1736" i="1"/>
  <c r="U1632" i="1"/>
  <c r="U836" i="1"/>
  <c r="T801" i="1"/>
  <c r="U841" i="1"/>
  <c r="U736" i="1"/>
  <c r="Q3815" i="1"/>
  <c r="Q3814" i="1"/>
  <c r="T3683" i="1"/>
  <c r="U3639" i="1"/>
  <c r="T3600" i="1"/>
  <c r="T3688" i="1"/>
  <c r="T3501" i="1"/>
  <c r="T911" i="1"/>
  <c r="T3831" i="1"/>
  <c r="U3883" i="1"/>
  <c r="U3843" i="1"/>
  <c r="T3882" i="1"/>
  <c r="U3834" i="1"/>
  <c r="T3796" i="1"/>
  <c r="T3788" i="1"/>
  <c r="T3777" i="1"/>
  <c r="U3760" i="1"/>
  <c r="U3572" i="1"/>
  <c r="U875" i="1"/>
  <c r="T828" i="1"/>
  <c r="U906" i="1"/>
  <c r="Q623" i="1"/>
  <c r="Q646" i="1"/>
  <c r="T788" i="1"/>
  <c r="T754" i="1"/>
  <c r="T940" i="1"/>
  <c r="T755" i="1"/>
  <c r="T779" i="1"/>
  <c r="Q504" i="1"/>
  <c r="T758" i="1"/>
  <c r="T804" i="1"/>
  <c r="U779" i="1"/>
  <c r="Q417" i="1"/>
  <c r="T924" i="1"/>
  <c r="U753" i="1"/>
  <c r="Q205" i="1"/>
  <c r="T710" i="1"/>
  <c r="T721" i="1"/>
  <c r="T717" i="1"/>
  <c r="U742" i="1"/>
  <c r="T881" i="1"/>
  <c r="U718" i="1"/>
  <c r="U792" i="1"/>
  <c r="U820" i="1"/>
  <c r="U852" i="1"/>
  <c r="T736" i="1"/>
  <c r="T899" i="1"/>
  <c r="T775" i="1"/>
  <c r="T932" i="1"/>
  <c r="U844" i="1"/>
  <c r="U880" i="1"/>
  <c r="T833" i="1"/>
  <c r="N3899" i="1"/>
  <c r="Q3923" i="1"/>
  <c r="Q3924" i="1"/>
  <c r="M3925" i="1"/>
  <c r="M3853" i="1"/>
  <c r="N3891" i="1"/>
  <c r="N3843" i="1"/>
  <c r="N3904" i="1"/>
  <c r="N3856" i="1"/>
  <c r="M3916" i="1"/>
  <c r="M3856" i="1"/>
  <c r="Q3813" i="1"/>
  <c r="M3909" i="1"/>
  <c r="M3834" i="1"/>
  <c r="N3910" i="1"/>
  <c r="M3818" i="1"/>
  <c r="N3774" i="1"/>
  <c r="Q3774" i="1"/>
  <c r="M3728" i="1"/>
  <c r="M3788" i="1"/>
  <c r="Q3795" i="1"/>
  <c r="M3748" i="1"/>
  <c r="M3771" i="1"/>
  <c r="N3733" i="1"/>
  <c r="N3801" i="1"/>
  <c r="M3690" i="1"/>
  <c r="N3738" i="1"/>
  <c r="T3936" i="1"/>
  <c r="N3722" i="1"/>
  <c r="Q3666" i="1"/>
  <c r="Q3665" i="1"/>
  <c r="U3922" i="1"/>
  <c r="N3721" i="1"/>
  <c r="M3726" i="1"/>
  <c r="M3744" i="1"/>
  <c r="U3918" i="1"/>
  <c r="M3680" i="1"/>
  <c r="T3887" i="1"/>
  <c r="U3898" i="1"/>
  <c r="Q3609" i="1"/>
  <c r="Q3608" i="1"/>
  <c r="M3648" i="1"/>
  <c r="M3625" i="1"/>
  <c r="T3902" i="1"/>
  <c r="U3911" i="1"/>
  <c r="N3734" i="1"/>
  <c r="U3917" i="1"/>
  <c r="U3899" i="1"/>
  <c r="T3922" i="1"/>
  <c r="M3617" i="1"/>
  <c r="N3631" i="1"/>
  <c r="N3573" i="1"/>
  <c r="N3622" i="1"/>
  <c r="M3561" i="1"/>
  <c r="T3878" i="1"/>
  <c r="N3591" i="1"/>
  <c r="N3574" i="1"/>
  <c r="T3900" i="1"/>
  <c r="Q3659" i="1"/>
  <c r="Q3601" i="1"/>
  <c r="M3575" i="1"/>
  <c r="U3871" i="1"/>
  <c r="U3886" i="1"/>
  <c r="T3813" i="1"/>
  <c r="N3588" i="1"/>
  <c r="M3548" i="1"/>
  <c r="M3540" i="1"/>
  <c r="U3823" i="1"/>
  <c r="T3761" i="1"/>
  <c r="U3800" i="1"/>
  <c r="U3769" i="1"/>
  <c r="U3767" i="1"/>
  <c r="T3800" i="1"/>
  <c r="U3761" i="1"/>
  <c r="N3543" i="1"/>
  <c r="M3543" i="1"/>
  <c r="U3815" i="1"/>
  <c r="M3532" i="1"/>
  <c r="M3493" i="1"/>
  <c r="M3473" i="1"/>
  <c r="M3526" i="1"/>
  <c r="U3754" i="1"/>
  <c r="U3753" i="1"/>
  <c r="U3731" i="1"/>
  <c r="U3677" i="1"/>
  <c r="U3657" i="1"/>
  <c r="U3697" i="1"/>
  <c r="T3740" i="1"/>
  <c r="U3683" i="1"/>
  <c r="N3385" i="1"/>
  <c r="U3620" i="1"/>
  <c r="U3676" i="1"/>
  <c r="T3611" i="1"/>
  <c r="M3290" i="1"/>
  <c r="U3540" i="1"/>
  <c r="Q3352" i="1"/>
  <c r="Q3353" i="1"/>
  <c r="M3247" i="1"/>
  <c r="U3424" i="1"/>
  <c r="U3498" i="1"/>
  <c r="M3252" i="1"/>
  <c r="U3436" i="1"/>
  <c r="U3495" i="1"/>
  <c r="T3400" i="1"/>
  <c r="N3138" i="1"/>
  <c r="U3310" i="1"/>
  <c r="T3320" i="1"/>
  <c r="U3248" i="1"/>
  <c r="U3380" i="1"/>
  <c r="M2965" i="1"/>
  <c r="T3273" i="1"/>
  <c r="U3537" i="1"/>
  <c r="T3288" i="1"/>
  <c r="T3285" i="1"/>
  <c r="T3284" i="1"/>
  <c r="U3240" i="1"/>
  <c r="N3087" i="1"/>
  <c r="N2984" i="1"/>
  <c r="T3252" i="1"/>
  <c r="M2964" i="1"/>
  <c r="T3231" i="1"/>
  <c r="U3177" i="1"/>
  <c r="T3079" i="1"/>
  <c r="T3101" i="1"/>
  <c r="T3097" i="1"/>
  <c r="N2912" i="1"/>
  <c r="T3307" i="1"/>
  <c r="M2933" i="1"/>
  <c r="U3084" i="1"/>
  <c r="T3006" i="1"/>
  <c r="T3004" i="1"/>
  <c r="T3003" i="1"/>
  <c r="T3035" i="1"/>
  <c r="T3019" i="1"/>
  <c r="U3208" i="1"/>
  <c r="M2875" i="1"/>
  <c r="U3036" i="1"/>
  <c r="T3088" i="1"/>
  <c r="T3053" i="1"/>
  <c r="T3058" i="1"/>
  <c r="T3054" i="1"/>
  <c r="T3046" i="1"/>
  <c r="T3065" i="1"/>
  <c r="T3056" i="1"/>
  <c r="T3080" i="1"/>
  <c r="T3063" i="1"/>
  <c r="T3081" i="1"/>
  <c r="T3069" i="1"/>
  <c r="T3060" i="1"/>
  <c r="T3082" i="1"/>
  <c r="T3067" i="1"/>
  <c r="T3083" i="1"/>
  <c r="T3064" i="1"/>
  <c r="T3084" i="1"/>
  <c r="T3047" i="1"/>
  <c r="T3071" i="1"/>
  <c r="T3073" i="1"/>
  <c r="T3085" i="1"/>
  <c r="T3050" i="1"/>
  <c r="T3049" i="1"/>
  <c r="T3068" i="1"/>
  <c r="T3074" i="1"/>
  <c r="T3070" i="1"/>
  <c r="T3051" i="1"/>
  <c r="T3075" i="1"/>
  <c r="T3062" i="1"/>
  <c r="T3048" i="1"/>
  <c r="T3072" i="1"/>
  <c r="T3076" i="1"/>
  <c r="T3057" i="1"/>
  <c r="T3055" i="1"/>
  <c r="T3077" i="1"/>
  <c r="U2939" i="1"/>
  <c r="T3045" i="1"/>
  <c r="U2922" i="1"/>
  <c r="T2816" i="1"/>
  <c r="Q2386" i="1"/>
  <c r="Q2387" i="1"/>
  <c r="U2457" i="1"/>
  <c r="U2342" i="1"/>
  <c r="U2329" i="1"/>
  <c r="U2365" i="1"/>
  <c r="U2535" i="1"/>
  <c r="U2532" i="1"/>
  <c r="U870" i="1"/>
  <c r="T859" i="1"/>
  <c r="U755" i="1"/>
  <c r="U860" i="1"/>
  <c r="U812" i="1"/>
  <c r="U716" i="1"/>
  <c r="T934" i="1"/>
  <c r="T815" i="1"/>
  <c r="U773" i="1"/>
  <c r="T822" i="1"/>
  <c r="T706" i="1"/>
  <c r="U897" i="1"/>
  <c r="T3843" i="1"/>
  <c r="U3838" i="1"/>
  <c r="U3837" i="1"/>
  <c r="U746" i="1"/>
  <c r="T884" i="1"/>
  <c r="U898" i="1"/>
  <c r="T892" i="1"/>
  <c r="T816" i="1"/>
  <c r="T908" i="1"/>
  <c r="T907" i="1"/>
  <c r="U939" i="1"/>
  <c r="U929" i="1"/>
  <c r="U945" i="1"/>
  <c r="U868" i="1"/>
  <c r="Q694" i="1"/>
  <c r="T806" i="1"/>
  <c r="U874" i="1"/>
  <c r="U891" i="1"/>
  <c r="U904" i="1"/>
  <c r="T883" i="1"/>
  <c r="T777" i="1"/>
  <c r="N634" i="1"/>
  <c r="U893" i="1"/>
  <c r="N694" i="1"/>
  <c r="N661" i="1"/>
  <c r="N244" i="1"/>
  <c r="Q484" i="1"/>
  <c r="N639" i="1"/>
  <c r="T818" i="1"/>
  <c r="T781" i="1"/>
  <c r="T778" i="1"/>
  <c r="U873" i="1"/>
  <c r="Q54" i="1"/>
  <c r="Q480" i="1"/>
  <c r="T784" i="1"/>
  <c r="T760" i="1"/>
  <c r="T730" i="1"/>
  <c r="U899" i="1"/>
  <c r="Q387" i="1"/>
  <c r="U758" i="1"/>
  <c r="T925" i="1"/>
  <c r="U732" i="1"/>
  <c r="T860" i="1"/>
  <c r="U919" i="1"/>
  <c r="T718" i="1"/>
  <c r="U734" i="1"/>
  <c r="U848" i="1"/>
  <c r="T847" i="1"/>
  <c r="U876" i="1"/>
  <c r="U781" i="1"/>
  <c r="T811" i="1"/>
  <c r="U948" i="1"/>
  <c r="U834" i="1"/>
  <c r="U858" i="1"/>
  <c r="U799" i="1"/>
  <c r="T942" i="1"/>
  <c r="U928" i="1"/>
  <c r="U828" i="1"/>
  <c r="U927" i="1"/>
  <c r="T938" i="1"/>
  <c r="U763" i="1"/>
  <c r="N3914" i="1"/>
  <c r="N3842" i="1"/>
  <c r="M3890" i="1"/>
  <c r="M3842" i="1"/>
  <c r="M3903" i="1"/>
  <c r="M3855" i="1"/>
  <c r="N3905" i="1"/>
  <c r="Q3855" i="1"/>
  <c r="Q3857" i="1"/>
  <c r="N3846" i="1"/>
  <c r="N3906" i="1"/>
  <c r="N3898" i="1"/>
  <c r="M3898" i="1"/>
  <c r="M3849" i="1"/>
  <c r="Q3929" i="1"/>
  <c r="N3935" i="1"/>
  <c r="M3835" i="1"/>
  <c r="N3886" i="1"/>
  <c r="N3767" i="1"/>
  <c r="N3772" i="1"/>
  <c r="N3717" i="1"/>
  <c r="M3772" i="1"/>
  <c r="M3795" i="1"/>
  <c r="M3782" i="1"/>
  <c r="T3935" i="1"/>
  <c r="T3932" i="1"/>
  <c r="Q3727" i="1"/>
  <c r="Q3686" i="1"/>
  <c r="Q3687" i="1"/>
  <c r="T3925" i="1"/>
  <c r="U3906" i="1"/>
  <c r="M3664" i="1"/>
  <c r="T3856" i="1"/>
  <c r="M3640" i="1"/>
  <c r="Q3728" i="1"/>
  <c r="U3896" i="1"/>
  <c r="U3851" i="1"/>
  <c r="T3892" i="1"/>
  <c r="T3868" i="1"/>
  <c r="U3934" i="1"/>
  <c r="Q3645" i="1"/>
  <c r="T3853" i="1"/>
  <c r="T3909" i="1"/>
  <c r="U3916" i="1"/>
  <c r="T3877" i="1"/>
  <c r="U3897" i="1"/>
  <c r="T3861" i="1"/>
  <c r="T3825" i="1"/>
  <c r="N3619" i="1"/>
  <c r="T3811" i="1"/>
  <c r="T3801" i="1"/>
  <c r="T3807" i="1"/>
  <c r="T3805" i="1"/>
  <c r="T3803" i="1"/>
  <c r="U3866" i="1"/>
  <c r="M3560" i="1"/>
  <c r="Q3590" i="1"/>
  <c r="N3568" i="1"/>
  <c r="M3583" i="1"/>
  <c r="T3895" i="1"/>
  <c r="N3646" i="1"/>
  <c r="N3599" i="1"/>
  <c r="Q3574" i="1"/>
  <c r="U3868" i="1"/>
  <c r="T3852" i="1"/>
  <c r="U3867" i="1"/>
  <c r="U3810" i="1"/>
  <c r="T3792" i="1"/>
  <c r="T3784" i="1"/>
  <c r="U3814" i="1"/>
  <c r="U3757" i="1"/>
  <c r="M3521" i="1"/>
  <c r="U3795" i="1"/>
  <c r="N3541" i="1"/>
  <c r="T3787" i="1"/>
  <c r="N3506" i="1"/>
  <c r="M3519" i="1"/>
  <c r="M3555" i="1"/>
  <c r="N3550" i="1"/>
  <c r="T3776" i="1"/>
  <c r="T3737" i="1"/>
  <c r="T3717" i="1"/>
  <c r="U3741" i="1"/>
  <c r="T3770" i="1"/>
  <c r="N3510" i="1"/>
  <c r="T3700" i="1"/>
  <c r="U3665" i="1"/>
  <c r="U3694" i="1"/>
  <c r="Q3460" i="1"/>
  <c r="U3671" i="1"/>
  <c r="M3509" i="1"/>
  <c r="U3617" i="1"/>
  <c r="M3371" i="1"/>
  <c r="T3670" i="1"/>
  <c r="M3472" i="1"/>
  <c r="U3684" i="1"/>
  <c r="U3688" i="1"/>
  <c r="U3604" i="1"/>
  <c r="M3360" i="1"/>
  <c r="T3598" i="1"/>
  <c r="T3566" i="1"/>
  <c r="U3463" i="1"/>
  <c r="M3352" i="1"/>
  <c r="M3264" i="1"/>
  <c r="M3229" i="1"/>
  <c r="T3403" i="1"/>
  <c r="M3248" i="1"/>
  <c r="T3440" i="1"/>
  <c r="U3378" i="1"/>
  <c r="U3375" i="1"/>
  <c r="U3376" i="1"/>
  <c r="U3361" i="1"/>
  <c r="U3292" i="1"/>
  <c r="T3313" i="1"/>
  <c r="N3091" i="1"/>
  <c r="U3285" i="1"/>
  <c r="T3169" i="1"/>
  <c r="U3302" i="1"/>
  <c r="N2928" i="1"/>
  <c r="T3078" i="1"/>
  <c r="U3157" i="1"/>
  <c r="U3140" i="1"/>
  <c r="U3153" i="1"/>
  <c r="U3152" i="1"/>
  <c r="U3134" i="1"/>
  <c r="U3151" i="1"/>
  <c r="U3228" i="1"/>
  <c r="Q2983" i="1"/>
  <c r="Q2984" i="1"/>
  <c r="M2790" i="1"/>
  <c r="T3152" i="1"/>
  <c r="T3010" i="1"/>
  <c r="M2841" i="1"/>
  <c r="N2729" i="1"/>
  <c r="U2946" i="1"/>
  <c r="N2677" i="1"/>
  <c r="N2634" i="1"/>
  <c r="T2804" i="1"/>
  <c r="M2408" i="1"/>
  <c r="M2532" i="1"/>
  <c r="T2621" i="1"/>
  <c r="U2253" i="1"/>
  <c r="N1716" i="1"/>
  <c r="M1232" i="1"/>
  <c r="T870" i="1"/>
  <c r="T732" i="1"/>
  <c r="T3915" i="1"/>
  <c r="U3836" i="1"/>
  <c r="T3456" i="1"/>
  <c r="U2474" i="1"/>
  <c r="U2472" i="1"/>
  <c r="Q685" i="1"/>
  <c r="U902" i="1"/>
  <c r="U895" i="1"/>
  <c r="T768" i="1"/>
  <c r="U3927" i="1"/>
  <c r="U3721" i="1"/>
  <c r="T3694" i="1"/>
  <c r="U3660" i="1"/>
  <c r="T3580" i="1"/>
  <c r="T3528" i="1"/>
  <c r="U3563" i="1"/>
  <c r="U3560" i="1"/>
  <c r="U3551" i="1"/>
  <c r="U3548" i="1"/>
  <c r="U3545" i="1"/>
  <c r="U3554" i="1"/>
  <c r="U3552" i="1"/>
  <c r="T3424" i="1"/>
  <c r="T3408" i="1"/>
  <c r="T3416" i="1"/>
  <c r="T3411" i="1"/>
  <c r="T3333" i="1"/>
  <c r="Q3064" i="1"/>
  <c r="Q3065" i="1"/>
  <c r="T3374" i="1"/>
  <c r="T3249" i="1"/>
  <c r="Q2187" i="1"/>
  <c r="Q2188" i="1"/>
  <c r="Q632" i="1"/>
  <c r="T880" i="1"/>
  <c r="T943" i="1"/>
  <c r="T900" i="1"/>
  <c r="T737" i="1"/>
  <c r="U879" i="1"/>
  <c r="T896" i="1"/>
  <c r="T780" i="1"/>
  <c r="T856" i="1"/>
  <c r="T764" i="1"/>
  <c r="U882" i="1"/>
  <c r="T810" i="1"/>
  <c r="U905" i="1"/>
  <c r="U883" i="1"/>
  <c r="T877" i="1"/>
  <c r="T774" i="1"/>
  <c r="Q534" i="1"/>
  <c r="U872" i="1"/>
  <c r="T757" i="1"/>
  <c r="N149" i="1"/>
  <c r="N99" i="1"/>
  <c r="Q191" i="1"/>
  <c r="Q150" i="1"/>
  <c r="U920" i="1"/>
  <c r="U725" i="1"/>
  <c r="U900" i="1"/>
  <c r="U877" i="1"/>
  <c r="U717" i="1"/>
  <c r="Q365" i="1"/>
  <c r="T853" i="1"/>
  <c r="Q450" i="1"/>
  <c r="U815" i="1"/>
  <c r="U918" i="1"/>
  <c r="Q411" i="1"/>
  <c r="Q456" i="1"/>
  <c r="U847" i="1"/>
  <c r="U843" i="1"/>
  <c r="U856" i="1"/>
  <c r="U855" i="1"/>
  <c r="U771" i="1"/>
  <c r="U800" i="1"/>
  <c r="U937" i="1"/>
  <c r="U824" i="1"/>
  <c r="T878" i="1"/>
  <c r="U846" i="1"/>
  <c r="U714" i="1"/>
  <c r="U913" i="1"/>
  <c r="Q249" i="1"/>
  <c r="T835" i="1"/>
  <c r="U816" i="1"/>
  <c r="T931" i="1"/>
  <c r="T936" i="1"/>
  <c r="T714" i="1"/>
  <c r="U776" i="1"/>
  <c r="Q3934" i="1"/>
  <c r="Q3935" i="1"/>
  <c r="M3913" i="1"/>
  <c r="M3841" i="1"/>
  <c r="Q3902" i="1"/>
  <c r="Q3854" i="1"/>
  <c r="M3904" i="1"/>
  <c r="N3845" i="1"/>
  <c r="M3857" i="1"/>
  <c r="N3874" i="1"/>
  <c r="N3922" i="1"/>
  <c r="M3929" i="1"/>
  <c r="M3829" i="1"/>
  <c r="Q3830" i="1"/>
  <c r="Q3831" i="1"/>
  <c r="N3754" i="1"/>
  <c r="N3815" i="1"/>
  <c r="N3796" i="1"/>
  <c r="N3765" i="1"/>
  <c r="Q3837" i="1"/>
  <c r="M3716" i="1"/>
  <c r="N3755" i="1"/>
  <c r="Q3743" i="1"/>
  <c r="Q3775" i="1"/>
  <c r="N3797" i="1"/>
  <c r="Q3769" i="1"/>
  <c r="Q3745" i="1"/>
  <c r="M3725" i="1"/>
  <c r="Q3746" i="1"/>
  <c r="N3727" i="1"/>
  <c r="T3921" i="1"/>
  <c r="N3657" i="1"/>
  <c r="M3677" i="1"/>
  <c r="Q3731" i="1"/>
  <c r="M3766" i="1"/>
  <c r="N3607" i="1"/>
  <c r="Q3673" i="1"/>
  <c r="T3883" i="1"/>
  <c r="M3701" i="1"/>
  <c r="U3894" i="1"/>
  <c r="Q3596" i="1"/>
  <c r="Q3597" i="1"/>
  <c r="M3708" i="1"/>
  <c r="M3645" i="1"/>
  <c r="M3621" i="1"/>
  <c r="Q3684" i="1"/>
  <c r="Q3641" i="1"/>
  <c r="U3842" i="1"/>
  <c r="U3889" i="1"/>
  <c r="U3895" i="1"/>
  <c r="T3851" i="1"/>
  <c r="T3848" i="1"/>
  <c r="M3607" i="1"/>
  <c r="T3933" i="1"/>
  <c r="T3847" i="1"/>
  <c r="M3559" i="1"/>
  <c r="U3872" i="1"/>
  <c r="T3834" i="1"/>
  <c r="M3567" i="1"/>
  <c r="N3660" i="1"/>
  <c r="M3579" i="1"/>
  <c r="U3887" i="1"/>
  <c r="U3890" i="1"/>
  <c r="N3596" i="1"/>
  <c r="T3818" i="1"/>
  <c r="N3618" i="1"/>
  <c r="N3635" i="1"/>
  <c r="N3581" i="1"/>
  <c r="U3864" i="1"/>
  <c r="T3808" i="1"/>
  <c r="U3782" i="1"/>
  <c r="U3781" i="1"/>
  <c r="N3566" i="1"/>
  <c r="T3765" i="1"/>
  <c r="U3758" i="1"/>
  <c r="U3756" i="1"/>
  <c r="M3514" i="1"/>
  <c r="U3783" i="1"/>
  <c r="M3551" i="1"/>
  <c r="T3763" i="1"/>
  <c r="N3548" i="1"/>
  <c r="M3485" i="1"/>
  <c r="Q3470" i="1"/>
  <c r="Q3495" i="1"/>
  <c r="U3728" i="1"/>
  <c r="M3468" i="1"/>
  <c r="U3786" i="1"/>
  <c r="M3501" i="1"/>
  <c r="U3661" i="1"/>
  <c r="U3690" i="1"/>
  <c r="U3653" i="1"/>
  <c r="U3667" i="1"/>
  <c r="U3610" i="1"/>
  <c r="T3663" i="1"/>
  <c r="T3615" i="1"/>
  <c r="U3668" i="1"/>
  <c r="T3716" i="1"/>
  <c r="U3618" i="1"/>
  <c r="T3680" i="1"/>
  <c r="T3684" i="1"/>
  <c r="M3356" i="1"/>
  <c r="T3604" i="1"/>
  <c r="N3353" i="1"/>
  <c r="T3597" i="1"/>
  <c r="N3212" i="1"/>
  <c r="U3557" i="1"/>
  <c r="T3508" i="1"/>
  <c r="T3553" i="1"/>
  <c r="N3158" i="1"/>
  <c r="U3408" i="1"/>
  <c r="T3434" i="1"/>
  <c r="U3353" i="1"/>
  <c r="U3558" i="1"/>
  <c r="U3519" i="1"/>
  <c r="U3432" i="1"/>
  <c r="U3364" i="1"/>
  <c r="T3242" i="1"/>
  <c r="T3259" i="1"/>
  <c r="T3312" i="1"/>
  <c r="U3335" i="1"/>
  <c r="U3328" i="1"/>
  <c r="U3330" i="1"/>
  <c r="U3329" i="1"/>
  <c r="U3331" i="1"/>
  <c r="U3327" i="1"/>
  <c r="U3332" i="1"/>
  <c r="M3026" i="1"/>
  <c r="T3262" i="1"/>
  <c r="U3468" i="1"/>
  <c r="U3467" i="1"/>
  <c r="U3301" i="1"/>
  <c r="U3297" i="1"/>
  <c r="M2939" i="1"/>
  <c r="N2905" i="1"/>
  <c r="M2981" i="1"/>
  <c r="M2923" i="1"/>
  <c r="U3161" i="1"/>
  <c r="U3159" i="1"/>
  <c r="U3224" i="1"/>
  <c r="T3230" i="1"/>
  <c r="N2977" i="1"/>
  <c r="U3175" i="1"/>
  <c r="U3170" i="1"/>
  <c r="U3173" i="1"/>
  <c r="U3165" i="1"/>
  <c r="U3164" i="1"/>
  <c r="U3172" i="1"/>
  <c r="U3162" i="1"/>
  <c r="T3154" i="1"/>
  <c r="T3151" i="1"/>
  <c r="T3150" i="1"/>
  <c r="U3232" i="1"/>
  <c r="U3061" i="1"/>
  <c r="T2936" i="1"/>
  <c r="T2935" i="1"/>
  <c r="U2968" i="1"/>
  <c r="U2944" i="1"/>
  <c r="U2943" i="1"/>
  <c r="M2702" i="1"/>
  <c r="T2891" i="1"/>
  <c r="T2839" i="1"/>
  <c r="T2833" i="1"/>
  <c r="T2977" i="1"/>
  <c r="T2632" i="1"/>
  <c r="T2656" i="1"/>
  <c r="N2567" i="1"/>
  <c r="U2490" i="1"/>
  <c r="U2298" i="1"/>
  <c r="U2368" i="1"/>
  <c r="T2156" i="1"/>
  <c r="M2054" i="1"/>
  <c r="T2202" i="1"/>
  <c r="M1143" i="1"/>
  <c r="Q3887" i="1"/>
  <c r="Q3888" i="1"/>
  <c r="U3818" i="1"/>
  <c r="U3780" i="1"/>
  <c r="U3912" i="1"/>
  <c r="T3325" i="1"/>
  <c r="T3324" i="1"/>
  <c r="T3280" i="1"/>
  <c r="T3279" i="1"/>
  <c r="T3278" i="1"/>
  <c r="U903" i="1"/>
  <c r="T869" i="1"/>
  <c r="T709" i="1"/>
  <c r="U770" i="1"/>
  <c r="U3940" i="1"/>
  <c r="U3709" i="1"/>
  <c r="U3363" i="1"/>
  <c r="U935" i="1"/>
  <c r="T889" i="1"/>
  <c r="T846" i="1"/>
  <c r="T865" i="1"/>
  <c r="T887" i="1"/>
  <c r="U924" i="1"/>
  <c r="U942" i="1"/>
  <c r="T838" i="1"/>
  <c r="T854" i="1"/>
  <c r="T872" i="1"/>
  <c r="T834" i="1"/>
  <c r="Q235" i="1"/>
  <c r="Q516" i="1"/>
  <c r="T945" i="1"/>
  <c r="T734" i="1"/>
  <c r="U811" i="1"/>
  <c r="Q371" i="1"/>
  <c r="U711" i="1"/>
  <c r="U814" i="1"/>
  <c r="U791" i="1"/>
  <c r="Q382" i="1"/>
  <c r="Q267" i="1"/>
  <c r="T765" i="1"/>
  <c r="U724" i="1"/>
  <c r="U842" i="1"/>
  <c r="U832" i="1"/>
  <c r="U839" i="1"/>
  <c r="U938" i="1"/>
  <c r="U768" i="1"/>
  <c r="U775" i="1"/>
  <c r="T906" i="1"/>
  <c r="U819" i="1"/>
  <c r="U866" i="1"/>
  <c r="T719" i="1"/>
  <c r="T746" i="1"/>
  <c r="T873" i="1"/>
  <c r="T909" i="1"/>
  <c r="U907" i="1"/>
  <c r="U727" i="1"/>
  <c r="T920" i="1"/>
  <c r="T913" i="1"/>
  <c r="T912" i="1"/>
  <c r="U862" i="1"/>
  <c r="T735" i="1"/>
  <c r="Q3922" i="1"/>
  <c r="Q3911" i="1"/>
  <c r="Q3912" i="1"/>
  <c r="N3902" i="1"/>
  <c r="N3939" i="1"/>
  <c r="N3879" i="1"/>
  <c r="N3940" i="1"/>
  <c r="N3892" i="1"/>
  <c r="N3844" i="1"/>
  <c r="N3893" i="1"/>
  <c r="Q3843" i="1"/>
  <c r="M3861" i="1"/>
  <c r="N3838" i="1"/>
  <c r="M3885" i="1"/>
  <c r="N3915" i="1"/>
  <c r="M3830" i="1"/>
  <c r="Q3750" i="1"/>
  <c r="Q3751" i="1"/>
  <c r="Q3807" i="1"/>
  <c r="N3760" i="1"/>
  <c r="N3829" i="1"/>
  <c r="N3705" i="1"/>
  <c r="Q3765" i="1"/>
  <c r="Q3847" i="1"/>
  <c r="Q3793" i="1"/>
  <c r="N3903" i="1"/>
  <c r="N3771" i="1"/>
  <c r="N3766" i="1"/>
  <c r="Q3733" i="1"/>
  <c r="N3683" i="1"/>
  <c r="M3709" i="1"/>
  <c r="N3749" i="1"/>
  <c r="M3656" i="1"/>
  <c r="Q3706" i="1"/>
  <c r="Q3655" i="1"/>
  <c r="M3721" i="1"/>
  <c r="Q3715" i="1"/>
  <c r="Q3643" i="1"/>
  <c r="U3848" i="1"/>
  <c r="U3914" i="1"/>
  <c r="T3879" i="1"/>
  <c r="M3685" i="1"/>
  <c r="Q3648" i="1"/>
  <c r="Q3595" i="1"/>
  <c r="T3888" i="1"/>
  <c r="T3864" i="1"/>
  <c r="U3923" i="1"/>
  <c r="Q3637" i="1"/>
  <c r="U3885" i="1"/>
  <c r="M3669" i="1"/>
  <c r="U3893" i="1"/>
  <c r="N3664" i="1"/>
  <c r="T3849" i="1"/>
  <c r="T3821" i="1"/>
  <c r="U3846" i="1"/>
  <c r="Q3671" i="1"/>
  <c r="T3846" i="1"/>
  <c r="T3844" i="1"/>
  <c r="M3558" i="1"/>
  <c r="Q3622" i="1"/>
  <c r="N3587" i="1"/>
  <c r="Q3567" i="1"/>
  <c r="Q3566" i="1"/>
  <c r="U3905" i="1"/>
  <c r="M3574" i="1"/>
  <c r="N3627" i="1"/>
  <c r="N3639" i="1"/>
  <c r="T3839" i="1"/>
  <c r="M3569" i="1"/>
  <c r="U3862" i="1"/>
  <c r="T3845" i="1"/>
  <c r="N3623" i="1"/>
  <c r="Q3580" i="1"/>
  <c r="N3612" i="1"/>
  <c r="N3559" i="1"/>
  <c r="M3546" i="1"/>
  <c r="Q3533" i="1"/>
  <c r="U3805" i="1"/>
  <c r="Q3612" i="1"/>
  <c r="Q3518" i="1"/>
  <c r="Q3519" i="1"/>
  <c r="U3785" i="1"/>
  <c r="N3513" i="1"/>
  <c r="N3522" i="1"/>
  <c r="T3795" i="1"/>
  <c r="Q3615" i="1"/>
  <c r="N3546" i="1"/>
  <c r="T3729" i="1"/>
  <c r="M3495" i="1"/>
  <c r="N3505" i="1"/>
  <c r="T3712" i="1"/>
  <c r="Q3529" i="1"/>
  <c r="T3745" i="1"/>
  <c r="T3656" i="1"/>
  <c r="T3681" i="1"/>
  <c r="U3644" i="1"/>
  <c r="M3484" i="1"/>
  <c r="U3678" i="1"/>
  <c r="U3663" i="1"/>
  <c r="T3691" i="1"/>
  <c r="N3472" i="1"/>
  <c r="U3612" i="1"/>
  <c r="N3364" i="1"/>
  <c r="M3463" i="1"/>
  <c r="N3454" i="1"/>
  <c r="N3372" i="1"/>
  <c r="T3678" i="1"/>
  <c r="Q3282" i="1"/>
  <c r="Q3283" i="1"/>
  <c r="U3597" i="1"/>
  <c r="N3305" i="1"/>
  <c r="N3188" i="1"/>
  <c r="N3230" i="1"/>
  <c r="T3594" i="1"/>
  <c r="T3573" i="1"/>
  <c r="T3544" i="1"/>
  <c r="T3572" i="1"/>
  <c r="T3543" i="1"/>
  <c r="U3448" i="1"/>
  <c r="U3429" i="1"/>
  <c r="M3097" i="1"/>
  <c r="T3427" i="1"/>
  <c r="U3403" i="1"/>
  <c r="U3386" i="1"/>
  <c r="U3387" i="1"/>
  <c r="U3385" i="1"/>
  <c r="U3397" i="1"/>
  <c r="U3390" i="1"/>
  <c r="U3396" i="1"/>
  <c r="U3398" i="1"/>
  <c r="U3395" i="1"/>
  <c r="U3400" i="1"/>
  <c r="U3399" i="1"/>
  <c r="U3389" i="1"/>
  <c r="U3391" i="1"/>
  <c r="T3398" i="1"/>
  <c r="U3487" i="1"/>
  <c r="U3515" i="1"/>
  <c r="M3104" i="1"/>
  <c r="N3031" i="1"/>
  <c r="T3425" i="1"/>
  <c r="U3284" i="1"/>
  <c r="T3266" i="1"/>
  <c r="M3216" i="1"/>
  <c r="U3216" i="1"/>
  <c r="N2910" i="1"/>
  <c r="U3149" i="1"/>
  <c r="N2929" i="1"/>
  <c r="U3266" i="1"/>
  <c r="Q2916" i="1"/>
  <c r="T3108" i="1"/>
  <c r="T3025" i="1"/>
  <c r="U3025" i="1"/>
  <c r="N2823" i="1"/>
  <c r="M2787" i="1"/>
  <c r="U3064" i="1"/>
  <c r="M2849" i="1"/>
  <c r="N2813" i="1"/>
  <c r="T2931" i="1"/>
  <c r="N2706" i="1"/>
  <c r="M2645" i="1"/>
  <c r="U2913" i="1"/>
  <c r="N2550" i="1"/>
  <c r="U2805" i="1"/>
  <c r="U2715" i="1"/>
  <c r="Q2432" i="1"/>
  <c r="Q2433" i="1"/>
  <c r="U2508" i="1"/>
  <c r="M1990" i="1"/>
  <c r="T2120" i="1"/>
  <c r="T928" i="1"/>
  <c r="T868" i="1"/>
  <c r="T750" i="1"/>
  <c r="U795" i="1"/>
  <c r="U821" i="1"/>
  <c r="T836" i="1"/>
  <c r="U865" i="1"/>
  <c r="U3884" i="1"/>
  <c r="U3874" i="1"/>
  <c r="U3845" i="1"/>
  <c r="U3727" i="1"/>
  <c r="T3764" i="1"/>
  <c r="T3699" i="1"/>
  <c r="T3639" i="1"/>
  <c r="U3296" i="1"/>
  <c r="T916" i="1"/>
  <c r="T850" i="1"/>
  <c r="T3908" i="1"/>
  <c r="U3831" i="1"/>
  <c r="T3723" i="1"/>
  <c r="T3657" i="1"/>
  <c r="T939" i="1"/>
  <c r="T751" i="1"/>
  <c r="T921" i="1"/>
  <c r="T855" i="1"/>
  <c r="T876" i="1"/>
  <c r="U892" i="1"/>
  <c r="T800" i="1"/>
  <c r="Q586" i="1"/>
  <c r="T871" i="1"/>
  <c r="U940" i="1"/>
  <c r="T826" i="1"/>
  <c r="U921" i="1"/>
  <c r="T867" i="1"/>
  <c r="T808" i="1"/>
  <c r="T727" i="1"/>
  <c r="Q129" i="1"/>
  <c r="T794" i="1"/>
  <c r="T771" i="1"/>
  <c r="T722" i="1"/>
  <c r="U884" i="1"/>
  <c r="T715" i="1"/>
  <c r="U806" i="1"/>
  <c r="T769" i="1"/>
  <c r="Q315" i="1"/>
  <c r="U790" i="1"/>
  <c r="U932" i="1"/>
  <c r="Q21" i="1"/>
  <c r="U723" i="1"/>
  <c r="U827" i="1"/>
  <c r="U922" i="1"/>
  <c r="U757" i="1"/>
  <c r="U751" i="1"/>
  <c r="T890" i="1"/>
  <c r="U761" i="1"/>
  <c r="T857" i="1"/>
  <c r="U803" i="1"/>
  <c r="T720" i="1"/>
  <c r="T747" i="1"/>
  <c r="T849" i="1"/>
  <c r="T825" i="1"/>
  <c r="U840" i="1"/>
  <c r="U878" i="1"/>
  <c r="T894" i="1"/>
  <c r="U808" i="1"/>
  <c r="U807" i="1"/>
  <c r="U837" i="1"/>
  <c r="U930" i="1"/>
  <c r="Q414" i="1"/>
  <c r="Q3910" i="1"/>
  <c r="M3901" i="1"/>
  <c r="M3938" i="1"/>
  <c r="M3878" i="1"/>
  <c r="M3939" i="1"/>
  <c r="M3891" i="1"/>
  <c r="M3843" i="1"/>
  <c r="M3892" i="1"/>
  <c r="Q3941" i="1"/>
  <c r="N3834" i="1"/>
  <c r="Q3905" i="1"/>
  <c r="Q3869" i="1"/>
  <c r="N3830" i="1"/>
  <c r="N3827" i="1"/>
  <c r="M3807" i="1"/>
  <c r="M3770" i="1"/>
  <c r="M3704" i="1"/>
  <c r="M3765" i="1"/>
  <c r="N3743" i="1"/>
  <c r="M3826" i="1"/>
  <c r="Q3742" i="1"/>
  <c r="N3790" i="1"/>
  <c r="Q3835" i="1"/>
  <c r="N3761" i="1"/>
  <c r="M3733" i="1"/>
  <c r="N3666" i="1"/>
  <c r="N3702" i="1"/>
  <c r="N3789" i="1"/>
  <c r="M3655" i="1"/>
  <c r="M3706" i="1"/>
  <c r="Q3654" i="1"/>
  <c r="N3715" i="1"/>
  <c r="Q3702" i="1"/>
  <c r="Q3639" i="1"/>
  <c r="N3773" i="1"/>
  <c r="T3912" i="1"/>
  <c r="T3875" i="1"/>
  <c r="N3682" i="1"/>
  <c r="N3697" i="1"/>
  <c r="M3641" i="1"/>
  <c r="M3616" i="1"/>
  <c r="U3924" i="1"/>
  <c r="Q3633" i="1"/>
  <c r="Q3703" i="1"/>
  <c r="U3881" i="1"/>
  <c r="M3720" i="1"/>
  <c r="T3911" i="1"/>
  <c r="Q3646" i="1"/>
  <c r="Q3602" i="1"/>
  <c r="M3572" i="1"/>
  <c r="N3600" i="1"/>
  <c r="M3671" i="1"/>
  <c r="M3600" i="1"/>
  <c r="M3557" i="1"/>
  <c r="M3622" i="1"/>
  <c r="Q3586" i="1"/>
  <c r="Q3565" i="1"/>
  <c r="U3904" i="1"/>
  <c r="Q3573" i="1"/>
  <c r="N3613" i="1"/>
  <c r="N3636" i="1"/>
  <c r="Q3591" i="1"/>
  <c r="U3857" i="1"/>
  <c r="Q3599" i="1"/>
  <c r="T3840" i="1"/>
  <c r="T3824" i="1"/>
  <c r="U3856" i="1"/>
  <c r="U3798" i="1"/>
  <c r="T3790" i="1"/>
  <c r="N3554" i="1"/>
  <c r="M3538" i="1"/>
  <c r="M3513" i="1"/>
  <c r="T3756" i="1"/>
  <c r="T3752" i="1"/>
  <c r="Q3536" i="1"/>
  <c r="U3752" i="1"/>
  <c r="U3759" i="1"/>
  <c r="U3816" i="1"/>
  <c r="M3537" i="1"/>
  <c r="N3540" i="1"/>
  <c r="U3744" i="1"/>
  <c r="M3503" i="1"/>
  <c r="Q3482" i="1"/>
  <c r="U3746" i="1"/>
  <c r="M3480" i="1"/>
  <c r="T3643" i="1"/>
  <c r="T3728" i="1"/>
  <c r="U3674" i="1"/>
  <c r="T3701" i="1"/>
  <c r="T3806" i="1"/>
  <c r="U3716" i="1"/>
  <c r="M3363" i="1"/>
  <c r="M3361" i="1"/>
  <c r="T3707" i="1"/>
  <c r="U3638" i="1"/>
  <c r="T3676" i="1"/>
  <c r="M3369" i="1"/>
  <c r="T3664" i="1"/>
  <c r="T3820" i="1"/>
  <c r="N3363" i="1"/>
  <c r="T3524" i="1"/>
  <c r="T3523" i="1"/>
  <c r="T3510" i="1"/>
  <c r="T3509" i="1"/>
  <c r="T3614" i="1"/>
  <c r="M3151" i="1"/>
  <c r="T3522" i="1"/>
  <c r="T3520" i="1"/>
  <c r="T3562" i="1"/>
  <c r="U3576" i="1"/>
  <c r="U3394" i="1"/>
  <c r="U3480" i="1"/>
  <c r="U3383" i="1"/>
  <c r="T3397" i="1"/>
  <c r="T3396" i="1"/>
  <c r="T3395" i="1"/>
  <c r="T3389" i="1"/>
  <c r="T3457" i="1"/>
  <c r="U3561" i="1"/>
  <c r="N3238" i="1"/>
  <c r="T3329" i="1"/>
  <c r="U3339" i="1"/>
  <c r="U3275" i="1"/>
  <c r="U3272" i="1"/>
  <c r="U3274" i="1"/>
  <c r="U3273" i="1"/>
  <c r="M3272" i="1"/>
  <c r="M3103" i="1"/>
  <c r="U3619" i="1"/>
  <c r="U3305" i="1"/>
  <c r="M3067" i="1"/>
  <c r="T3460" i="1"/>
  <c r="T3290" i="1"/>
  <c r="U3146" i="1"/>
  <c r="N2917" i="1"/>
  <c r="U3207" i="1"/>
  <c r="T3109" i="1"/>
  <c r="U3270" i="1"/>
  <c r="U3268" i="1"/>
  <c r="U3267" i="1"/>
  <c r="N2835" i="1"/>
  <c r="N2776" i="1"/>
  <c r="U3067" i="1"/>
  <c r="U3026" i="1"/>
  <c r="N2816" i="1"/>
  <c r="U3014" i="1"/>
  <c r="T3038" i="1"/>
  <c r="N2704" i="1"/>
  <c r="N2745" i="1"/>
  <c r="T3002" i="1"/>
  <c r="U2931" i="1"/>
  <c r="T2661" i="1"/>
  <c r="U2712" i="1"/>
  <c r="U2702" i="1"/>
  <c r="U2581" i="1"/>
  <c r="U2466" i="1"/>
  <c r="U2698" i="1"/>
  <c r="T3867" i="1"/>
  <c r="T3929" i="1"/>
  <c r="T3778" i="1"/>
  <c r="U3806" i="1"/>
  <c r="U3476" i="1"/>
  <c r="T3271" i="1"/>
  <c r="T3243" i="1"/>
  <c r="T3267" i="1"/>
  <c r="T3255" i="1"/>
  <c r="T3264" i="1"/>
  <c r="T3146" i="1"/>
  <c r="U3180" i="1"/>
  <c r="U3176" i="1"/>
  <c r="T3143" i="1"/>
  <c r="T3140" i="1"/>
  <c r="T3142" i="1"/>
  <c r="T3206" i="1"/>
  <c r="U3038" i="1"/>
  <c r="Q2776" i="1"/>
  <c r="Q2777" i="1"/>
  <c r="U2993" i="1"/>
  <c r="T3194" i="1"/>
  <c r="U3835" i="1"/>
  <c r="T3388" i="1"/>
  <c r="T852" i="1"/>
  <c r="U917" i="1"/>
  <c r="T927" i="1"/>
  <c r="T903" i="1"/>
  <c r="T926" i="1"/>
  <c r="T845" i="1"/>
  <c r="T803" i="1"/>
  <c r="T933" i="1"/>
  <c r="T858" i="1"/>
  <c r="U890" i="1"/>
  <c r="T738" i="1"/>
  <c r="T922" i="1"/>
  <c r="U941" i="1"/>
  <c r="T790" i="1"/>
  <c r="Q627" i="1"/>
  <c r="T937" i="1"/>
  <c r="T756" i="1"/>
  <c r="T882" i="1"/>
  <c r="T866" i="1"/>
  <c r="Q219" i="1"/>
  <c r="T725" i="1"/>
  <c r="Q74" i="1"/>
  <c r="Q224" i="1"/>
  <c r="U741" i="1"/>
  <c r="T712" i="1"/>
  <c r="T795" i="1"/>
  <c r="U825" i="1"/>
  <c r="T740" i="1"/>
  <c r="U762" i="1"/>
  <c r="U933" i="1"/>
  <c r="U756" i="1"/>
  <c r="Q341" i="1"/>
  <c r="T914" i="1"/>
  <c r="U823" i="1"/>
  <c r="Q673" i="1"/>
  <c r="U744" i="1"/>
  <c r="U943" i="1"/>
  <c r="Q457" i="1"/>
  <c r="U867" i="1"/>
  <c r="U728" i="1"/>
  <c r="U829" i="1"/>
  <c r="U804" i="1"/>
  <c r="Q434" i="1"/>
  <c r="U833" i="1"/>
  <c r="U915" i="1"/>
  <c r="U750" i="1"/>
  <c r="T796" i="1"/>
  <c r="U849" i="1"/>
  <c r="T888" i="1"/>
  <c r="U782" i="1"/>
  <c r="U740" i="1"/>
  <c r="U715" i="1"/>
  <c r="U925" i="1"/>
  <c r="U737" i="1"/>
  <c r="U710" i="1"/>
  <c r="N3923" i="1"/>
  <c r="M3899" i="1"/>
  <c r="Q3899" i="1"/>
  <c r="Q3900" i="1"/>
  <c r="N3890" i="1"/>
  <c r="Q3938" i="1"/>
  <c r="N3881" i="1"/>
  <c r="N3850" i="1"/>
  <c r="M3941" i="1"/>
  <c r="N3831" i="1"/>
  <c r="Q3891" i="1"/>
  <c r="Q3827" i="1"/>
  <c r="Q3826" i="1"/>
  <c r="M3881" i="1"/>
  <c r="M3905" i="1"/>
  <c r="Q3894" i="1"/>
  <c r="M3869" i="1"/>
  <c r="N3821" i="1"/>
  <c r="N3813" i="1"/>
  <c r="M3789" i="1"/>
  <c r="M3758" i="1"/>
  <c r="M3760" i="1"/>
  <c r="M3873" i="1"/>
  <c r="Q3763" i="1"/>
  <c r="M3742" i="1"/>
  <c r="Q3784" i="1"/>
  <c r="M3749" i="1"/>
  <c r="U3933" i="1"/>
  <c r="N3707" i="1"/>
  <c r="Q3819" i="1"/>
  <c r="Q3719" i="1"/>
  <c r="M3665" i="1"/>
  <c r="N3698" i="1"/>
  <c r="M3654" i="1"/>
  <c r="Q3653" i="1"/>
  <c r="M3702" i="1"/>
  <c r="T3910" i="1"/>
  <c r="T3871" i="1"/>
  <c r="U3926" i="1"/>
  <c r="N3685" i="1"/>
  <c r="U3941" i="1"/>
  <c r="T3884" i="1"/>
  <c r="U3859" i="1"/>
  <c r="T3918" i="1"/>
  <c r="N3703" i="1"/>
  <c r="U3877" i="1"/>
  <c r="T3906" i="1"/>
  <c r="T3860" i="1"/>
  <c r="T3890" i="1"/>
  <c r="U3844" i="1"/>
  <c r="T3916" i="1"/>
  <c r="Q3572" i="1"/>
  <c r="Q3710" i="1"/>
  <c r="T3866" i="1"/>
  <c r="T3830" i="1"/>
  <c r="Q3564" i="1"/>
  <c r="N3643" i="1"/>
  <c r="T3817" i="1"/>
  <c r="N3630" i="1"/>
  <c r="T3835" i="1"/>
  <c r="T3812" i="1"/>
  <c r="N3601" i="1"/>
  <c r="M3599" i="1"/>
  <c r="N3593" i="1"/>
  <c r="N3577" i="1"/>
  <c r="N3538" i="1"/>
  <c r="U3827" i="1"/>
  <c r="T3782" i="1"/>
  <c r="U3748" i="1"/>
  <c r="M3536" i="1"/>
  <c r="T3757" i="1"/>
  <c r="M3534" i="1"/>
  <c r="T3809" i="1"/>
  <c r="U3825" i="1"/>
  <c r="T3781" i="1"/>
  <c r="Q3498" i="1"/>
  <c r="T3747" i="1"/>
  <c r="T3711" i="1"/>
  <c r="U3730" i="1"/>
  <c r="U3736" i="1"/>
  <c r="T3724" i="1"/>
  <c r="T3709" i="1"/>
  <c r="T3748" i="1"/>
  <c r="U3670" i="1"/>
  <c r="M3455" i="1"/>
  <c r="N3463" i="1"/>
  <c r="T3607" i="1"/>
  <c r="M3397" i="1"/>
  <c r="N3386" i="1"/>
  <c r="U3603" i="1"/>
  <c r="U3600" i="1"/>
  <c r="T3674" i="1"/>
  <c r="U3650" i="1"/>
  <c r="T3655" i="1"/>
  <c r="U3607" i="1"/>
  <c r="T3565" i="1"/>
  <c r="T3541" i="1"/>
  <c r="U3629" i="1"/>
  <c r="T3458" i="1"/>
  <c r="U3503" i="1"/>
  <c r="T3384" i="1"/>
  <c r="M3205" i="1"/>
  <c r="N3288" i="1"/>
  <c r="T3421" i="1"/>
  <c r="U3326" i="1"/>
  <c r="U3317" i="1"/>
  <c r="N3227" i="1"/>
  <c r="T3302" i="1"/>
  <c r="U3371" i="1"/>
  <c r="U3262" i="1"/>
  <c r="M3042" i="1"/>
  <c r="T3516" i="1"/>
  <c r="T3347" i="1"/>
  <c r="T3339" i="1"/>
  <c r="T3345" i="1"/>
  <c r="Q3008" i="1"/>
  <c r="Q3009" i="1"/>
  <c r="U3280" i="1"/>
  <c r="T3534" i="1"/>
  <c r="U3255" i="1"/>
  <c r="M3212" i="1"/>
  <c r="T3311" i="1"/>
  <c r="T3309" i="1"/>
  <c r="M3108" i="1"/>
  <c r="T3340" i="1"/>
  <c r="U3287" i="1"/>
  <c r="U3278" i="1"/>
  <c r="U3282" i="1"/>
  <c r="U3286" i="1"/>
  <c r="U3279" i="1"/>
  <c r="T3207" i="1"/>
  <c r="T3157" i="1"/>
  <c r="U3241" i="1"/>
  <c r="Q2958" i="1"/>
  <c r="Q2959" i="1"/>
  <c r="U3181" i="1"/>
  <c r="T3144" i="1"/>
  <c r="T3209" i="1"/>
  <c r="N3025" i="1"/>
  <c r="N2794" i="1"/>
  <c r="U3079" i="1"/>
  <c r="T3013" i="1"/>
  <c r="U3008" i="1"/>
  <c r="T3034" i="1"/>
  <c r="U2920" i="1"/>
  <c r="U2919" i="1"/>
  <c r="U2907" i="1"/>
  <c r="M2718" i="1"/>
  <c r="T2922" i="1"/>
  <c r="T3001" i="1"/>
  <c r="U2688" i="1"/>
  <c r="U2685" i="1"/>
  <c r="U2654" i="1"/>
  <c r="U2660" i="1"/>
  <c r="U2657" i="1"/>
  <c r="U2666" i="1"/>
  <c r="U2675" i="1"/>
  <c r="U2681" i="1"/>
  <c r="U2670" i="1"/>
  <c r="N2497" i="1"/>
  <c r="N2365" i="1"/>
  <c r="N2168" i="1"/>
  <c r="Q2124" i="1"/>
  <c r="Q2125" i="1"/>
  <c r="T2325" i="1"/>
  <c r="T2320" i="1"/>
  <c r="U2338" i="1"/>
  <c r="T3828" i="1"/>
  <c r="T3870" i="1"/>
  <c r="Q3540" i="1"/>
  <c r="Q3570" i="1"/>
  <c r="U3766" i="1"/>
  <c r="T3780" i="1"/>
  <c r="T3789" i="1"/>
  <c r="T3775" i="1"/>
  <c r="T3799" i="1"/>
  <c r="T3742" i="1"/>
  <c r="T3732" i="1"/>
  <c r="T3720" i="1"/>
  <c r="T3708" i="1"/>
  <c r="T3739" i="1"/>
  <c r="T3698" i="1"/>
  <c r="Q3489" i="1"/>
  <c r="Q3477" i="1"/>
  <c r="Q3465" i="1"/>
  <c r="U3673" i="1"/>
  <c r="T3722" i="1"/>
  <c r="T3677" i="1"/>
  <c r="U3651" i="1"/>
  <c r="U3645" i="1"/>
  <c r="U3686" i="1"/>
  <c r="T3645" i="1"/>
  <c r="U3647" i="1"/>
  <c r="U3679" i="1"/>
  <c r="T3713" i="1"/>
  <c r="T3687" i="1"/>
  <c r="T3753" i="1"/>
  <c r="U3696" i="1"/>
  <c r="T3605" i="1"/>
  <c r="U3698" i="1"/>
  <c r="T3682" i="1"/>
  <c r="U3616" i="1"/>
  <c r="T3686" i="1"/>
  <c r="U3502" i="1"/>
  <c r="Q3347" i="1"/>
  <c r="T3532" i="1"/>
  <c r="T3626" i="1"/>
  <c r="T3464" i="1"/>
  <c r="Q3357" i="1"/>
  <c r="T3519" i="1"/>
  <c r="U3470" i="1"/>
  <c r="U3720" i="1"/>
  <c r="T3596" i="1"/>
  <c r="Q3293" i="1"/>
  <c r="U3692" i="1"/>
  <c r="Q3315" i="1"/>
  <c r="T3584" i="1"/>
  <c r="U3529" i="1"/>
  <c r="Q3264" i="1"/>
  <c r="T3419" i="1"/>
  <c r="T3379" i="1"/>
  <c r="U3365" i="1"/>
  <c r="T3496" i="1"/>
  <c r="T3443" i="1"/>
  <c r="U3422" i="1"/>
  <c r="Q3110" i="1"/>
  <c r="Q3109" i="1"/>
  <c r="T3492" i="1"/>
  <c r="T3390" i="1"/>
  <c r="T3450" i="1"/>
  <c r="T3431" i="1"/>
  <c r="Q3052" i="1"/>
  <c r="U3461" i="1"/>
  <c r="U3483" i="1"/>
  <c r="T3338" i="1"/>
  <c r="T3363" i="1"/>
  <c r="T3286" i="1"/>
  <c r="Q3272" i="1"/>
  <c r="T3344" i="1"/>
  <c r="T3247" i="1"/>
  <c r="Q2964" i="1"/>
  <c r="T3430" i="1"/>
  <c r="Q2990" i="1"/>
  <c r="Q3017" i="1"/>
  <c r="U3340" i="1"/>
  <c r="U3229" i="1"/>
  <c r="Q3125" i="1"/>
  <c r="Q3079" i="1"/>
  <c r="U3435" i="1"/>
  <c r="T3225" i="1"/>
  <c r="T3168" i="1"/>
  <c r="T3234" i="1"/>
  <c r="T3141" i="1"/>
  <c r="U3156" i="1"/>
  <c r="T3218" i="1"/>
  <c r="U3169" i="1"/>
  <c r="T3177" i="1"/>
  <c r="U3205" i="1"/>
  <c r="T3208" i="1"/>
  <c r="T3099" i="1"/>
  <c r="T3095" i="1"/>
  <c r="Q2833" i="1"/>
  <c r="T3031" i="1"/>
  <c r="T3028" i="1"/>
  <c r="U3019" i="1"/>
  <c r="T3116" i="1"/>
  <c r="T3015" i="1"/>
  <c r="T3119" i="1"/>
  <c r="U3220" i="1"/>
  <c r="T3104" i="1"/>
  <c r="U3060" i="1"/>
  <c r="Q2838" i="1"/>
  <c r="Q2785" i="1"/>
  <c r="T3030" i="1"/>
  <c r="Q2900" i="1"/>
  <c r="U2966" i="1"/>
  <c r="T2960" i="1"/>
  <c r="T2979" i="1"/>
  <c r="T2978" i="1"/>
  <c r="T2821" i="1"/>
  <c r="T2895" i="1"/>
  <c r="T2955" i="1"/>
  <c r="Q2888" i="1"/>
  <c r="U2794" i="1"/>
  <c r="U2766" i="1"/>
  <c r="U2811" i="1"/>
  <c r="U2810" i="1"/>
  <c r="U2809" i="1"/>
  <c r="U2804" i="1"/>
  <c r="U2803" i="1"/>
  <c r="Q2614" i="1"/>
  <c r="Q2615" i="1"/>
  <c r="U2488" i="1"/>
  <c r="T2713" i="1"/>
  <c r="T2709" i="1"/>
  <c r="T2712" i="1"/>
  <c r="U2441" i="1"/>
  <c r="T2630" i="1"/>
  <c r="T2504" i="1"/>
  <c r="U2621" i="1"/>
  <c r="U2617" i="1"/>
  <c r="U2611" i="1"/>
  <c r="U2613" i="1"/>
  <c r="U2616" i="1"/>
  <c r="U2618" i="1"/>
  <c r="U2610" i="1"/>
  <c r="U2619" i="1"/>
  <c r="U2615" i="1"/>
  <c r="U2641" i="1"/>
  <c r="T2501" i="1"/>
  <c r="T2316" i="1"/>
  <c r="U2353" i="1"/>
  <c r="T2530" i="1"/>
  <c r="T2427" i="1"/>
  <c r="U2252" i="1"/>
  <c r="Q2231" i="1"/>
  <c r="Q2232" i="1"/>
  <c r="U2277" i="1"/>
  <c r="Q1989" i="1"/>
  <c r="Q1990" i="1"/>
  <c r="U2390" i="1"/>
  <c r="U2386" i="1"/>
  <c r="U2389" i="1"/>
  <c r="T2117" i="1"/>
  <c r="U2205" i="1"/>
  <c r="U2041" i="1"/>
  <c r="U1174" i="1"/>
  <c r="U1159" i="1"/>
  <c r="U1165" i="1"/>
  <c r="U1173" i="1"/>
  <c r="U1153" i="1"/>
  <c r="U1042" i="1"/>
  <c r="U1114" i="1"/>
  <c r="U1017" i="1"/>
  <c r="U1089" i="1"/>
  <c r="U1155" i="1"/>
  <c r="U985" i="1"/>
  <c r="U1027" i="1"/>
  <c r="U1141" i="1"/>
  <c r="U1049" i="1"/>
  <c r="U1099" i="1"/>
  <c r="U1076" i="1"/>
  <c r="U1121" i="1"/>
  <c r="U1074" i="1"/>
  <c r="U976" i="1"/>
  <c r="U1147" i="1"/>
  <c r="U960" i="1"/>
  <c r="U1171" i="1"/>
  <c r="U3750" i="1"/>
  <c r="Q3556" i="1"/>
  <c r="U3778" i="1"/>
  <c r="Q3551" i="1"/>
  <c r="Q3543" i="1"/>
  <c r="U3764" i="1"/>
  <c r="Q3537" i="1"/>
  <c r="U3733" i="1"/>
  <c r="U3749" i="1"/>
  <c r="U3755" i="1"/>
  <c r="U3725" i="1"/>
  <c r="U3745" i="1"/>
  <c r="T3719" i="1"/>
  <c r="T3644" i="1"/>
  <c r="T3725" i="1"/>
  <c r="Q3496" i="1"/>
  <c r="T3690" i="1"/>
  <c r="U3675" i="1"/>
  <c r="U3742" i="1"/>
  <c r="T3624" i="1"/>
  <c r="T3622" i="1"/>
  <c r="U3672" i="1"/>
  <c r="U3608" i="1"/>
  <c r="T3672" i="1"/>
  <c r="U3625" i="1"/>
  <c r="U3699" i="1"/>
  <c r="U3623" i="1"/>
  <c r="T3662" i="1"/>
  <c r="Q3374" i="1"/>
  <c r="T3587" i="1"/>
  <c r="T3518" i="1"/>
  <c r="T3549" i="1"/>
  <c r="U3601" i="1"/>
  <c r="T3601" i="1"/>
  <c r="T3515" i="1"/>
  <c r="T3621" i="1"/>
  <c r="T3552" i="1"/>
  <c r="T3660" i="1"/>
  <c r="T3550" i="1"/>
  <c r="T3555" i="1"/>
  <c r="U3577" i="1"/>
  <c r="U3505" i="1"/>
  <c r="U3370" i="1"/>
  <c r="T3529" i="1"/>
  <c r="U3526" i="1"/>
  <c r="Q3252" i="1"/>
  <c r="Q3097" i="1"/>
  <c r="Q3098" i="1"/>
  <c r="Q3248" i="1"/>
  <c r="U3449" i="1"/>
  <c r="T3321" i="1"/>
  <c r="Q3306" i="1"/>
  <c r="T3439" i="1"/>
  <c r="Q3145" i="1"/>
  <c r="U3489" i="1"/>
  <c r="Q3040" i="1"/>
  <c r="U3574" i="1"/>
  <c r="U3482" i="1"/>
  <c r="Q3170" i="1"/>
  <c r="U3531" i="1"/>
  <c r="Q3214" i="1"/>
  <c r="T3436" i="1"/>
  <c r="U3264" i="1"/>
  <c r="T3232" i="1"/>
  <c r="T3426" i="1"/>
  <c r="T3531" i="1"/>
  <c r="U3300" i="1"/>
  <c r="T3245" i="1"/>
  <c r="Q2952" i="1"/>
  <c r="T3261" i="1"/>
  <c r="T3224" i="1"/>
  <c r="T3386" i="1"/>
  <c r="Q3044" i="1"/>
  <c r="Q3019" i="1"/>
  <c r="Q2978" i="1"/>
  <c r="U3412" i="1"/>
  <c r="T3282" i="1"/>
  <c r="T3570" i="1"/>
  <c r="T3444" i="1"/>
  <c r="T3382" i="1"/>
  <c r="T3228" i="1"/>
  <c r="U3276" i="1"/>
  <c r="T3257" i="1"/>
  <c r="T3204" i="1"/>
  <c r="T3172" i="1"/>
  <c r="U3198" i="1"/>
  <c r="T3167" i="1"/>
  <c r="T3114" i="1"/>
  <c r="U3184" i="1"/>
  <c r="T3195" i="1"/>
  <c r="Q2910" i="1"/>
  <c r="U3209" i="1"/>
  <c r="U3168" i="1"/>
  <c r="U3137" i="1"/>
  <c r="Q2931" i="1"/>
  <c r="U3204" i="1"/>
  <c r="T3127" i="1"/>
  <c r="T3244" i="1"/>
  <c r="T3090" i="1"/>
  <c r="T3092" i="1"/>
  <c r="U3058" i="1"/>
  <c r="U3034" i="1"/>
  <c r="T3135" i="1"/>
  <c r="U3109" i="1"/>
  <c r="U3063" i="1"/>
  <c r="U3039" i="1"/>
  <c r="Q2770" i="1"/>
  <c r="Q2771" i="1"/>
  <c r="T3112" i="1"/>
  <c r="T3094" i="1"/>
  <c r="Q2841" i="1"/>
  <c r="U3032" i="1"/>
  <c r="Q2848" i="1"/>
  <c r="T2927" i="1"/>
  <c r="T2987" i="1"/>
  <c r="T2937" i="1"/>
  <c r="T3041" i="1"/>
  <c r="T2918" i="1"/>
  <c r="T2911" i="1"/>
  <c r="T2913" i="1"/>
  <c r="T2887" i="1"/>
  <c r="T2882" i="1"/>
  <c r="U2909" i="1"/>
  <c r="U2902" i="1"/>
  <c r="U2905" i="1"/>
  <c r="T2655" i="1"/>
  <c r="T2782" i="1"/>
  <c r="T2730" i="1"/>
  <c r="T2726" i="1"/>
  <c r="T2729" i="1"/>
  <c r="T2727" i="1"/>
  <c r="T2728" i="1"/>
  <c r="T2629" i="1"/>
  <c r="T2627" i="1"/>
  <c r="T2623" i="1"/>
  <c r="T2625" i="1"/>
  <c r="T2628" i="1"/>
  <c r="T2613" i="1"/>
  <c r="T2622" i="1"/>
  <c r="T2618" i="1"/>
  <c r="T2614" i="1"/>
  <c r="T2624" i="1"/>
  <c r="T2626" i="1"/>
  <c r="U2891" i="1"/>
  <c r="U2539" i="1"/>
  <c r="U2749" i="1"/>
  <c r="T2714" i="1"/>
  <c r="U2507" i="1"/>
  <c r="U2435" i="1"/>
  <c r="T2765" i="1"/>
  <c r="U2708" i="1"/>
  <c r="U2638" i="1"/>
  <c r="U2635" i="1"/>
  <c r="U2636" i="1"/>
  <c r="U2633" i="1"/>
  <c r="U2634" i="1"/>
  <c r="T2506" i="1"/>
  <c r="U2308" i="1"/>
  <c r="T2491" i="1"/>
  <c r="U2349" i="1"/>
  <c r="U2285" i="1"/>
  <c r="T2195" i="1"/>
  <c r="U2059" i="1"/>
  <c r="T1774" i="1"/>
  <c r="T1812" i="1"/>
  <c r="T3527" i="1"/>
  <c r="T3514" i="1"/>
  <c r="U3614" i="1"/>
  <c r="T3462" i="1"/>
  <c r="T3554" i="1"/>
  <c r="T3511" i="1"/>
  <c r="U3719" i="1"/>
  <c r="U3590" i="1"/>
  <c r="Q3303" i="1"/>
  <c r="U3475" i="1"/>
  <c r="U3443" i="1"/>
  <c r="T3359" i="1"/>
  <c r="U3493" i="1"/>
  <c r="U3418" i="1"/>
  <c r="Q3086" i="1"/>
  <c r="Q3085" i="1"/>
  <c r="U3550" i="1"/>
  <c r="T3445" i="1"/>
  <c r="U3546" i="1"/>
  <c r="T3433" i="1"/>
  <c r="Q3141" i="1"/>
  <c r="U3488" i="1"/>
  <c r="U3382" i="1"/>
  <c r="U3543" i="1"/>
  <c r="T3558" i="1"/>
  <c r="U3532" i="1"/>
  <c r="U3434" i="1"/>
  <c r="T3412" i="1"/>
  <c r="T3362" i="1"/>
  <c r="T3275" i="1"/>
  <c r="U3304" i="1"/>
  <c r="T3487" i="1"/>
  <c r="T3355" i="1"/>
  <c r="T3301" i="1"/>
  <c r="Q2977" i="1"/>
  <c r="T3335" i="1"/>
  <c r="U3299" i="1"/>
  <c r="Q3138" i="1"/>
  <c r="U3217" i="1"/>
  <c r="T3323" i="1"/>
  <c r="Q3029" i="1"/>
  <c r="T3145" i="1"/>
  <c r="Q3157" i="1"/>
  <c r="T3328" i="1"/>
  <c r="T3298" i="1"/>
  <c r="T3162" i="1"/>
  <c r="T3203" i="1"/>
  <c r="T3136" i="1"/>
  <c r="T3159" i="1"/>
  <c r="T3222" i="1"/>
  <c r="U3138" i="1"/>
  <c r="Q2947" i="1"/>
  <c r="Q2948" i="1"/>
  <c r="U3212" i="1"/>
  <c r="T3148" i="1"/>
  <c r="T3331" i="1"/>
  <c r="Q2922" i="1"/>
  <c r="Q2923" i="1"/>
  <c r="Q2953" i="1"/>
  <c r="Q2880" i="1"/>
  <c r="T3156" i="1"/>
  <c r="T3253" i="1"/>
  <c r="U3108" i="1"/>
  <c r="U3077" i="1"/>
  <c r="T3026" i="1"/>
  <c r="T3024" i="1"/>
  <c r="Q2994" i="1"/>
  <c r="U3081" i="1"/>
  <c r="Q2850" i="1"/>
  <c r="Q2764" i="1"/>
  <c r="Q2765" i="1"/>
  <c r="Q2929" i="1"/>
  <c r="U3056" i="1"/>
  <c r="U3027" i="1"/>
  <c r="U3080" i="1"/>
  <c r="U3082" i="1"/>
  <c r="U3053" i="1"/>
  <c r="Q2779" i="1"/>
  <c r="U2962" i="1"/>
  <c r="U2927" i="1"/>
  <c r="T2974" i="1"/>
  <c r="T2972" i="1"/>
  <c r="T2971" i="1"/>
  <c r="U2951" i="1"/>
  <c r="U2892" i="1"/>
  <c r="U2828" i="1"/>
  <c r="U2742" i="1"/>
  <c r="U2872" i="1"/>
  <c r="T2549" i="1"/>
  <c r="T2468" i="1"/>
  <c r="U2632" i="1"/>
  <c r="U2625" i="1"/>
  <c r="U2626" i="1"/>
  <c r="U2624" i="1"/>
  <c r="U2629" i="1"/>
  <c r="U2630" i="1"/>
  <c r="U2623" i="1"/>
  <c r="T2495" i="1"/>
  <c r="U2383" i="1"/>
  <c r="T2396" i="1"/>
  <c r="T2282" i="1"/>
  <c r="Q2181" i="1"/>
  <c r="Q2182" i="1"/>
  <c r="U2475" i="1"/>
  <c r="T2347" i="1"/>
  <c r="U2190" i="1"/>
  <c r="U2039" i="1"/>
  <c r="U3504" i="1"/>
  <c r="T3437" i="1"/>
  <c r="T3459" i="1"/>
  <c r="U3437" i="1"/>
  <c r="Q3073" i="1"/>
  <c r="Q3074" i="1"/>
  <c r="Q3390" i="1"/>
  <c r="T3423" i="1"/>
  <c r="U3544" i="1"/>
  <c r="U3479" i="1"/>
  <c r="U3410" i="1"/>
  <c r="U3372" i="1"/>
  <c r="U3314" i="1"/>
  <c r="T3322" i="1"/>
  <c r="U3265" i="1"/>
  <c r="T3472" i="1"/>
  <c r="U3347" i="1"/>
  <c r="Q3243" i="1"/>
  <c r="U3336" i="1"/>
  <c r="T3418" i="1"/>
  <c r="T3300" i="1"/>
  <c r="U3256" i="1"/>
  <c r="U3259" i="1"/>
  <c r="U3379" i="1"/>
  <c r="T3332" i="1"/>
  <c r="T3292" i="1"/>
  <c r="U3539" i="1"/>
  <c r="T3263" i="1"/>
  <c r="U3567" i="1"/>
  <c r="U3433" i="1"/>
  <c r="Q3132" i="1"/>
  <c r="U3323" i="1"/>
  <c r="T3216" i="1"/>
  <c r="T3401" i="1"/>
  <c r="U3320" i="1"/>
  <c r="T3296" i="1"/>
  <c r="T3238" i="1"/>
  <c r="T3217" i="1"/>
  <c r="T3219" i="1"/>
  <c r="Q2934" i="1"/>
  <c r="Q3128" i="1"/>
  <c r="Q3043" i="1"/>
  <c r="U3201" i="1"/>
  <c r="T3161" i="1"/>
  <c r="T3124" i="1"/>
  <c r="T3160" i="1"/>
  <c r="T3235" i="1"/>
  <c r="U3185" i="1"/>
  <c r="T3155" i="1"/>
  <c r="U3054" i="1"/>
  <c r="U3030" i="1"/>
  <c r="Q2858" i="1"/>
  <c r="U3059" i="1"/>
  <c r="U3035" i="1"/>
  <c r="T3009" i="1"/>
  <c r="T3044" i="1"/>
  <c r="U3052" i="1"/>
  <c r="U2940" i="1"/>
  <c r="T2924" i="1"/>
  <c r="T2923" i="1"/>
  <c r="U2960" i="1"/>
  <c r="T2954" i="1"/>
  <c r="U2925" i="1"/>
  <c r="T2933" i="1"/>
  <c r="U2949" i="1"/>
  <c r="Q2664" i="1"/>
  <c r="Q2665" i="1"/>
  <c r="T2875" i="1"/>
  <c r="T2838" i="1"/>
  <c r="T2828" i="1"/>
  <c r="T2827" i="1"/>
  <c r="U2855" i="1"/>
  <c r="U2830" i="1"/>
  <c r="U2829" i="1"/>
  <c r="U2846" i="1"/>
  <c r="U2838" i="1"/>
  <c r="U2841" i="1"/>
  <c r="U2852" i="1"/>
  <c r="U2847" i="1"/>
  <c r="U2834" i="1"/>
  <c r="U2843" i="1"/>
  <c r="U2833" i="1"/>
  <c r="U2849" i="1"/>
  <c r="U2824" i="1"/>
  <c r="U2821" i="1"/>
  <c r="U2813" i="1"/>
  <c r="U2815" i="1"/>
  <c r="U2883" i="1"/>
  <c r="T2784" i="1"/>
  <c r="T2756" i="1"/>
  <c r="T2683" i="1"/>
  <c r="U2854" i="1"/>
  <c r="T2679" i="1"/>
  <c r="U2526" i="1"/>
  <c r="T2598" i="1"/>
  <c r="T2580" i="1"/>
  <c r="U2717" i="1"/>
  <c r="T2707" i="1"/>
  <c r="T2706" i="1"/>
  <c r="U2460" i="1"/>
  <c r="U2345" i="1"/>
  <c r="U2380" i="1"/>
  <c r="U2787" i="1"/>
  <c r="T2420" i="1"/>
  <c r="T2416" i="1"/>
  <c r="T2296" i="1"/>
  <c r="Q2411" i="1"/>
  <c r="Q2412" i="1"/>
  <c r="T2350" i="1"/>
  <c r="T2276" i="1"/>
  <c r="T2257" i="1"/>
  <c r="T2289" i="1"/>
  <c r="U2197" i="1"/>
  <c r="U1770" i="1"/>
  <c r="T1803" i="1"/>
  <c r="T1802" i="1"/>
  <c r="T1782" i="1"/>
  <c r="T1796" i="1"/>
  <c r="T1771" i="1"/>
  <c r="Q3328" i="1"/>
  <c r="T3506" i="1"/>
  <c r="Q3350" i="1"/>
  <c r="Q3349" i="1"/>
  <c r="T3537" i="1"/>
  <c r="Q3245" i="1"/>
  <c r="T3591" i="1"/>
  <c r="T3583" i="1"/>
  <c r="T3503" i="1"/>
  <c r="T3540" i="1"/>
  <c r="T3581" i="1"/>
  <c r="T3692" i="1"/>
  <c r="Q3236" i="1"/>
  <c r="U3565" i="1"/>
  <c r="U3452" i="1"/>
  <c r="T3489" i="1"/>
  <c r="T3435" i="1"/>
  <c r="T3413" i="1"/>
  <c r="T3500" i="1"/>
  <c r="U3575" i="1"/>
  <c r="U3492" i="1"/>
  <c r="T3415" i="1"/>
  <c r="U3384" i="1"/>
  <c r="Q3062" i="1"/>
  <c r="Q3061" i="1"/>
  <c r="T3533" i="1"/>
  <c r="U3465" i="1"/>
  <c r="T3438" i="1"/>
  <c r="U3423" i="1"/>
  <c r="T3634" i="1"/>
  <c r="U3485" i="1"/>
  <c r="T3420" i="1"/>
  <c r="Q3004" i="1"/>
  <c r="T3442" i="1"/>
  <c r="U3570" i="1"/>
  <c r="U3517" i="1"/>
  <c r="T3428" i="1"/>
  <c r="T3326" i="1"/>
  <c r="T3356" i="1"/>
  <c r="U3313" i="1"/>
  <c r="T3471" i="1"/>
  <c r="U3344" i="1"/>
  <c r="T3297" i="1"/>
  <c r="T3470" i="1"/>
  <c r="U3406" i="1"/>
  <c r="U3441" i="1"/>
  <c r="T3319" i="1"/>
  <c r="T3256" i="1"/>
  <c r="U3586" i="1"/>
  <c r="U3261" i="1"/>
  <c r="U3568" i="1"/>
  <c r="T3377" i="1"/>
  <c r="U3318" i="1"/>
  <c r="T3351" i="1"/>
  <c r="U3513" i="1"/>
  <c r="T3251" i="1"/>
  <c r="Q2969" i="1"/>
  <c r="T3149" i="1"/>
  <c r="T3174" i="1"/>
  <c r="U3148" i="1"/>
  <c r="T3310" i="1"/>
  <c r="U3197" i="1"/>
  <c r="U3113" i="1"/>
  <c r="T3197" i="1"/>
  <c r="T3201" i="1"/>
  <c r="T3158" i="1"/>
  <c r="U3116" i="1"/>
  <c r="Q2982" i="1"/>
  <c r="Q2876" i="1"/>
  <c r="Q2877" i="1"/>
  <c r="U3226" i="1"/>
  <c r="Q2762" i="1"/>
  <c r="U3085" i="1"/>
  <c r="T3118" i="1"/>
  <c r="U3049" i="1"/>
  <c r="T3000" i="1"/>
  <c r="U2936" i="1"/>
  <c r="U2935" i="1"/>
  <c r="U2958" i="1"/>
  <c r="U3029" i="1"/>
  <c r="T2942" i="1"/>
  <c r="U2947" i="1"/>
  <c r="T2988" i="1"/>
  <c r="T2909" i="1"/>
  <c r="U2859" i="1"/>
  <c r="Q2629" i="1"/>
  <c r="Q2630" i="1"/>
  <c r="T2904" i="1"/>
  <c r="T2787" i="1"/>
  <c r="T2725" i="1"/>
  <c r="T2715" i="1"/>
  <c r="T2718" i="1"/>
  <c r="T2681" i="1"/>
  <c r="T2754" i="1"/>
  <c r="U2786" i="1"/>
  <c r="T2775" i="1"/>
  <c r="T2965" i="1"/>
  <c r="T2673" i="1"/>
  <c r="T2526" i="1"/>
  <c r="T2596" i="1"/>
  <c r="U2399" i="1"/>
  <c r="T2654" i="1"/>
  <c r="T2593" i="1"/>
  <c r="T2454" i="1"/>
  <c r="U2377" i="1"/>
  <c r="T2523" i="1"/>
  <c r="T2474" i="1"/>
  <c r="T2510" i="1"/>
  <c r="T2460" i="1"/>
  <c r="T2496" i="1"/>
  <c r="T2509" i="1"/>
  <c r="T2480" i="1"/>
  <c r="T2516" i="1"/>
  <c r="T2515" i="1"/>
  <c r="T2466" i="1"/>
  <c r="T2502" i="1"/>
  <c r="T2522" i="1"/>
  <c r="T2519" i="1"/>
  <c r="T2518" i="1"/>
  <c r="T2472" i="1"/>
  <c r="T2508" i="1"/>
  <c r="T2492" i="1"/>
  <c r="T2478" i="1"/>
  <c r="T2514" i="1"/>
  <c r="T2513" i="1"/>
  <c r="T2498" i="1"/>
  <c r="T2521" i="1"/>
  <c r="T2484" i="1"/>
  <c r="T2520" i="1"/>
  <c r="T2346" i="1"/>
  <c r="U2445" i="1"/>
  <c r="U2215" i="1"/>
  <c r="U1785" i="1"/>
  <c r="U3751" i="1"/>
  <c r="Q3522" i="1"/>
  <c r="T3758" i="1"/>
  <c r="T3779" i="1"/>
  <c r="Q3523" i="1"/>
  <c r="T3730" i="1"/>
  <c r="T3718" i="1"/>
  <c r="T3738" i="1"/>
  <c r="T3650" i="1"/>
  <c r="U3737" i="1"/>
  <c r="Q3487" i="1"/>
  <c r="Q3462" i="1"/>
  <c r="U3717" i="1"/>
  <c r="U3700" i="1"/>
  <c r="U3707" i="1"/>
  <c r="U3656" i="1"/>
  <c r="U3592" i="1"/>
  <c r="T3595" i="1"/>
  <c r="T3668" i="1"/>
  <c r="T3613" i="1"/>
  <c r="T3666" i="1"/>
  <c r="T3642" i="1"/>
  <c r="U3621" i="1"/>
  <c r="T3484" i="1"/>
  <c r="T3568" i="1"/>
  <c r="T3502" i="1"/>
  <c r="T3485" i="1"/>
  <c r="U3704" i="1"/>
  <c r="Q3343" i="1"/>
  <c r="T3542" i="1"/>
  <c r="T3535" i="1"/>
  <c r="T3499" i="1"/>
  <c r="U3447" i="1"/>
  <c r="Q3380" i="1"/>
  <c r="T3625" i="1"/>
  <c r="T3476" i="1"/>
  <c r="U3440" i="1"/>
  <c r="T3538" i="1"/>
  <c r="T3432" i="1"/>
  <c r="Q3162" i="1"/>
  <c r="U3342" i="1"/>
  <c r="T3504" i="1"/>
  <c r="T3449" i="1"/>
  <c r="U3431" i="1"/>
  <c r="U3381" i="1"/>
  <c r="Q3049" i="1"/>
  <c r="Q3050" i="1"/>
  <c r="Q3348" i="1"/>
  <c r="U3420" i="1"/>
  <c r="U3367" i="1"/>
  <c r="U3474" i="1"/>
  <c r="Q3174" i="1"/>
  <c r="U3584" i="1"/>
  <c r="T3466" i="1"/>
  <c r="T3448" i="1"/>
  <c r="T3404" i="1"/>
  <c r="U3362" i="1"/>
  <c r="T3513" i="1"/>
  <c r="U3458" i="1"/>
  <c r="Q3227" i="1"/>
  <c r="T3293" i="1"/>
  <c r="T3358" i="1"/>
  <c r="T3336" i="1"/>
  <c r="T3294" i="1"/>
  <c r="U3252" i="1"/>
  <c r="U3430" i="1"/>
  <c r="T3368" i="1"/>
  <c r="U3316" i="1"/>
  <c r="U3277" i="1"/>
  <c r="U3288" i="1"/>
  <c r="U3538" i="1"/>
  <c r="T3248" i="1"/>
  <c r="U3509" i="1"/>
  <c r="U3308" i="1"/>
  <c r="U3349" i="1"/>
  <c r="T3308" i="1"/>
  <c r="Q3015" i="1"/>
  <c r="U3194" i="1"/>
  <c r="T3402" i="1"/>
  <c r="T3315" i="1"/>
  <c r="T3291" i="1"/>
  <c r="U3402" i="1"/>
  <c r="U3145" i="1"/>
  <c r="U3193" i="1"/>
  <c r="Q2884" i="1"/>
  <c r="T3237" i="1"/>
  <c r="T3189" i="1"/>
  <c r="U3524" i="1"/>
  <c r="T3372" i="1"/>
  <c r="T3281" i="1"/>
  <c r="Q2936" i="1"/>
  <c r="T3287" i="1"/>
  <c r="T3353" i="1"/>
  <c r="T3190" i="1"/>
  <c r="U3227" i="1"/>
  <c r="Q2911" i="1"/>
  <c r="T3180" i="1"/>
  <c r="U3211" i="1"/>
  <c r="U3074" i="1"/>
  <c r="U3050" i="1"/>
  <c r="U3024" i="1"/>
  <c r="T3102" i="1"/>
  <c r="T3020" i="1"/>
  <c r="T3018" i="1"/>
  <c r="Q2799" i="1"/>
  <c r="Q2800" i="1"/>
  <c r="U3055" i="1"/>
  <c r="U3031" i="1"/>
  <c r="T3040" i="1"/>
  <c r="T3111" i="1"/>
  <c r="U3078" i="1"/>
  <c r="U3167" i="1"/>
  <c r="U3076" i="1"/>
  <c r="U3073" i="1"/>
  <c r="U3045" i="1"/>
  <c r="Q2767" i="1"/>
  <c r="T2973" i="1"/>
  <c r="U2956" i="1"/>
  <c r="Q2729" i="1"/>
  <c r="T2950" i="1"/>
  <c r="U2921" i="1"/>
  <c r="Q2796" i="1"/>
  <c r="U2934" i="1"/>
  <c r="T3008" i="1"/>
  <c r="T3066" i="1"/>
  <c r="Q2742" i="1"/>
  <c r="T2879" i="1"/>
  <c r="T2846" i="1"/>
  <c r="U2903" i="1"/>
  <c r="T2739" i="1"/>
  <c r="T2701" i="1"/>
  <c r="T2781" i="1"/>
  <c r="T2653" i="1"/>
  <c r="T2633" i="1"/>
  <c r="T2651" i="1"/>
  <c r="U2524" i="1"/>
  <c r="U2520" i="1"/>
  <c r="U2549" i="1"/>
  <c r="Q2205" i="1"/>
  <c r="Q2206" i="1"/>
  <c r="U2503" i="1"/>
  <c r="U2502" i="1"/>
  <c r="U2757" i="1"/>
  <c r="Q2201" i="1"/>
  <c r="Q2202" i="1"/>
  <c r="U2337" i="1"/>
  <c r="U2374" i="1"/>
  <c r="T2394" i="1"/>
  <c r="T2377" i="1"/>
  <c r="T2255" i="1"/>
  <c r="T2253" i="1"/>
  <c r="T2231" i="1"/>
  <c r="U2268" i="1"/>
  <c r="U2227" i="1"/>
  <c r="U2250" i="1"/>
  <c r="U2237" i="1"/>
  <c r="U2212" i="1"/>
  <c r="U2260" i="1"/>
  <c r="U2263" i="1"/>
  <c r="U2245" i="1"/>
  <c r="U2261" i="1"/>
  <c r="U2224" i="1"/>
  <c r="U2264" i="1"/>
  <c r="U2221" i="1"/>
  <c r="U2223" i="1"/>
  <c r="U2233" i="1"/>
  <c r="U2220" i="1"/>
  <c r="U2236" i="1"/>
  <c r="U2235" i="1"/>
  <c r="U2243" i="1"/>
  <c r="U2232" i="1"/>
  <c r="U2213" i="1"/>
  <c r="U2222" i="1"/>
  <c r="U2244" i="1"/>
  <c r="U2234" i="1"/>
  <c r="U2249" i="1"/>
  <c r="U2248" i="1"/>
  <c r="U2303" i="1"/>
  <c r="U2302" i="1"/>
  <c r="U2301" i="1"/>
  <c r="U2295" i="1"/>
  <c r="U2217" i="1"/>
  <c r="T2041" i="1"/>
  <c r="U3840" i="1"/>
  <c r="T3836" i="1"/>
  <c r="Q3527" i="1"/>
  <c r="T3755" i="1"/>
  <c r="U3763" i="1"/>
  <c r="U3870" i="1"/>
  <c r="T3793" i="1"/>
  <c r="T3785" i="1"/>
  <c r="T3766" i="1"/>
  <c r="Q3553" i="1"/>
  <c r="U3777" i="1"/>
  <c r="T3750" i="1"/>
  <c r="T3744" i="1"/>
  <c r="T3726" i="1"/>
  <c r="T3714" i="1"/>
  <c r="U3779" i="1"/>
  <c r="T3705" i="1"/>
  <c r="Q3483" i="1"/>
  <c r="Q3471" i="1"/>
  <c r="T3754" i="1"/>
  <c r="T3773" i="1"/>
  <c r="U3722" i="1"/>
  <c r="T3689" i="1"/>
  <c r="T3665" i="1"/>
  <c r="U3706" i="1"/>
  <c r="U3662" i="1"/>
  <c r="T3704" i="1"/>
  <c r="T3653" i="1"/>
  <c r="T3675" i="1"/>
  <c r="U3654" i="1"/>
  <c r="U3724" i="1"/>
  <c r="U3637" i="1"/>
  <c r="T3610" i="1"/>
  <c r="T3659" i="1"/>
  <c r="T3608" i="1"/>
  <c r="U3664" i="1"/>
  <c r="T3606" i="1"/>
  <c r="U3589" i="1"/>
  <c r="T3521" i="1"/>
  <c r="T3498" i="1"/>
  <c r="U3591" i="1"/>
  <c r="Q3331" i="1"/>
  <c r="U3528" i="1"/>
  <c r="T3495" i="1"/>
  <c r="Q3336" i="1"/>
  <c r="Q3288" i="1"/>
  <c r="Q3365" i="1"/>
  <c r="Q3329" i="1"/>
  <c r="Q3220" i="1"/>
  <c r="T3590" i="1"/>
  <c r="Q3359" i="1"/>
  <c r="Q3360" i="1"/>
  <c r="T3474" i="1"/>
  <c r="T3560" i="1"/>
  <c r="U3428" i="1"/>
  <c r="T3539" i="1"/>
  <c r="T3481" i="1"/>
  <c r="Q3260" i="1"/>
  <c r="T3394" i="1"/>
  <c r="U3579" i="1"/>
  <c r="U3497" i="1"/>
  <c r="U3547" i="1"/>
  <c r="Q3211" i="1"/>
  <c r="T3429" i="1"/>
  <c r="U3413" i="1"/>
  <c r="Q3037" i="1"/>
  <c r="Q3038" i="1"/>
  <c r="U3525" i="1"/>
  <c r="U3464" i="1"/>
  <c r="Q3121" i="1"/>
  <c r="T3588" i="1"/>
  <c r="U3358" i="1"/>
  <c r="U3350" i="1"/>
  <c r="U3516" i="1"/>
  <c r="U3446" i="1"/>
  <c r="T3392" i="1"/>
  <c r="U3450" i="1"/>
  <c r="U3369" i="1"/>
  <c r="T3306" i="1"/>
  <c r="U3260" i="1"/>
  <c r="U3325" i="1"/>
  <c r="T3268" i="1"/>
  <c r="Q2988" i="1"/>
  <c r="U3478" i="1"/>
  <c r="U3281" i="1"/>
  <c r="T3200" i="1"/>
  <c r="T3367" i="1"/>
  <c r="U3324" i="1"/>
  <c r="Q3041" i="1"/>
  <c r="T3376" i="1"/>
  <c r="U3298" i="1"/>
  <c r="T3193" i="1"/>
  <c r="U3512" i="1"/>
  <c r="U3144" i="1"/>
  <c r="U3319" i="1"/>
  <c r="U3192" i="1"/>
  <c r="T3213" i="1"/>
  <c r="Q2894" i="1"/>
  <c r="T3129" i="1"/>
  <c r="U3166" i="1"/>
  <c r="U3143" i="1"/>
  <c r="Q3020" i="1"/>
  <c r="T3126" i="1"/>
  <c r="Q3032" i="1"/>
  <c r="T3192" i="1"/>
  <c r="U3150" i="1"/>
  <c r="Q2859" i="1"/>
  <c r="T3221" i="1"/>
  <c r="U3190" i="1"/>
  <c r="U3130" i="1"/>
  <c r="T3227" i="1"/>
  <c r="Q2946" i="1"/>
  <c r="U3147" i="1"/>
  <c r="U3110" i="1"/>
  <c r="T3226" i="1"/>
  <c r="T3179" i="1"/>
  <c r="T3165" i="1"/>
  <c r="U3121" i="1"/>
  <c r="Q2851" i="1"/>
  <c r="T3043" i="1"/>
  <c r="U3214" i="1"/>
  <c r="U3160" i="1"/>
  <c r="T3027" i="1"/>
  <c r="T3199" i="1"/>
  <c r="U3129" i="1"/>
  <c r="T3022" i="1"/>
  <c r="T3133" i="1"/>
  <c r="U3015" i="1"/>
  <c r="U3155" i="1"/>
  <c r="U3028" i="1"/>
  <c r="U3069" i="1"/>
  <c r="U2932" i="1"/>
  <c r="Q2794" i="1"/>
  <c r="T2948" i="1"/>
  <c r="T2925" i="1"/>
  <c r="Q2681" i="1"/>
  <c r="Q2792" i="1"/>
  <c r="T3007" i="1"/>
  <c r="U3004" i="1"/>
  <c r="U2853" i="1"/>
  <c r="Q2638" i="1"/>
  <c r="Q2639" i="1"/>
  <c r="Q2597" i="1"/>
  <c r="Q2598" i="1"/>
  <c r="U2857" i="1"/>
  <c r="U2899" i="1"/>
  <c r="T2853" i="1"/>
  <c r="T2899" i="1"/>
  <c r="T2902" i="1"/>
  <c r="T2901" i="1"/>
  <c r="T2864" i="1"/>
  <c r="T2863" i="1"/>
  <c r="U2819" i="1"/>
  <c r="Q2408" i="1"/>
  <c r="Q2409" i="1"/>
  <c r="T2699" i="1"/>
  <c r="U2543" i="1"/>
  <c r="Q2199" i="1"/>
  <c r="Q2200" i="1"/>
  <c r="U2497" i="1"/>
  <c r="U2496" i="1"/>
  <c r="U2677" i="1"/>
  <c r="T2567" i="1"/>
  <c r="U2333" i="1"/>
  <c r="U2547" i="1"/>
  <c r="T2415" i="1"/>
  <c r="U2373" i="1"/>
  <c r="U2371" i="1"/>
  <c r="T2332" i="1"/>
  <c r="T2311" i="1"/>
  <c r="T2310" i="1"/>
  <c r="T2306" i="1"/>
  <c r="U2266" i="1"/>
  <c r="T2354" i="1"/>
  <c r="U2238" i="1"/>
  <c r="U2166" i="1"/>
  <c r="U2127" i="1"/>
  <c r="T2037" i="1"/>
  <c r="T1736" i="1"/>
  <c r="T1165" i="1"/>
  <c r="T3798" i="1"/>
  <c r="T3768" i="1"/>
  <c r="Q3547" i="1"/>
  <c r="T3767" i="1"/>
  <c r="U3739" i="1"/>
  <c r="Q3491" i="1"/>
  <c r="Q3479" i="1"/>
  <c r="T3749" i="1"/>
  <c r="T3746" i="1"/>
  <c r="Q3499" i="1"/>
  <c r="Q3504" i="1"/>
  <c r="T3731" i="1"/>
  <c r="T3706" i="1"/>
  <c r="U3710" i="1"/>
  <c r="T3710" i="1"/>
  <c r="T3647" i="1"/>
  <c r="T3697" i="1"/>
  <c r="T3654" i="1"/>
  <c r="T3619" i="1"/>
  <c r="U3649" i="1"/>
  <c r="T3649" i="1"/>
  <c r="T3617" i="1"/>
  <c r="T3628" i="1"/>
  <c r="U3726" i="1"/>
  <c r="U3606" i="1"/>
  <c r="T3616" i="1"/>
  <c r="T3556" i="1"/>
  <c r="T3494" i="1"/>
  <c r="T3585" i="1"/>
  <c r="Q3239" i="1"/>
  <c r="T3469" i="1"/>
  <c r="T3571" i="1"/>
  <c r="T3491" i="1"/>
  <c r="Q3392" i="1"/>
  <c r="T3576" i="1"/>
  <c r="T3569" i="1"/>
  <c r="T3586" i="1"/>
  <c r="U3553" i="1"/>
  <c r="U3416" i="1"/>
  <c r="Q3294" i="1"/>
  <c r="Q3237" i="1"/>
  <c r="U3501" i="1"/>
  <c r="U3580" i="1"/>
  <c r="Q3025" i="1"/>
  <c r="U3521" i="1"/>
  <c r="T3414" i="1"/>
  <c r="T3357" i="1"/>
  <c r="T3592" i="1"/>
  <c r="U3491" i="1"/>
  <c r="T3409" i="1"/>
  <c r="Q3117" i="1"/>
  <c r="Q3217" i="1"/>
  <c r="Q3112" i="1"/>
  <c r="T3577" i="1"/>
  <c r="T3488" i="1"/>
  <c r="U3520" i="1"/>
  <c r="T3461" i="1"/>
  <c r="T3349" i="1"/>
  <c r="U3555" i="1"/>
  <c r="U3444" i="1"/>
  <c r="U3425" i="1"/>
  <c r="T3399" i="1"/>
  <c r="U3351" i="1"/>
  <c r="U3315" i="1"/>
  <c r="T3512" i="1"/>
  <c r="T3391" i="1"/>
  <c r="U3348" i="1"/>
  <c r="U3368" i="1"/>
  <c r="U3293" i="1"/>
  <c r="T3258" i="1"/>
  <c r="T3393" i="1"/>
  <c r="U3583" i="1"/>
  <c r="T3260" i="1"/>
  <c r="Q3221" i="1"/>
  <c r="T3188" i="1"/>
  <c r="T3352" i="1"/>
  <c r="U3311" i="1"/>
  <c r="U3307" i="1"/>
  <c r="Q3001" i="1"/>
  <c r="Q3002" i="1"/>
  <c r="U3460" i="1"/>
  <c r="U3321" i="1"/>
  <c r="T3299" i="1"/>
  <c r="Q2996" i="1"/>
  <c r="U3508" i="1"/>
  <c r="U3393" i="1"/>
  <c r="U3366" i="1"/>
  <c r="T3303" i="1"/>
  <c r="U3419" i="1"/>
  <c r="T3497" i="1"/>
  <c r="T3305" i="1"/>
  <c r="Q3034" i="1"/>
  <c r="U3401" i="1"/>
  <c r="U3203" i="1"/>
  <c r="U3154" i="1"/>
  <c r="T3125" i="1"/>
  <c r="U3210" i="1"/>
  <c r="U3523" i="1"/>
  <c r="U3202" i="1"/>
  <c r="U3174" i="1"/>
  <c r="T3164" i="1"/>
  <c r="T3138" i="1"/>
  <c r="Q3005" i="1"/>
  <c r="U3171" i="1"/>
  <c r="U3115" i="1"/>
  <c r="T3191" i="1"/>
  <c r="Q2942" i="1"/>
  <c r="Q2904" i="1"/>
  <c r="Q2905" i="1"/>
  <c r="U3345" i="1"/>
  <c r="U3218" i="1"/>
  <c r="U3188" i="1"/>
  <c r="U3127" i="1"/>
  <c r="Q2979" i="1"/>
  <c r="U3105" i="1"/>
  <c r="T3223" i="1"/>
  <c r="T3176" i="1"/>
  <c r="U3070" i="1"/>
  <c r="U3046" i="1"/>
  <c r="U3018" i="1"/>
  <c r="U3016" i="1"/>
  <c r="U3120" i="1"/>
  <c r="U3075" i="1"/>
  <c r="U3051" i="1"/>
  <c r="Q2782" i="1"/>
  <c r="T3091" i="1"/>
  <c r="T3036" i="1"/>
  <c r="Q2881" i="1"/>
  <c r="U3044" i="1"/>
  <c r="U3022" i="1"/>
  <c r="Q2786" i="1"/>
  <c r="U2970" i="1"/>
  <c r="T2946" i="1"/>
  <c r="Q2677" i="1"/>
  <c r="Q2788" i="1"/>
  <c r="U2930" i="1"/>
  <c r="Q2780" i="1"/>
  <c r="Q2636" i="1"/>
  <c r="Q2637" i="1"/>
  <c r="T2847" i="1"/>
  <c r="U2848" i="1"/>
  <c r="T2697" i="1"/>
  <c r="U2754" i="1"/>
  <c r="U2642" i="1"/>
  <c r="U2785" i="1"/>
  <c r="Q2592" i="1"/>
  <c r="U2747" i="1"/>
  <c r="U2671" i="1"/>
  <c r="U2628" i="1"/>
  <c r="U2370" i="1"/>
  <c r="T2328" i="1"/>
  <c r="T2376" i="1"/>
  <c r="T2451" i="1"/>
  <c r="T2449" i="1"/>
  <c r="T2446" i="1"/>
  <c r="T2447" i="1"/>
  <c r="T2442" i="1"/>
  <c r="T2448" i="1"/>
  <c r="Q2074" i="1"/>
  <c r="Q2075" i="1"/>
  <c r="T2252" i="1"/>
  <c r="U2226" i="1"/>
  <c r="T2141" i="1"/>
  <c r="T1971" i="1"/>
  <c r="T1964" i="1"/>
  <c r="T1966" i="1"/>
  <c r="T1968" i="1"/>
  <c r="T1967" i="1"/>
  <c r="T1931" i="1"/>
  <c r="T1929" i="1"/>
  <c r="T1928" i="1"/>
  <c r="T1893" i="1"/>
  <c r="T1394" i="1"/>
  <c r="U1647" i="1"/>
  <c r="T1231" i="1"/>
  <c r="T1214" i="1"/>
  <c r="T1218" i="1"/>
  <c r="T1222" i="1"/>
  <c r="T1226" i="1"/>
  <c r="T1230" i="1"/>
  <c r="T1015" i="1"/>
  <c r="T1087" i="1"/>
  <c r="T992" i="1"/>
  <c r="T1065" i="1"/>
  <c r="T1106" i="1"/>
  <c r="T1146" i="1"/>
  <c r="T1168" i="1"/>
  <c r="Q947" i="1"/>
  <c r="Q948" i="1"/>
  <c r="U3882" i="1"/>
  <c r="U3787" i="1"/>
  <c r="T3762" i="1"/>
  <c r="Q3534" i="1"/>
  <c r="T3797" i="1"/>
  <c r="U3747" i="1"/>
  <c r="Q3493" i="1"/>
  <c r="T3696" i="1"/>
  <c r="U3743" i="1"/>
  <c r="U3738" i="1"/>
  <c r="T3727" i="1"/>
  <c r="T3715" i="1"/>
  <c r="Q3501" i="1"/>
  <c r="T3685" i="1"/>
  <c r="T3661" i="1"/>
  <c r="T3702" i="1"/>
  <c r="T3695" i="1"/>
  <c r="T3671" i="1"/>
  <c r="T3648" i="1"/>
  <c r="U3643" i="1"/>
  <c r="Q3397" i="1"/>
  <c r="Q3371" i="1"/>
  <c r="Q3372" i="1"/>
  <c r="Q3463" i="1"/>
  <c r="T3589" i="1"/>
  <c r="T3640" i="1"/>
  <c r="Q3472" i="1"/>
  <c r="U3642" i="1"/>
  <c r="U3655" i="1"/>
  <c r="U3729" i="1"/>
  <c r="Q3576" i="1"/>
  <c r="U3609" i="1"/>
  <c r="Q3304" i="1"/>
  <c r="T3490" i="1"/>
  <c r="Q3333" i="1"/>
  <c r="T3479" i="1"/>
  <c r="Q3370" i="1"/>
  <c r="T3578" i="1"/>
  <c r="T3525" i="1"/>
  <c r="T3486" i="1"/>
  <c r="T3637" i="1"/>
  <c r="U3569" i="1"/>
  <c r="T3609" i="1"/>
  <c r="Q3317" i="1"/>
  <c r="Q3201" i="1"/>
  <c r="Q3339" i="1"/>
  <c r="U3404" i="1"/>
  <c r="T3475" i="1"/>
  <c r="T3383" i="1"/>
  <c r="U3566" i="1"/>
  <c r="U3496" i="1"/>
  <c r="Q3193" i="1"/>
  <c r="T3526" i="1"/>
  <c r="Q3205" i="1"/>
  <c r="U3427" i="1"/>
  <c r="U3407" i="1"/>
  <c r="U3374" i="1"/>
  <c r="U3346" i="1"/>
  <c r="T3593" i="1"/>
  <c r="U3562" i="1"/>
  <c r="U3414" i="1"/>
  <c r="Q3100" i="1"/>
  <c r="U3571" i="1"/>
  <c r="U3466" i="1"/>
  <c r="T3505" i="1"/>
  <c r="Q3202" i="1"/>
  <c r="U3338" i="1"/>
  <c r="U3556" i="1"/>
  <c r="U3484" i="1"/>
  <c r="Q3198" i="1"/>
  <c r="T3350" i="1"/>
  <c r="T3314" i="1"/>
  <c r="Q3268" i="1"/>
  <c r="U3343" i="1"/>
  <c r="U3451" i="1"/>
  <c r="U3254" i="1"/>
  <c r="Q3081" i="1"/>
  <c r="U3290" i="1"/>
  <c r="T3250" i="1"/>
  <c r="U3530" i="1"/>
  <c r="U3421" i="1"/>
  <c r="T3354" i="1"/>
  <c r="U3258" i="1"/>
  <c r="Q3194" i="1"/>
  <c r="Q3195" i="1"/>
  <c r="T3318" i="1"/>
  <c r="T3274" i="1"/>
  <c r="T3316" i="1"/>
  <c r="T3277" i="1"/>
  <c r="U3481" i="1"/>
  <c r="Q3122" i="1"/>
  <c r="U3392" i="1"/>
  <c r="U3294" i="1"/>
  <c r="Q3115" i="1"/>
  <c r="U3251" i="1"/>
  <c r="Q2941" i="1"/>
  <c r="U3178" i="1"/>
  <c r="T3134" i="1"/>
  <c r="U3200" i="1"/>
  <c r="T3123" i="1"/>
  <c r="U3163" i="1"/>
  <c r="T3166" i="1"/>
  <c r="T3276" i="1"/>
  <c r="T3186" i="1"/>
  <c r="U3142" i="1"/>
  <c r="T3103" i="1"/>
  <c r="Q2970" i="1"/>
  <c r="U3179" i="1"/>
  <c r="Q2869" i="1"/>
  <c r="Q2870" i="1"/>
  <c r="T3039" i="1"/>
  <c r="T3014" i="1"/>
  <c r="T3012" i="1"/>
  <c r="T3011" i="1"/>
  <c r="T3175" i="1"/>
  <c r="T3098" i="1"/>
  <c r="U3119" i="1"/>
  <c r="U3118" i="1"/>
  <c r="T3016" i="1"/>
  <c r="U3068" i="1"/>
  <c r="U3009" i="1"/>
  <c r="U3007" i="1"/>
  <c r="U3006" i="1"/>
  <c r="U3005" i="1"/>
  <c r="U3106" i="1"/>
  <c r="T3023" i="1"/>
  <c r="T2940" i="1"/>
  <c r="T2939" i="1"/>
  <c r="U3196" i="1"/>
  <c r="U2950" i="1"/>
  <c r="U2912" i="1"/>
  <c r="U2911" i="1"/>
  <c r="U2910" i="1"/>
  <c r="T3029" i="1"/>
  <c r="T2989" i="1"/>
  <c r="T2930" i="1"/>
  <c r="U3001" i="1"/>
  <c r="U2978" i="1"/>
  <c r="U2975" i="1"/>
  <c r="U2980" i="1"/>
  <c r="U2973" i="1"/>
  <c r="U2971" i="1"/>
  <c r="U3000" i="1"/>
  <c r="U2982" i="1"/>
  <c r="U2983" i="1"/>
  <c r="U2979" i="1"/>
  <c r="U2972" i="1"/>
  <c r="U2981" i="1"/>
  <c r="T3017" i="1"/>
  <c r="Q2730" i="1"/>
  <c r="U2870" i="1"/>
  <c r="T2945" i="1"/>
  <c r="T2841" i="1"/>
  <c r="U2839" i="1"/>
  <c r="T2638" i="1"/>
  <c r="T2722" i="1"/>
  <c r="U2831" i="1"/>
  <c r="T2678" i="1"/>
  <c r="U2405" i="1"/>
  <c r="T2741" i="1"/>
  <c r="U2418" i="1"/>
  <c r="U2484" i="1"/>
  <c r="Q2563" i="1"/>
  <c r="Q2564" i="1"/>
  <c r="U2332" i="1"/>
  <c r="U2330" i="1"/>
  <c r="T2421" i="1"/>
  <c r="T2537" i="1"/>
  <c r="T2467" i="1"/>
  <c r="U2430" i="1"/>
  <c r="U2294" i="1"/>
  <c r="T2260" i="1"/>
  <c r="U2035" i="1"/>
  <c r="U2007" i="1"/>
  <c r="U1999" i="1"/>
  <c r="U2002" i="1"/>
  <c r="U2005" i="1"/>
  <c r="U1988" i="1"/>
  <c r="U1987" i="1"/>
  <c r="U1989" i="1"/>
  <c r="U1991" i="1"/>
  <c r="U1981" i="1"/>
  <c r="U1592" i="1"/>
  <c r="U1577" i="1"/>
  <c r="U1543" i="1"/>
  <c r="U1556" i="1"/>
  <c r="U1570" i="1"/>
  <c r="U1531" i="1"/>
  <c r="U1545" i="1"/>
  <c r="U1559" i="1"/>
  <c r="U1572" i="1"/>
  <c r="U1591" i="1"/>
  <c r="U1533" i="1"/>
  <c r="U1547" i="1"/>
  <c r="U1561" i="1"/>
  <c r="U1574" i="1"/>
  <c r="U1535" i="1"/>
  <c r="U1548" i="1"/>
  <c r="U1562" i="1"/>
  <c r="U1590" i="1"/>
  <c r="U1536" i="1"/>
  <c r="U1549" i="1"/>
  <c r="U1563" i="1"/>
  <c r="U1537" i="1"/>
  <c r="U1551" i="1"/>
  <c r="U1564" i="1"/>
  <c r="U1589" i="1"/>
  <c r="U1474" i="1"/>
  <c r="U1523" i="1"/>
  <c r="U1509" i="1"/>
  <c r="U1375" i="1"/>
  <c r="U1514" i="1"/>
  <c r="U1479" i="1"/>
  <c r="U1540" i="1"/>
  <c r="U1467" i="1"/>
  <c r="U1541" i="1"/>
  <c r="U1447" i="1"/>
  <c r="U1554" i="1"/>
  <c r="U1504" i="1"/>
  <c r="U1407" i="1"/>
  <c r="U1555" i="1"/>
  <c r="U1482" i="1"/>
  <c r="U1568" i="1"/>
  <c r="U1569" i="1"/>
  <c r="U1489" i="1"/>
  <c r="U1530" i="1"/>
  <c r="T1292" i="1"/>
  <c r="T1262" i="1"/>
  <c r="T1271" i="1"/>
  <c r="T3599" i="1"/>
  <c r="T3530" i="1"/>
  <c r="T3467" i="1"/>
  <c r="T3603" i="1"/>
  <c r="T3557" i="1"/>
  <c r="T3574" i="1"/>
  <c r="T3579" i="1"/>
  <c r="T3612" i="1"/>
  <c r="T3548" i="1"/>
  <c r="T3602" i="1"/>
  <c r="U3426" i="1"/>
  <c r="T3582" i="1"/>
  <c r="U3500" i="1"/>
  <c r="U3486" i="1"/>
  <c r="T3405" i="1"/>
  <c r="U3409" i="1"/>
  <c r="U3469" i="1"/>
  <c r="T3546" i="1"/>
  <c r="U3442" i="1"/>
  <c r="T3410" i="1"/>
  <c r="Q3088" i="1"/>
  <c r="T3371" i="1"/>
  <c r="T3337" i="1"/>
  <c r="U3542" i="1"/>
  <c r="T3482" i="1"/>
  <c r="T3417" i="1"/>
  <c r="U3303" i="1"/>
  <c r="Q3232" i="1"/>
  <c r="T3348" i="1"/>
  <c r="U3250" i="1"/>
  <c r="T3317" i="1"/>
  <c r="U3289" i="1"/>
  <c r="T3517" i="1"/>
  <c r="U3312" i="1"/>
  <c r="U3438" i="1"/>
  <c r="T3272" i="1"/>
  <c r="T3246" i="1"/>
  <c r="T3346" i="1"/>
  <c r="T3289" i="1"/>
  <c r="Q3148" i="1"/>
  <c r="T3334" i="1"/>
  <c r="U3247" i="1"/>
  <c r="U3477" i="1"/>
  <c r="Q3057" i="1"/>
  <c r="U3114" i="1"/>
  <c r="T3229" i="1"/>
  <c r="T3202" i="1"/>
  <c r="U3131" i="1"/>
  <c r="T3198" i="1"/>
  <c r="U3112" i="1"/>
  <c r="Q2917" i="1"/>
  <c r="Q2918" i="1"/>
  <c r="T3163" i="1"/>
  <c r="U3249" i="1"/>
  <c r="U3135" i="1"/>
  <c r="U3186" i="1"/>
  <c r="U3295" i="1"/>
  <c r="U3215" i="1"/>
  <c r="U3183" i="1"/>
  <c r="T3215" i="1"/>
  <c r="Q2935" i="1"/>
  <c r="U3269" i="1"/>
  <c r="U3104" i="1"/>
  <c r="U3103" i="1"/>
  <c r="U3066" i="1"/>
  <c r="U3042" i="1"/>
  <c r="U3012" i="1"/>
  <c r="T3153" i="1"/>
  <c r="T3117" i="1"/>
  <c r="U3071" i="1"/>
  <c r="U3047" i="1"/>
  <c r="T3021" i="1"/>
  <c r="T3032" i="1"/>
  <c r="T3115" i="1"/>
  <c r="U3040" i="1"/>
  <c r="T3089" i="1"/>
  <c r="T3147" i="1"/>
  <c r="U3037" i="1"/>
  <c r="T3042" i="1"/>
  <c r="U2924" i="1"/>
  <c r="U2923" i="1"/>
  <c r="T2999" i="1"/>
  <c r="T2990" i="1"/>
  <c r="T2966" i="1"/>
  <c r="U2941" i="1"/>
  <c r="U2961" i="1"/>
  <c r="Q2686" i="1"/>
  <c r="Q2687" i="1"/>
  <c r="U2901" i="1"/>
  <c r="U2880" i="1"/>
  <c r="U2777" i="1"/>
  <c r="T2667" i="1"/>
  <c r="T2677" i="1"/>
  <c r="T2669" i="1"/>
  <c r="T2675" i="1"/>
  <c r="U2826" i="1"/>
  <c r="T2588" i="1"/>
  <c r="T2559" i="1"/>
  <c r="U2851" i="1"/>
  <c r="Q2377" i="1"/>
  <c r="Q2378" i="1"/>
  <c r="U2741" i="1"/>
  <c r="U2726" i="1"/>
  <c r="U2733" i="1"/>
  <c r="U2738" i="1"/>
  <c r="U2721" i="1"/>
  <c r="U2732" i="1"/>
  <c r="U2546" i="1"/>
  <c r="U2545" i="1"/>
  <c r="U2480" i="1"/>
  <c r="U2325" i="1"/>
  <c r="U2362" i="1"/>
  <c r="T2440" i="1"/>
  <c r="T2431" i="1"/>
  <c r="T2432" i="1"/>
  <c r="T2433" i="1"/>
  <c r="T2358" i="1"/>
  <c r="T2329" i="1"/>
  <c r="T2273" i="1"/>
  <c r="T2437" i="1"/>
  <c r="T2545" i="1"/>
  <c r="T2422" i="1"/>
  <c r="U2257" i="1"/>
  <c r="T2189" i="1"/>
  <c r="U2209" i="1"/>
  <c r="U3057" i="1"/>
  <c r="U3033" i="1"/>
  <c r="T2920" i="1"/>
  <c r="T2992" i="1"/>
  <c r="U2964" i="1"/>
  <c r="T2968" i="1"/>
  <c r="T2944" i="1"/>
  <c r="T2982" i="1"/>
  <c r="Q2733" i="1"/>
  <c r="T2926" i="1"/>
  <c r="U2955" i="1"/>
  <c r="Q2674" i="1"/>
  <c r="T3100" i="1"/>
  <c r="T2889" i="1"/>
  <c r="T2877" i="1"/>
  <c r="U2900" i="1"/>
  <c r="Q2725" i="1"/>
  <c r="Q2701" i="1"/>
  <c r="U2873" i="1"/>
  <c r="T2840" i="1"/>
  <c r="Q2695" i="1"/>
  <c r="U2890" i="1"/>
  <c r="U2878" i="1"/>
  <c r="T2892" i="1"/>
  <c r="T2880" i="1"/>
  <c r="U2894" i="1"/>
  <c r="U2896" i="1"/>
  <c r="T2789" i="1"/>
  <c r="Q2623" i="1"/>
  <c r="Q2624" i="1"/>
  <c r="T2835" i="1"/>
  <c r="U2784" i="1"/>
  <c r="T2694" i="1"/>
  <c r="T2676" i="1"/>
  <c r="T2652" i="1"/>
  <c r="U2812" i="1"/>
  <c r="U2779" i="1"/>
  <c r="T2752" i="1"/>
  <c r="U2723" i="1"/>
  <c r="T2806" i="1"/>
  <c r="Q2535" i="1"/>
  <c r="U2740" i="1"/>
  <c r="U2709" i="1"/>
  <c r="Q2384" i="1"/>
  <c r="Q2383" i="1"/>
  <c r="Q2454" i="1"/>
  <c r="U2678" i="1"/>
  <c r="Q2567" i="1"/>
  <c r="T2721" i="1"/>
  <c r="Q2496" i="1"/>
  <c r="Q2465" i="1"/>
  <c r="U2801" i="1"/>
  <c r="Q2489" i="1"/>
  <c r="U2739" i="1"/>
  <c r="T2619" i="1"/>
  <c r="T2577" i="1"/>
  <c r="U2825" i="1"/>
  <c r="U2669" i="1"/>
  <c r="T2555" i="1"/>
  <c r="T2755" i="1"/>
  <c r="Q2469" i="1"/>
  <c r="T2594" i="1"/>
  <c r="T2539" i="1"/>
  <c r="U2501" i="1"/>
  <c r="U2428" i="1"/>
  <c r="U2827" i="1"/>
  <c r="U2704" i="1"/>
  <c r="U2684" i="1"/>
  <c r="T2573" i="1"/>
  <c r="U2538" i="1"/>
  <c r="T2731" i="1"/>
  <c r="T2700" i="1"/>
  <c r="T2684" i="1"/>
  <c r="T2563" i="1"/>
  <c r="Q2265" i="1"/>
  <c r="Q2193" i="1"/>
  <c r="T2612" i="1"/>
  <c r="T2571" i="1"/>
  <c r="U2491" i="1"/>
  <c r="U2797" i="1"/>
  <c r="T2610" i="1"/>
  <c r="Q2302" i="1"/>
  <c r="T2872" i="1"/>
  <c r="T2708" i="1"/>
  <c r="T2581" i="1"/>
  <c r="U2540" i="1"/>
  <c r="U2468" i="1"/>
  <c r="U2807" i="1"/>
  <c r="U2609" i="1"/>
  <c r="T2550" i="1"/>
  <c r="T2489" i="1"/>
  <c r="T2445" i="1"/>
  <c r="Q2208" i="1"/>
  <c r="Q2064" i="1"/>
  <c r="Q2063" i="1"/>
  <c r="U2661" i="1"/>
  <c r="U2452" i="1"/>
  <c r="U2367" i="1"/>
  <c r="T2324" i="1"/>
  <c r="Q2435" i="1"/>
  <c r="Q2285" i="1"/>
  <c r="T2543" i="1"/>
  <c r="U2439" i="1"/>
  <c r="U2412" i="1"/>
  <c r="Q2121" i="1"/>
  <c r="T2321" i="1"/>
  <c r="U2682" i="1"/>
  <c r="T2503" i="1"/>
  <c r="Q2177" i="1"/>
  <c r="T2374" i="1"/>
  <c r="U2334" i="1"/>
  <c r="T2342" i="1"/>
  <c r="Q2635" i="1"/>
  <c r="Q2268" i="1"/>
  <c r="U2469" i="1"/>
  <c r="U2369" i="1"/>
  <c r="U2306" i="1"/>
  <c r="T2247" i="1"/>
  <c r="T2475" i="1"/>
  <c r="U2287" i="1"/>
  <c r="U2658" i="1"/>
  <c r="U2375" i="1"/>
  <c r="T2357" i="1"/>
  <c r="U2296" i="1"/>
  <c r="Q2274" i="1"/>
  <c r="U2378" i="1"/>
  <c r="U2214" i="1"/>
  <c r="T2274" i="1"/>
  <c r="U2737" i="1"/>
  <c r="U2228" i="1"/>
  <c r="T2182" i="1"/>
  <c r="Q2190" i="1"/>
  <c r="T2302" i="1"/>
  <c r="U2242" i="1"/>
  <c r="T2106" i="1"/>
  <c r="U2206" i="1"/>
  <c r="U2182" i="1"/>
  <c r="Q2122" i="1"/>
  <c r="U2066" i="1"/>
  <c r="U2063" i="1"/>
  <c r="T2224" i="1"/>
  <c r="T2220" i="1"/>
  <c r="T2221" i="1"/>
  <c r="T2218" i="1"/>
  <c r="T2217" i="1"/>
  <c r="U2203" i="1"/>
  <c r="U2171" i="1"/>
  <c r="T1944" i="1"/>
  <c r="T2021" i="1"/>
  <c r="T1914" i="1"/>
  <c r="T1951" i="1"/>
  <c r="U2113" i="1"/>
  <c r="T1801" i="1"/>
  <c r="T1794" i="1"/>
  <c r="U1882" i="1"/>
  <c r="U2021" i="1"/>
  <c r="U2011" i="1"/>
  <c r="U2015" i="1"/>
  <c r="U2012" i="1"/>
  <c r="U2017" i="1"/>
  <c r="U2020" i="1"/>
  <c r="T1844" i="1"/>
  <c r="U1939" i="1"/>
  <c r="T1849" i="1"/>
  <c r="T1580" i="1"/>
  <c r="T1586" i="1"/>
  <c r="T1650" i="1"/>
  <c r="T1632" i="1"/>
  <c r="T1611" i="1"/>
  <c r="T1587" i="1"/>
  <c r="T1680" i="1"/>
  <c r="U1938" i="1"/>
  <c r="U1635" i="1"/>
  <c r="U1248" i="1"/>
  <c r="U2917" i="1"/>
  <c r="Q2736" i="1"/>
  <c r="T2929" i="1"/>
  <c r="U2926" i="1"/>
  <c r="Q2763" i="1"/>
  <c r="U3017" i="1"/>
  <c r="U2953" i="1"/>
  <c r="Q2757" i="1"/>
  <c r="Q2856" i="1"/>
  <c r="T2908" i="1"/>
  <c r="T2981" i="1"/>
  <c r="U2856" i="1"/>
  <c r="U2868" i="1"/>
  <c r="Q2585" i="1"/>
  <c r="T2873" i="1"/>
  <c r="Q2670" i="1"/>
  <c r="T2949" i="1"/>
  <c r="T2876" i="1"/>
  <c r="T2894" i="1"/>
  <c r="U3133" i="1"/>
  <c r="T2874" i="1"/>
  <c r="T2657" i="1"/>
  <c r="T2800" i="1"/>
  <c r="U2832" i="1"/>
  <c r="T2779" i="1"/>
  <c r="T2774" i="1"/>
  <c r="T2750" i="1"/>
  <c r="U2764" i="1"/>
  <c r="U2752" i="1"/>
  <c r="Q2493" i="1"/>
  <c r="U2706" i="1"/>
  <c r="T2671" i="1"/>
  <c r="T2647" i="1"/>
  <c r="U2877" i="1"/>
  <c r="U2672" i="1"/>
  <c r="T2959" i="1"/>
  <c r="Q2611" i="1"/>
  <c r="Q2612" i="1"/>
  <c r="U2798" i="1"/>
  <c r="T2858" i="1"/>
  <c r="Q2554" i="1"/>
  <c r="Q2443" i="1"/>
  <c r="U2842" i="1"/>
  <c r="Q2494" i="1"/>
  <c r="T2736" i="1"/>
  <c r="U2518" i="1"/>
  <c r="U2482" i="1"/>
  <c r="U2743" i="1"/>
  <c r="U2663" i="1"/>
  <c r="T2582" i="1"/>
  <c r="U2836" i="1"/>
  <c r="Q2511" i="1"/>
  <c r="U2537" i="1"/>
  <c r="U2495" i="1"/>
  <c r="T2568" i="1"/>
  <c r="T2785" i="1"/>
  <c r="U2705" i="1"/>
  <c r="T2534" i="1"/>
  <c r="T2732" i="1"/>
  <c r="Q2456" i="1"/>
  <c r="Q2440" i="1"/>
  <c r="T2650" i="1"/>
  <c r="Q2259" i="1"/>
  <c r="U2419" i="1"/>
  <c r="T2759" i="1"/>
  <c r="U2485" i="1"/>
  <c r="T2780" i="1"/>
  <c r="Q2296" i="1"/>
  <c r="Q2463" i="1"/>
  <c r="U2620" i="1"/>
  <c r="U2534" i="1"/>
  <c r="U2462" i="1"/>
  <c r="T2792" i="1"/>
  <c r="U2751" i="1"/>
  <c r="T2561" i="1"/>
  <c r="T2483" i="1"/>
  <c r="U2319" i="1"/>
  <c r="T2524" i="1"/>
  <c r="U2328" i="1"/>
  <c r="T2305" i="1"/>
  <c r="T2444" i="1"/>
  <c r="U2364" i="1"/>
  <c r="U2320" i="1"/>
  <c r="U2431" i="1"/>
  <c r="T2391" i="1"/>
  <c r="T2373" i="1"/>
  <c r="T2355" i="1"/>
  <c r="T2412" i="1"/>
  <c r="T2284" i="1"/>
  <c r="Q2291" i="1"/>
  <c r="U2400" i="1"/>
  <c r="Q2118" i="1"/>
  <c r="Q2423" i="1"/>
  <c r="T2485" i="1"/>
  <c r="T2371" i="1"/>
  <c r="T2338" i="1"/>
  <c r="Q2617" i="1"/>
  <c r="Q2618" i="1"/>
  <c r="T2464" i="1"/>
  <c r="T2406" i="1"/>
  <c r="U2300" i="1"/>
  <c r="Q2003" i="1"/>
  <c r="Q2004" i="1"/>
  <c r="Q2128" i="1"/>
  <c r="U2291" i="1"/>
  <c r="U2289" i="1"/>
  <c r="U2290" i="1"/>
  <c r="T2251" i="1"/>
  <c r="T2249" i="1"/>
  <c r="U2396" i="1"/>
  <c r="T2248" i="1"/>
  <c r="U2280" i="1"/>
  <c r="Q1977" i="1"/>
  <c r="Q1978" i="1"/>
  <c r="U2360" i="1"/>
  <c r="T2339" i="1"/>
  <c r="U2533" i="1"/>
  <c r="T2227" i="1"/>
  <c r="T2225" i="1"/>
  <c r="T2226" i="1"/>
  <c r="T2181" i="1"/>
  <c r="U2231" i="1"/>
  <c r="T2204" i="1"/>
  <c r="T2104" i="1"/>
  <c r="U2201" i="1"/>
  <c r="U2134" i="1"/>
  <c r="U2279" i="1"/>
  <c r="U2275" i="1"/>
  <c r="U2274" i="1"/>
  <c r="U2178" i="1"/>
  <c r="U2120" i="1"/>
  <c r="U2096" i="1"/>
  <c r="U2305" i="1"/>
  <c r="T2216" i="1"/>
  <c r="T1927" i="1"/>
  <c r="U2165" i="1"/>
  <c r="T2042" i="1"/>
  <c r="T2020" i="1"/>
  <c r="T2015" i="1"/>
  <c r="T2019" i="1"/>
  <c r="T2013" i="1"/>
  <c r="T2004" i="1"/>
  <c r="T1917" i="1"/>
  <c r="U2069" i="1"/>
  <c r="U2067" i="1"/>
  <c r="T1942" i="1"/>
  <c r="T2046" i="1"/>
  <c r="T1961" i="1"/>
  <c r="U1839" i="1"/>
  <c r="T1984" i="1"/>
  <c r="T1975" i="1"/>
  <c r="Q1873" i="1"/>
  <c r="Q1874" i="1"/>
  <c r="U1805" i="1"/>
  <c r="Q1777" i="1"/>
  <c r="Q1778" i="1"/>
  <c r="U1940" i="1"/>
  <c r="U1842" i="1"/>
  <c r="U1836" i="1"/>
  <c r="Q1794" i="1"/>
  <c r="Q1795" i="1"/>
  <c r="U1809" i="1"/>
  <c r="T1974" i="1"/>
  <c r="U1817" i="1"/>
  <c r="T1670" i="1"/>
  <c r="Q1363" i="1"/>
  <c r="T1575" i="1"/>
  <c r="T1541" i="1"/>
  <c r="T1491" i="1"/>
  <c r="T1539" i="1"/>
  <c r="T1549" i="1"/>
  <c r="T1478" i="1"/>
  <c r="T1486" i="1"/>
  <c r="T1546" i="1"/>
  <c r="T1490" i="1"/>
  <c r="T1534" i="1"/>
  <c r="T1498" i="1"/>
  <c r="T1522" i="1"/>
  <c r="T1558" i="1"/>
  <c r="T1570" i="1"/>
  <c r="T1529" i="1"/>
  <c r="T1503" i="1"/>
  <c r="T1489" i="1"/>
  <c r="T1547" i="1"/>
  <c r="T1485" i="1"/>
  <c r="T1533" i="1"/>
  <c r="T1514" i="1"/>
  <c r="T1574" i="1"/>
  <c r="T1524" i="1"/>
  <c r="T1556" i="1"/>
  <c r="T1499" i="1"/>
  <c r="T1492" i="1"/>
  <c r="T1540" i="1"/>
  <c r="T1519" i="1"/>
  <c r="T1481" i="1"/>
  <c r="T1496" i="1"/>
  <c r="T1501" i="1"/>
  <c r="T1561" i="1"/>
  <c r="T1482" i="1"/>
  <c r="T1530" i="1"/>
  <c r="T1559" i="1"/>
  <c r="T1545" i="1"/>
  <c r="T1553" i="1"/>
  <c r="T1515" i="1"/>
  <c r="T1568" i="1"/>
  <c r="T1497" i="1"/>
  <c r="T1526" i="1"/>
  <c r="T1488" i="1"/>
  <c r="T1536" i="1"/>
  <c r="T1493" i="1"/>
  <c r="T1573" i="1"/>
  <c r="T1542" i="1"/>
  <c r="T1511" i="1"/>
  <c r="T1571" i="1"/>
  <c r="T1504" i="1"/>
  <c r="T1552" i="1"/>
  <c r="T1557" i="1"/>
  <c r="T1531" i="1"/>
  <c r="T1565" i="1"/>
  <c r="T1527" i="1"/>
  <c r="T1508" i="1"/>
  <c r="T1513" i="1"/>
  <c r="T1494" i="1"/>
  <c r="T1548" i="1"/>
  <c r="T1554" i="1"/>
  <c r="T1564" i="1"/>
  <c r="T1509" i="1"/>
  <c r="T1569" i="1"/>
  <c r="T1538" i="1"/>
  <c r="T1543" i="1"/>
  <c r="T1500" i="1"/>
  <c r="T1505" i="1"/>
  <c r="T1479" i="1"/>
  <c r="T1520" i="1"/>
  <c r="T1523" i="1"/>
  <c r="T1516" i="1"/>
  <c r="T1495" i="1"/>
  <c r="T1525" i="1"/>
  <c r="T1506" i="1"/>
  <c r="T1566" i="1"/>
  <c r="T1550" i="1"/>
  <c r="T1555" i="1"/>
  <c r="T1560" i="1"/>
  <c r="T1510" i="1"/>
  <c r="T1551" i="1"/>
  <c r="T1532" i="1"/>
  <c r="T1521" i="1"/>
  <c r="T1502" i="1"/>
  <c r="T1512" i="1"/>
  <c r="U1654" i="1"/>
  <c r="U1650" i="1"/>
  <c r="U1653" i="1"/>
  <c r="T1562" i="1"/>
  <c r="T1678" i="1"/>
  <c r="T1528" i="1"/>
  <c r="T1487" i="1"/>
  <c r="T1518" i="1"/>
  <c r="U1937" i="1"/>
  <c r="T1700" i="1"/>
  <c r="T1596" i="1"/>
  <c r="U1341" i="1"/>
  <c r="T1103" i="1"/>
  <c r="T2865" i="1"/>
  <c r="T2826" i="1"/>
  <c r="T2963" i="1"/>
  <c r="T2868" i="1"/>
  <c r="U2888" i="1"/>
  <c r="T2915" i="1"/>
  <c r="T2890" i="1"/>
  <c r="T2878" i="1"/>
  <c r="T2818" i="1"/>
  <c r="Q2705" i="1"/>
  <c r="U3132" i="1"/>
  <c r="T2867" i="1"/>
  <c r="Q2533" i="1"/>
  <c r="U2802" i="1"/>
  <c r="T2772" i="1"/>
  <c r="T2748" i="1"/>
  <c r="U2887" i="1"/>
  <c r="U2703" i="1"/>
  <c r="Q2426" i="1"/>
  <c r="Q2402" i="1"/>
  <c r="T2695" i="1"/>
  <c r="Q2715" i="1"/>
  <c r="T2811" i="1"/>
  <c r="U2776" i="1"/>
  <c r="Q2462" i="1"/>
  <c r="Q2610" i="1"/>
  <c r="U2908" i="1"/>
  <c r="Q2581" i="1"/>
  <c r="U2713" i="1"/>
  <c r="T2587" i="1"/>
  <c r="U2489" i="1"/>
  <c r="U2416" i="1"/>
  <c r="T2672" i="1"/>
  <c r="T2648" i="1"/>
  <c r="U2622" i="1"/>
  <c r="Q2541" i="1"/>
  <c r="U2771" i="1"/>
  <c r="Q2487" i="1"/>
  <c r="Q2403" i="1"/>
  <c r="T2560" i="1"/>
  <c r="U2407" i="1"/>
  <c r="Q2515" i="1"/>
  <c r="U2665" i="1"/>
  <c r="T2602" i="1"/>
  <c r="U2479" i="1"/>
  <c r="Q2536" i="1"/>
  <c r="U2528" i="1"/>
  <c r="U2456" i="1"/>
  <c r="Q2548" i="1"/>
  <c r="U2423" i="1"/>
  <c r="T2477" i="1"/>
  <c r="U2313" i="1"/>
  <c r="Q2365" i="1"/>
  <c r="U2523" i="1"/>
  <c r="U2397" i="1"/>
  <c r="U2361" i="1"/>
  <c r="U2314" i="1"/>
  <c r="T2572" i="1"/>
  <c r="T2459" i="1"/>
  <c r="U2649" i="1"/>
  <c r="T2529" i="1"/>
  <c r="T2410" i="1"/>
  <c r="U2321" i="1"/>
  <c r="Q2151" i="1"/>
  <c r="Q2115" i="1"/>
  <c r="T2315" i="1"/>
  <c r="T2439" i="1"/>
  <c r="U2414" i="1"/>
  <c r="T2368" i="1"/>
  <c r="U2326" i="1"/>
  <c r="T2558" i="1"/>
  <c r="U2446" i="1"/>
  <c r="T2334" i="1"/>
  <c r="T2500" i="1"/>
  <c r="T2461" i="1"/>
  <c r="T2404" i="1"/>
  <c r="U2351" i="1"/>
  <c r="U2299" i="1"/>
  <c r="U2297" i="1"/>
  <c r="T2246" i="1"/>
  <c r="T2369" i="1"/>
  <c r="U2463" i="1"/>
  <c r="U2310" i="1"/>
  <c r="U2643" i="1"/>
  <c r="U2357" i="1"/>
  <c r="Q1999" i="1"/>
  <c r="Q2000" i="1"/>
  <c r="U2347" i="1"/>
  <c r="Q2214" i="1"/>
  <c r="T2178" i="1"/>
  <c r="T2279" i="1"/>
  <c r="T2230" i="1"/>
  <c r="T2154" i="1"/>
  <c r="T2102" i="1"/>
  <c r="U2168" i="1"/>
  <c r="U2118" i="1"/>
  <c r="U2094" i="1"/>
  <c r="T2139" i="1"/>
  <c r="T2111" i="1"/>
  <c r="U2000" i="1"/>
  <c r="T1965" i="1"/>
  <c r="T2031" i="1"/>
  <c r="T1960" i="1"/>
  <c r="T1954" i="1"/>
  <c r="U1835" i="1"/>
  <c r="U1799" i="1"/>
  <c r="U1797" i="1"/>
  <c r="T2038" i="1"/>
  <c r="U1755" i="1"/>
  <c r="U1710" i="1"/>
  <c r="U1702" i="1"/>
  <c r="U1739" i="1"/>
  <c r="U1689" i="1"/>
  <c r="U1729" i="1"/>
  <c r="U1750" i="1"/>
  <c r="U1714" i="1"/>
  <c r="U1742" i="1"/>
  <c r="U1691" i="1"/>
  <c r="U1716" i="1"/>
  <c r="U1707" i="1"/>
  <c r="U1745" i="1"/>
  <c r="U1693" i="1"/>
  <c r="U1726" i="1"/>
  <c r="U1695" i="1"/>
  <c r="U1728" i="1"/>
  <c r="U1719" i="1"/>
  <c r="U1697" i="1"/>
  <c r="U1725" i="1"/>
  <c r="U1688" i="1"/>
  <c r="U1699" i="1"/>
  <c r="U1738" i="1"/>
  <c r="U1709" i="1"/>
  <c r="U1731" i="1"/>
  <c r="U1701" i="1"/>
  <c r="U1741" i="1"/>
  <c r="U1712" i="1"/>
  <c r="U1703" i="1"/>
  <c r="U1744" i="1"/>
  <c r="U1721" i="1"/>
  <c r="U1751" i="1"/>
  <c r="U1705" i="1"/>
  <c r="U1724" i="1"/>
  <c r="U1801" i="1"/>
  <c r="T1643" i="1"/>
  <c r="T1625" i="1"/>
  <c r="T1668" i="1"/>
  <c r="T1819" i="1"/>
  <c r="U1718" i="1"/>
  <c r="T1469" i="1"/>
  <c r="T1455" i="1"/>
  <c r="T1437" i="1"/>
  <c r="T1419" i="1"/>
  <c r="T1342" i="1"/>
  <c r="T1341" i="1"/>
  <c r="U1670" i="1"/>
  <c r="U1665" i="1"/>
  <c r="U1664" i="1"/>
  <c r="U1672" i="1"/>
  <c r="U1623" i="1"/>
  <c r="U1353" i="1"/>
  <c r="U1231" i="1"/>
  <c r="U1237" i="1"/>
  <c r="U1206" i="1"/>
  <c r="T2976" i="1"/>
  <c r="T2850" i="1"/>
  <c r="T2862" i="1"/>
  <c r="Q2719" i="1"/>
  <c r="U2914" i="1"/>
  <c r="U2871" i="1"/>
  <c r="Q2587" i="1"/>
  <c r="U2869" i="1"/>
  <c r="U2874" i="1"/>
  <c r="T2993" i="1"/>
  <c r="U2867" i="1"/>
  <c r="T2690" i="1"/>
  <c r="T2670" i="1"/>
  <c r="T2646" i="1"/>
  <c r="T2906" i="1"/>
  <c r="T2770" i="1"/>
  <c r="T2746" i="1"/>
  <c r="Q2633" i="1"/>
  <c r="T2799" i="1"/>
  <c r="U2774" i="1"/>
  <c r="U2762" i="1"/>
  <c r="U2750" i="1"/>
  <c r="T2735" i="1"/>
  <c r="U2699" i="1"/>
  <c r="U2793" i="1"/>
  <c r="Q2450" i="1"/>
  <c r="T2855" i="1"/>
  <c r="U2808" i="1"/>
  <c r="U2795" i="1"/>
  <c r="Q2484" i="1"/>
  <c r="Q2604" i="1"/>
  <c r="Q2551" i="1"/>
  <c r="Q2477" i="1"/>
  <c r="U2816" i="1"/>
  <c r="T2649" i="1"/>
  <c r="U2512" i="1"/>
  <c r="U2476" i="1"/>
  <c r="U2773" i="1"/>
  <c r="U2714" i="1"/>
  <c r="U2651" i="1"/>
  <c r="T2773" i="1"/>
  <c r="T2749" i="1"/>
  <c r="U2531" i="1"/>
  <c r="U2483" i="1"/>
  <c r="T2528" i="1"/>
  <c r="T2696" i="1"/>
  <c r="T2680" i="1"/>
  <c r="T2644" i="1"/>
  <c r="Q2247" i="1"/>
  <c r="Q2660" i="1"/>
  <c r="U2659" i="1"/>
  <c r="T2547" i="1"/>
  <c r="U2473" i="1"/>
  <c r="Q2284" i="1"/>
  <c r="U2680" i="1"/>
  <c r="T2615" i="1"/>
  <c r="T2569" i="1"/>
  <c r="U2522" i="1"/>
  <c r="U2450" i="1"/>
  <c r="U2745" i="1"/>
  <c r="U2411" i="1"/>
  <c r="T2471" i="1"/>
  <c r="U2426" i="1"/>
  <c r="U2517" i="1"/>
  <c r="U2433" i="1"/>
  <c r="U2348" i="1"/>
  <c r="U2324" i="1"/>
  <c r="Q2052" i="1"/>
  <c r="Q2051" i="1"/>
  <c r="U2394" i="1"/>
  <c r="U2358" i="1"/>
  <c r="T2388" i="1"/>
  <c r="T2370" i="1"/>
  <c r="T2352" i="1"/>
  <c r="T2527" i="1"/>
  <c r="T2409" i="1"/>
  <c r="T2535" i="1"/>
  <c r="Q2148" i="1"/>
  <c r="Q2112" i="1"/>
  <c r="U2637" i="1"/>
  <c r="T2479" i="1"/>
  <c r="U2427" i="1"/>
  <c r="T2365" i="1"/>
  <c r="U2322" i="1"/>
  <c r="T2438" i="1"/>
  <c r="T2330" i="1"/>
  <c r="T2861" i="1"/>
  <c r="T2403" i="1"/>
  <c r="Q2110" i="1"/>
  <c r="U2282" i="1"/>
  <c r="U2281" i="1"/>
  <c r="Q2399" i="1"/>
  <c r="U2278" i="1"/>
  <c r="T2278" i="1"/>
  <c r="Q2095" i="1"/>
  <c r="Q2096" i="1"/>
  <c r="T2435" i="1"/>
  <c r="T2280" i="1"/>
  <c r="T2710" i="1"/>
  <c r="T2443" i="1"/>
  <c r="T2303" i="1"/>
  <c r="T2215" i="1"/>
  <c r="T2177" i="1"/>
  <c r="T2408" i="1"/>
  <c r="T2152" i="1"/>
  <c r="T2096" i="1"/>
  <c r="U2273" i="1"/>
  <c r="U2116" i="1"/>
  <c r="U2092" i="1"/>
  <c r="T2209" i="1"/>
  <c r="T2026" i="1"/>
  <c r="U1924" i="1"/>
  <c r="T2016" i="1"/>
  <c r="T2028" i="1"/>
  <c r="U1832" i="1"/>
  <c r="U1818" i="1"/>
  <c r="U1813" i="1"/>
  <c r="T1852" i="1"/>
  <c r="T1792" i="1"/>
  <c r="T1837" i="1"/>
  <c r="U1802" i="1"/>
  <c r="T1839" i="1"/>
  <c r="T1754" i="1"/>
  <c r="T1751" i="1"/>
  <c r="T1731" i="1"/>
  <c r="T1705" i="1"/>
  <c r="T1739" i="1"/>
  <c r="T1722" i="1"/>
  <c r="T1753" i="1"/>
  <c r="T1800" i="1"/>
  <c r="T1838" i="1"/>
  <c r="T1706" i="1"/>
  <c r="U1730" i="1"/>
  <c r="U1660" i="1"/>
  <c r="T1480" i="1"/>
  <c r="U1619" i="1"/>
  <c r="U1529" i="1"/>
  <c r="U1686" i="1"/>
  <c r="U1279" i="1"/>
  <c r="T2885" i="1"/>
  <c r="T2844" i="1"/>
  <c r="U2875" i="1"/>
  <c r="T2859" i="1"/>
  <c r="U2897" i="1"/>
  <c r="U2886" i="1"/>
  <c r="T2829" i="1"/>
  <c r="T2914" i="1"/>
  <c r="T2888" i="1"/>
  <c r="U2876" i="1"/>
  <c r="T2967" i="1"/>
  <c r="T2831" i="1"/>
  <c r="T2869" i="1"/>
  <c r="Q2749" i="1"/>
  <c r="U2782" i="1"/>
  <c r="Q2445" i="1"/>
  <c r="T2768" i="1"/>
  <c r="T2744" i="1"/>
  <c r="U2695" i="1"/>
  <c r="T2665" i="1"/>
  <c r="T2641" i="1"/>
  <c r="T2953" i="1"/>
  <c r="T2798" i="1"/>
  <c r="U2881" i="1"/>
  <c r="T2790" i="1"/>
  <c r="T2917" i="1"/>
  <c r="T2643" i="1"/>
  <c r="T2608" i="1"/>
  <c r="U2548" i="1"/>
  <c r="U2645" i="1"/>
  <c r="T2570" i="1"/>
  <c r="Q2529" i="1"/>
  <c r="Q2505" i="1"/>
  <c r="T2575" i="1"/>
  <c r="U2477" i="1"/>
  <c r="U2404" i="1"/>
  <c r="T2734" i="1"/>
  <c r="U2700" i="1"/>
  <c r="U2765" i="1"/>
  <c r="T2716" i="1"/>
  <c r="Q2452" i="1"/>
  <c r="T2797" i="1"/>
  <c r="T2753" i="1"/>
  <c r="U2653" i="1"/>
  <c r="T2541" i="1"/>
  <c r="U2467" i="1"/>
  <c r="U2731" i="1"/>
  <c r="Q2278" i="1"/>
  <c r="U2792" i="1"/>
  <c r="U2674" i="1"/>
  <c r="U2516" i="1"/>
  <c r="U2444" i="1"/>
  <c r="U2694" i="1"/>
  <c r="T2465" i="1"/>
  <c r="T2304" i="1"/>
  <c r="T2429" i="1"/>
  <c r="T2293" i="1"/>
  <c r="T2292" i="1"/>
  <c r="T2609" i="1"/>
  <c r="U2440" i="1"/>
  <c r="U2391" i="1"/>
  <c r="U2355" i="1"/>
  <c r="T2554" i="1"/>
  <c r="T2601" i="1"/>
  <c r="Q2163" i="1"/>
  <c r="U2341" i="1"/>
  <c r="U2315" i="1"/>
  <c r="T2272" i="1"/>
  <c r="T2533" i="1"/>
  <c r="T2309" i="1"/>
  <c r="U2729" i="1"/>
  <c r="U2398" i="1"/>
  <c r="T2362" i="1"/>
  <c r="T2436" i="1"/>
  <c r="T2326" i="1"/>
  <c r="U2493" i="1"/>
  <c r="U2448" i="1"/>
  <c r="U2343" i="1"/>
  <c r="T2270" i="1"/>
  <c r="U2387" i="1"/>
  <c r="T2268" i="1"/>
  <c r="U2318" i="1"/>
  <c r="U2339" i="1"/>
  <c r="T2711" i="1"/>
  <c r="U2204" i="1"/>
  <c r="U2202" i="1"/>
  <c r="T2175" i="1"/>
  <c r="Q2157" i="1"/>
  <c r="T2206" i="1"/>
  <c r="T2150" i="1"/>
  <c r="T2092" i="1"/>
  <c r="T2213" i="1"/>
  <c r="U2164" i="1"/>
  <c r="T2115" i="1"/>
  <c r="U2052" i="1"/>
  <c r="T2086" i="1"/>
  <c r="Q1851" i="1"/>
  <c r="Q1852" i="1"/>
  <c r="T1992" i="1"/>
  <c r="U1992" i="1"/>
  <c r="T1905" i="1"/>
  <c r="T2034" i="1"/>
  <c r="T1885" i="1"/>
  <c r="U1776" i="1"/>
  <c r="U1758" i="1"/>
  <c r="U1761" i="1"/>
  <c r="U1768" i="1"/>
  <c r="U1767" i="1"/>
  <c r="U1763" i="1"/>
  <c r="U1762" i="1"/>
  <c r="U1759" i="1"/>
  <c r="U1764" i="1"/>
  <c r="U1773" i="1"/>
  <c r="U1774" i="1"/>
  <c r="U1757" i="1"/>
  <c r="U1775" i="1"/>
  <c r="U1765" i="1"/>
  <c r="U1769" i="1"/>
  <c r="U1760" i="1"/>
  <c r="U1766" i="1"/>
  <c r="U1772" i="1"/>
  <c r="T2003" i="1"/>
  <c r="U1845" i="1"/>
  <c r="U1796" i="1"/>
  <c r="U1793" i="1"/>
  <c r="U1794" i="1"/>
  <c r="T1880" i="1"/>
  <c r="T1720" i="1"/>
  <c r="U1671" i="1"/>
  <c r="T1606" i="1"/>
  <c r="U1694" i="1"/>
  <c r="T1721" i="1"/>
  <c r="T1674" i="1"/>
  <c r="T1645" i="1"/>
  <c r="T1627" i="1"/>
  <c r="U1616" i="1"/>
  <c r="U1614" i="1"/>
  <c r="U1601" i="1"/>
  <c r="U1605" i="1"/>
  <c r="U1609" i="1"/>
  <c r="U1613" i="1"/>
  <c r="U1607" i="1"/>
  <c r="U1615" i="1"/>
  <c r="T1537" i="1"/>
  <c r="T1483" i="1"/>
  <c r="T1238" i="1"/>
  <c r="T1319" i="1"/>
  <c r="T1264" i="1"/>
  <c r="T3173" i="1"/>
  <c r="U3086" i="1"/>
  <c r="T3137" i="1"/>
  <c r="Q2836" i="1"/>
  <c r="Q2773" i="1"/>
  <c r="U2928" i="1"/>
  <c r="T2980" i="1"/>
  <c r="U2954" i="1"/>
  <c r="T2958" i="1"/>
  <c r="U2933" i="1"/>
  <c r="U3011" i="1"/>
  <c r="T2970" i="1"/>
  <c r="T2921" i="1"/>
  <c r="T3037" i="1"/>
  <c r="Q2722" i="1"/>
  <c r="Q2697" i="1"/>
  <c r="U2942" i="1"/>
  <c r="U2918" i="1"/>
  <c r="T2998" i="1"/>
  <c r="U2969" i="1"/>
  <c r="U2945" i="1"/>
  <c r="T3087" i="1"/>
  <c r="T2898" i="1"/>
  <c r="T2836" i="1"/>
  <c r="T2870" i="1"/>
  <c r="T2837" i="1"/>
  <c r="T2919" i="1"/>
  <c r="T2856" i="1"/>
  <c r="T2814" i="1"/>
  <c r="T2957" i="1"/>
  <c r="T2912" i="1"/>
  <c r="Q2573" i="1"/>
  <c r="Q2648" i="1"/>
  <c r="Q2649" i="1"/>
  <c r="Q2574" i="1"/>
  <c r="U2866" i="1"/>
  <c r="U2822" i="1"/>
  <c r="T2871" i="1"/>
  <c r="Q2723" i="1"/>
  <c r="T2819" i="1"/>
  <c r="T2854" i="1"/>
  <c r="U2864" i="1"/>
  <c r="T2809" i="1"/>
  <c r="T2777" i="1"/>
  <c r="T2645" i="1"/>
  <c r="U2789" i="1"/>
  <c r="U2850" i="1"/>
  <c r="U2796" i="1"/>
  <c r="T2766" i="1"/>
  <c r="T2742" i="1"/>
  <c r="Q2382" i="1"/>
  <c r="U2772" i="1"/>
  <c r="U2760" i="1"/>
  <c r="U2748" i="1"/>
  <c r="U2728" i="1"/>
  <c r="U2691" i="1"/>
  <c r="U2690" i="1"/>
  <c r="Q2420" i="1"/>
  <c r="Q2396" i="1"/>
  <c r="Q2372" i="1"/>
  <c r="Q2371" i="1"/>
  <c r="U2840" i="1"/>
  <c r="Q2522" i="1"/>
  <c r="Q2498" i="1"/>
  <c r="T2691" i="1"/>
  <c r="U2648" i="1"/>
  <c r="Q2709" i="1"/>
  <c r="T2795" i="1"/>
  <c r="Q2491" i="1"/>
  <c r="Q2544" i="1"/>
  <c r="Q2459" i="1"/>
  <c r="U2898" i="1"/>
  <c r="U2701" i="1"/>
  <c r="T2637" i="1"/>
  <c r="T2544" i="1"/>
  <c r="U2506" i="1"/>
  <c r="U2470" i="1"/>
  <c r="U2767" i="1"/>
  <c r="U2639" i="1"/>
  <c r="U2525" i="1"/>
  <c r="U2471" i="1"/>
  <c r="T2794" i="1"/>
  <c r="T2666" i="1"/>
  <c r="T2642" i="1"/>
  <c r="T2611" i="1"/>
  <c r="U2727" i="1"/>
  <c r="T2556" i="1"/>
  <c r="T2486" i="1"/>
  <c r="T2717" i="1"/>
  <c r="T2674" i="1"/>
  <c r="Q2307" i="1"/>
  <c r="Q2235" i="1"/>
  <c r="Q2509" i="1"/>
  <c r="U2461" i="1"/>
  <c r="U2722" i="1"/>
  <c r="Q2272" i="1"/>
  <c r="U2668" i="1"/>
  <c r="U2510" i="1"/>
  <c r="U2438" i="1"/>
  <c r="U2775" i="1"/>
  <c r="T2586" i="1"/>
  <c r="U2676" i="1"/>
  <c r="T2426" i="1"/>
  <c r="U2344" i="1"/>
  <c r="Q2077" i="1"/>
  <c r="Q2076" i="1"/>
  <c r="T2517" i="1"/>
  <c r="U2388" i="1"/>
  <c r="U2352" i="1"/>
  <c r="T2457" i="1"/>
  <c r="U2420" i="1"/>
  <c r="T2385" i="1"/>
  <c r="T2367" i="1"/>
  <c r="T2314" i="1"/>
  <c r="T2456" i="1"/>
  <c r="T2402" i="1"/>
  <c r="T2525" i="1"/>
  <c r="U2425" i="1"/>
  <c r="Q2142" i="1"/>
  <c r="T2349" i="1"/>
  <c r="U2614" i="1"/>
  <c r="T2425" i="1"/>
  <c r="T2395" i="1"/>
  <c r="T2359" i="1"/>
  <c r="T2494" i="1"/>
  <c r="T2322" i="1"/>
  <c r="T2351" i="1"/>
  <c r="U2304" i="1"/>
  <c r="Q2255" i="1"/>
  <c r="Q2087" i="1"/>
  <c r="Q2088" i="1"/>
  <c r="Q2184" i="1"/>
  <c r="T2271" i="1"/>
  <c r="Q2466" i="1"/>
  <c r="T2261" i="1"/>
  <c r="T2203" i="1"/>
  <c r="T2095" i="1"/>
  <c r="T2119" i="1"/>
  <c r="T2143" i="1"/>
  <c r="T2108" i="1"/>
  <c r="T2132" i="1"/>
  <c r="T2158" i="1"/>
  <c r="T2157" i="1"/>
  <c r="T2171" i="1"/>
  <c r="T2184" i="1"/>
  <c r="T2110" i="1"/>
  <c r="T2134" i="1"/>
  <c r="T2176" i="1"/>
  <c r="T2159" i="1"/>
  <c r="T2172" i="1"/>
  <c r="T2185" i="1"/>
  <c r="T2136" i="1"/>
  <c r="T2160" i="1"/>
  <c r="T2173" i="1"/>
  <c r="T2186" i="1"/>
  <c r="T2197" i="1"/>
  <c r="T2114" i="1"/>
  <c r="T2138" i="1"/>
  <c r="T2194" i="1"/>
  <c r="T2161" i="1"/>
  <c r="T2174" i="1"/>
  <c r="T2188" i="1"/>
  <c r="T2105" i="1"/>
  <c r="T2129" i="1"/>
  <c r="T2153" i="1"/>
  <c r="T2094" i="1"/>
  <c r="T2118" i="1"/>
  <c r="T2142" i="1"/>
  <c r="T2109" i="1"/>
  <c r="T2133" i="1"/>
  <c r="T2165" i="1"/>
  <c r="T2192" i="1"/>
  <c r="T2098" i="1"/>
  <c r="T2122" i="1"/>
  <c r="T2146" i="1"/>
  <c r="T2166" i="1"/>
  <c r="T2179" i="1"/>
  <c r="T2148" i="1"/>
  <c r="T2167" i="1"/>
  <c r="T2180" i="1"/>
  <c r="T2170" i="1"/>
  <c r="Q2021" i="1"/>
  <c r="U2195" i="1"/>
  <c r="T2144" i="1"/>
  <c r="Q1957" i="1"/>
  <c r="Q1958" i="1"/>
  <c r="U2158" i="1"/>
  <c r="T2093" i="1"/>
  <c r="U2316" i="1"/>
  <c r="Q1841" i="1"/>
  <c r="U2009" i="1"/>
  <c r="T1989" i="1"/>
  <c r="U1859" i="1"/>
  <c r="U1858" i="1"/>
  <c r="Q2037" i="1"/>
  <c r="U2057" i="1"/>
  <c r="U2056" i="1"/>
  <c r="U1878" i="1"/>
  <c r="U1860" i="1"/>
  <c r="U1781" i="1"/>
  <c r="U1789" i="1"/>
  <c r="T1881" i="1"/>
  <c r="U1717" i="1"/>
  <c r="T1697" i="1"/>
  <c r="T1685" i="1"/>
  <c r="U1700" i="1"/>
  <c r="T1362" i="1"/>
  <c r="U1629" i="1"/>
  <c r="U1441" i="1"/>
  <c r="U1440" i="1"/>
  <c r="U1597" i="1"/>
  <c r="T1612" i="1"/>
  <c r="Q990" i="1"/>
  <c r="Q991" i="1"/>
  <c r="U3023" i="1"/>
  <c r="Q2732" i="1"/>
  <c r="Q2739" i="1"/>
  <c r="T2932" i="1"/>
  <c r="U2952" i="1"/>
  <c r="T2956" i="1"/>
  <c r="U2906" i="1"/>
  <c r="Q2693" i="1"/>
  <c r="T2991" i="1"/>
  <c r="T2938" i="1"/>
  <c r="Q2752" i="1"/>
  <c r="U2967" i="1"/>
  <c r="Q2698" i="1"/>
  <c r="Q2747" i="1"/>
  <c r="T2883" i="1"/>
  <c r="U2915" i="1"/>
  <c r="Q2713" i="1"/>
  <c r="T2815" i="1"/>
  <c r="U2884" i="1"/>
  <c r="T2886" i="1"/>
  <c r="T2866" i="1"/>
  <c r="T2807" i="1"/>
  <c r="T2848" i="1"/>
  <c r="Q2531" i="1"/>
  <c r="U2799" i="1"/>
  <c r="T2737" i="1"/>
  <c r="T2702" i="1"/>
  <c r="T2686" i="1"/>
  <c r="T2664" i="1"/>
  <c r="T2640" i="1"/>
  <c r="T2764" i="1"/>
  <c r="T2793" i="1"/>
  <c r="U2687" i="1"/>
  <c r="Q2446" i="1"/>
  <c r="T2849" i="1"/>
  <c r="Q2474" i="1"/>
  <c r="T2916" i="1"/>
  <c r="U2837" i="1"/>
  <c r="U2790" i="1"/>
  <c r="T2810" i="1"/>
  <c r="U2697" i="1"/>
  <c r="T2631" i="1"/>
  <c r="U2542" i="1"/>
  <c r="T2565" i="1"/>
  <c r="T2767" i="1"/>
  <c r="T2743" i="1"/>
  <c r="U2465" i="1"/>
  <c r="U2429" i="1"/>
  <c r="T2724" i="1"/>
  <c r="U2696" i="1"/>
  <c r="T2607" i="1"/>
  <c r="U2759" i="1"/>
  <c r="Q2472" i="1"/>
  <c r="T2692" i="1"/>
  <c r="Q2427" i="1"/>
  <c r="T2590" i="1"/>
  <c r="Q2301" i="1"/>
  <c r="Q2229" i="1"/>
  <c r="U2780" i="1"/>
  <c r="U2527" i="1"/>
  <c r="U2455" i="1"/>
  <c r="U2719" i="1"/>
  <c r="T2576" i="1"/>
  <c r="Q2266" i="1"/>
  <c r="Q2194" i="1"/>
  <c r="U2662" i="1"/>
  <c r="U2504" i="1"/>
  <c r="U2432" i="1"/>
  <c r="Q2376" i="1"/>
  <c r="U2673" i="1"/>
  <c r="U2511" i="1"/>
  <c r="U2413" i="1"/>
  <c r="Q2417" i="1"/>
  <c r="T2511" i="1"/>
  <c r="U2415" i="1"/>
  <c r="T2319" i="1"/>
  <c r="Q2039" i="1"/>
  <c r="Q2040" i="1"/>
  <c r="U2385" i="1"/>
  <c r="T2348" i="1"/>
  <c r="U2664" i="1"/>
  <c r="T2536" i="1"/>
  <c r="T2407" i="1"/>
  <c r="T2372" i="1"/>
  <c r="T2381" i="1"/>
  <c r="T2390" i="1"/>
  <c r="T2384" i="1"/>
  <c r="T2393" i="1"/>
  <c r="T2363" i="1"/>
  <c r="T2360" i="1"/>
  <c r="T2307" i="1"/>
  <c r="Q2297" i="1"/>
  <c r="U2309" i="1"/>
  <c r="U2307" i="1"/>
  <c r="U2679" i="1"/>
  <c r="Q2139" i="1"/>
  <c r="T2345" i="1"/>
  <c r="T2297" i="1"/>
  <c r="T2604" i="1"/>
  <c r="T2392" i="1"/>
  <c r="T2356" i="1"/>
  <c r="T2299" i="1"/>
  <c r="T2488" i="1"/>
  <c r="T2417" i="1"/>
  <c r="U2317" i="1"/>
  <c r="U2655" i="1"/>
  <c r="U2487" i="1"/>
  <c r="U2335" i="1"/>
  <c r="T2219" i="1"/>
  <c r="U2372" i="1"/>
  <c r="U2499" i="1"/>
  <c r="T2387" i="1"/>
  <c r="Q1953" i="1"/>
  <c r="T2424" i="1"/>
  <c r="Q2025" i="1"/>
  <c r="Q2026" i="1"/>
  <c r="Q2073" i="1"/>
  <c r="U2363" i="1"/>
  <c r="T2169" i="1"/>
  <c r="T2265" i="1"/>
  <c r="T2140" i="1"/>
  <c r="U2068" i="1"/>
  <c r="U2080" i="1"/>
  <c r="U2079" i="1"/>
  <c r="U2076" i="1"/>
  <c r="U2154" i="1"/>
  <c r="T2228" i="1"/>
  <c r="T2091" i="1"/>
  <c r="Q2068" i="1"/>
  <c r="T2277" i="1"/>
  <c r="U2071" i="1"/>
  <c r="T1921" i="1"/>
  <c r="T1916" i="1"/>
  <c r="U2024" i="1"/>
  <c r="T1834" i="1"/>
  <c r="T1784" i="1"/>
  <c r="U1778" i="1"/>
  <c r="T1924" i="1"/>
  <c r="U1748" i="1"/>
  <c r="T1882" i="1"/>
  <c r="T1786" i="1"/>
  <c r="T1780" i="1"/>
  <c r="Q1498" i="1"/>
  <c r="Q1486" i="1"/>
  <c r="Q1474" i="1"/>
  <c r="Q1462" i="1"/>
  <c r="T1585" i="1"/>
  <c r="T1584" i="1"/>
  <c r="Q1321" i="1"/>
  <c r="Q1309" i="1"/>
  <c r="Q1297" i="1"/>
  <c r="Q1285" i="1"/>
  <c r="Q1273" i="1"/>
  <c r="Q1261" i="1"/>
  <c r="Q1249" i="1"/>
  <c r="Q1237" i="1"/>
  <c r="U1698" i="1"/>
  <c r="T1659" i="1"/>
  <c r="T1572" i="1"/>
  <c r="T1698" i="1"/>
  <c r="U1593" i="1"/>
  <c r="T1407" i="1"/>
  <c r="T1391" i="1"/>
  <c r="T1375" i="1"/>
  <c r="T1359" i="1"/>
  <c r="U1439" i="1"/>
  <c r="T1408" i="1"/>
  <c r="T1392" i="1"/>
  <c r="T1376" i="1"/>
  <c r="T1360" i="1"/>
  <c r="T1544" i="1"/>
  <c r="U1483" i="1"/>
  <c r="T1170" i="1"/>
  <c r="U2929" i="1"/>
  <c r="T2941" i="1"/>
  <c r="Q2743" i="1"/>
  <c r="Q2689" i="1"/>
  <c r="T3106" i="1"/>
  <c r="U2938" i="1"/>
  <c r="Q2745" i="1"/>
  <c r="U2965" i="1"/>
  <c r="Q2754" i="1"/>
  <c r="T2824" i="1"/>
  <c r="U2865" i="1"/>
  <c r="T2825" i="1"/>
  <c r="T2910" i="1"/>
  <c r="T2851" i="1"/>
  <c r="T2903" i="1"/>
  <c r="Q2561" i="1"/>
  <c r="U2863" i="1"/>
  <c r="T2817" i="1"/>
  <c r="T2961" i="1"/>
  <c r="T2905" i="1"/>
  <c r="T2842" i="1"/>
  <c r="U2916" i="1"/>
  <c r="U2861" i="1"/>
  <c r="U2879" i="1"/>
  <c r="U2800" i="1"/>
  <c r="T2639" i="1"/>
  <c r="U2835" i="1"/>
  <c r="Q2538" i="1"/>
  <c r="T2796" i="1"/>
  <c r="U2791" i="1"/>
  <c r="T2762" i="1"/>
  <c r="U2735" i="1"/>
  <c r="T2823" i="1"/>
  <c r="U2770" i="1"/>
  <c r="U2758" i="1"/>
  <c r="U2746" i="1"/>
  <c r="U2683" i="1"/>
  <c r="T2659" i="1"/>
  <c r="T2635" i="1"/>
  <c r="T2606" i="1"/>
  <c r="U2781" i="1"/>
  <c r="T2740" i="1"/>
  <c r="T2947" i="1"/>
  <c r="T2733" i="1"/>
  <c r="Q2539" i="1"/>
  <c r="Q2455" i="1"/>
  <c r="U2885" i="1"/>
  <c r="Q2546" i="1"/>
  <c r="U2693" i="1"/>
  <c r="U2536" i="1"/>
  <c r="U2500" i="1"/>
  <c r="U2464" i="1"/>
  <c r="U2761" i="1"/>
  <c r="T2693" i="1"/>
  <c r="Q2523" i="1"/>
  <c r="Q2499" i="1"/>
  <c r="U2519" i="1"/>
  <c r="U2459" i="1"/>
  <c r="U2724" i="1"/>
  <c r="T2603" i="1"/>
  <c r="Q2480" i="1"/>
  <c r="T2605" i="1"/>
  <c r="T2552" i="1"/>
  <c r="Q2448" i="1"/>
  <c r="T2668" i="1"/>
  <c r="Q2295" i="1"/>
  <c r="Q2223" i="1"/>
  <c r="T2771" i="1"/>
  <c r="T2747" i="1"/>
  <c r="U2521" i="1"/>
  <c r="U2449" i="1"/>
  <c r="U2720" i="1"/>
  <c r="Q2260" i="1"/>
  <c r="T2719" i="1"/>
  <c r="U2656" i="1"/>
  <c r="T2599" i="1"/>
  <c r="U2498" i="1"/>
  <c r="U2422" i="1"/>
  <c r="U2769" i="1"/>
  <c r="U2646" i="1"/>
  <c r="Q2261" i="1"/>
  <c r="T2463" i="1"/>
  <c r="U2340" i="1"/>
  <c r="T2281" i="1"/>
  <c r="T2507" i="1"/>
  <c r="U2382" i="1"/>
  <c r="T2344" i="1"/>
  <c r="Q2405" i="1"/>
  <c r="T2452" i="1"/>
  <c r="T2382" i="1"/>
  <c r="T2364" i="1"/>
  <c r="T2295" i="1"/>
  <c r="T2294" i="1"/>
  <c r="U2454" i="1"/>
  <c r="T2308" i="1"/>
  <c r="U2652" i="1"/>
  <c r="Q2136" i="1"/>
  <c r="T2341" i="1"/>
  <c r="Q2043" i="1"/>
  <c r="Q2044" i="1"/>
  <c r="T2579" i="1"/>
  <c r="Q2168" i="1"/>
  <c r="Q2169" i="1"/>
  <c r="U2667" i="1"/>
  <c r="Q2220" i="1"/>
  <c r="T2389" i="1"/>
  <c r="T2353" i="1"/>
  <c r="T2287" i="1"/>
  <c r="T2482" i="1"/>
  <c r="T2414" i="1"/>
  <c r="U2311" i="1"/>
  <c r="T2584" i="1"/>
  <c r="U2436" i="1"/>
  <c r="T2286" i="1"/>
  <c r="T2207" i="1"/>
  <c r="T2343" i="1"/>
  <c r="Q2131" i="1"/>
  <c r="T2301" i="1"/>
  <c r="T2266" i="1"/>
  <c r="U2211" i="1"/>
  <c r="U2210" i="1"/>
  <c r="U2208" i="1"/>
  <c r="T2499" i="1"/>
  <c r="T2291" i="1"/>
  <c r="U2710" i="1"/>
  <c r="Q2180" i="1"/>
  <c r="U2323" i="1"/>
  <c r="U2267" i="1"/>
  <c r="U2241" i="1"/>
  <c r="U2229" i="1"/>
  <c r="U2247" i="1"/>
  <c r="U2216" i="1"/>
  <c r="U2254" i="1"/>
  <c r="U2230" i="1"/>
  <c r="U2218" i="1"/>
  <c r="U2255" i="1"/>
  <c r="U2219" i="1"/>
  <c r="U2240" i="1"/>
  <c r="U2225" i="1"/>
  <c r="U2246" i="1"/>
  <c r="U2265" i="1"/>
  <c r="U2187" i="1"/>
  <c r="T2168" i="1"/>
  <c r="T2366" i="1"/>
  <c r="Q2018" i="1"/>
  <c r="T2130" i="1"/>
  <c r="U2064" i="1"/>
  <c r="T2234" i="1"/>
  <c r="U2144" i="1"/>
  <c r="U2251" i="1"/>
  <c r="U2047" i="1"/>
  <c r="U2085" i="1"/>
  <c r="U2081" i="1"/>
  <c r="U2082" i="1"/>
  <c r="T1978" i="1"/>
  <c r="T1830" i="1"/>
  <c r="T1895" i="1"/>
  <c r="T1892" i="1"/>
  <c r="T2001" i="1"/>
  <c r="U1979" i="1"/>
  <c r="U1911" i="1"/>
  <c r="T1972" i="1"/>
  <c r="T2079" i="1"/>
  <c r="T2058" i="1"/>
  <c r="T2077" i="1"/>
  <c r="T2078" i="1"/>
  <c r="T2051" i="1"/>
  <c r="T2050" i="1"/>
  <c r="T2049" i="1"/>
  <c r="U1777" i="1"/>
  <c r="T1667" i="1"/>
  <c r="T1577" i="1"/>
  <c r="U1355" i="1"/>
  <c r="U1352" i="1"/>
  <c r="U1351" i="1"/>
  <c r="U1354" i="1"/>
  <c r="U1350" i="1"/>
  <c r="U1404" i="1"/>
  <c r="U1395" i="1"/>
  <c r="U1399" i="1"/>
  <c r="U1403" i="1"/>
  <c r="U1388" i="1"/>
  <c r="U1379" i="1"/>
  <c r="U1383" i="1"/>
  <c r="U1387" i="1"/>
  <c r="U1372" i="1"/>
  <c r="U1363" i="1"/>
  <c r="U1367" i="1"/>
  <c r="U1371" i="1"/>
  <c r="T1355" i="1"/>
  <c r="U1356" i="1"/>
  <c r="U1436" i="1"/>
  <c r="U1405" i="1"/>
  <c r="U1389" i="1"/>
  <c r="U1373" i="1"/>
  <c r="U1357" i="1"/>
  <c r="T1563" i="1"/>
  <c r="T1397" i="1"/>
  <c r="T1381" i="1"/>
  <c r="T1365" i="1"/>
  <c r="U1310" i="1"/>
  <c r="U3072" i="1"/>
  <c r="U3048" i="1"/>
  <c r="U3021" i="1"/>
  <c r="Q2834" i="1"/>
  <c r="T3093" i="1"/>
  <c r="U3065" i="1"/>
  <c r="U3041" i="1"/>
  <c r="Q2756" i="1"/>
  <c r="Q2790" i="1"/>
  <c r="T2928" i="1"/>
  <c r="U2948" i="1"/>
  <c r="T2975" i="1"/>
  <c r="T2952" i="1"/>
  <c r="T2994" i="1"/>
  <c r="T3033" i="1"/>
  <c r="Q2685" i="1"/>
  <c r="Q2750" i="1"/>
  <c r="T2907" i="1"/>
  <c r="T2934" i="1"/>
  <c r="U2963" i="1"/>
  <c r="Q2690" i="1"/>
  <c r="Q2675" i="1"/>
  <c r="U2893" i="1"/>
  <c r="T2881" i="1"/>
  <c r="U2817" i="1"/>
  <c r="U2818" i="1"/>
  <c r="T2802" i="1"/>
  <c r="T2951" i="1"/>
  <c r="T2803" i="1"/>
  <c r="T2852" i="1"/>
  <c r="T2897" i="1"/>
  <c r="U2882" i="1"/>
  <c r="T2884" i="1"/>
  <c r="T2860" i="1"/>
  <c r="Q2717" i="1"/>
  <c r="T2832" i="1"/>
  <c r="Q2620" i="1"/>
  <c r="Q2621" i="1"/>
  <c r="Q2553" i="1"/>
  <c r="Q2588" i="1"/>
  <c r="T2896" i="1"/>
  <c r="U2844" i="1"/>
  <c r="T2791" i="1"/>
  <c r="U2730" i="1"/>
  <c r="T2786" i="1"/>
  <c r="T2760" i="1"/>
  <c r="Q2370" i="1"/>
  <c r="U2820" i="1"/>
  <c r="T2723" i="1"/>
  <c r="Q2438" i="1"/>
  <c r="Q2414" i="1"/>
  <c r="Q2390" i="1"/>
  <c r="T2834" i="1"/>
  <c r="T2776" i="1"/>
  <c r="T2703" i="1"/>
  <c r="T2687" i="1"/>
  <c r="Q2703" i="1"/>
  <c r="U2783" i="1"/>
  <c r="Q2471" i="1"/>
  <c r="Q2654" i="1"/>
  <c r="U2689" i="1"/>
  <c r="T2532" i="1"/>
  <c r="T2689" i="1"/>
  <c r="T2562" i="1"/>
  <c r="U2453" i="1"/>
  <c r="U2725" i="1"/>
  <c r="T2660" i="1"/>
  <c r="T2636" i="1"/>
  <c r="T2592" i="1"/>
  <c r="U2417" i="1"/>
  <c r="U2692" i="1"/>
  <c r="U2514" i="1"/>
  <c r="U2478" i="1"/>
  <c r="U2753" i="1"/>
  <c r="T2704" i="1"/>
  <c r="Q2421" i="1"/>
  <c r="T2578" i="1"/>
  <c r="Q2289" i="1"/>
  <c r="Q2217" i="1"/>
  <c r="Q2527" i="1"/>
  <c r="Q2503" i="1"/>
  <c r="U2515" i="1"/>
  <c r="U2443" i="1"/>
  <c r="T2557" i="1"/>
  <c r="Q2254" i="1"/>
  <c r="U2421" i="1"/>
  <c r="T2720" i="1"/>
  <c r="U2650" i="1"/>
  <c r="T2597" i="1"/>
  <c r="U2492" i="1"/>
  <c r="U2410" i="1"/>
  <c r="T2620" i="1"/>
  <c r="T2574" i="1"/>
  <c r="T2458" i="1"/>
  <c r="U2631" i="1"/>
  <c r="T2413" i="1"/>
  <c r="Q2071" i="1"/>
  <c r="Q2070" i="1"/>
  <c r="Q2303" i="1"/>
  <c r="T2418" i="1"/>
  <c r="U2379" i="1"/>
  <c r="T2340" i="1"/>
  <c r="U2529" i="1"/>
  <c r="U2402" i="1"/>
  <c r="T2283" i="1"/>
  <c r="U2541" i="1"/>
  <c r="Q2393" i="1"/>
  <c r="U2451" i="1"/>
  <c r="T2423" i="1"/>
  <c r="Q2133" i="1"/>
  <c r="T2337" i="1"/>
  <c r="T2285" i="1"/>
  <c r="T2531" i="1"/>
  <c r="T2453" i="1"/>
  <c r="U2640" i="1"/>
  <c r="T2386" i="1"/>
  <c r="U2350" i="1"/>
  <c r="T2275" i="1"/>
  <c r="T2476" i="1"/>
  <c r="U2403" i="1"/>
  <c r="T2300" i="1"/>
  <c r="U2481" i="1"/>
  <c r="U2327" i="1"/>
  <c r="T2616" i="1"/>
  <c r="U2354" i="1"/>
  <c r="U2271" i="1"/>
  <c r="Q2113" i="1"/>
  <c r="Q2134" i="1"/>
  <c r="U2711" i="1"/>
  <c r="Q2146" i="1"/>
  <c r="Q2059" i="1"/>
  <c r="Q2060" i="1"/>
  <c r="U2258" i="1"/>
  <c r="Q2137" i="1"/>
  <c r="T2317" i="1"/>
  <c r="U2239" i="1"/>
  <c r="U2262" i="1"/>
  <c r="T2191" i="1"/>
  <c r="T2164" i="1"/>
  <c r="T2128" i="1"/>
  <c r="U2060" i="1"/>
  <c r="U2142" i="1"/>
  <c r="U2106" i="1"/>
  <c r="Q1709" i="1"/>
  <c r="Q1710" i="1"/>
  <c r="U2044" i="1"/>
  <c r="U2029" i="1"/>
  <c r="U2043" i="1"/>
  <c r="U2025" i="1"/>
  <c r="T2081" i="1"/>
  <c r="U1898" i="1"/>
  <c r="T1827" i="1"/>
  <c r="T2074" i="1"/>
  <c r="U2143" i="1"/>
  <c r="T1999" i="1"/>
  <c r="T1998" i="1"/>
  <c r="U2259" i="1"/>
  <c r="U1975" i="1"/>
  <c r="Q1863" i="1"/>
  <c r="Q1864" i="1"/>
  <c r="T1911" i="1"/>
  <c r="T2040" i="1"/>
  <c r="U1848" i="1"/>
  <c r="T1790" i="1"/>
  <c r="T1862" i="1"/>
  <c r="Q1530" i="1"/>
  <c r="Q1531" i="1"/>
  <c r="U1756" i="1"/>
  <c r="T1779" i="1"/>
  <c r="T1778" i="1"/>
  <c r="T1617" i="1"/>
  <c r="T1593" i="1"/>
  <c r="T1378" i="1"/>
  <c r="T1567" i="1"/>
  <c r="U1610" i="1"/>
  <c r="U1649" i="1"/>
  <c r="U1638" i="1"/>
  <c r="U1594" i="1"/>
  <c r="T1484" i="1"/>
  <c r="T1517" i="1"/>
  <c r="U1302" i="1"/>
  <c r="U1175" i="1"/>
  <c r="T1288" i="1"/>
  <c r="T1269" i="1"/>
  <c r="T2812" i="1"/>
  <c r="U2862" i="1"/>
  <c r="T2813" i="1"/>
  <c r="U2895" i="1"/>
  <c r="T2845" i="1"/>
  <c r="Q2707" i="1"/>
  <c r="U2860" i="1"/>
  <c r="T2805" i="1"/>
  <c r="T2857" i="1"/>
  <c r="T2900" i="1"/>
  <c r="T2943" i="1"/>
  <c r="T2820" i="1"/>
  <c r="U2904" i="1"/>
  <c r="U2858" i="1"/>
  <c r="T2698" i="1"/>
  <c r="T2682" i="1"/>
  <c r="T2658" i="1"/>
  <c r="T2634" i="1"/>
  <c r="U2823" i="1"/>
  <c r="T2758" i="1"/>
  <c r="U2768" i="1"/>
  <c r="U2756" i="1"/>
  <c r="U2744" i="1"/>
  <c r="U2718" i="1"/>
  <c r="Q2359" i="1"/>
  <c r="Q2360" i="1"/>
  <c r="Q2518" i="1"/>
  <c r="Q2458" i="1"/>
  <c r="Q2442" i="1"/>
  <c r="T2843" i="1"/>
  <c r="U2788" i="1"/>
  <c r="T2822" i="1"/>
  <c r="T2778" i="1"/>
  <c r="U2814" i="1"/>
  <c r="Q2451" i="1"/>
  <c r="T2589" i="1"/>
  <c r="U2530" i="1"/>
  <c r="U2494" i="1"/>
  <c r="U2458" i="1"/>
  <c r="U2755" i="1"/>
  <c r="T2685" i="1"/>
  <c r="T2761" i="1"/>
  <c r="T2600" i="1"/>
  <c r="T2551" i="1"/>
  <c r="U2513" i="1"/>
  <c r="U2447" i="1"/>
  <c r="U2716" i="1"/>
  <c r="T2585" i="1"/>
  <c r="T2546" i="1"/>
  <c r="T2705" i="1"/>
  <c r="T2688" i="1"/>
  <c r="T2662" i="1"/>
  <c r="Q2283" i="1"/>
  <c r="Q2211" i="1"/>
  <c r="T2583" i="1"/>
  <c r="U2509" i="1"/>
  <c r="U2437" i="1"/>
  <c r="U2707" i="1"/>
  <c r="Q2248" i="1"/>
  <c r="U2409" i="1"/>
  <c r="Q2475" i="1"/>
  <c r="U2644" i="1"/>
  <c r="T2595" i="1"/>
  <c r="T2548" i="1"/>
  <c r="U2486" i="1"/>
  <c r="U2845" i="1"/>
  <c r="U2763" i="1"/>
  <c r="T2591" i="1"/>
  <c r="T2505" i="1"/>
  <c r="T2455" i="1"/>
  <c r="T2411" i="1"/>
  <c r="T2462" i="1"/>
  <c r="T2399" i="1"/>
  <c r="U2336" i="1"/>
  <c r="T2313" i="1"/>
  <c r="T2269" i="1"/>
  <c r="U2376" i="1"/>
  <c r="T2336" i="1"/>
  <c r="Q2279" i="1"/>
  <c r="U2442" i="1"/>
  <c r="T2397" i="1"/>
  <c r="T2379" i="1"/>
  <c r="T2361" i="1"/>
  <c r="T2538" i="1"/>
  <c r="T2333" i="1"/>
  <c r="Q2031" i="1"/>
  <c r="Q2032" i="1"/>
  <c r="T2497" i="1"/>
  <c r="T2430" i="1"/>
  <c r="T2383" i="1"/>
  <c r="U2346" i="1"/>
  <c r="U2686" i="1"/>
  <c r="T2470" i="1"/>
  <c r="T2398" i="1"/>
  <c r="T2288" i="1"/>
  <c r="U2434" i="1"/>
  <c r="T2335" i="1"/>
  <c r="T2259" i="1"/>
  <c r="T2256" i="1"/>
  <c r="T2617" i="1"/>
  <c r="T2487" i="1"/>
  <c r="T2263" i="1"/>
  <c r="U2406" i="1"/>
  <c r="U2288" i="1"/>
  <c r="U2286" i="1"/>
  <c r="T2375" i="1"/>
  <c r="T2318" i="1"/>
  <c r="T2378" i="1"/>
  <c r="T2244" i="1"/>
  <c r="T2241" i="1"/>
  <c r="T2243" i="1"/>
  <c r="T2240" i="1"/>
  <c r="T2242" i="1"/>
  <c r="T2190" i="1"/>
  <c r="T2163" i="1"/>
  <c r="Q2028" i="1"/>
  <c r="Q2029" i="1"/>
  <c r="T2126" i="1"/>
  <c r="U2048" i="1"/>
  <c r="T2222" i="1"/>
  <c r="U2194" i="1"/>
  <c r="U2140" i="1"/>
  <c r="T2233" i="1"/>
  <c r="U1971" i="1"/>
  <c r="T2047" i="1"/>
  <c r="U1953" i="1"/>
  <c r="U2137" i="1"/>
  <c r="U1967" i="1"/>
  <c r="T1986" i="1"/>
  <c r="T1825" i="1"/>
  <c r="T1777" i="1"/>
  <c r="T1761" i="1"/>
  <c r="T1773" i="1"/>
  <c r="T1775" i="1"/>
  <c r="T1759" i="1"/>
  <c r="T1872" i="1"/>
  <c r="U1907" i="1"/>
  <c r="U1838" i="1"/>
  <c r="U1837" i="1"/>
  <c r="T1755" i="1"/>
  <c r="U1634" i="1"/>
  <c r="U1626" i="1"/>
  <c r="U1621" i="1"/>
  <c r="U1606" i="1"/>
  <c r="T1453" i="1"/>
  <c r="T1435" i="1"/>
  <c r="T1417" i="1"/>
  <c r="T1682" i="1"/>
  <c r="U1320" i="1"/>
  <c r="Q1018" i="1"/>
  <c r="Q1019" i="1"/>
  <c r="U2293" i="1"/>
  <c r="Q2103" i="1"/>
  <c r="Q2104" i="1"/>
  <c r="Q1966" i="1"/>
  <c r="U2312" i="1"/>
  <c r="T2434" i="1"/>
  <c r="U2276" i="1"/>
  <c r="T2124" i="1"/>
  <c r="T2100" i="1"/>
  <c r="U2186" i="1"/>
  <c r="U2162" i="1"/>
  <c r="U2138" i="1"/>
  <c r="U2114" i="1"/>
  <c r="U2090" i="1"/>
  <c r="Q2046" i="1"/>
  <c r="U2366" i="1"/>
  <c r="T2200" i="1"/>
  <c r="T2137" i="1"/>
  <c r="T2113" i="1"/>
  <c r="U2088" i="1"/>
  <c r="U2062" i="1"/>
  <c r="Q1967" i="1"/>
  <c r="Q1955" i="1"/>
  <c r="T2076" i="1"/>
  <c r="T1891" i="1"/>
  <c r="T1824" i="1"/>
  <c r="U2159" i="1"/>
  <c r="T2070" i="1"/>
  <c r="U1952" i="1"/>
  <c r="T2084" i="1"/>
  <c r="T2055" i="1"/>
  <c r="Q1773" i="1"/>
  <c r="U1980" i="1"/>
  <c r="U2131" i="1"/>
  <c r="Q1792" i="1"/>
  <c r="T1949" i="1"/>
  <c r="Q1819" i="1"/>
  <c r="Q1775" i="1"/>
  <c r="U1960" i="1"/>
  <c r="U1916" i="1"/>
  <c r="T1854" i="1"/>
  <c r="T2005" i="1"/>
  <c r="U1957" i="1"/>
  <c r="T1904" i="1"/>
  <c r="U1829" i="1"/>
  <c r="U2107" i="1"/>
  <c r="U1947" i="1"/>
  <c r="T1840" i="1"/>
  <c r="T2090" i="1"/>
  <c r="T2025" i="1"/>
  <c r="T1979" i="1"/>
  <c r="U1927" i="1"/>
  <c r="U1891" i="1"/>
  <c r="Q1625" i="1"/>
  <c r="U1822" i="1"/>
  <c r="T1946" i="1"/>
  <c r="T1878" i="1"/>
  <c r="U1844" i="1"/>
  <c r="Q1629" i="1"/>
  <c r="U1791" i="1"/>
  <c r="T2012" i="1"/>
  <c r="U1962" i="1"/>
  <c r="Q1563" i="1"/>
  <c r="Q1539" i="1"/>
  <c r="Q1615" i="1"/>
  <c r="T1953" i="1"/>
  <c r="Q1553" i="1"/>
  <c r="Q1496" i="1"/>
  <c r="Q1484" i="1"/>
  <c r="Q1472" i="1"/>
  <c r="Q1460" i="1"/>
  <c r="U1821" i="1"/>
  <c r="Q1507" i="1"/>
  <c r="T1934" i="1"/>
  <c r="U1834" i="1"/>
  <c r="U1795" i="1"/>
  <c r="U1929" i="1"/>
  <c r="T1870" i="1"/>
  <c r="T1940" i="1"/>
  <c r="T1708" i="1"/>
  <c r="T1613" i="1"/>
  <c r="T1589" i="1"/>
  <c r="U1567" i="1"/>
  <c r="U1553" i="1"/>
  <c r="T1665" i="1"/>
  <c r="T1582" i="1"/>
  <c r="Q1341" i="1"/>
  <c r="T1724" i="1"/>
  <c r="Q1439" i="1"/>
  <c r="T1663" i="1"/>
  <c r="Q1358" i="1"/>
  <c r="T1969" i="1"/>
  <c r="U1747" i="1"/>
  <c r="Q1331" i="1"/>
  <c r="Q1319" i="1"/>
  <c r="Q1307" i="1"/>
  <c r="Q1295" i="1"/>
  <c r="Q1283" i="1"/>
  <c r="Q1271" i="1"/>
  <c r="Q1259" i="1"/>
  <c r="Q1247" i="1"/>
  <c r="Q1235" i="1"/>
  <c r="U1696" i="1"/>
  <c r="Q1332" i="1"/>
  <c r="T1647" i="1"/>
  <c r="T1629" i="1"/>
  <c r="T1607" i="1"/>
  <c r="T1576" i="1"/>
  <c r="T1749" i="1"/>
  <c r="Q1418" i="1"/>
  <c r="Q1398" i="1"/>
  <c r="Q1380" i="1"/>
  <c r="U1643" i="1"/>
  <c r="Q1450" i="1"/>
  <c r="U1438" i="1"/>
  <c r="U1437" i="1"/>
  <c r="U1669" i="1"/>
  <c r="Q1159" i="1"/>
  <c r="Q1143" i="1"/>
  <c r="Q1127" i="1"/>
  <c r="U1633" i="1"/>
  <c r="U1602" i="1"/>
  <c r="T1450" i="1"/>
  <c r="T1432" i="1"/>
  <c r="T1414" i="1"/>
  <c r="U1508" i="1"/>
  <c r="U1433" i="1"/>
  <c r="Q1160" i="1"/>
  <c r="Q1144" i="1"/>
  <c r="Q1128" i="1"/>
  <c r="U1648" i="1"/>
  <c r="U1612" i="1"/>
  <c r="U1611" i="1"/>
  <c r="U1588" i="1"/>
  <c r="U1527" i="1"/>
  <c r="Q1233" i="1"/>
  <c r="Q1218" i="1"/>
  <c r="Q1228" i="1"/>
  <c r="T1448" i="1"/>
  <c r="T1430" i="1"/>
  <c r="T1412" i="1"/>
  <c r="U1394" i="1"/>
  <c r="U1378" i="1"/>
  <c r="U1362" i="1"/>
  <c r="U1687" i="1"/>
  <c r="T1254" i="1"/>
  <c r="T1191" i="1"/>
  <c r="T1187" i="1"/>
  <c r="T1190" i="1"/>
  <c r="T1188" i="1"/>
  <c r="U1463" i="1"/>
  <c r="T1330" i="1"/>
  <c r="T1299" i="1"/>
  <c r="U1276" i="1"/>
  <c r="Q1014" i="1"/>
  <c r="Q1015" i="1"/>
  <c r="U1227" i="1"/>
  <c r="T1223" i="1"/>
  <c r="Q941" i="1"/>
  <c r="Q942" i="1"/>
  <c r="U1300" i="1"/>
  <c r="T1164" i="1"/>
  <c r="Q1003" i="1"/>
  <c r="U1157" i="1"/>
  <c r="U1201" i="1"/>
  <c r="T1034" i="1"/>
  <c r="U2331" i="1"/>
  <c r="Q1954" i="1"/>
  <c r="U2381" i="1"/>
  <c r="T2239" i="1"/>
  <c r="U2192" i="1"/>
  <c r="U2272" i="1"/>
  <c r="Q2006" i="1"/>
  <c r="U2184" i="1"/>
  <c r="U2160" i="1"/>
  <c r="U2136" i="1"/>
  <c r="U2112" i="1"/>
  <c r="T2212" i="1"/>
  <c r="T2493" i="1"/>
  <c r="Q2023" i="1"/>
  <c r="U2196" i="1"/>
  <c r="T2135" i="1"/>
  <c r="T2312" i="1"/>
  <c r="U2038" i="1"/>
  <c r="T2018" i="1"/>
  <c r="U1956" i="1"/>
  <c r="T1821" i="1"/>
  <c r="U2153" i="1"/>
  <c r="Q1823" i="1"/>
  <c r="U2037" i="1"/>
  <c r="Q1754" i="1"/>
  <c r="U2292" i="1"/>
  <c r="U2095" i="1"/>
  <c r="T2033" i="1"/>
  <c r="T1950" i="1"/>
  <c r="T1983" i="1"/>
  <c r="T1937" i="1"/>
  <c r="U1926" i="1"/>
  <c r="U2125" i="1"/>
  <c r="T1995" i="1"/>
  <c r="T1948" i="1"/>
  <c r="U1909" i="1"/>
  <c r="U2008" i="1"/>
  <c r="Q1701" i="1"/>
  <c r="Q1789" i="1"/>
  <c r="T1955" i="1"/>
  <c r="U1826" i="1"/>
  <c r="Q1856" i="1"/>
  <c r="U1906" i="1"/>
  <c r="T1835" i="1"/>
  <c r="T2083" i="1"/>
  <c r="T2023" i="1"/>
  <c r="T1920" i="1"/>
  <c r="T1884" i="1"/>
  <c r="U1905" i="1"/>
  <c r="T1869" i="1"/>
  <c r="U1788" i="1"/>
  <c r="U2181" i="1"/>
  <c r="U2117" i="1"/>
  <c r="U1920" i="1"/>
  <c r="T1873" i="1"/>
  <c r="T1788" i="1"/>
  <c r="Q1766" i="1"/>
  <c r="U1961" i="1"/>
  <c r="U1877" i="1"/>
  <c r="U1831" i="1"/>
  <c r="T1807" i="1"/>
  <c r="T1783" i="1"/>
  <c r="U2065" i="1"/>
  <c r="T1912" i="1"/>
  <c r="U1867" i="1"/>
  <c r="U1786" i="1"/>
  <c r="T1889" i="1"/>
  <c r="T1876" i="1"/>
  <c r="T1797" i="1"/>
  <c r="Q1495" i="1"/>
  <c r="Q1483" i="1"/>
  <c r="Q1471" i="1"/>
  <c r="Q1459" i="1"/>
  <c r="T2039" i="1"/>
  <c r="U1816" i="1"/>
  <c r="T2054" i="1"/>
  <c r="U1875" i="1"/>
  <c r="Q1670" i="1"/>
  <c r="Q1554" i="1"/>
  <c r="U1864" i="1"/>
  <c r="Q1662" i="1"/>
  <c r="T1715" i="1"/>
  <c r="U1586" i="1"/>
  <c r="U1565" i="1"/>
  <c r="U1552" i="1"/>
  <c r="U1538" i="1"/>
  <c r="U1575" i="1"/>
  <c r="T1748" i="1"/>
  <c r="T1658" i="1"/>
  <c r="T1640" i="1"/>
  <c r="T1583" i="1"/>
  <c r="T1695" i="1"/>
  <c r="T1683" i="1"/>
  <c r="U1659" i="1"/>
  <c r="T1602" i="1"/>
  <c r="Q1330" i="1"/>
  <c r="Q1318" i="1"/>
  <c r="Q1306" i="1"/>
  <c r="Q1294" i="1"/>
  <c r="Q1282" i="1"/>
  <c r="Q1270" i="1"/>
  <c r="Q1258" i="1"/>
  <c r="Q1246" i="1"/>
  <c r="T1709" i="1"/>
  <c r="Q1400" i="1"/>
  <c r="Q1382" i="1"/>
  <c r="Q1359" i="1"/>
  <c r="T1746" i="1"/>
  <c r="T1662" i="1"/>
  <c r="T1642" i="1"/>
  <c r="T1624" i="1"/>
  <c r="U1674" i="1"/>
  <c r="T1406" i="1"/>
  <c r="T1390" i="1"/>
  <c r="T1374" i="1"/>
  <c r="T1358" i="1"/>
  <c r="U1497" i="1"/>
  <c r="T1467" i="1"/>
  <c r="T1452" i="1"/>
  <c r="T1434" i="1"/>
  <c r="T1416" i="1"/>
  <c r="Q1612" i="1"/>
  <c r="T1694" i="1"/>
  <c r="U1435" i="1"/>
  <c r="U1434" i="1"/>
  <c r="U1349" i="1"/>
  <c r="U1346" i="1"/>
  <c r="U1348" i="1"/>
  <c r="T1403" i="1"/>
  <c r="T1387" i="1"/>
  <c r="T1371" i="1"/>
  <c r="T1349" i="1"/>
  <c r="Q1425" i="1"/>
  <c r="U1518" i="1"/>
  <c r="U1470" i="1"/>
  <c r="U1598" i="1"/>
  <c r="U1525" i="1"/>
  <c r="U1477" i="1"/>
  <c r="Q1203" i="1"/>
  <c r="Q1185" i="1"/>
  <c r="Q1167" i="1"/>
  <c r="U1917" i="1"/>
  <c r="U1430" i="1"/>
  <c r="T1404" i="1"/>
  <c r="T1388" i="1"/>
  <c r="T1372" i="1"/>
  <c r="Q1111" i="1"/>
  <c r="Q1112" i="1"/>
  <c r="U1637" i="1"/>
  <c r="Q1338" i="1"/>
  <c r="T1462" i="1"/>
  <c r="U1522" i="1"/>
  <c r="U1481" i="1"/>
  <c r="Q1201" i="1"/>
  <c r="Q1183" i="1"/>
  <c r="Q1165" i="1"/>
  <c r="Q1149" i="1"/>
  <c r="Q1133" i="1"/>
  <c r="Q1117" i="1"/>
  <c r="U1680" i="1"/>
  <c r="U1507" i="1"/>
  <c r="U1449" i="1"/>
  <c r="T1250" i="1"/>
  <c r="U1452" i="1"/>
  <c r="Q982" i="1"/>
  <c r="Q983" i="1"/>
  <c r="U1329" i="1"/>
  <c r="T1267" i="1"/>
  <c r="T1266" i="1"/>
  <c r="T1219" i="1"/>
  <c r="T1180" i="1"/>
  <c r="T1176" i="1"/>
  <c r="T1297" i="1"/>
  <c r="U1240" i="1"/>
  <c r="T1206" i="1"/>
  <c r="U1233" i="1"/>
  <c r="T1149" i="1"/>
  <c r="T1120" i="1"/>
  <c r="T1279" i="1"/>
  <c r="T1148" i="1"/>
  <c r="U2110" i="1"/>
  <c r="T2290" i="1"/>
  <c r="U2058" i="1"/>
  <c r="T2211" i="1"/>
  <c r="Q2002" i="1"/>
  <c r="T2199" i="1"/>
  <c r="U2073" i="1"/>
  <c r="U1922" i="1"/>
  <c r="U1886" i="1"/>
  <c r="T1818" i="1"/>
  <c r="U2147" i="1"/>
  <c r="T1997" i="1"/>
  <c r="Q2007" i="1"/>
  <c r="Q1844" i="1"/>
  <c r="Q1779" i="1"/>
  <c r="Q1780" i="1"/>
  <c r="U1983" i="1"/>
  <c r="U1888" i="1"/>
  <c r="T2022" i="1"/>
  <c r="U1974" i="1"/>
  <c r="T1936" i="1"/>
  <c r="T2017" i="1"/>
  <c r="U2191" i="1"/>
  <c r="T2036" i="1"/>
  <c r="U1986" i="1"/>
  <c r="U1945" i="1"/>
  <c r="T2235" i="1"/>
  <c r="T2063" i="1"/>
  <c r="T1909" i="1"/>
  <c r="U1847" i="1"/>
  <c r="U1998" i="1"/>
  <c r="T1941" i="1"/>
  <c r="U1899" i="1"/>
  <c r="T1935" i="1"/>
  <c r="T1899" i="1"/>
  <c r="T1832" i="1"/>
  <c r="U1932" i="1"/>
  <c r="U1873" i="1"/>
  <c r="U2175" i="1"/>
  <c r="Q1866" i="1"/>
  <c r="Q1668" i="1"/>
  <c r="U1783" i="1"/>
  <c r="U2103" i="1"/>
  <c r="T2010" i="1"/>
  <c r="Q1799" i="1"/>
  <c r="U2004" i="1"/>
  <c r="U1825" i="1"/>
  <c r="Q1577" i="1"/>
  <c r="Q1750" i="1"/>
  <c r="U1880" i="1"/>
  <c r="U1808" i="1"/>
  <c r="T1922" i="1"/>
  <c r="U1830" i="1"/>
  <c r="U1865" i="1"/>
  <c r="Q1551" i="1"/>
  <c r="T1768" i="1"/>
  <c r="T1806" i="1"/>
  <c r="T1770" i="1"/>
  <c r="T1609" i="1"/>
  <c r="T1734" i="1"/>
  <c r="T1745" i="1"/>
  <c r="Q1824" i="1"/>
  <c r="T1712" i="1"/>
  <c r="Q1437" i="1"/>
  <c r="Q1378" i="1"/>
  <c r="Q1354" i="1"/>
  <c r="U1879" i="1"/>
  <c r="Q1703" i="1"/>
  <c r="U1754" i="1"/>
  <c r="U1692" i="1"/>
  <c r="T1765" i="1"/>
  <c r="U1706" i="1"/>
  <c r="T1644" i="1"/>
  <c r="T1626" i="1"/>
  <c r="T1603" i="1"/>
  <c r="U1753" i="1"/>
  <c r="U1743" i="1"/>
  <c r="T1743" i="1"/>
  <c r="Q1413" i="1"/>
  <c r="Q1395" i="1"/>
  <c r="U1584" i="1"/>
  <c r="U1675" i="1"/>
  <c r="U1502" i="1"/>
  <c r="U1642" i="1"/>
  <c r="Q1221" i="1"/>
  <c r="Q1205" i="1"/>
  <c r="Q1187" i="1"/>
  <c r="Q1169" i="1"/>
  <c r="T1856" i="1"/>
  <c r="U1492" i="1"/>
  <c r="U1432" i="1"/>
  <c r="U1641" i="1"/>
  <c r="U1576" i="1"/>
  <c r="U1511" i="1"/>
  <c r="T1473" i="1"/>
  <c r="U1400" i="1"/>
  <c r="U1384" i="1"/>
  <c r="U1368" i="1"/>
  <c r="T1669" i="1"/>
  <c r="U1566" i="1"/>
  <c r="U1468" i="1"/>
  <c r="U1749" i="1"/>
  <c r="T1447" i="1"/>
  <c r="T1429" i="1"/>
  <c r="T1411" i="1"/>
  <c r="Q1578" i="1"/>
  <c r="U1427" i="1"/>
  <c r="U1401" i="1"/>
  <c r="U1385" i="1"/>
  <c r="U1369" i="1"/>
  <c r="U1682" i="1"/>
  <c r="U1608" i="1"/>
  <c r="T1477" i="1"/>
  <c r="T1696" i="1"/>
  <c r="T1676" i="1"/>
  <c r="T1608" i="1"/>
  <c r="T1592" i="1"/>
  <c r="U1681" i="1"/>
  <c r="T1351" i="1"/>
  <c r="U1269" i="1"/>
  <c r="T1287" i="1"/>
  <c r="U1251" i="1"/>
  <c r="T1260" i="1"/>
  <c r="T1212" i="1"/>
  <c r="U1236" i="1"/>
  <c r="T1252" i="1"/>
  <c r="T1048" i="1"/>
  <c r="T1150" i="1"/>
  <c r="T2250" i="1"/>
  <c r="U2180" i="1"/>
  <c r="U2156" i="1"/>
  <c r="U2132" i="1"/>
  <c r="U2108" i="1"/>
  <c r="Q1722" i="1"/>
  <c r="Q1721" i="1"/>
  <c r="T2267" i="1"/>
  <c r="T2155" i="1"/>
  <c r="T2131" i="1"/>
  <c r="T2107" i="1"/>
  <c r="T2208" i="1"/>
  <c r="T2196" i="1"/>
  <c r="U2032" i="1"/>
  <c r="U2123" i="1"/>
  <c r="T1860" i="1"/>
  <c r="U2141" i="1"/>
  <c r="T2067" i="1"/>
  <c r="T1996" i="1"/>
  <c r="T1858" i="1"/>
  <c r="Q1831" i="1"/>
  <c r="U1973" i="1"/>
  <c r="U2115" i="1"/>
  <c r="U1970" i="1"/>
  <c r="T1919" i="1"/>
  <c r="U2185" i="1"/>
  <c r="U2033" i="1"/>
  <c r="U1985" i="1"/>
  <c r="T1943" i="1"/>
  <c r="T1902" i="1"/>
  <c r="Q1816" i="1"/>
  <c r="U2003" i="1"/>
  <c r="T1945" i="1"/>
  <c r="T1842" i="1"/>
  <c r="U2121" i="1"/>
  <c r="U1997" i="1"/>
  <c r="T1939" i="1"/>
  <c r="U2030" i="1"/>
  <c r="T1829" i="1"/>
  <c r="T2062" i="1"/>
  <c r="U2018" i="1"/>
  <c r="T1959" i="1"/>
  <c r="T1898" i="1"/>
  <c r="T1817" i="1"/>
  <c r="T1793" i="1"/>
  <c r="T2014" i="1"/>
  <c r="Q1676" i="1"/>
  <c r="U1833" i="1"/>
  <c r="U1780" i="1"/>
  <c r="U2169" i="1"/>
  <c r="Q1587" i="1"/>
  <c r="T2011" i="1"/>
  <c r="Q1664" i="1"/>
  <c r="U1872" i="1"/>
  <c r="U1827" i="1"/>
  <c r="Q1558" i="1"/>
  <c r="Q1534" i="1"/>
  <c r="U1908" i="1"/>
  <c r="U1862" i="1"/>
  <c r="T1857" i="1"/>
  <c r="U1823" i="1"/>
  <c r="U1871" i="1"/>
  <c r="Q1572" i="1"/>
  <c r="Q1548" i="1"/>
  <c r="Q1505" i="1"/>
  <c r="Q1493" i="1"/>
  <c r="Q1481" i="1"/>
  <c r="Q1469" i="1"/>
  <c r="Q1627" i="1"/>
  <c r="U1800" i="1"/>
  <c r="Q1768" i="1"/>
  <c r="Q1674" i="1"/>
  <c r="U1870" i="1"/>
  <c r="U1787" i="1"/>
  <c r="U1895" i="1"/>
  <c r="U1819" i="1"/>
  <c r="T1795" i="1"/>
  <c r="T1925" i="1"/>
  <c r="T1906" i="1"/>
  <c r="U1806" i="1"/>
  <c r="T1742" i="1"/>
  <c r="T1655" i="1"/>
  <c r="T1637" i="1"/>
  <c r="T1693" i="1"/>
  <c r="T1681" i="1"/>
  <c r="T1622" i="1"/>
  <c r="T1598" i="1"/>
  <c r="Q1328" i="1"/>
  <c r="Q1316" i="1"/>
  <c r="Q1304" i="1"/>
  <c r="Q1292" i="1"/>
  <c r="Q1280" i="1"/>
  <c r="Q1268" i="1"/>
  <c r="Q1256" i="1"/>
  <c r="Q1244" i="1"/>
  <c r="U1735" i="1"/>
  <c r="U1690" i="1"/>
  <c r="T1762" i="1"/>
  <c r="Q1422" i="1"/>
  <c r="Q1397" i="1"/>
  <c r="Q1379" i="1"/>
  <c r="Q1355" i="1"/>
  <c r="T1728" i="1"/>
  <c r="U1984" i="1"/>
  <c r="T1740" i="1"/>
  <c r="T1657" i="1"/>
  <c r="T1639" i="1"/>
  <c r="U1550" i="1"/>
  <c r="U1631" i="1"/>
  <c r="T1465" i="1"/>
  <c r="T1449" i="1"/>
  <c r="T1431" i="1"/>
  <c r="T1413" i="1"/>
  <c r="U1558" i="1"/>
  <c r="Q1446" i="1"/>
  <c r="U1429" i="1"/>
  <c r="U1428" i="1"/>
  <c r="U1343" i="1"/>
  <c r="U1287" i="1"/>
  <c r="U1328" i="1"/>
  <c r="U1291" i="1"/>
  <c r="U1196" i="1"/>
  <c r="U1330" i="1"/>
  <c r="U1323" i="1"/>
  <c r="U1296" i="1"/>
  <c r="U1331" i="1"/>
  <c r="U1274" i="1"/>
  <c r="U1286" i="1"/>
  <c r="U1333" i="1"/>
  <c r="U1334" i="1"/>
  <c r="U1318" i="1"/>
  <c r="U1263" i="1"/>
  <c r="U1290" i="1"/>
  <c r="U1336" i="1"/>
  <c r="U1337" i="1"/>
  <c r="U1220" i="1"/>
  <c r="U1244" i="1"/>
  <c r="U1319" i="1"/>
  <c r="U1317" i="1"/>
  <c r="U1299" i="1"/>
  <c r="U1339" i="1"/>
  <c r="U1284" i="1"/>
  <c r="U1289" i="1"/>
  <c r="U1303" i="1"/>
  <c r="U1340" i="1"/>
  <c r="U1277" i="1"/>
  <c r="U1272" i="1"/>
  <c r="U1313" i="1"/>
  <c r="U1306" i="1"/>
  <c r="U1309" i="1"/>
  <c r="U1298" i="1"/>
  <c r="U1224" i="1"/>
  <c r="U1266" i="1"/>
  <c r="U1314" i="1"/>
  <c r="U1293" i="1"/>
  <c r="U1187" i="1"/>
  <c r="U1312" i="1"/>
  <c r="U1275" i="1"/>
  <c r="U1223" i="1"/>
  <c r="U1268" i="1"/>
  <c r="U1280" i="1"/>
  <c r="U1228" i="1"/>
  <c r="U1252" i="1"/>
  <c r="U1193" i="1"/>
  <c r="U1294" i="1"/>
  <c r="U1342" i="1"/>
  <c r="U1301" i="1"/>
  <c r="U1316" i="1"/>
  <c r="U1199" i="1"/>
  <c r="U1295" i="1"/>
  <c r="U1332" i="1"/>
  <c r="U1325" i="1"/>
  <c r="U1311" i="1"/>
  <c r="U1281" i="1"/>
  <c r="U1265" i="1"/>
  <c r="U1321" i="1"/>
  <c r="U1232" i="1"/>
  <c r="U1256" i="1"/>
  <c r="U1205" i="1"/>
  <c r="U1335" i="1"/>
  <c r="U1271" i="1"/>
  <c r="U1283" i="1"/>
  <c r="U1326" i="1"/>
  <c r="U1305" i="1"/>
  <c r="U1324" i="1"/>
  <c r="U1338" i="1"/>
  <c r="U1278" i="1"/>
  <c r="U1255" i="1"/>
  <c r="U1273" i="1"/>
  <c r="U1285" i="1"/>
  <c r="U1304" i="1"/>
  <c r="Q1155" i="1"/>
  <c r="Q1139" i="1"/>
  <c r="Q1123" i="1"/>
  <c r="T1343" i="1"/>
  <c r="U1466" i="1"/>
  <c r="U1737" i="1"/>
  <c r="Q1200" i="1"/>
  <c r="Q1182" i="1"/>
  <c r="T1730" i="1"/>
  <c r="U1496" i="1"/>
  <c r="U1460" i="1"/>
  <c r="U1424" i="1"/>
  <c r="Q1156" i="1"/>
  <c r="Q1140" i="1"/>
  <c r="Q1124" i="1"/>
  <c r="U1683" i="1"/>
  <c r="U1636" i="1"/>
  <c r="U1580" i="1"/>
  <c r="U1515" i="1"/>
  <c r="Q1216" i="1"/>
  <c r="Q1198" i="1"/>
  <c r="Q1180" i="1"/>
  <c r="U1406" i="1"/>
  <c r="U1390" i="1"/>
  <c r="U1374" i="1"/>
  <c r="U1358" i="1"/>
  <c r="U1666" i="1"/>
  <c r="Q1107" i="1"/>
  <c r="Q1108" i="1"/>
  <c r="U1308" i="1"/>
  <c r="U1327" i="1"/>
  <c r="T1209" i="1"/>
  <c r="T1208" i="1"/>
  <c r="T1205" i="1"/>
  <c r="T1185" i="1"/>
  <c r="T1184" i="1"/>
  <c r="T1182" i="1"/>
  <c r="U1208" i="1"/>
  <c r="U1344" i="1"/>
  <c r="Q1006" i="1"/>
  <c r="Q1007" i="1"/>
  <c r="U1219" i="1"/>
  <c r="Q706" i="1"/>
  <c r="T1258" i="1"/>
  <c r="Q2501" i="1"/>
  <c r="T1718" i="1"/>
  <c r="U1288" i="1"/>
  <c r="Q979" i="1"/>
  <c r="Q895" i="1"/>
  <c r="Q896" i="1"/>
  <c r="T1249" i="1"/>
  <c r="T1248" i="1"/>
  <c r="U1229" i="1"/>
  <c r="U1060" i="1"/>
  <c r="T1006" i="1"/>
  <c r="U2283" i="1"/>
  <c r="U2200" i="1"/>
  <c r="T2481" i="1"/>
  <c r="Q2014" i="1"/>
  <c r="U2078" i="1"/>
  <c r="U2054" i="1"/>
  <c r="U1996" i="1"/>
  <c r="U1946" i="1"/>
  <c r="T1915" i="1"/>
  <c r="U2270" i="1"/>
  <c r="U2135" i="1"/>
  <c r="T2029" i="1"/>
  <c r="U1993" i="1"/>
  <c r="U2084" i="1"/>
  <c r="U1912" i="1"/>
  <c r="T2198" i="1"/>
  <c r="U1931" i="1"/>
  <c r="U2179" i="1"/>
  <c r="U2031" i="1"/>
  <c r="T2057" i="1"/>
  <c r="U1941" i="1"/>
  <c r="U1904" i="1"/>
  <c r="Q1596" i="1"/>
  <c r="T2193" i="1"/>
  <c r="U1972" i="1"/>
  <c r="T1826" i="1"/>
  <c r="Q1815" i="1"/>
  <c r="T2007" i="1"/>
  <c r="U1950" i="1"/>
  <c r="U1915" i="1"/>
  <c r="Q1650" i="1"/>
  <c r="T1864" i="1"/>
  <c r="U1868" i="1"/>
  <c r="U2163" i="1"/>
  <c r="U1901" i="1"/>
  <c r="T1868" i="1"/>
  <c r="T2044" i="1"/>
  <c r="Q1656" i="1"/>
  <c r="T1987" i="1"/>
  <c r="U1881" i="1"/>
  <c r="Q1569" i="1"/>
  <c r="T1994" i="1"/>
  <c r="T1871" i="1"/>
  <c r="U1792" i="1"/>
  <c r="U1861" i="1"/>
  <c r="T1816" i="1"/>
  <c r="T1861" i="1"/>
  <c r="Q1658" i="1"/>
  <c r="Q1609" i="1"/>
  <c r="T1672" i="1"/>
  <c r="T1605" i="1"/>
  <c r="T1581" i="1"/>
  <c r="U1925" i="1"/>
  <c r="T2069" i="1"/>
  <c r="Q1374" i="1"/>
  <c r="Q1350" i="1"/>
  <c r="U1814" i="1"/>
  <c r="T1947" i="1"/>
  <c r="T1726" i="1"/>
  <c r="T1750" i="1"/>
  <c r="T1666" i="1"/>
  <c r="T1641" i="1"/>
  <c r="T1623" i="1"/>
  <c r="T1599" i="1"/>
  <c r="T1737" i="1"/>
  <c r="T1579" i="1"/>
  <c r="U1662" i="1"/>
  <c r="T1402" i="1"/>
  <c r="T1386" i="1"/>
  <c r="T1370" i="1"/>
  <c r="U1485" i="1"/>
  <c r="U1746" i="1"/>
  <c r="T1690" i="1"/>
  <c r="U1480" i="1"/>
  <c r="U1426" i="1"/>
  <c r="U1425" i="1"/>
  <c r="T1399" i="1"/>
  <c r="T1383" i="1"/>
  <c r="T1367" i="1"/>
  <c r="U1658" i="1"/>
  <c r="U1506" i="1"/>
  <c r="U1464" i="1"/>
  <c r="T1723" i="1"/>
  <c r="U1582" i="1"/>
  <c r="U1513" i="1"/>
  <c r="T1475" i="1"/>
  <c r="T1444" i="1"/>
  <c r="T1426" i="1"/>
  <c r="T1356" i="1"/>
  <c r="U1715" i="1"/>
  <c r="U1457" i="1"/>
  <c r="U1421" i="1"/>
  <c r="T1400" i="1"/>
  <c r="T1384" i="1"/>
  <c r="T1368" i="1"/>
  <c r="U1625" i="1"/>
  <c r="U1604" i="1"/>
  <c r="U1579" i="1"/>
  <c r="Q1226" i="1"/>
  <c r="Q1448" i="1"/>
  <c r="Q1376" i="1"/>
  <c r="Q1360" i="1"/>
  <c r="Q1344" i="1"/>
  <c r="T1460" i="1"/>
  <c r="T1442" i="1"/>
  <c r="T1424" i="1"/>
  <c r="U1495" i="1"/>
  <c r="U1347" i="1"/>
  <c r="T1301" i="1"/>
  <c r="T1318" i="1"/>
  <c r="U1190" i="1"/>
  <c r="U1247" i="1"/>
  <c r="T1291" i="1"/>
  <c r="T1255" i="1"/>
  <c r="Q965" i="1"/>
  <c r="Q966" i="1"/>
  <c r="U1476" i="1"/>
  <c r="U1307" i="1"/>
  <c r="U1216" i="1"/>
  <c r="T1043" i="1"/>
  <c r="U964" i="1"/>
  <c r="U2401" i="1"/>
  <c r="T2262" i="1"/>
  <c r="Q2164" i="1"/>
  <c r="T2245" i="1"/>
  <c r="U2176" i="1"/>
  <c r="U2152" i="1"/>
  <c r="U2128" i="1"/>
  <c r="U2104" i="1"/>
  <c r="U2284" i="1"/>
  <c r="T2151" i="1"/>
  <c r="T2127" i="1"/>
  <c r="T2103" i="1"/>
  <c r="U2505" i="1"/>
  <c r="U2086" i="1"/>
  <c r="T2205" i="1"/>
  <c r="T2087" i="1"/>
  <c r="U2042" i="1"/>
  <c r="U2040" i="1"/>
  <c r="Q1737" i="1"/>
  <c r="U1853" i="1"/>
  <c r="U2129" i="1"/>
  <c r="T2061" i="1"/>
  <c r="T1991" i="1"/>
  <c r="T2214" i="1"/>
  <c r="T2075" i="1"/>
  <c r="U1966" i="1"/>
  <c r="U1914" i="1"/>
  <c r="U2173" i="1"/>
  <c r="U2101" i="1"/>
  <c r="U1933" i="1"/>
  <c r="U1897" i="1"/>
  <c r="U2111" i="1"/>
  <c r="T2052" i="1"/>
  <c r="Q1691" i="1"/>
  <c r="Q1591" i="1"/>
  <c r="U2019" i="1"/>
  <c r="U1935" i="1"/>
  <c r="U1887" i="1"/>
  <c r="Q1827" i="1"/>
  <c r="Q1713" i="1"/>
  <c r="U1930" i="1"/>
  <c r="U1894" i="1"/>
  <c r="T1823" i="1"/>
  <c r="U1949" i="1"/>
  <c r="T1908" i="1"/>
  <c r="T1822" i="1"/>
  <c r="U2157" i="1"/>
  <c r="U2093" i="1"/>
  <c r="U1820" i="1"/>
  <c r="U2089" i="1"/>
  <c r="Q1619" i="1"/>
  <c r="T1799" i="1"/>
  <c r="T2043" i="1"/>
  <c r="U1850" i="1"/>
  <c r="T1810" i="1"/>
  <c r="Q1786" i="1"/>
  <c r="T1900" i="1"/>
  <c r="U1866" i="1"/>
  <c r="T1813" i="1"/>
  <c r="T1789" i="1"/>
  <c r="U1784" i="1"/>
  <c r="T1918" i="1"/>
  <c r="Q1601" i="1"/>
  <c r="Q1730" i="1"/>
  <c r="Q1570" i="1"/>
  <c r="Q1546" i="1"/>
  <c r="T1756" i="1"/>
  <c r="Q1635" i="1"/>
  <c r="T1798" i="1"/>
  <c r="Q1508" i="1"/>
  <c r="U1782" i="1"/>
  <c r="T1729" i="1"/>
  <c r="T1652" i="1"/>
  <c r="T1634" i="1"/>
  <c r="T2068" i="1"/>
  <c r="T1703" i="1"/>
  <c r="T1691" i="1"/>
  <c r="T1679" i="1"/>
  <c r="T1618" i="1"/>
  <c r="T1594" i="1"/>
  <c r="Q1603" i="1"/>
  <c r="U1723" i="1"/>
  <c r="Q1429" i="1"/>
  <c r="T1747" i="1"/>
  <c r="Q1412" i="1"/>
  <c r="Q1394" i="1"/>
  <c r="Q1375" i="1"/>
  <c r="Q1351" i="1"/>
  <c r="T1716" i="1"/>
  <c r="U1734" i="1"/>
  <c r="T1654" i="1"/>
  <c r="T1636" i="1"/>
  <c r="Q1607" i="1"/>
  <c r="U1663" i="1"/>
  <c r="U1490" i="1"/>
  <c r="U1630" i="1"/>
  <c r="T1463" i="1"/>
  <c r="T1446" i="1"/>
  <c r="T1428" i="1"/>
  <c r="T1410" i="1"/>
  <c r="U1727" i="1"/>
  <c r="U1528" i="1"/>
  <c r="U1423" i="1"/>
  <c r="U1422" i="1"/>
  <c r="U1684" i="1"/>
  <c r="U1617" i="1"/>
  <c r="U1499" i="1"/>
  <c r="U1396" i="1"/>
  <c r="U1380" i="1"/>
  <c r="U1364" i="1"/>
  <c r="U1462" i="1"/>
  <c r="U1708" i="1"/>
  <c r="Q1215" i="1"/>
  <c r="Q1197" i="1"/>
  <c r="Q1179" i="1"/>
  <c r="U1673" i="1"/>
  <c r="U1454" i="1"/>
  <c r="U1418" i="1"/>
  <c r="U1397" i="1"/>
  <c r="U1381" i="1"/>
  <c r="U1365" i="1"/>
  <c r="U1345" i="1"/>
  <c r="U1676" i="1"/>
  <c r="T1470" i="1"/>
  <c r="U1603" i="1"/>
  <c r="U1517" i="1"/>
  <c r="Q1213" i="1"/>
  <c r="Q1195" i="1"/>
  <c r="Q1177" i="1"/>
  <c r="T1405" i="1"/>
  <c r="T1389" i="1"/>
  <c r="T1373" i="1"/>
  <c r="T1352" i="1"/>
  <c r="T1345" i="1"/>
  <c r="U1587" i="1"/>
  <c r="U1270" i="1"/>
  <c r="T1251" i="1"/>
  <c r="T1204" i="1"/>
  <c r="T1199" i="1"/>
  <c r="T1340" i="1"/>
  <c r="T1357" i="1"/>
  <c r="Q1080" i="1"/>
  <c r="T1194" i="1"/>
  <c r="T1331" i="1"/>
  <c r="T1284" i="1"/>
  <c r="T1276" i="1"/>
  <c r="T1283" i="1"/>
  <c r="Q900" i="1"/>
  <c r="Q901" i="1"/>
  <c r="T1127" i="1"/>
  <c r="T1139" i="1"/>
  <c r="U2424" i="1"/>
  <c r="Q2079" i="1"/>
  <c r="Q2080" i="1"/>
  <c r="T2331" i="1"/>
  <c r="U2269" i="1"/>
  <c r="U2736" i="1"/>
  <c r="Q2140" i="1"/>
  <c r="T2112" i="1"/>
  <c r="T2238" i="1"/>
  <c r="U2174" i="1"/>
  <c r="U2150" i="1"/>
  <c r="U2126" i="1"/>
  <c r="U2102" i="1"/>
  <c r="Q2149" i="1"/>
  <c r="U2083" i="1"/>
  <c r="Q1782" i="1"/>
  <c r="Q1783" i="1"/>
  <c r="T2258" i="1"/>
  <c r="T2149" i="1"/>
  <c r="T2125" i="1"/>
  <c r="T2101" i="1"/>
  <c r="U2074" i="1"/>
  <c r="U2050" i="1"/>
  <c r="U2199" i="1"/>
  <c r="T2236" i="1"/>
  <c r="T2082" i="1"/>
  <c r="U2193" i="1"/>
  <c r="U1942" i="1"/>
  <c r="U1910" i="1"/>
  <c r="T1848" i="1"/>
  <c r="T2210" i="1"/>
  <c r="T2056" i="1"/>
  <c r="U2198" i="1"/>
  <c r="U2006" i="1"/>
  <c r="U1968" i="1"/>
  <c r="U1936" i="1"/>
  <c r="Q1762" i="1"/>
  <c r="Q2010" i="1"/>
  <c r="U2036" i="1"/>
  <c r="U2001" i="1"/>
  <c r="U1964" i="1"/>
  <c r="U2167" i="1"/>
  <c r="T2024" i="1"/>
  <c r="Q1726" i="1"/>
  <c r="T1933" i="1"/>
  <c r="T1897" i="1"/>
  <c r="U2016" i="1"/>
  <c r="Q1738" i="1"/>
  <c r="T1859" i="1"/>
  <c r="T1923" i="1"/>
  <c r="T1887" i="1"/>
  <c r="T2059" i="1"/>
  <c r="T2000" i="1"/>
  <c r="Q1696" i="1"/>
  <c r="T1894" i="1"/>
  <c r="U1851" i="1"/>
  <c r="T1963" i="1"/>
  <c r="T1913" i="1"/>
  <c r="U1855" i="1"/>
  <c r="T1772" i="1"/>
  <c r="U2151" i="1"/>
  <c r="U1893" i="1"/>
  <c r="U1863" i="1"/>
  <c r="U1815" i="1"/>
  <c r="T2085" i="1"/>
  <c r="Q1732" i="1"/>
  <c r="T1901" i="1"/>
  <c r="T1863" i="1"/>
  <c r="T1820" i="1"/>
  <c r="U1889" i="1"/>
  <c r="T1763" i="1"/>
  <c r="U1944" i="1"/>
  <c r="U1876" i="1"/>
  <c r="T1850" i="1"/>
  <c r="Q1502" i="1"/>
  <c r="Q1490" i="1"/>
  <c r="Q1478" i="1"/>
  <c r="Q1466" i="1"/>
  <c r="T2223" i="1"/>
  <c r="U1811" i="1"/>
  <c r="U1779" i="1"/>
  <c r="U1969" i="1"/>
  <c r="U1884" i="1"/>
  <c r="Q1567" i="1"/>
  <c r="Q1543" i="1"/>
  <c r="Q1509" i="1"/>
  <c r="T1879" i="1"/>
  <c r="T1758" i="1"/>
  <c r="T1660" i="1"/>
  <c r="T1601" i="1"/>
  <c r="U1573" i="1"/>
  <c r="U1560" i="1"/>
  <c r="U1546" i="1"/>
  <c r="U1532" i="1"/>
  <c r="T1710" i="1"/>
  <c r="Q1580" i="1"/>
  <c r="Q1457" i="1"/>
  <c r="Q1370" i="1"/>
  <c r="Q1346" i="1"/>
  <c r="U1790" i="1"/>
  <c r="T1719" i="1"/>
  <c r="Q1325" i="1"/>
  <c r="Q1313" i="1"/>
  <c r="Q1301" i="1"/>
  <c r="Q1289" i="1"/>
  <c r="Q1277" i="1"/>
  <c r="Q1265" i="1"/>
  <c r="Q1253" i="1"/>
  <c r="Q1241" i="1"/>
  <c r="T1714" i="1"/>
  <c r="T1673" i="1"/>
  <c r="T1744" i="1"/>
  <c r="T1656" i="1"/>
  <c r="T1638" i="1"/>
  <c r="T1619" i="1"/>
  <c r="T1595" i="1"/>
  <c r="U1713" i="1"/>
  <c r="Q1621" i="1"/>
  <c r="T1725" i="1"/>
  <c r="Q1407" i="1"/>
  <c r="Q1389" i="1"/>
  <c r="T1764" i="1"/>
  <c r="U1473" i="1"/>
  <c r="U1459" i="1"/>
  <c r="U1420" i="1"/>
  <c r="U1419" i="1"/>
  <c r="U1685" i="1"/>
  <c r="Q1151" i="1"/>
  <c r="Q1135" i="1"/>
  <c r="Q1119" i="1"/>
  <c r="Q1440" i="1"/>
  <c r="U1657" i="1"/>
  <c r="U1668" i="1"/>
  <c r="T1459" i="1"/>
  <c r="T1441" i="1"/>
  <c r="T1423" i="1"/>
  <c r="T1350" i="1"/>
  <c r="U1484" i="1"/>
  <c r="U1451" i="1"/>
  <c r="U1415" i="1"/>
  <c r="Q1152" i="1"/>
  <c r="Q1136" i="1"/>
  <c r="Q1120" i="1"/>
  <c r="U1677" i="1"/>
  <c r="U1624" i="1"/>
  <c r="U1600" i="1"/>
  <c r="U1503" i="1"/>
  <c r="Q1224" i="1"/>
  <c r="U1752" i="1"/>
  <c r="U1498" i="1"/>
  <c r="U1599" i="1"/>
  <c r="T1457" i="1"/>
  <c r="T1439" i="1"/>
  <c r="T1421" i="1"/>
  <c r="U1402" i="1"/>
  <c r="U1386" i="1"/>
  <c r="U1370" i="1"/>
  <c r="T1202" i="1"/>
  <c r="T1178" i="1"/>
  <c r="U1322" i="1"/>
  <c r="U1243" i="1"/>
  <c r="T1247" i="1"/>
  <c r="T1246" i="1"/>
  <c r="T1240" i="1"/>
  <c r="T1244" i="1"/>
  <c r="T1242" i="1"/>
  <c r="T1211" i="1"/>
  <c r="T974" i="1"/>
  <c r="U1253" i="1"/>
  <c r="U1194" i="1"/>
  <c r="U2408" i="1"/>
  <c r="Q2035" i="1"/>
  <c r="U2172" i="1"/>
  <c r="U2148" i="1"/>
  <c r="U2124" i="1"/>
  <c r="U2100" i="1"/>
  <c r="T2237" i="1"/>
  <c r="Q1770" i="1"/>
  <c r="Q1771" i="1"/>
  <c r="T2469" i="1"/>
  <c r="T2147" i="1"/>
  <c r="T2123" i="1"/>
  <c r="T2099" i="1"/>
  <c r="T2089" i="1"/>
  <c r="U2099" i="1"/>
  <c r="U2034" i="1"/>
  <c r="T1981" i="1"/>
  <c r="U1841" i="1"/>
  <c r="U2189" i="1"/>
  <c r="Q1749" i="1"/>
  <c r="T2064" i="1"/>
  <c r="U2091" i="1"/>
  <c r="U1955" i="1"/>
  <c r="T1907" i="1"/>
  <c r="U2161" i="1"/>
  <c r="T1926" i="1"/>
  <c r="T1890" i="1"/>
  <c r="U2049" i="1"/>
  <c r="U1982" i="1"/>
  <c r="U2097" i="1"/>
  <c r="U2014" i="1"/>
  <c r="U1852" i="1"/>
  <c r="T2071" i="1"/>
  <c r="U1994" i="1"/>
  <c r="T1957" i="1"/>
  <c r="T2187" i="1"/>
  <c r="Q1812" i="1"/>
  <c r="T1990" i="1"/>
  <c r="Q1698" i="1"/>
  <c r="Q1692" i="1"/>
  <c r="T1809" i="1"/>
  <c r="T1785" i="1"/>
  <c r="Q1718" i="1"/>
  <c r="Q1646" i="1"/>
  <c r="T1853" i="1"/>
  <c r="U1812" i="1"/>
  <c r="U2145" i="1"/>
  <c r="T2035" i="1"/>
  <c r="Q1574" i="1"/>
  <c r="Q1550" i="1"/>
  <c r="Q1633" i="1"/>
  <c r="Q1516" i="1"/>
  <c r="T2030" i="1"/>
  <c r="U1896" i="1"/>
  <c r="Q1686" i="1"/>
  <c r="T1866" i="1"/>
  <c r="Q1734" i="1"/>
  <c r="T1888" i="1"/>
  <c r="T1845" i="1"/>
  <c r="T1808" i="1"/>
  <c r="U1856" i="1"/>
  <c r="T1811" i="1"/>
  <c r="T1787" i="1"/>
  <c r="Q1832" i="1"/>
  <c r="Q1630" i="1"/>
  <c r="T1752" i="1"/>
  <c r="Q1353" i="1"/>
  <c r="T1910" i="1"/>
  <c r="T1717" i="1"/>
  <c r="T1649" i="1"/>
  <c r="T1631" i="1"/>
  <c r="T1701" i="1"/>
  <c r="T1689" i="1"/>
  <c r="T1677" i="1"/>
  <c r="T1614" i="1"/>
  <c r="T1590" i="1"/>
  <c r="U1828" i="1"/>
  <c r="U1711" i="1"/>
  <c r="T1741" i="1"/>
  <c r="Q1409" i="1"/>
  <c r="Q1391" i="1"/>
  <c r="Q1371" i="1"/>
  <c r="Q1347" i="1"/>
  <c r="Q1427" i="1"/>
  <c r="T1865" i="1"/>
  <c r="U1722" i="1"/>
  <c r="T1651" i="1"/>
  <c r="T1633" i="1"/>
  <c r="Q1442" i="1"/>
  <c r="T1398" i="1"/>
  <c r="T1382" i="1"/>
  <c r="T1366" i="1"/>
  <c r="T1735" i="1"/>
  <c r="Q1342" i="1"/>
  <c r="U1521" i="1"/>
  <c r="T1461" i="1"/>
  <c r="T1443" i="1"/>
  <c r="T1425" i="1"/>
  <c r="T1354" i="1"/>
  <c r="T1702" i="1"/>
  <c r="U1456" i="1"/>
  <c r="U1417" i="1"/>
  <c r="U1416" i="1"/>
  <c r="T1395" i="1"/>
  <c r="T1379" i="1"/>
  <c r="T1363" i="1"/>
  <c r="T1684" i="1"/>
  <c r="U1646" i="1"/>
  <c r="U1542" i="1"/>
  <c r="U1494" i="1"/>
  <c r="U1622" i="1"/>
  <c r="U1501" i="1"/>
  <c r="Q1212" i="1"/>
  <c r="Q1194" i="1"/>
  <c r="Q1176" i="1"/>
  <c r="U1661" i="1"/>
  <c r="U1448" i="1"/>
  <c r="U1412" i="1"/>
  <c r="T1396" i="1"/>
  <c r="T1380" i="1"/>
  <c r="T1364" i="1"/>
  <c r="Q1099" i="1"/>
  <c r="Q1100" i="1"/>
  <c r="U1740" i="1"/>
  <c r="Q1444" i="1"/>
  <c r="Q1372" i="1"/>
  <c r="Q1356" i="1"/>
  <c r="U1732" i="1"/>
  <c r="Q1210" i="1"/>
  <c r="Q1192" i="1"/>
  <c r="Q1174" i="1"/>
  <c r="Q1157" i="1"/>
  <c r="Q1141" i="1"/>
  <c r="Q1125" i="1"/>
  <c r="U1292" i="1"/>
  <c r="U1315" i="1"/>
  <c r="T1336" i="1"/>
  <c r="U1282" i="1"/>
  <c r="T1309" i="1"/>
  <c r="T1327" i="1"/>
  <c r="T1290" i="1"/>
  <c r="T1277" i="1"/>
  <c r="U1245" i="1"/>
  <c r="T956" i="1"/>
  <c r="T951" i="1"/>
  <c r="T953" i="1"/>
  <c r="T950" i="1"/>
  <c r="T954" i="1"/>
  <c r="T955" i="1"/>
  <c r="T952" i="1"/>
  <c r="T1282" i="1"/>
  <c r="U1195" i="1"/>
  <c r="T2298" i="1"/>
  <c r="T2323" i="1"/>
  <c r="T2264" i="1"/>
  <c r="U2384" i="1"/>
  <c r="U2072" i="1"/>
  <c r="T2232" i="1"/>
  <c r="Q1993" i="1"/>
  <c r="T2201" i="1"/>
  <c r="U2170" i="1"/>
  <c r="U2146" i="1"/>
  <c r="U2122" i="1"/>
  <c r="U2098" i="1"/>
  <c r="U2393" i="1"/>
  <c r="T2229" i="1"/>
  <c r="Q1758" i="1"/>
  <c r="Q1759" i="1"/>
  <c r="Q2175" i="1"/>
  <c r="T2145" i="1"/>
  <c r="T2121" i="1"/>
  <c r="T2097" i="1"/>
  <c r="U2070" i="1"/>
  <c r="U2046" i="1"/>
  <c r="U2051" i="1"/>
  <c r="U1977" i="1"/>
  <c r="T1903" i="1"/>
  <c r="T1836" i="1"/>
  <c r="U2183" i="1"/>
  <c r="U2109" i="1"/>
  <c r="U2053" i="1"/>
  <c r="T1977" i="1"/>
  <c r="Q1803" i="1"/>
  <c r="U2105" i="1"/>
  <c r="T2006" i="1"/>
  <c r="T2254" i="1"/>
  <c r="Q1817" i="1"/>
  <c r="U2028" i="1"/>
  <c r="U2155" i="1"/>
  <c r="T2072" i="1"/>
  <c r="T1970" i="1"/>
  <c r="T2088" i="1"/>
  <c r="T1980" i="1"/>
  <c r="U1928" i="1"/>
  <c r="U1892" i="1"/>
  <c r="T2009" i="1"/>
  <c r="T1982" i="1"/>
  <c r="U1923" i="1"/>
  <c r="T1847" i="1"/>
  <c r="T2065" i="1"/>
  <c r="T2053" i="1"/>
  <c r="U1903" i="1"/>
  <c r="Q1688" i="1"/>
  <c r="U1883" i="1"/>
  <c r="Q1639" i="1"/>
  <c r="U2139" i="1"/>
  <c r="T2027" i="1"/>
  <c r="U1890" i="1"/>
  <c r="T1855" i="1"/>
  <c r="U1807" i="1"/>
  <c r="T1886" i="1"/>
  <c r="T1846" i="1"/>
  <c r="T2080" i="1"/>
  <c r="T1877" i="1"/>
  <c r="T1831" i="1"/>
  <c r="U1919" i="1"/>
  <c r="T1867" i="1"/>
  <c r="U1843" i="1"/>
  <c r="U2023" i="1"/>
  <c r="Q1644" i="1"/>
  <c r="Q1561" i="1"/>
  <c r="Q1537" i="1"/>
  <c r="Q1500" i="1"/>
  <c r="Q1488" i="1"/>
  <c r="Q1476" i="1"/>
  <c r="Q1464" i="1"/>
  <c r="T2073" i="1"/>
  <c r="T1766" i="1"/>
  <c r="U1963" i="1"/>
  <c r="Q1640" i="1"/>
  <c r="T1767" i="1"/>
  <c r="Q1631" i="1"/>
  <c r="Q1605" i="1"/>
  <c r="T2032" i="1"/>
  <c r="T1732" i="1"/>
  <c r="T1621" i="1"/>
  <c r="T1597" i="1"/>
  <c r="U1571" i="1"/>
  <c r="U1557" i="1"/>
  <c r="U1544" i="1"/>
  <c r="Q1402" i="1"/>
  <c r="Q1384" i="1"/>
  <c r="U1824" i="1"/>
  <c r="Q1431" i="1"/>
  <c r="Q1366" i="1"/>
  <c r="T1707" i="1"/>
  <c r="Q1323" i="1"/>
  <c r="Q1311" i="1"/>
  <c r="Q1299" i="1"/>
  <c r="Q1287" i="1"/>
  <c r="Q1275" i="1"/>
  <c r="Q1263" i="1"/>
  <c r="Q1251" i="1"/>
  <c r="Q1239" i="1"/>
  <c r="Q1575" i="1"/>
  <c r="U1704" i="1"/>
  <c r="Q1417" i="1"/>
  <c r="T1738" i="1"/>
  <c r="T1653" i="1"/>
  <c r="T1635" i="1"/>
  <c r="T1615" i="1"/>
  <c r="T1591" i="1"/>
  <c r="T1671" i="1"/>
  <c r="T1769" i="1"/>
  <c r="T1713" i="1"/>
  <c r="Q1404" i="1"/>
  <c r="Q1386" i="1"/>
  <c r="T1686" i="1"/>
  <c r="U1526" i="1"/>
  <c r="U1478" i="1"/>
  <c r="U1720" i="1"/>
  <c r="Q1333" i="1"/>
  <c r="U1583" i="1"/>
  <c r="U1516" i="1"/>
  <c r="U1453" i="1"/>
  <c r="U1414" i="1"/>
  <c r="U1413" i="1"/>
  <c r="U1678" i="1"/>
  <c r="U1487" i="1"/>
  <c r="U1408" i="1"/>
  <c r="U1392" i="1"/>
  <c r="U1376" i="1"/>
  <c r="U1360" i="1"/>
  <c r="U1618" i="1"/>
  <c r="T1456" i="1"/>
  <c r="T1438" i="1"/>
  <c r="T1420" i="1"/>
  <c r="T1344" i="1"/>
  <c r="U1656" i="1"/>
  <c r="U1445" i="1"/>
  <c r="U1409" i="1"/>
  <c r="U1393" i="1"/>
  <c r="U1377" i="1"/>
  <c r="U1361" i="1"/>
  <c r="Q1420" i="1"/>
  <c r="U1620" i="1"/>
  <c r="U1596" i="1"/>
  <c r="U1595" i="1"/>
  <c r="U1491" i="1"/>
  <c r="Q1222" i="1"/>
  <c r="T1704" i="1"/>
  <c r="T1688" i="1"/>
  <c r="T1616" i="1"/>
  <c r="T1600" i="1"/>
  <c r="T1711" i="1"/>
  <c r="U1578" i="1"/>
  <c r="U1458" i="1"/>
  <c r="U1446" i="1"/>
  <c r="U1444" i="1"/>
  <c r="U1461" i="1"/>
  <c r="U1465" i="1"/>
  <c r="U1455" i="1"/>
  <c r="U1469" i="1"/>
  <c r="U1500" i="1"/>
  <c r="U1488" i="1"/>
  <c r="U1443" i="1"/>
  <c r="U1534" i="1"/>
  <c r="U1512" i="1"/>
  <c r="U1524" i="1"/>
  <c r="U1471" i="1"/>
  <c r="U1519" i="1"/>
  <c r="U1510" i="1"/>
  <c r="U1505" i="1"/>
  <c r="T1454" i="1"/>
  <c r="T1436" i="1"/>
  <c r="T1418" i="1"/>
  <c r="T1401" i="1"/>
  <c r="T1385" i="1"/>
  <c r="T1369" i="1"/>
  <c r="T1353" i="1"/>
  <c r="T1323" i="1"/>
  <c r="T1289" i="1"/>
  <c r="T2751" i="1"/>
  <c r="T1578" i="1"/>
  <c r="Q1037" i="1"/>
  <c r="U1267" i="1"/>
  <c r="Q994" i="1"/>
  <c r="Q995" i="1"/>
  <c r="T1304" i="1"/>
  <c r="Q953" i="1"/>
  <c r="Q954" i="1"/>
  <c r="Q1046" i="1"/>
  <c r="T1181" i="1"/>
  <c r="T1274" i="1"/>
  <c r="T957" i="1"/>
  <c r="T1104" i="1"/>
  <c r="Q1826" i="1"/>
  <c r="Q1747" i="1"/>
  <c r="Q1746" i="1"/>
  <c r="T2419" i="1"/>
  <c r="U2075" i="1"/>
  <c r="U1934" i="1"/>
  <c r="T1833" i="1"/>
  <c r="U2177" i="1"/>
  <c r="Q1798" i="1"/>
  <c r="U2010" i="1"/>
  <c r="U2119" i="1"/>
  <c r="T1993" i="1"/>
  <c r="U1958" i="1"/>
  <c r="U1900" i="1"/>
  <c r="U2061" i="1"/>
  <c r="T1958" i="1"/>
  <c r="U2026" i="1"/>
  <c r="U1995" i="1"/>
  <c r="U1948" i="1"/>
  <c r="U1902" i="1"/>
  <c r="U2149" i="1"/>
  <c r="U1921" i="1"/>
  <c r="U1885" i="1"/>
  <c r="T2045" i="1"/>
  <c r="U1976" i="1"/>
  <c r="U2077" i="1"/>
  <c r="T2008" i="1"/>
  <c r="T1976" i="1"/>
  <c r="U1840" i="1"/>
  <c r="Q1880" i="1"/>
  <c r="T2060" i="1"/>
  <c r="U1990" i="1"/>
  <c r="U1951" i="1"/>
  <c r="U1918" i="1"/>
  <c r="U1857" i="1"/>
  <c r="T2048" i="1"/>
  <c r="T1985" i="1"/>
  <c r="T1932" i="1"/>
  <c r="T1896" i="1"/>
  <c r="Q1680" i="1"/>
  <c r="Q1560" i="1"/>
  <c r="Q1536" i="1"/>
  <c r="T1962" i="1"/>
  <c r="T1883" i="1"/>
  <c r="T1851" i="1"/>
  <c r="U1804" i="1"/>
  <c r="T1760" i="1"/>
  <c r="U2133" i="1"/>
  <c r="T1804" i="1"/>
  <c r="U2022" i="1"/>
  <c r="T1973" i="1"/>
  <c r="Q1597" i="1"/>
  <c r="T1815" i="1"/>
  <c r="T1791" i="1"/>
  <c r="Q1835" i="1"/>
  <c r="Q1807" i="1"/>
  <c r="T1841" i="1"/>
  <c r="T1988" i="1"/>
  <c r="T1843" i="1"/>
  <c r="T1805" i="1"/>
  <c r="T1781" i="1"/>
  <c r="Q1499" i="1"/>
  <c r="Q1487" i="1"/>
  <c r="Q1475" i="1"/>
  <c r="Q1463" i="1"/>
  <c r="U2045" i="1"/>
  <c r="T1930" i="1"/>
  <c r="U1854" i="1"/>
  <c r="Q1715" i="1"/>
  <c r="U1803" i="1"/>
  <c r="U1959" i="1"/>
  <c r="T1875" i="1"/>
  <c r="Q1594" i="1"/>
  <c r="T1874" i="1"/>
  <c r="T1828" i="1"/>
  <c r="Q1763" i="1"/>
  <c r="U1849" i="1"/>
  <c r="U1874" i="1"/>
  <c r="T1646" i="1"/>
  <c r="T1628" i="1"/>
  <c r="T1757" i="1"/>
  <c r="T1699" i="1"/>
  <c r="T1687" i="1"/>
  <c r="T1675" i="1"/>
  <c r="T1610" i="1"/>
  <c r="T1776" i="1"/>
  <c r="Q1424" i="1"/>
  <c r="Q1322" i="1"/>
  <c r="Q1310" i="1"/>
  <c r="Q1298" i="1"/>
  <c r="Q1286" i="1"/>
  <c r="Q1274" i="1"/>
  <c r="Q1262" i="1"/>
  <c r="Q1250" i="1"/>
  <c r="Q1238" i="1"/>
  <c r="T1661" i="1"/>
  <c r="T1733" i="1"/>
  <c r="T1648" i="1"/>
  <c r="T1630" i="1"/>
  <c r="U1581" i="1"/>
  <c r="U1655" i="1"/>
  <c r="T1471" i="1"/>
  <c r="T1458" i="1"/>
  <c r="T1440" i="1"/>
  <c r="T1422" i="1"/>
  <c r="T1348" i="1"/>
  <c r="Q1454" i="1"/>
  <c r="U1450" i="1"/>
  <c r="U1411" i="1"/>
  <c r="U1410" i="1"/>
  <c r="U1679" i="1"/>
  <c r="Q1434" i="1"/>
  <c r="U1645" i="1"/>
  <c r="U1644" i="1"/>
  <c r="U1520" i="1"/>
  <c r="U1472" i="1"/>
  <c r="U1442" i="1"/>
  <c r="Q1164" i="1"/>
  <c r="Q1148" i="1"/>
  <c r="Q1132" i="1"/>
  <c r="Q1116" i="1"/>
  <c r="T1664" i="1"/>
  <c r="T1466" i="1"/>
  <c r="U1486" i="1"/>
  <c r="U1667" i="1"/>
  <c r="Q1207" i="1"/>
  <c r="Q1189" i="1"/>
  <c r="Q1171" i="1"/>
  <c r="U1398" i="1"/>
  <c r="U1382" i="1"/>
  <c r="U1366" i="1"/>
  <c r="U1798" i="1"/>
  <c r="T1197" i="1"/>
  <c r="T1193" i="1"/>
  <c r="T1196" i="1"/>
  <c r="T1334" i="1"/>
  <c r="T1333" i="1"/>
  <c r="U1235" i="1"/>
  <c r="U1431" i="1"/>
  <c r="T1192" i="1"/>
  <c r="U1181" i="1"/>
  <c r="U1264" i="1"/>
  <c r="T1175" i="1"/>
  <c r="Q709" i="1"/>
  <c r="T1270" i="1"/>
  <c r="U1241" i="1"/>
  <c r="U1162" i="1"/>
  <c r="T1137" i="1"/>
  <c r="T960" i="1"/>
  <c r="T1032" i="1"/>
  <c r="T1464" i="1"/>
  <c r="T1692" i="1"/>
  <c r="T1620" i="1"/>
  <c r="T1604" i="1"/>
  <c r="T1588" i="1"/>
  <c r="T1472" i="1"/>
  <c r="T1445" i="1"/>
  <c r="T1427" i="1"/>
  <c r="T1409" i="1"/>
  <c r="T1393" i="1"/>
  <c r="T1377" i="1"/>
  <c r="T1361" i="1"/>
  <c r="T1294" i="1"/>
  <c r="Q1090" i="1"/>
  <c r="T1313" i="1"/>
  <c r="Q1060" i="1"/>
  <c r="T1243" i="1"/>
  <c r="Q959" i="1"/>
  <c r="Q935" i="1"/>
  <c r="T1303" i="1"/>
  <c r="U1211" i="1"/>
  <c r="Q917" i="1"/>
  <c r="Q732" i="1"/>
  <c r="Q906" i="1"/>
  <c r="Q883" i="1"/>
  <c r="Q871" i="1"/>
  <c r="Q859" i="1"/>
  <c r="Q847" i="1"/>
  <c r="Q835" i="1"/>
  <c r="Q823" i="1"/>
  <c r="Q811" i="1"/>
  <c r="Q799" i="1"/>
  <c r="Q787" i="1"/>
  <c r="Q775" i="1"/>
  <c r="U1627" i="1"/>
  <c r="T1338" i="1"/>
  <c r="Q710" i="1"/>
  <c r="Q1044" i="1"/>
  <c r="T1155" i="1"/>
  <c r="U1202" i="1"/>
  <c r="Q1075" i="1"/>
  <c r="T1245" i="1"/>
  <c r="Q898" i="1"/>
  <c r="Q1087" i="1"/>
  <c r="T1281" i="1"/>
  <c r="U1250" i="1"/>
  <c r="U1226" i="1"/>
  <c r="Q763" i="1"/>
  <c r="Q764" i="1"/>
  <c r="T1114" i="1"/>
  <c r="T1042" i="1"/>
  <c r="U982" i="1"/>
  <c r="T1151" i="1"/>
  <c r="U1083" i="1"/>
  <c r="U1011" i="1"/>
  <c r="U1015" i="1"/>
  <c r="T1131" i="1"/>
  <c r="T1059" i="1"/>
  <c r="U987" i="1"/>
  <c r="U1070" i="1"/>
  <c r="U998" i="1"/>
  <c r="Q918" i="1"/>
  <c r="T1100" i="1"/>
  <c r="T1028" i="1"/>
  <c r="Q726" i="1"/>
  <c r="U1170" i="1"/>
  <c r="U1093" i="1"/>
  <c r="U1008" i="1"/>
  <c r="T1081" i="1"/>
  <c r="U1002" i="1"/>
  <c r="U1140" i="1"/>
  <c r="U1068" i="1"/>
  <c r="T1002" i="1"/>
  <c r="T1085" i="1"/>
  <c r="U1249" i="1"/>
  <c r="T1098" i="1"/>
  <c r="T1026" i="1"/>
  <c r="T1079" i="1"/>
  <c r="U1191" i="1"/>
  <c r="U1115" i="1"/>
  <c r="U1043" i="1"/>
  <c r="T975" i="1"/>
  <c r="T1121" i="1"/>
  <c r="U1108" i="1"/>
  <c r="U1036" i="1"/>
  <c r="T978" i="1"/>
  <c r="Q1010" i="1"/>
  <c r="Q986" i="1"/>
  <c r="T1239" i="1"/>
  <c r="Q755" i="1"/>
  <c r="Q707" i="1"/>
  <c r="T1315" i="1"/>
  <c r="T1302" i="1"/>
  <c r="Q894" i="1"/>
  <c r="Q882" i="1"/>
  <c r="Q870" i="1"/>
  <c r="Q858" i="1"/>
  <c r="Q846" i="1"/>
  <c r="Q834" i="1"/>
  <c r="Q822" i="1"/>
  <c r="Q810" i="1"/>
  <c r="Q798" i="1"/>
  <c r="Q786" i="1"/>
  <c r="Q774" i="1"/>
  <c r="T2757" i="1"/>
  <c r="Q1094" i="1"/>
  <c r="T1317" i="1"/>
  <c r="Q1038" i="1"/>
  <c r="Q1026" i="1"/>
  <c r="T1241" i="1"/>
  <c r="T1201" i="1"/>
  <c r="T1177" i="1"/>
  <c r="T1278" i="1"/>
  <c r="Q1005" i="1"/>
  <c r="Q981" i="1"/>
  <c r="Q957" i="1"/>
  <c r="Q933" i="1"/>
  <c r="Q751" i="1"/>
  <c r="Q752" i="1"/>
  <c r="U1183" i="1"/>
  <c r="T1108" i="1"/>
  <c r="T1036" i="1"/>
  <c r="U967" i="1"/>
  <c r="U1077" i="1"/>
  <c r="U1004" i="1"/>
  <c r="T1125" i="1"/>
  <c r="T1053" i="1"/>
  <c r="U1136" i="1"/>
  <c r="U1064" i="1"/>
  <c r="U995" i="1"/>
  <c r="T1094" i="1"/>
  <c r="T1022" i="1"/>
  <c r="T966" i="1"/>
  <c r="U1166" i="1"/>
  <c r="U1087" i="1"/>
  <c r="U991" i="1"/>
  <c r="U1145" i="1"/>
  <c r="T1075" i="1"/>
  <c r="U1134" i="1"/>
  <c r="U1062" i="1"/>
  <c r="U997" i="1"/>
  <c r="T1067" i="1"/>
  <c r="U1177" i="1"/>
  <c r="T1092" i="1"/>
  <c r="T1020" i="1"/>
  <c r="T969" i="1"/>
  <c r="T1061" i="1"/>
  <c r="U1109" i="1"/>
  <c r="U1037" i="1"/>
  <c r="U968" i="1"/>
  <c r="T1109" i="1"/>
  <c r="U1176" i="1"/>
  <c r="U1102" i="1"/>
  <c r="U1030" i="1"/>
  <c r="T1235" i="1"/>
  <c r="T1198" i="1"/>
  <c r="T1174" i="1"/>
  <c r="T2745" i="1"/>
  <c r="Q1071" i="1"/>
  <c r="T1152" i="1"/>
  <c r="Q1058" i="1"/>
  <c r="Q1011" i="1"/>
  <c r="Q987" i="1"/>
  <c r="Q893" i="1"/>
  <c r="Q881" i="1"/>
  <c r="Q869" i="1"/>
  <c r="Q857" i="1"/>
  <c r="Q845" i="1"/>
  <c r="Q833" i="1"/>
  <c r="Q821" i="1"/>
  <c r="Q809" i="1"/>
  <c r="Q797" i="1"/>
  <c r="Q785" i="1"/>
  <c r="Q773" i="1"/>
  <c r="Q2513" i="1"/>
  <c r="T1337" i="1"/>
  <c r="T1312" i="1"/>
  <c r="T1286" i="1"/>
  <c r="T1233" i="1"/>
  <c r="T1321" i="1"/>
  <c r="T1316" i="1"/>
  <c r="T1275" i="1"/>
  <c r="U1246" i="1"/>
  <c r="U1222" i="1"/>
  <c r="Q739" i="1"/>
  <c r="Q740" i="1"/>
  <c r="T1172" i="1"/>
  <c r="T1102" i="1"/>
  <c r="T1030" i="1"/>
  <c r="U963" i="1"/>
  <c r="T1142" i="1"/>
  <c r="U1071" i="1"/>
  <c r="T1119" i="1"/>
  <c r="T1047" i="1"/>
  <c r="U981" i="1"/>
  <c r="U1200" i="1"/>
  <c r="U1130" i="1"/>
  <c r="U1058" i="1"/>
  <c r="T991" i="1"/>
  <c r="U1021" i="1"/>
  <c r="T1154" i="1"/>
  <c r="T1088" i="1"/>
  <c r="T1016" i="1"/>
  <c r="T962" i="1"/>
  <c r="U1081" i="1"/>
  <c r="U986" i="1"/>
  <c r="T1069" i="1"/>
  <c r="T994" i="1"/>
  <c r="T1091" i="1"/>
  <c r="U1128" i="1"/>
  <c r="U1056" i="1"/>
  <c r="T1037" i="1"/>
  <c r="T1086" i="1"/>
  <c r="T1014" i="1"/>
  <c r="T961" i="1"/>
  <c r="T1031" i="1"/>
  <c r="T1169" i="1"/>
  <c r="U1103" i="1"/>
  <c r="U1031" i="1"/>
  <c r="T1097" i="1"/>
  <c r="U1096" i="1"/>
  <c r="U1024" i="1"/>
  <c r="U971" i="1"/>
  <c r="Q768" i="1"/>
  <c r="Q720" i="1"/>
  <c r="T1335" i="1"/>
  <c r="Q1093" i="1"/>
  <c r="Q1068" i="1"/>
  <c r="T1268" i="1"/>
  <c r="T1143" i="1"/>
  <c r="T1307" i="1"/>
  <c r="T1298" i="1"/>
  <c r="T1229" i="1"/>
  <c r="Q1077" i="1"/>
  <c r="Q1072" i="1"/>
  <c r="T1272" i="1"/>
  <c r="Q1001" i="1"/>
  <c r="U1172" i="1"/>
  <c r="Q727" i="1"/>
  <c r="Q728" i="1"/>
  <c r="U1164" i="1"/>
  <c r="T1096" i="1"/>
  <c r="T1024" i="1"/>
  <c r="U1137" i="1"/>
  <c r="U1065" i="1"/>
  <c r="Q960" i="1"/>
  <c r="T1113" i="1"/>
  <c r="T1041" i="1"/>
  <c r="T977" i="1"/>
  <c r="U1124" i="1"/>
  <c r="U1052" i="1"/>
  <c r="U1149" i="1"/>
  <c r="T1082" i="1"/>
  <c r="U1010" i="1"/>
  <c r="U959" i="1"/>
  <c r="U1075" i="1"/>
  <c r="T1135" i="1"/>
  <c r="T1063" i="1"/>
  <c r="T982" i="1"/>
  <c r="U1122" i="1"/>
  <c r="U1050" i="1"/>
  <c r="U990" i="1"/>
  <c r="T1013" i="1"/>
  <c r="T1161" i="1"/>
  <c r="T1080" i="1"/>
  <c r="U1009" i="1"/>
  <c r="T958" i="1"/>
  <c r="T1007" i="1"/>
  <c r="U1097" i="1"/>
  <c r="U1025" i="1"/>
  <c r="Q714" i="1"/>
  <c r="T1073" i="1"/>
  <c r="U1169" i="1"/>
  <c r="U1090" i="1"/>
  <c r="U1018" i="1"/>
  <c r="Q723" i="1"/>
  <c r="T1320" i="1"/>
  <c r="Q1048" i="1"/>
  <c r="T1227" i="1"/>
  <c r="Q916" i="1"/>
  <c r="Q743" i="1"/>
  <c r="T1322" i="1"/>
  <c r="Q891" i="1"/>
  <c r="Q879" i="1"/>
  <c r="Q867" i="1"/>
  <c r="Q855" i="1"/>
  <c r="Q843" i="1"/>
  <c r="Q831" i="1"/>
  <c r="Q819" i="1"/>
  <c r="Q807" i="1"/>
  <c r="Q795" i="1"/>
  <c r="Q783" i="1"/>
  <c r="Q771" i="1"/>
  <c r="U1652" i="1"/>
  <c r="Q1091" i="1"/>
  <c r="Q1035" i="1"/>
  <c r="T1256" i="1"/>
  <c r="Q1063" i="1"/>
  <c r="Q1054" i="1"/>
  <c r="T1225" i="1"/>
  <c r="T1195" i="1"/>
  <c r="U845" i="1"/>
  <c r="U1242" i="1"/>
  <c r="U1218" i="1"/>
  <c r="Q951" i="1"/>
  <c r="T1171" i="1"/>
  <c r="Q715" i="1"/>
  <c r="Q716" i="1"/>
  <c r="Q911" i="1"/>
  <c r="T1090" i="1"/>
  <c r="T1018" i="1"/>
  <c r="U957" i="1"/>
  <c r="U1131" i="1"/>
  <c r="U1059" i="1"/>
  <c r="T984" i="1"/>
  <c r="U1198" i="1"/>
  <c r="T1107" i="1"/>
  <c r="T1035" i="1"/>
  <c r="U973" i="1"/>
  <c r="U1182" i="1"/>
  <c r="U1118" i="1"/>
  <c r="U1046" i="1"/>
  <c r="T981" i="1"/>
  <c r="T1145" i="1"/>
  <c r="T1076" i="1"/>
  <c r="U1007" i="1"/>
  <c r="Q711" i="1"/>
  <c r="U1144" i="1"/>
  <c r="U1069" i="1"/>
  <c r="U1204" i="1"/>
  <c r="T1129" i="1"/>
  <c r="T1057" i="1"/>
  <c r="T986" i="1"/>
  <c r="U1116" i="1"/>
  <c r="U1044" i="1"/>
  <c r="U979" i="1"/>
  <c r="U1156" i="1"/>
  <c r="T1074" i="1"/>
  <c r="Q762" i="1"/>
  <c r="U954" i="1"/>
  <c r="U993" i="1"/>
  <c r="U1091" i="1"/>
  <c r="U1019" i="1"/>
  <c r="T1049" i="1"/>
  <c r="Q920" i="1"/>
  <c r="U1084" i="1"/>
  <c r="U1012" i="1"/>
  <c r="Q890" i="1"/>
  <c r="Q878" i="1"/>
  <c r="Q866" i="1"/>
  <c r="Q854" i="1"/>
  <c r="Q842" i="1"/>
  <c r="Q830" i="1"/>
  <c r="Q818" i="1"/>
  <c r="Q806" i="1"/>
  <c r="Q794" i="1"/>
  <c r="Q782" i="1"/>
  <c r="Q770" i="1"/>
  <c r="Q1230" i="1"/>
  <c r="T1236" i="1"/>
  <c r="T1221" i="1"/>
  <c r="U797" i="1"/>
  <c r="Q924" i="1"/>
  <c r="Q925" i="1"/>
  <c r="U1151" i="1"/>
  <c r="T1084" i="1"/>
  <c r="T1012" i="1"/>
  <c r="U1152" i="1"/>
  <c r="U1125" i="1"/>
  <c r="U1053" i="1"/>
  <c r="T983" i="1"/>
  <c r="T1101" i="1"/>
  <c r="T1029" i="1"/>
  <c r="T963" i="1"/>
  <c r="U1112" i="1"/>
  <c r="U1040" i="1"/>
  <c r="T973" i="1"/>
  <c r="T968" i="1"/>
  <c r="T1141" i="1"/>
  <c r="T1070" i="1"/>
  <c r="U1003" i="1"/>
  <c r="T1003" i="1"/>
  <c r="U1135" i="1"/>
  <c r="U1063" i="1"/>
  <c r="T980" i="1"/>
  <c r="T1123" i="1"/>
  <c r="T1051" i="1"/>
  <c r="U983" i="1"/>
  <c r="U1110" i="1"/>
  <c r="U1038" i="1"/>
  <c r="U975" i="1"/>
  <c r="T989" i="1"/>
  <c r="T1068" i="1"/>
  <c r="U1001" i="1"/>
  <c r="U950" i="1"/>
  <c r="U978" i="1"/>
  <c r="U1085" i="1"/>
  <c r="U1013" i="1"/>
  <c r="T1025" i="1"/>
  <c r="U1078" i="1"/>
  <c r="T959" i="1"/>
  <c r="U1651" i="1"/>
  <c r="T1332" i="1"/>
  <c r="T1295" i="1"/>
  <c r="T1232" i="1"/>
  <c r="Q734" i="1"/>
  <c r="T1305" i="1"/>
  <c r="T1326" i="1"/>
  <c r="T1217" i="1"/>
  <c r="Q922" i="1"/>
  <c r="Q749" i="1"/>
  <c r="U1262" i="1"/>
  <c r="U1238" i="1"/>
  <c r="U1214" i="1"/>
  <c r="U1160" i="1"/>
  <c r="T1237" i="1"/>
  <c r="U1146" i="1"/>
  <c r="T1078" i="1"/>
  <c r="T1008" i="1"/>
  <c r="U1215" i="1"/>
  <c r="U1119" i="1"/>
  <c r="U1047" i="1"/>
  <c r="U977" i="1"/>
  <c r="U1180" i="1"/>
  <c r="T1095" i="1"/>
  <c r="T1023" i="1"/>
  <c r="U956" i="1"/>
  <c r="U1106" i="1"/>
  <c r="U1034" i="1"/>
  <c r="T970" i="1"/>
  <c r="T1136" i="1"/>
  <c r="T1064" i="1"/>
  <c r="T998" i="1"/>
  <c r="T1055" i="1"/>
  <c r="U1129" i="1"/>
  <c r="U1057" i="1"/>
  <c r="T976" i="1"/>
  <c r="U1186" i="1"/>
  <c r="T1117" i="1"/>
  <c r="T1045" i="1"/>
  <c r="Q735" i="1"/>
  <c r="U1188" i="1"/>
  <c r="U1104" i="1"/>
  <c r="U1032" i="1"/>
  <c r="U974" i="1"/>
  <c r="U1225" i="1"/>
  <c r="T1134" i="1"/>
  <c r="T1062" i="1"/>
  <c r="T997" i="1"/>
  <c r="T964" i="1"/>
  <c r="Q908" i="1"/>
  <c r="U1079" i="1"/>
  <c r="T1009" i="1"/>
  <c r="U1209" i="1"/>
  <c r="T1019" i="1"/>
  <c r="T1144" i="1"/>
  <c r="U1072" i="1"/>
  <c r="U1005" i="1"/>
  <c r="U953" i="1"/>
  <c r="Q1034" i="1"/>
  <c r="T1263" i="1"/>
  <c r="T1215" i="1"/>
  <c r="Q1096" i="1"/>
  <c r="Q929" i="1"/>
  <c r="T1140" i="1"/>
  <c r="Q757" i="1"/>
  <c r="U1640" i="1"/>
  <c r="T1474" i="1"/>
  <c r="Q1051" i="1"/>
  <c r="Q1032" i="1"/>
  <c r="T1228" i="1"/>
  <c r="Q1027" i="1"/>
  <c r="T1300" i="1"/>
  <c r="T1347" i="1"/>
  <c r="Q1061" i="1"/>
  <c r="Q1082" i="1"/>
  <c r="T1265" i="1"/>
  <c r="T1213" i="1"/>
  <c r="T1189" i="1"/>
  <c r="T1296" i="1"/>
  <c r="Q1017" i="1"/>
  <c r="Q993" i="1"/>
  <c r="T1159" i="1"/>
  <c r="U1178" i="1"/>
  <c r="U1142" i="1"/>
  <c r="T1072" i="1"/>
  <c r="T1005" i="1"/>
  <c r="U1197" i="1"/>
  <c r="U1113" i="1"/>
  <c r="U1041" i="1"/>
  <c r="Q923" i="1"/>
  <c r="T1089" i="1"/>
  <c r="T1017" i="1"/>
  <c r="U952" i="1"/>
  <c r="U1167" i="1"/>
  <c r="U1100" i="1"/>
  <c r="U1028" i="1"/>
  <c r="U966" i="1"/>
  <c r="U1207" i="1"/>
  <c r="T1130" i="1"/>
  <c r="T1058" i="1"/>
  <c r="U996" i="1"/>
  <c r="U1123" i="1"/>
  <c r="U1051" i="1"/>
  <c r="Q930" i="1"/>
  <c r="T1111" i="1"/>
  <c r="T1039" i="1"/>
  <c r="T972" i="1"/>
  <c r="U1098" i="1"/>
  <c r="U1026" i="1"/>
  <c r="U969" i="1"/>
  <c r="U1221" i="1"/>
  <c r="T1128" i="1"/>
  <c r="T1056" i="1"/>
  <c r="U994" i="1"/>
  <c r="U1192" i="1"/>
  <c r="Q899" i="1"/>
  <c r="U1073" i="1"/>
  <c r="U1006" i="1"/>
  <c r="U1210" i="1"/>
  <c r="U1000" i="1"/>
  <c r="U1138" i="1"/>
  <c r="U1066" i="1"/>
  <c r="T1000" i="1"/>
  <c r="T1468" i="1"/>
  <c r="Q1452" i="1"/>
  <c r="Q1432" i="1"/>
  <c r="Q1364" i="1"/>
  <c r="Q1348" i="1"/>
  <c r="T1451" i="1"/>
  <c r="T1433" i="1"/>
  <c r="T1415" i="1"/>
  <c r="Q1153" i="1"/>
  <c r="Q1137" i="1"/>
  <c r="Q1121" i="1"/>
  <c r="T1311" i="1"/>
  <c r="Q2507" i="1"/>
  <c r="T1306" i="1"/>
  <c r="T1203" i="1"/>
  <c r="T1179" i="1"/>
  <c r="Q1334" i="1"/>
  <c r="T1339" i="1"/>
  <c r="T1325" i="1"/>
  <c r="U1239" i="1"/>
  <c r="T1308" i="1"/>
  <c r="T1259" i="1"/>
  <c r="T1210" i="1"/>
  <c r="T1186" i="1"/>
  <c r="U1184" i="1"/>
  <c r="T1310" i="1"/>
  <c r="Q1023" i="1"/>
  <c r="Q999" i="1"/>
  <c r="Q975" i="1"/>
  <c r="Q887" i="1"/>
  <c r="Q875" i="1"/>
  <c r="Q863" i="1"/>
  <c r="Q851" i="1"/>
  <c r="Q839" i="1"/>
  <c r="Q827" i="1"/>
  <c r="Q815" i="1"/>
  <c r="Q803" i="1"/>
  <c r="Q791" i="1"/>
  <c r="Q779" i="1"/>
  <c r="Q745" i="1"/>
  <c r="T1224" i="1"/>
  <c r="Q1056" i="1"/>
  <c r="U1168" i="1"/>
  <c r="T1346" i="1"/>
  <c r="T1261" i="1"/>
  <c r="T2769" i="1"/>
  <c r="Q1052" i="1"/>
  <c r="U1258" i="1"/>
  <c r="U1234" i="1"/>
  <c r="Q912" i="1"/>
  <c r="Q913" i="1"/>
  <c r="T1158" i="1"/>
  <c r="T1220" i="1"/>
  <c r="T1138" i="1"/>
  <c r="T1066" i="1"/>
  <c r="U999" i="1"/>
  <c r="U1179" i="1"/>
  <c r="U1107" i="1"/>
  <c r="U1035" i="1"/>
  <c r="U972" i="1"/>
  <c r="U1163" i="1"/>
  <c r="T1083" i="1"/>
  <c r="T1010" i="1"/>
  <c r="T1163" i="1"/>
  <c r="U1094" i="1"/>
  <c r="U1022" i="1"/>
  <c r="U962" i="1"/>
  <c r="T1124" i="1"/>
  <c r="T1052" i="1"/>
  <c r="Q747" i="1"/>
  <c r="U1117" i="1"/>
  <c r="U1045" i="1"/>
  <c r="U951" i="1"/>
  <c r="T1105" i="1"/>
  <c r="T1033" i="1"/>
  <c r="T971" i="1"/>
  <c r="U1161" i="1"/>
  <c r="U1092" i="1"/>
  <c r="U1020" i="1"/>
  <c r="T965" i="1"/>
  <c r="U1217" i="1"/>
  <c r="T1122" i="1"/>
  <c r="T1050" i="1"/>
  <c r="T990" i="1"/>
  <c r="T1160" i="1"/>
  <c r="T1285" i="1"/>
  <c r="U1139" i="1"/>
  <c r="U1067" i="1"/>
  <c r="T1001" i="1"/>
  <c r="Q936" i="1"/>
  <c r="T985" i="1"/>
  <c r="U1132" i="1"/>
  <c r="T996" i="1"/>
  <c r="U1639" i="1"/>
  <c r="T1329" i="1"/>
  <c r="T1167" i="1"/>
  <c r="Q1102" i="1"/>
  <c r="T2763" i="1"/>
  <c r="T1257" i="1"/>
  <c r="Q2525" i="1"/>
  <c r="U1148" i="1"/>
  <c r="T1216" i="1"/>
  <c r="T1132" i="1"/>
  <c r="T1060" i="1"/>
  <c r="U992" i="1"/>
  <c r="U1101" i="1"/>
  <c r="U1029" i="1"/>
  <c r="T967" i="1"/>
  <c r="T1156" i="1"/>
  <c r="T1077" i="1"/>
  <c r="T1004" i="1"/>
  <c r="U970" i="1"/>
  <c r="U1158" i="1"/>
  <c r="U1088" i="1"/>
  <c r="U1016" i="1"/>
  <c r="U1189" i="1"/>
  <c r="T1118" i="1"/>
  <c r="T1046" i="1"/>
  <c r="T987" i="1"/>
  <c r="T1234" i="1"/>
  <c r="U1111" i="1"/>
  <c r="U1039" i="1"/>
  <c r="U1143" i="1"/>
  <c r="T1166" i="1"/>
  <c r="T1099" i="1"/>
  <c r="T1027" i="1"/>
  <c r="U965" i="1"/>
  <c r="T1157" i="1"/>
  <c r="U1086" i="1"/>
  <c r="U1014" i="1"/>
  <c r="U961" i="1"/>
  <c r="U1261" i="1"/>
  <c r="U1213" i="1"/>
  <c r="T1116" i="1"/>
  <c r="T1044" i="1"/>
  <c r="T1133" i="1"/>
  <c r="T1280" i="1"/>
  <c r="U1133" i="1"/>
  <c r="U1061" i="1"/>
  <c r="T995" i="1"/>
  <c r="T1173" i="1"/>
  <c r="U1212" i="1"/>
  <c r="U1126" i="1"/>
  <c r="U1054" i="1"/>
  <c r="T993" i="1"/>
  <c r="Q767" i="1"/>
  <c r="Q719" i="1"/>
  <c r="Q1065" i="1"/>
  <c r="Q885" i="1"/>
  <c r="Q873" i="1"/>
  <c r="Q861" i="1"/>
  <c r="Q849" i="1"/>
  <c r="Q837" i="1"/>
  <c r="Q825" i="1"/>
  <c r="Q813" i="1"/>
  <c r="Q801" i="1"/>
  <c r="Q789" i="1"/>
  <c r="Q777" i="1"/>
  <c r="Q721" i="1"/>
  <c r="U1628" i="1"/>
  <c r="Q1085" i="1"/>
  <c r="Q1041" i="1"/>
  <c r="Q1029" i="1"/>
  <c r="T1324" i="1"/>
  <c r="T1200" i="1"/>
  <c r="Q1042" i="1"/>
  <c r="T1293" i="1"/>
  <c r="Q2519" i="1"/>
  <c r="T1314" i="1"/>
  <c r="T1253" i="1"/>
  <c r="T1207" i="1"/>
  <c r="T1183" i="1"/>
  <c r="T1328" i="1"/>
  <c r="U1254" i="1"/>
  <c r="U1230" i="1"/>
  <c r="Q963" i="1"/>
  <c r="Q939" i="1"/>
  <c r="T1147" i="1"/>
  <c r="T1126" i="1"/>
  <c r="T1054" i="1"/>
  <c r="T988" i="1"/>
  <c r="U1095" i="1"/>
  <c r="U1023" i="1"/>
  <c r="U1150" i="1"/>
  <c r="T1071" i="1"/>
  <c r="T999" i="1"/>
  <c r="U955" i="1"/>
  <c r="U1154" i="1"/>
  <c r="U1082" i="1"/>
  <c r="T1011" i="1"/>
  <c r="T1112" i="1"/>
  <c r="T1040" i="1"/>
  <c r="U980" i="1"/>
  <c r="U1203" i="1"/>
  <c r="U1105" i="1"/>
  <c r="U1033" i="1"/>
  <c r="U958" i="1"/>
  <c r="T1162" i="1"/>
  <c r="T1093" i="1"/>
  <c r="T1021" i="1"/>
  <c r="T1153" i="1"/>
  <c r="U1080" i="1"/>
  <c r="U1257" i="1"/>
  <c r="T1110" i="1"/>
  <c r="T1038" i="1"/>
  <c r="U984" i="1"/>
  <c r="T1115" i="1"/>
  <c r="T1273" i="1"/>
  <c r="U1127" i="1"/>
  <c r="U1055" i="1"/>
  <c r="U989" i="1"/>
  <c r="U1120" i="1"/>
  <c r="U1048" i="1"/>
  <c r="U988" i="1"/>
  <c r="M598" i="1"/>
  <c r="M674" i="1"/>
  <c r="M575" i="1"/>
  <c r="M494" i="1"/>
  <c r="M574" i="1"/>
  <c r="M242" i="1"/>
  <c r="M509" i="1"/>
  <c r="N176" i="1"/>
  <c r="M122" i="1"/>
  <c r="M217" i="1"/>
  <c r="M216" i="1"/>
  <c r="M128" i="1"/>
  <c r="M68" i="1"/>
  <c r="M486" i="1"/>
  <c r="M595" i="1"/>
  <c r="M519" i="1"/>
  <c r="M627" i="1"/>
  <c r="N696" i="1"/>
  <c r="N677" i="1"/>
  <c r="M530" i="1"/>
  <c r="N231" i="1"/>
  <c r="M534" i="1"/>
  <c r="M178" i="1"/>
  <c r="M190" i="1"/>
  <c r="M126" i="1"/>
  <c r="N189" i="1"/>
  <c r="M119" i="1"/>
  <c r="N228" i="1"/>
  <c r="M213" i="1"/>
  <c r="M658" i="1"/>
  <c r="M634" i="1"/>
  <c r="M687" i="1"/>
  <c r="M496" i="1"/>
  <c r="M637" i="1"/>
  <c r="M643" i="1"/>
  <c r="M550" i="1"/>
  <c r="M609" i="1"/>
  <c r="M607" i="1"/>
  <c r="M619" i="1"/>
  <c r="M696" i="1"/>
  <c r="N625" i="1"/>
  <c r="M237" i="1"/>
  <c r="N186" i="1"/>
  <c r="M214" i="1"/>
  <c r="N174" i="1"/>
  <c r="M162" i="1"/>
  <c r="M602" i="1"/>
  <c r="M512" i="1"/>
  <c r="M170" i="1"/>
  <c r="M693" i="1"/>
  <c r="M208" i="1"/>
  <c r="M522" i="1"/>
  <c r="M529" i="1"/>
  <c r="M91" i="1"/>
  <c r="M130" i="1"/>
  <c r="M10" i="1"/>
  <c r="M64" i="1"/>
  <c r="M694" i="1"/>
  <c r="M624" i="1"/>
  <c r="M523" i="1"/>
  <c r="M639" i="1"/>
  <c r="M560" i="1"/>
  <c r="M638" i="1"/>
  <c r="N233" i="1"/>
  <c r="M209" i="1"/>
  <c r="M508" i="1"/>
  <c r="M16" i="1"/>
  <c r="M587" i="1"/>
  <c r="M137" i="1"/>
  <c r="M186" i="1"/>
  <c r="N23" i="1"/>
  <c r="M613" i="1"/>
  <c r="M493" i="1"/>
  <c r="M654" i="1"/>
  <c r="M570" i="1"/>
  <c r="M498" i="1"/>
  <c r="M672" i="1"/>
  <c r="M633" i="1"/>
  <c r="N239" i="1"/>
  <c r="N628" i="1"/>
  <c r="M223" i="1"/>
  <c r="M72" i="1"/>
  <c r="M76" i="1"/>
  <c r="M15" i="1"/>
  <c r="M188" i="1"/>
  <c r="M42" i="1"/>
  <c r="M54" i="1"/>
  <c r="M532" i="1"/>
  <c r="M662" i="1"/>
  <c r="M681" i="1"/>
  <c r="M682" i="1"/>
  <c r="M584" i="1"/>
  <c r="M669" i="1"/>
  <c r="M657" i="1"/>
  <c r="M676" i="1"/>
  <c r="M583" i="1"/>
  <c r="M666" i="1"/>
  <c r="M506" i="1"/>
  <c r="M487" i="1"/>
  <c r="M563" i="1"/>
  <c r="M635" i="1"/>
  <c r="M535" i="1"/>
  <c r="M488" i="1"/>
  <c r="N230" i="1"/>
  <c r="M578" i="1"/>
  <c r="N201" i="1"/>
  <c r="N226" i="1"/>
  <c r="N215" i="1"/>
  <c r="M164" i="1"/>
  <c r="N194" i="1"/>
  <c r="N147" i="1"/>
  <c r="N8" i="1"/>
  <c r="N92" i="1"/>
  <c r="M690" i="1"/>
  <c r="M652" i="1"/>
  <c r="M553" i="1"/>
  <c r="M565" i="1"/>
  <c r="M182" i="1"/>
  <c r="M174" i="1"/>
  <c r="N221" i="1"/>
  <c r="M219" i="1"/>
  <c r="M513" i="1"/>
  <c r="M187" i="1"/>
  <c r="M168" i="1"/>
  <c r="N200" i="1"/>
  <c r="M144" i="1"/>
  <c r="N7" i="1"/>
  <c r="M499" i="1"/>
  <c r="M44" i="1"/>
  <c r="M37" i="1"/>
  <c r="N64" i="1"/>
  <c r="M670" i="1"/>
  <c r="M651" i="1"/>
  <c r="M700" i="1"/>
  <c r="M586" i="1"/>
  <c r="M630" i="1"/>
  <c r="M604" i="1"/>
  <c r="M579" i="1"/>
  <c r="M599" i="1"/>
  <c r="M524" i="1"/>
  <c r="M605" i="1"/>
  <c r="M541" i="1"/>
  <c r="M558" i="1"/>
  <c r="M641" i="1"/>
  <c r="N237" i="1"/>
  <c r="N203" i="1"/>
  <c r="M157" i="1"/>
  <c r="M241" i="1"/>
  <c r="M165" i="1"/>
  <c r="M36" i="1"/>
  <c r="M129" i="1"/>
  <c r="M48" i="1"/>
  <c r="Q239" i="1"/>
  <c r="Q166" i="1"/>
  <c r="Q174" i="1"/>
  <c r="Q467" i="1"/>
  <c r="Q363" i="1"/>
  <c r="M210" i="1"/>
  <c r="M133" i="1"/>
  <c r="N82" i="1"/>
  <c r="M32" i="1"/>
  <c r="N209" i="1"/>
  <c r="N35" i="1"/>
  <c r="Q8" i="1"/>
  <c r="Q377" i="1"/>
  <c r="Q281" i="1"/>
  <c r="Q126" i="1"/>
  <c r="Q223" i="1"/>
  <c r="Q539" i="1"/>
  <c r="Q691" i="1"/>
  <c r="M582" i="1"/>
  <c r="M622" i="1"/>
  <c r="M497" i="1"/>
  <c r="M504" i="1"/>
  <c r="M199" i="1"/>
  <c r="M195" i="1"/>
  <c r="M481" i="1"/>
  <c r="N195" i="1"/>
  <c r="M200" i="1"/>
  <c r="N111" i="1"/>
  <c r="M89" i="1"/>
  <c r="M234" i="1"/>
  <c r="M160" i="1"/>
  <c r="M107" i="1"/>
  <c r="M191" i="1"/>
  <c r="M100" i="1"/>
  <c r="M70" i="1"/>
  <c r="M38" i="1"/>
  <c r="M22" i="1"/>
  <c r="M57" i="1"/>
  <c r="M28" i="1"/>
  <c r="M105" i="1"/>
  <c r="M69" i="1"/>
  <c r="M8" i="1"/>
  <c r="B23" i="1"/>
  <c r="Q527" i="1"/>
  <c r="Q167" i="1"/>
  <c r="Q57" i="1"/>
  <c r="Q250" i="1"/>
  <c r="Q689" i="1"/>
  <c r="Q529" i="1"/>
  <c r="Q509" i="1"/>
  <c r="M149" i="1"/>
  <c r="M97" i="1"/>
  <c r="Q34" i="1"/>
  <c r="M24" i="1"/>
  <c r="M65" i="1"/>
  <c r="M243" i="1"/>
  <c r="M169" i="1"/>
  <c r="M56" i="1"/>
  <c r="M117" i="1"/>
  <c r="Q432" i="1"/>
  <c r="Q29" i="1"/>
  <c r="Q290" i="1"/>
  <c r="Q247" i="1"/>
  <c r="Q458" i="1"/>
  <c r="Q238" i="1"/>
  <c r="Q241" i="1"/>
  <c r="M104" i="1"/>
  <c r="M222" i="1"/>
  <c r="M20" i="1"/>
  <c r="N11" i="1"/>
  <c r="Q351" i="1"/>
  <c r="Q309" i="1"/>
  <c r="Q440" i="1"/>
  <c r="M34" i="1"/>
  <c r="M111" i="1"/>
  <c r="M77" i="1"/>
  <c r="C23" i="1"/>
  <c r="M152" i="1"/>
  <c r="M95" i="1"/>
  <c r="M81" i="1"/>
  <c r="Q435" i="1"/>
  <c r="Q358" i="1"/>
  <c r="Q294" i="1"/>
  <c r="Q442" i="1"/>
  <c r="Q222" i="1"/>
  <c r="Q257" i="1"/>
  <c r="Q362" i="1"/>
  <c r="Q538" i="1"/>
  <c r="M62" i="1"/>
  <c r="Q280" i="1"/>
  <c r="Q5" i="1"/>
  <c r="Q665" i="1"/>
  <c r="Q674" i="1"/>
  <c r="Q242" i="1"/>
  <c r="N212" i="1"/>
  <c r="M564" i="1"/>
  <c r="M245" i="1"/>
  <c r="M177" i="1"/>
  <c r="N236" i="1"/>
  <c r="N141" i="1"/>
  <c r="N172" i="1"/>
  <c r="Q15" i="1"/>
  <c r="M103" i="1"/>
  <c r="M30" i="1"/>
  <c r="M230" i="1"/>
  <c r="M50" i="1"/>
  <c r="M61" i="1"/>
  <c r="M212" i="1"/>
  <c r="N19" i="1"/>
  <c r="Q522" i="1"/>
  <c r="Q339" i="1"/>
  <c r="Q13" i="1"/>
  <c r="Q135" i="1"/>
  <c r="Q70" i="1"/>
  <c r="Q445" i="1"/>
  <c r="Q317" i="1"/>
  <c r="Q37" i="1"/>
  <c r="Q419" i="1"/>
  <c r="Q305" i="1"/>
  <c r="M74" i="1"/>
  <c r="M58" i="1"/>
  <c r="M176" i="1"/>
  <c r="M40" i="1"/>
  <c r="M14" i="1"/>
  <c r="M150" i="1"/>
  <c r="Q396" i="1"/>
  <c r="M41" i="1"/>
  <c r="Q7" i="1"/>
  <c r="Q531" i="1"/>
  <c r="Q507" i="1"/>
  <c r="M33" i="1"/>
  <c r="M78" i="1"/>
  <c r="M224" i="1"/>
  <c r="Q113" i="1"/>
  <c r="M7" i="1"/>
  <c r="M180" i="1"/>
  <c r="M21" i="1"/>
  <c r="M85" i="1"/>
  <c r="Q426" i="1"/>
  <c r="Q610" i="1"/>
  <c r="Q102" i="1"/>
  <c r="Q45" i="1"/>
  <c r="Q443" i="1"/>
  <c r="Q546" i="1"/>
  <c r="Q412" i="1"/>
  <c r="Q101" i="1"/>
  <c r="Q431" i="1"/>
  <c r="Q379" i="1"/>
  <c r="Q423" i="1"/>
  <c r="Q342" i="1"/>
  <c r="Q510" i="1"/>
  <c r="Q146" i="1"/>
  <c r="Q318" i="1"/>
  <c r="Q158" i="1"/>
  <c r="Q230" i="1"/>
  <c r="Q439" i="1"/>
  <c r="Q76" i="1"/>
  <c r="Q284" i="1"/>
  <c r="Q252" i="1"/>
  <c r="Q340" i="1"/>
  <c r="Q581" i="1"/>
  <c r="Q433" i="1"/>
  <c r="Q422" i="1"/>
  <c r="Q164" i="1"/>
  <c r="Q38" i="1"/>
  <c r="Q335" i="1"/>
  <c r="Q416" i="1"/>
  <c r="Q446" i="1"/>
  <c r="Q262" i="1"/>
  <c r="Q179" i="1"/>
  <c r="N140" i="1"/>
  <c r="N109" i="1"/>
  <c r="N216" i="1"/>
  <c r="N52" i="1"/>
  <c r="N155" i="1"/>
  <c r="N154" i="1"/>
  <c r="N126" i="1"/>
  <c r="N196" i="1"/>
  <c r="N96" i="1"/>
  <c r="N73" i="1"/>
  <c r="N224" i="1"/>
  <c r="N178" i="1"/>
  <c r="B9" i="1"/>
  <c r="N79" i="1"/>
  <c r="N150" i="1"/>
  <c r="N171" i="1"/>
  <c r="N191" i="1"/>
  <c r="N180" i="1"/>
  <c r="N173" i="1"/>
  <c r="N15" i="1"/>
  <c r="N232" i="1"/>
  <c r="N142" i="1"/>
  <c r="N51" i="1"/>
  <c r="N225" i="1"/>
  <c r="N158" i="1"/>
  <c r="N162" i="1"/>
  <c r="N18" i="1"/>
  <c r="N63" i="1"/>
  <c r="N143" i="1"/>
  <c r="N204" i="1"/>
  <c r="N206" i="1"/>
  <c r="N103" i="1"/>
  <c r="N71" i="1"/>
  <c r="N134" i="1"/>
  <c r="N16" i="1"/>
  <c r="N67" i="1"/>
  <c r="N76" i="1"/>
  <c r="N75" i="1"/>
  <c r="N167" i="1"/>
  <c r="N100" i="1"/>
  <c r="N27" i="1"/>
  <c r="N60" i="1"/>
  <c r="N161" i="1"/>
  <c r="N17" i="1"/>
  <c r="N81" i="1"/>
  <c r="N87" i="1"/>
  <c r="N43" i="1"/>
  <c r="N107" i="1"/>
  <c r="N39" i="1"/>
  <c r="N88" i="1"/>
  <c r="N59" i="1"/>
  <c r="Q217" i="1"/>
  <c r="Q304" i="1"/>
  <c r="Q157" i="1"/>
  <c r="U619" i="1"/>
  <c r="Q657" i="1"/>
  <c r="N9" i="1"/>
  <c r="Q552" i="1"/>
  <c r="Q202" i="1"/>
  <c r="Q644" i="1"/>
  <c r="Q629" i="1"/>
  <c r="Q659" i="1"/>
  <c r="Q32" i="1"/>
  <c r="M113" i="1"/>
  <c r="N93" i="1"/>
  <c r="M29" i="1"/>
  <c r="N131" i="1"/>
  <c r="M17" i="1"/>
  <c r="N168" i="1"/>
  <c r="Q285" i="1"/>
  <c r="U543" i="1"/>
  <c r="Q336" i="1"/>
  <c r="Q503" i="1"/>
  <c r="Q153" i="1"/>
  <c r="M112" i="1"/>
  <c r="M25" i="1"/>
  <c r="N55" i="1"/>
  <c r="Q328" i="1"/>
  <c r="U462" i="1"/>
  <c r="Q203" i="1"/>
  <c r="U605" i="1"/>
  <c r="Q502" i="1"/>
  <c r="Q447" i="1"/>
  <c r="Q297" i="1"/>
  <c r="Q288" i="1"/>
  <c r="U600" i="1"/>
  <c r="Q384" i="1"/>
  <c r="Q143" i="1"/>
  <c r="Q570" i="1"/>
  <c r="Q490" i="1"/>
  <c r="U571" i="1"/>
  <c r="Q675" i="1"/>
  <c r="Q407" i="1"/>
  <c r="Q498" i="1"/>
  <c r="Q475" i="1"/>
  <c r="Q375" i="1"/>
  <c r="Q454" i="1"/>
  <c r="Q255" i="1"/>
  <c r="Q301" i="1"/>
  <c r="Q367" i="1"/>
  <c r="Q233" i="1"/>
  <c r="Q213" i="1"/>
  <c r="Q278" i="1"/>
  <c r="Q184" i="1"/>
  <c r="Q127" i="1"/>
  <c r="Q69" i="1"/>
  <c r="Q159" i="1"/>
  <c r="Q112" i="1"/>
  <c r="Q303" i="1"/>
  <c r="Q329" i="1"/>
  <c r="Q680" i="1"/>
  <c r="Q130" i="1"/>
  <c r="Q438" i="1"/>
  <c r="Q345" i="1"/>
  <c r="Q273" i="1"/>
  <c r="Q437" i="1"/>
  <c r="Q397" i="1"/>
  <c r="Q199" i="1"/>
  <c r="Q481" i="1"/>
  <c r="Q107" i="1"/>
  <c r="Q508" i="1"/>
  <c r="Q18" i="1"/>
  <c r="Q406" i="1"/>
  <c r="U531" i="1"/>
  <c r="Q311" i="1"/>
  <c r="Q640" i="1"/>
  <c r="Q385" i="1"/>
  <c r="Q352" i="1"/>
  <c r="U590" i="1"/>
  <c r="Q122" i="1"/>
  <c r="Q229" i="1"/>
  <c r="Q312" i="1"/>
  <c r="T480" i="1"/>
  <c r="U366" i="1"/>
  <c r="Q604" i="1"/>
  <c r="Q104" i="1"/>
  <c r="Q487" i="1"/>
  <c r="Q293" i="1"/>
  <c r="Q582" i="1"/>
  <c r="U505" i="1"/>
  <c r="Q114" i="1"/>
  <c r="Q298" i="1"/>
  <c r="U497" i="1"/>
  <c r="Q151" i="1"/>
  <c r="T473" i="1"/>
  <c r="Q448" i="1"/>
  <c r="Q310" i="1"/>
  <c r="Q316" i="1"/>
  <c r="Q389" i="1"/>
  <c r="Q306" i="1"/>
  <c r="U509" i="1"/>
  <c r="Q584" i="1"/>
  <c r="Q449" i="1"/>
  <c r="U457" i="1"/>
  <c r="U566" i="1"/>
  <c r="Q216" i="1"/>
  <c r="Q372" i="1"/>
  <c r="Q170" i="1"/>
  <c r="Q459" i="1"/>
  <c r="U507" i="1"/>
  <c r="U490" i="1"/>
  <c r="Q178" i="1"/>
  <c r="U494" i="1"/>
  <c r="Q116" i="1"/>
  <c r="Q46" i="1"/>
  <c r="U620" i="1"/>
  <c r="U569" i="1"/>
  <c r="T548" i="1"/>
  <c r="U518" i="1"/>
  <c r="U683" i="1"/>
  <c r="U527" i="1"/>
  <c r="Q528" i="1"/>
  <c r="Q268" i="1"/>
  <c r="Q277" i="1"/>
  <c r="Q344" i="1"/>
  <c r="Q518" i="1"/>
  <c r="T346" i="1"/>
  <c r="U514" i="1"/>
  <c r="Q468" i="1"/>
  <c r="Q648" i="1"/>
  <c r="U467" i="1"/>
  <c r="Q650" i="1"/>
  <c r="U567" i="1"/>
  <c r="Q436" i="1"/>
  <c r="Q482" i="1"/>
  <c r="U541" i="1"/>
  <c r="U496" i="1"/>
  <c r="U521" i="1"/>
  <c r="U504" i="1"/>
  <c r="U584" i="1"/>
  <c r="U617" i="1"/>
  <c r="Q16" i="1"/>
  <c r="U276" i="1"/>
  <c r="Q334" i="1"/>
  <c r="Q353" i="1"/>
  <c r="U623" i="1"/>
  <c r="U383" i="1"/>
  <c r="Q590" i="1"/>
  <c r="U614" i="1"/>
  <c r="U443" i="1"/>
  <c r="U515" i="1"/>
  <c r="T470" i="1"/>
  <c r="U492" i="1"/>
  <c r="U535" i="1"/>
  <c r="U594" i="1"/>
  <c r="Q99" i="1"/>
  <c r="U352" i="1"/>
  <c r="Q48" i="1"/>
  <c r="Q472" i="1"/>
  <c r="Q322" i="1"/>
  <c r="T665" i="1"/>
  <c r="U645" i="1"/>
  <c r="U621" i="1"/>
  <c r="U612" i="1"/>
  <c r="U555" i="1"/>
  <c r="U611" i="1"/>
  <c r="Q225" i="1"/>
  <c r="Q530" i="1"/>
  <c r="U559" i="1"/>
  <c r="U607" i="1"/>
  <c r="U549" i="1"/>
  <c r="U581" i="1"/>
  <c r="U529" i="1"/>
  <c r="U580" i="1"/>
  <c r="U540" i="1"/>
  <c r="U618" i="1"/>
  <c r="U603" i="1"/>
  <c r="U547" i="1"/>
  <c r="U513" i="1"/>
  <c r="Q666" i="1"/>
  <c r="Q628" i="1"/>
  <c r="Q373" i="1"/>
  <c r="Q307" i="1"/>
  <c r="U599" i="1"/>
  <c r="Q390" i="1"/>
  <c r="Q469" i="1"/>
  <c r="U570" i="1"/>
  <c r="U595" i="1"/>
  <c r="U503" i="1"/>
  <c r="U576" i="1"/>
  <c r="T478" i="1"/>
  <c r="U517" i="1"/>
  <c r="U545" i="1"/>
  <c r="U537" i="1"/>
  <c r="U602" i="1"/>
  <c r="U548" i="1"/>
  <c r="T331" i="1"/>
  <c r="N123" i="1"/>
  <c r="Q420" i="1"/>
  <c r="Q394" i="1"/>
  <c r="Q263" i="1"/>
  <c r="Q264" i="1"/>
  <c r="Q279" i="1"/>
  <c r="Q272" i="1"/>
  <c r="Q271" i="1"/>
  <c r="T581" i="1"/>
  <c r="U641" i="1"/>
  <c r="U615" i="1"/>
  <c r="U587" i="1"/>
  <c r="U565" i="1"/>
  <c r="U491" i="1"/>
  <c r="U556" i="1"/>
  <c r="U613" i="1"/>
  <c r="U495" i="1"/>
  <c r="U606" i="1"/>
  <c r="U525" i="1"/>
  <c r="U597" i="1"/>
  <c r="U328" i="1"/>
  <c r="Q31" i="1"/>
  <c r="Q12" i="1"/>
  <c r="Q526" i="1"/>
  <c r="Q525" i="1"/>
  <c r="Q94" i="1"/>
  <c r="Q299" i="1"/>
  <c r="Q270" i="1"/>
  <c r="Q695" i="1"/>
  <c r="U585" i="1"/>
  <c r="U588" i="1"/>
  <c r="U560" i="1"/>
  <c r="Q246" i="1"/>
  <c r="U608" i="1"/>
  <c r="Q237" i="1"/>
  <c r="U551" i="1"/>
  <c r="U557" i="1"/>
  <c r="U575" i="1"/>
  <c r="U592" i="1"/>
  <c r="U519" i="1"/>
  <c r="U554" i="1"/>
  <c r="Q460" i="1"/>
  <c r="Q418" i="1"/>
  <c r="Q291" i="1"/>
  <c r="Q140" i="1"/>
  <c r="Q248" i="1"/>
  <c r="U622" i="1"/>
  <c r="U563" i="1"/>
  <c r="U616" i="1"/>
  <c r="Q171" i="1"/>
  <c r="U532" i="1"/>
  <c r="U562" i="1"/>
  <c r="U550" i="1"/>
  <c r="U534" i="1"/>
  <c r="U601" i="1"/>
  <c r="U498" i="1"/>
  <c r="U536" i="1"/>
  <c r="U502" i="1"/>
  <c r="U512" i="1"/>
  <c r="U593" i="1"/>
  <c r="U506" i="1"/>
  <c r="U542" i="1"/>
  <c r="Q466" i="1"/>
  <c r="Q265" i="1"/>
  <c r="Q266" i="1"/>
  <c r="Q254" i="1"/>
  <c r="Q282" i="1"/>
  <c r="T350" i="1"/>
  <c r="Q697" i="1"/>
  <c r="U573" i="1"/>
  <c r="U610" i="1"/>
  <c r="Q485" i="1"/>
  <c r="U591" i="1"/>
  <c r="U582" i="1"/>
  <c r="U577" i="1"/>
  <c r="U604" i="1"/>
  <c r="U526" i="1"/>
  <c r="U558" i="1"/>
  <c r="U538" i="1"/>
  <c r="U528" i="1"/>
  <c r="U596" i="1"/>
  <c r="U609" i="1"/>
  <c r="U530" i="1"/>
  <c r="U499" i="1"/>
  <c r="U539" i="1"/>
  <c r="T482" i="1"/>
  <c r="U500" i="1"/>
  <c r="U424" i="1"/>
  <c r="Q207" i="1"/>
  <c r="Q383" i="1"/>
  <c r="U523" i="1"/>
  <c r="Q553" i="1"/>
  <c r="Q41" i="1"/>
  <c r="Q33" i="1"/>
  <c r="Q25" i="1"/>
  <c r="U598" i="1"/>
  <c r="U572" i="1"/>
  <c r="Q512" i="1"/>
  <c r="U574" i="1"/>
  <c r="U583" i="1"/>
  <c r="U520" i="1"/>
  <c r="U544" i="1"/>
  <c r="U522" i="1"/>
  <c r="U589" i="1"/>
  <c r="U511" i="1"/>
  <c r="U524" i="1"/>
  <c r="U493" i="1"/>
  <c r="U561" i="1"/>
  <c r="U586" i="1"/>
  <c r="U579" i="1"/>
  <c r="U552" i="1"/>
  <c r="U568" i="1"/>
  <c r="U564" i="1"/>
  <c r="U578" i="1"/>
  <c r="U533" i="1"/>
  <c r="U516" i="1"/>
  <c r="U501" i="1"/>
  <c r="U419" i="1"/>
  <c r="T324" i="1"/>
  <c r="Q206" i="1"/>
  <c r="Q119" i="1"/>
  <c r="Q324" i="1"/>
  <c r="Q360" i="1"/>
  <c r="Q256" i="1"/>
  <c r="Q330" i="1"/>
  <c r="Q671" i="1"/>
  <c r="T700" i="1"/>
  <c r="U648" i="1"/>
  <c r="U546" i="1"/>
  <c r="U553" i="1"/>
  <c r="U508" i="1"/>
  <c r="T472" i="1"/>
  <c r="U510" i="1"/>
  <c r="T382" i="1"/>
  <c r="Q359" i="1"/>
  <c r="Q185" i="1"/>
  <c r="Q258" i="1"/>
  <c r="Q286" i="1"/>
  <c r="T281" i="1"/>
  <c r="Q661" i="1"/>
  <c r="Q649" i="1"/>
  <c r="Q676" i="1"/>
  <c r="Q602" i="1"/>
  <c r="Q603" i="1"/>
  <c r="Q669" i="1"/>
  <c r="Q523" i="1"/>
  <c r="Q524" i="1"/>
  <c r="Q652" i="1"/>
  <c r="Q607" i="1"/>
  <c r="Q608" i="1"/>
  <c r="Q573" i="1"/>
  <c r="T620" i="1"/>
  <c r="Q631" i="1"/>
  <c r="T689" i="1"/>
  <c r="Q551" i="1"/>
  <c r="T674" i="1"/>
  <c r="T571" i="1"/>
  <c r="T683" i="1"/>
  <c r="T299" i="1"/>
  <c r="T296" i="1"/>
  <c r="T297" i="1"/>
  <c r="T298" i="1"/>
  <c r="T441" i="1"/>
  <c r="T440" i="1"/>
  <c r="U393" i="1"/>
  <c r="T445" i="1"/>
  <c r="T614" i="1"/>
  <c r="T688" i="1"/>
  <c r="T608" i="1"/>
  <c r="U684" i="1"/>
  <c r="Q545" i="1"/>
  <c r="T542" i="1"/>
  <c r="T651" i="1"/>
  <c r="T293" i="1"/>
  <c r="T341" i="1"/>
  <c r="T273" i="1"/>
  <c r="U294" i="1"/>
  <c r="U272" i="1"/>
  <c r="U651" i="1"/>
  <c r="U638" i="1"/>
  <c r="U703" i="1"/>
  <c r="U640" i="1"/>
  <c r="U647" i="1"/>
  <c r="U668" i="1"/>
  <c r="U689" i="1"/>
  <c r="U632" i="1"/>
  <c r="U661" i="1"/>
  <c r="U679" i="1"/>
  <c r="U670" i="1"/>
  <c r="U693" i="1"/>
  <c r="U650" i="1"/>
  <c r="U691" i="1"/>
  <c r="U625" i="1"/>
  <c r="U687" i="1"/>
  <c r="U649" i="1"/>
  <c r="U639" i="1"/>
  <c r="U696" i="1"/>
  <c r="U643" i="1"/>
  <c r="U624" i="1"/>
  <c r="U700" i="1"/>
  <c r="U686" i="1"/>
  <c r="U680" i="1"/>
  <c r="U664" i="1"/>
  <c r="U682" i="1"/>
  <c r="U634" i="1"/>
  <c r="U630" i="1"/>
  <c r="U628" i="1"/>
  <c r="U699" i="1"/>
  <c r="U675" i="1"/>
  <c r="U669" i="1"/>
  <c r="U663" i="1"/>
  <c r="U652" i="1"/>
  <c r="U655" i="1"/>
  <c r="U690" i="1"/>
  <c r="U685" i="1"/>
  <c r="U662" i="1"/>
  <c r="U705" i="1"/>
  <c r="U629" i="1"/>
  <c r="U698" i="1"/>
  <c r="U626" i="1"/>
  <c r="U657" i="1"/>
  <c r="U644" i="1"/>
  <c r="U676" i="1"/>
  <c r="U646" i="1"/>
  <c r="U694" i="1"/>
  <c r="U692" i="1"/>
  <c r="U636" i="1"/>
  <c r="U704" i="1"/>
  <c r="U674" i="1"/>
  <c r="U701" i="1"/>
  <c r="U635" i="1"/>
  <c r="Q651" i="1"/>
  <c r="Q578" i="1"/>
  <c r="Q579" i="1"/>
  <c r="Q700" i="1"/>
  <c r="Q662" i="1"/>
  <c r="T676" i="1"/>
  <c r="U677" i="1"/>
  <c r="T573" i="1"/>
  <c r="Q654" i="1"/>
  <c r="Q655" i="1"/>
  <c r="U678" i="1"/>
  <c r="U642" i="1"/>
  <c r="T685" i="1"/>
  <c r="T638" i="1"/>
  <c r="U631" i="1"/>
  <c r="U637" i="1"/>
  <c r="U410" i="1"/>
  <c r="T286" i="1"/>
  <c r="U315" i="1"/>
  <c r="U302" i="1"/>
  <c r="U306" i="1"/>
  <c r="U310" i="1"/>
  <c r="U314" i="1"/>
  <c r="T335" i="1"/>
  <c r="T451" i="1"/>
  <c r="T448" i="1"/>
  <c r="T450" i="1"/>
  <c r="T449" i="1"/>
  <c r="T447" i="1"/>
  <c r="Q136" i="1"/>
  <c r="Q137" i="1"/>
  <c r="Q571" i="1"/>
  <c r="T627" i="1"/>
  <c r="T642" i="1"/>
  <c r="T594" i="1"/>
  <c r="T687" i="1"/>
  <c r="T690" i="1"/>
  <c r="T554" i="1"/>
  <c r="T602" i="1"/>
  <c r="T607" i="1"/>
  <c r="T691" i="1"/>
  <c r="T694" i="1"/>
  <c r="Q572" i="1"/>
  <c r="T670" i="1"/>
  <c r="T596" i="1"/>
  <c r="T633" i="1"/>
  <c r="Q595" i="1"/>
  <c r="Q596" i="1"/>
  <c r="T679" i="1"/>
  <c r="T567" i="1"/>
  <c r="U697" i="1"/>
  <c r="T387" i="1"/>
  <c r="T686" i="1"/>
  <c r="U270" i="1"/>
  <c r="T313" i="1"/>
  <c r="T465" i="1"/>
  <c r="T288" i="1"/>
  <c r="Q39" i="1"/>
  <c r="Q40" i="1"/>
  <c r="U269" i="1"/>
  <c r="Q19" i="1"/>
  <c r="Q20" i="1"/>
  <c r="U324" i="1"/>
  <c r="Q630" i="1"/>
  <c r="Q624" i="1"/>
  <c r="Q660" i="1"/>
  <c r="Q611" i="1"/>
  <c r="Q612" i="1"/>
  <c r="T664" i="1"/>
  <c r="U671" i="1"/>
  <c r="T561" i="1"/>
  <c r="U672" i="1"/>
  <c r="T623" i="1"/>
  <c r="T661" i="1"/>
  <c r="T590" i="1"/>
  <c r="T539" i="1"/>
  <c r="Q574" i="1"/>
  <c r="U667" i="1"/>
  <c r="U333" i="1"/>
  <c r="Q147" i="1"/>
  <c r="Q148" i="1"/>
  <c r="U339" i="1"/>
  <c r="U337" i="1"/>
  <c r="U338" i="1"/>
  <c r="U327" i="1"/>
  <c r="T259" i="1"/>
  <c r="U450" i="1"/>
  <c r="U449" i="1"/>
  <c r="Q23" i="1"/>
  <c r="Q24" i="1"/>
  <c r="Q705" i="1"/>
  <c r="Q658" i="1"/>
  <c r="Q645" i="1"/>
  <c r="T652" i="1"/>
  <c r="T621" i="1"/>
  <c r="Q566" i="1"/>
  <c r="Q567" i="1"/>
  <c r="T655" i="1"/>
  <c r="Q488" i="1"/>
  <c r="Q489" i="1"/>
  <c r="T552" i="1"/>
  <c r="T582" i="1"/>
  <c r="T601" i="1"/>
  <c r="T385" i="1"/>
  <c r="T310" i="1"/>
  <c r="T282" i="1"/>
  <c r="T253" i="1"/>
  <c r="U280" i="1"/>
  <c r="U299" i="1"/>
  <c r="U278" i="1"/>
  <c r="U281" i="1"/>
  <c r="U257" i="1"/>
  <c r="U286" i="1"/>
  <c r="U285" i="1"/>
  <c r="U290" i="1"/>
  <c r="U289" i="1"/>
  <c r="U298" i="1"/>
  <c r="U258" i="1"/>
  <c r="U266" i="1"/>
  <c r="U274" i="1"/>
  <c r="T648" i="1"/>
  <c r="Q667" i="1"/>
  <c r="Q635" i="1"/>
  <c r="T646" i="1"/>
  <c r="U665" i="1"/>
  <c r="U666" i="1"/>
  <c r="T649" i="1"/>
  <c r="T606" i="1"/>
  <c r="T526" i="1"/>
  <c r="T615" i="1"/>
  <c r="T703" i="1"/>
  <c r="U695" i="1"/>
  <c r="T438" i="1"/>
  <c r="T365" i="1"/>
  <c r="T522" i="1"/>
  <c r="U371" i="1"/>
  <c r="U359" i="1"/>
  <c r="U354" i="1"/>
  <c r="U361" i="1"/>
  <c r="U357" i="1"/>
  <c r="U364" i="1"/>
  <c r="U356" i="1"/>
  <c r="U360" i="1"/>
  <c r="U369" i="1"/>
  <c r="U370" i="1"/>
  <c r="U363" i="1"/>
  <c r="T250" i="1"/>
  <c r="U347" i="1"/>
  <c r="U346" i="1"/>
  <c r="Q598" i="1"/>
  <c r="Q599" i="1"/>
  <c r="Q643" i="1"/>
  <c r="U330" i="1"/>
  <c r="U322" i="1"/>
  <c r="U329" i="1"/>
  <c r="Q704" i="1"/>
  <c r="Q681" i="1"/>
  <c r="Q686" i="1"/>
  <c r="Q684" i="1"/>
  <c r="Q637" i="1"/>
  <c r="Q687" i="1"/>
  <c r="Q690" i="1"/>
  <c r="T704" i="1"/>
  <c r="T640" i="1"/>
  <c r="T701" i="1"/>
  <c r="T611" i="1"/>
  <c r="Q560" i="1"/>
  <c r="Q561" i="1"/>
  <c r="T637" i="1"/>
  <c r="T578" i="1"/>
  <c r="T587" i="1"/>
  <c r="U483" i="1"/>
  <c r="U481" i="1"/>
  <c r="U475" i="1"/>
  <c r="U482" i="1"/>
  <c r="U476" i="1"/>
  <c r="T563" i="1"/>
  <c r="U458" i="1"/>
  <c r="T667" i="1"/>
  <c r="U408" i="1"/>
  <c r="U425" i="1"/>
  <c r="U489" i="1"/>
  <c r="U487" i="1"/>
  <c r="U488" i="1"/>
  <c r="T306" i="1"/>
  <c r="U318" i="1"/>
  <c r="T321" i="1"/>
  <c r="U260" i="1"/>
  <c r="Q692" i="1"/>
  <c r="Q688" i="1"/>
  <c r="Q617" i="1"/>
  <c r="Q618" i="1"/>
  <c r="Q536" i="1"/>
  <c r="U633" i="1"/>
  <c r="U659" i="1"/>
  <c r="T609" i="1"/>
  <c r="U660" i="1"/>
  <c r="T702" i="1"/>
  <c r="U681" i="1"/>
  <c r="U702" i="1"/>
  <c r="U656" i="1"/>
  <c r="U447" i="1"/>
  <c r="T376" i="1"/>
  <c r="T345" i="1"/>
  <c r="U455" i="1"/>
  <c r="U265" i="1"/>
  <c r="U382" i="1"/>
  <c r="T487" i="1"/>
  <c r="T477" i="1"/>
  <c r="T483" i="1"/>
  <c r="U251" i="1"/>
  <c r="U381" i="1"/>
  <c r="Q614" i="1"/>
  <c r="Q615" i="1"/>
  <c r="Q677" i="1"/>
  <c r="Q678" i="1"/>
  <c r="T697" i="1"/>
  <c r="Q625" i="1"/>
  <c r="U627" i="1"/>
  <c r="Q494" i="1"/>
  <c r="T668" i="1"/>
  <c r="U688" i="1"/>
  <c r="U673" i="1"/>
  <c r="U452" i="1"/>
  <c r="T301" i="1"/>
  <c r="U342" i="1"/>
  <c r="U389" i="1"/>
  <c r="T398" i="1"/>
  <c r="T252" i="1"/>
  <c r="Q176" i="1"/>
  <c r="Q177" i="1"/>
  <c r="Q668" i="1"/>
  <c r="Q682" i="1"/>
  <c r="Q532" i="1"/>
  <c r="Q533" i="1"/>
  <c r="Q647" i="1"/>
  <c r="T560" i="1"/>
  <c r="U653" i="1"/>
  <c r="T597" i="1"/>
  <c r="T693" i="1"/>
  <c r="U654" i="1"/>
  <c r="T599" i="1"/>
  <c r="Q620" i="1"/>
  <c r="Q555" i="1"/>
  <c r="Q556" i="1"/>
  <c r="T698" i="1"/>
  <c r="U658" i="1"/>
  <c r="T464" i="1"/>
  <c r="T388" i="1"/>
  <c r="T349" i="1"/>
  <c r="T338" i="1"/>
  <c r="T318" i="1"/>
  <c r="T316" i="1"/>
  <c r="T317" i="1"/>
  <c r="U264" i="1"/>
  <c r="T671" i="1"/>
  <c r="T558" i="1"/>
  <c r="T678" i="1"/>
  <c r="T699" i="1"/>
  <c r="T619" i="1"/>
  <c r="T659" i="1"/>
  <c r="T600" i="1"/>
  <c r="T541" i="1"/>
  <c r="Q638" i="1"/>
  <c r="T525" i="1"/>
  <c r="U484" i="1"/>
  <c r="U486" i="1"/>
  <c r="U473" i="1"/>
  <c r="T593" i="1"/>
  <c r="T617" i="1"/>
  <c r="T515" i="1"/>
  <c r="Q226" i="1"/>
  <c r="T669" i="1"/>
  <c r="U459" i="1"/>
  <c r="T586" i="1"/>
  <c r="Q564" i="1"/>
  <c r="T613" i="1"/>
  <c r="T520" i="1"/>
  <c r="T486" i="1"/>
  <c r="T407" i="1"/>
  <c r="T481" i="1"/>
  <c r="Q192" i="1"/>
  <c r="Q193" i="1"/>
  <c r="T559" i="1"/>
  <c r="T408" i="1"/>
  <c r="T657" i="1"/>
  <c r="T512" i="1"/>
  <c r="U388" i="1"/>
  <c r="T329" i="1"/>
  <c r="U377" i="1"/>
  <c r="U418" i="1"/>
  <c r="T377" i="1"/>
  <c r="T344" i="1"/>
  <c r="U460" i="1"/>
  <c r="T292" i="1"/>
  <c r="Q196" i="1"/>
  <c r="Q197" i="1"/>
  <c r="Q154" i="1"/>
  <c r="T294" i="1"/>
  <c r="T390" i="1"/>
  <c r="Q72" i="1"/>
  <c r="U273" i="1"/>
  <c r="U417" i="1"/>
  <c r="U368" i="1"/>
  <c r="Q88" i="1"/>
  <c r="T285" i="1"/>
  <c r="T373" i="1"/>
  <c r="Q243" i="1"/>
  <c r="U300" i="1"/>
  <c r="U426" i="1"/>
  <c r="M45" i="1"/>
  <c r="T420" i="1"/>
  <c r="U331" i="1"/>
  <c r="T255" i="1"/>
  <c r="T362" i="1"/>
  <c r="T352" i="1"/>
  <c r="Q59" i="1"/>
  <c r="M173" i="1"/>
  <c r="U287" i="1"/>
  <c r="T274" i="1"/>
  <c r="U284" i="1"/>
  <c r="T566" i="1"/>
  <c r="T618" i="1"/>
  <c r="T681" i="1"/>
  <c r="T488" i="1"/>
  <c r="Q541" i="1"/>
  <c r="Q542" i="1"/>
  <c r="T588" i="1"/>
  <c r="Q605" i="1"/>
  <c r="Q606" i="1"/>
  <c r="T540" i="1"/>
  <c r="T580" i="1"/>
  <c r="T519" i="1"/>
  <c r="U465" i="1"/>
  <c r="T673" i="1"/>
  <c r="T543" i="1"/>
  <c r="T583" i="1"/>
  <c r="Q641" i="1"/>
  <c r="T684" i="1"/>
  <c r="T509" i="1"/>
  <c r="U466" i="1"/>
  <c r="T576" i="1"/>
  <c r="Q547" i="1"/>
  <c r="T589" i="1"/>
  <c r="T504" i="1"/>
  <c r="Q227" i="1"/>
  <c r="T546" i="1"/>
  <c r="Q576" i="1"/>
  <c r="Q577" i="1"/>
  <c r="T551" i="1"/>
  <c r="U480" i="1"/>
  <c r="T401" i="1"/>
  <c r="Q214" i="1"/>
  <c r="Q215" i="1"/>
  <c r="T431" i="1"/>
  <c r="Q220" i="1"/>
  <c r="T411" i="1"/>
  <c r="T363" i="1"/>
  <c r="T517" i="1"/>
  <c r="Q165" i="1"/>
  <c r="U317" i="1"/>
  <c r="U380" i="1"/>
  <c r="Q240" i="1"/>
  <c r="T383" i="1"/>
  <c r="U430" i="1"/>
  <c r="T284" i="1"/>
  <c r="T389" i="1"/>
  <c r="U435" i="1"/>
  <c r="T291" i="1"/>
  <c r="T279" i="1"/>
  <c r="T267" i="1"/>
  <c r="T309" i="1"/>
  <c r="U407" i="1"/>
  <c r="U316" i="1"/>
  <c r="Q163" i="1"/>
  <c r="T364" i="1"/>
  <c r="T277" i="1"/>
  <c r="T302" i="1"/>
  <c r="Q115" i="1"/>
  <c r="U394" i="1"/>
  <c r="U378" i="1"/>
  <c r="U320" i="1"/>
  <c r="Q78" i="1"/>
  <c r="T529" i="1"/>
  <c r="M185" i="1"/>
  <c r="T361" i="1"/>
  <c r="M49" i="1"/>
  <c r="T347" i="1"/>
  <c r="U451" i="1"/>
  <c r="M136" i="1"/>
  <c r="U303" i="1"/>
  <c r="T354" i="1"/>
  <c r="Q537" i="1"/>
  <c r="T682" i="1"/>
  <c r="T644" i="1"/>
  <c r="T453" i="1"/>
  <c r="T549" i="1"/>
  <c r="T536" i="1"/>
  <c r="T471" i="1"/>
  <c r="T446" i="1"/>
  <c r="T629" i="1"/>
  <c r="T616" i="1"/>
  <c r="U409" i="1"/>
  <c r="T506" i="1"/>
  <c r="T409" i="1"/>
  <c r="T496" i="1"/>
  <c r="T295" i="1"/>
  <c r="U437" i="1"/>
  <c r="T460" i="1"/>
  <c r="T336" i="1"/>
  <c r="T280" i="1"/>
  <c r="T384" i="1"/>
  <c r="U436" i="1"/>
  <c r="U283" i="1"/>
  <c r="Q63" i="1"/>
  <c r="T260" i="1"/>
  <c r="T357" i="1"/>
  <c r="Q27" i="1"/>
  <c r="T456" i="1"/>
  <c r="T359" i="1"/>
  <c r="U263" i="1"/>
  <c r="U395" i="1"/>
  <c r="U391" i="1"/>
  <c r="U355" i="1"/>
  <c r="U288" i="1"/>
  <c r="U334" i="1"/>
  <c r="T380" i="1"/>
  <c r="Q96" i="1"/>
  <c r="M53" i="1"/>
  <c r="M110" i="1"/>
  <c r="U267" i="1"/>
  <c r="Q73" i="1"/>
  <c r="L3" i="1"/>
  <c r="Q4" i="1" s="1"/>
  <c r="T603" i="1"/>
  <c r="Q696" i="1"/>
  <c r="T636" i="1"/>
  <c r="T666" i="1"/>
  <c r="T570" i="1"/>
  <c r="T513" i="1"/>
  <c r="T680" i="1"/>
  <c r="T544" i="1"/>
  <c r="T503" i="1"/>
  <c r="U464" i="1"/>
  <c r="T624" i="1"/>
  <c r="T494" i="1"/>
  <c r="T514" i="1"/>
  <c r="T545" i="1"/>
  <c r="T530" i="1"/>
  <c r="T625" i="1"/>
  <c r="T439" i="1"/>
  <c r="T626" i="1"/>
  <c r="U474" i="1"/>
  <c r="U420" i="1"/>
  <c r="T455" i="1"/>
  <c r="U373" i="1"/>
  <c r="T404" i="1"/>
  <c r="T484" i="1"/>
  <c r="U372" i="1"/>
  <c r="T372" i="1"/>
  <c r="U321" i="1"/>
  <c r="T334" i="1"/>
  <c r="U326" i="1"/>
  <c r="T276" i="1"/>
  <c r="T435" i="1"/>
  <c r="T328" i="1"/>
  <c r="T258" i="1"/>
  <c r="T256" i="1"/>
  <c r="T458" i="1"/>
  <c r="T396" i="1"/>
  <c r="T269" i="1"/>
  <c r="T442" i="1"/>
  <c r="U297" i="1"/>
  <c r="Q17" i="1"/>
  <c r="T430" i="1"/>
  <c r="U335" i="1"/>
  <c r="U375" i="1"/>
  <c r="T322" i="1"/>
  <c r="U413" i="1"/>
  <c r="U282" i="1"/>
  <c r="U309" i="1"/>
  <c r="U254" i="1"/>
  <c r="Q121" i="1"/>
  <c r="Q519" i="1"/>
  <c r="T469" i="1"/>
  <c r="Q693" i="1"/>
  <c r="T675" i="1"/>
  <c r="T452" i="1"/>
  <c r="T632" i="1"/>
  <c r="U463" i="1"/>
  <c r="T433" i="1"/>
  <c r="T574" i="1"/>
  <c r="T660" i="1"/>
  <c r="T538" i="1"/>
  <c r="T511" i="1"/>
  <c r="U439" i="1"/>
  <c r="U404" i="1"/>
  <c r="T705" i="1"/>
  <c r="T524" i="1"/>
  <c r="Q209" i="1"/>
  <c r="U431" i="1"/>
  <c r="Q483" i="1"/>
  <c r="T370" i="1"/>
  <c r="T523" i="1"/>
  <c r="U402" i="1"/>
  <c r="T402" i="1"/>
  <c r="T360" i="1"/>
  <c r="T639" i="1"/>
  <c r="U406" i="1"/>
  <c r="T369" i="1"/>
  <c r="T315" i="1"/>
  <c r="T263" i="1"/>
  <c r="T371" i="1"/>
  <c r="T333" i="1"/>
  <c r="U325" i="1"/>
  <c r="T272" i="1"/>
  <c r="U365" i="1"/>
  <c r="U307" i="1"/>
  <c r="T251" i="1"/>
  <c r="U376" i="1"/>
  <c r="Q110" i="1"/>
  <c r="Q67" i="1"/>
  <c r="T265" i="1"/>
  <c r="U271" i="1"/>
  <c r="U296" i="1"/>
  <c r="T424" i="1"/>
  <c r="U374" i="1"/>
  <c r="T423" i="1"/>
  <c r="T270" i="1"/>
  <c r="U412" i="1"/>
  <c r="U268" i="1"/>
  <c r="U308" i="1"/>
  <c r="T320" i="1"/>
  <c r="T462" i="1"/>
  <c r="T662" i="1"/>
  <c r="T595" i="1"/>
  <c r="T635" i="1"/>
  <c r="T415" i="1"/>
  <c r="T677" i="1"/>
  <c r="T562" i="1"/>
  <c r="T507" i="1"/>
  <c r="U446" i="1"/>
  <c r="T634" i="1"/>
  <c r="U485" i="1"/>
  <c r="Q511" i="1"/>
  <c r="T497" i="1"/>
  <c r="U456" i="1"/>
  <c r="T696" i="1"/>
  <c r="T610" i="1"/>
  <c r="T556" i="1"/>
  <c r="T569" i="1"/>
  <c r="T498" i="1"/>
  <c r="U448" i="1"/>
  <c r="U396" i="1"/>
  <c r="T518" i="1"/>
  <c r="U429" i="1"/>
  <c r="U411" i="1"/>
  <c r="U434" i="1"/>
  <c r="Q156" i="1"/>
  <c r="Q155" i="1"/>
  <c r="U470" i="1"/>
  <c r="U323" i="1"/>
  <c r="T268" i="1"/>
  <c r="T622" i="1"/>
  <c r="T427" i="1"/>
  <c r="T287" i="1"/>
  <c r="T275" i="1"/>
  <c r="U275" i="1"/>
  <c r="T342" i="1"/>
  <c r="U249" i="1"/>
  <c r="Q105" i="1"/>
  <c r="Q106" i="1"/>
  <c r="U293" i="1"/>
  <c r="U479" i="1"/>
  <c r="T457" i="1"/>
  <c r="U341" i="1"/>
  <c r="Q81" i="1"/>
  <c r="Q85" i="1"/>
  <c r="Q86" i="1"/>
  <c r="Q117" i="1"/>
  <c r="U358" i="1"/>
  <c r="U305" i="1"/>
  <c r="T410" i="1"/>
  <c r="M11" i="1"/>
  <c r="T278" i="1"/>
  <c r="Q123" i="1"/>
  <c r="Q75" i="1"/>
  <c r="M13" i="1"/>
  <c r="M52" i="1"/>
  <c r="M218" i="1"/>
  <c r="T425" i="1"/>
  <c r="T591" i="1"/>
  <c r="T557" i="1"/>
  <c r="T555" i="1"/>
  <c r="T656" i="1"/>
  <c r="T533" i="1"/>
  <c r="T692" i="1"/>
  <c r="U401" i="1"/>
  <c r="T434" i="1"/>
  <c r="Q513" i="1"/>
  <c r="T443" i="1"/>
  <c r="T502" i="1"/>
  <c r="T422" i="1"/>
  <c r="T444" i="1"/>
  <c r="T426" i="1"/>
  <c r="U397" i="1"/>
  <c r="U461" i="1"/>
  <c r="T397" i="1"/>
  <c r="U351" i="1"/>
  <c r="T568" i="1"/>
  <c r="T311" i="1"/>
  <c r="U415" i="1"/>
  <c r="T641" i="1"/>
  <c r="U432" i="1"/>
  <c r="T312" i="1"/>
  <c r="T264" i="1"/>
  <c r="T516" i="1"/>
  <c r="U350" i="1"/>
  <c r="T429" i="1"/>
  <c r="U262" i="1"/>
  <c r="U259" i="1"/>
  <c r="U345" i="1"/>
  <c r="U292" i="1"/>
  <c r="U445" i="1"/>
  <c r="U454" i="1"/>
  <c r="T340" i="1"/>
  <c r="U311" i="1"/>
  <c r="T358" i="1"/>
  <c r="T325" i="1"/>
  <c r="T378" i="1"/>
  <c r="T254" i="1"/>
  <c r="T413" i="1"/>
  <c r="U261" i="1"/>
  <c r="Q218" i="1"/>
  <c r="U304" i="1"/>
  <c r="U256" i="1"/>
  <c r="T326" i="1"/>
  <c r="U253" i="1"/>
  <c r="U405" i="1"/>
  <c r="T367" i="1"/>
  <c r="Q47" i="1"/>
  <c r="T432" i="1"/>
  <c r="Q672" i="1"/>
  <c r="T564" i="1"/>
  <c r="T653" i="1"/>
  <c r="T647" i="1"/>
  <c r="T537" i="1"/>
  <c r="T501" i="1"/>
  <c r="U477" i="1"/>
  <c r="T654" i="1"/>
  <c r="T491" i="1"/>
  <c r="T695" i="1"/>
  <c r="T479" i="1"/>
  <c r="T391" i="1"/>
  <c r="T490" i="1"/>
  <c r="U423" i="1"/>
  <c r="U390" i="1"/>
  <c r="T521" i="1"/>
  <c r="T499" i="1"/>
  <c r="T421" i="1"/>
  <c r="Q200" i="1"/>
  <c r="U416" i="1"/>
  <c r="T348" i="1"/>
  <c r="U478" i="1"/>
  <c r="T393" i="1"/>
  <c r="U444" i="1"/>
  <c r="U348" i="1"/>
  <c r="U400" i="1"/>
  <c r="T406" i="1"/>
  <c r="T534" i="1"/>
  <c r="T374" i="1"/>
  <c r="T577" i="1"/>
  <c r="T308" i="1"/>
  <c r="Q9" i="1"/>
  <c r="Q10" i="1"/>
  <c r="U472" i="1"/>
  <c r="U422" i="1"/>
  <c r="T337" i="1"/>
  <c r="T474" i="1"/>
  <c r="Q100" i="1"/>
  <c r="T249" i="1"/>
  <c r="T314" i="1"/>
  <c r="Q35" i="1"/>
  <c r="Q169" i="1"/>
  <c r="T356" i="1"/>
  <c r="T343" i="1"/>
  <c r="U255" i="1"/>
  <c r="T381" i="1"/>
  <c r="Q64" i="1"/>
  <c r="Q65" i="1"/>
  <c r="T368" i="1"/>
  <c r="U319" i="1"/>
  <c r="U367" i="1"/>
  <c r="T403" i="1"/>
  <c r="T631" i="1"/>
  <c r="Q633" i="1"/>
  <c r="T672" i="1"/>
  <c r="T612" i="1"/>
  <c r="T575" i="1"/>
  <c r="Q622" i="1"/>
  <c r="T645" i="1"/>
  <c r="T650" i="1"/>
  <c r="T527" i="1"/>
  <c r="T598" i="1"/>
  <c r="T663" i="1"/>
  <c r="Q172" i="1"/>
  <c r="U384" i="1"/>
  <c r="U433" i="1"/>
  <c r="Q236" i="1"/>
  <c r="T428" i="1"/>
  <c r="U343" i="1"/>
  <c r="T500" i="1"/>
  <c r="T351" i="1"/>
  <c r="T307" i="1"/>
  <c r="T353" i="1"/>
  <c r="T366" i="1"/>
  <c r="T528" i="1"/>
  <c r="T304" i="1"/>
  <c r="U471" i="1"/>
  <c r="U414" i="1"/>
  <c r="T332" i="1"/>
  <c r="U332" i="1"/>
  <c r="T392" i="1"/>
  <c r="U453" i="1"/>
  <c r="U379" i="1"/>
  <c r="T339" i="1"/>
  <c r="T290" i="1"/>
  <c r="Q142" i="1"/>
  <c r="Q51" i="1"/>
  <c r="T257" i="1"/>
  <c r="U440" i="1"/>
  <c r="U340" i="1"/>
  <c r="Q131" i="1"/>
  <c r="M60" i="1"/>
  <c r="T468" i="1"/>
  <c r="T467" i="1"/>
  <c r="Q68" i="1"/>
  <c r="T417" i="1"/>
  <c r="U291" i="1"/>
  <c r="Q49" i="1"/>
  <c r="C9" i="1"/>
  <c r="T553" i="1"/>
  <c r="T643" i="1"/>
  <c r="T531" i="1"/>
  <c r="T495" i="1"/>
  <c r="T585" i="1"/>
  <c r="T630" i="1"/>
  <c r="T628" i="1"/>
  <c r="T584" i="1"/>
  <c r="T550" i="1"/>
  <c r="T658" i="1"/>
  <c r="T532" i="1"/>
  <c r="T592" i="1"/>
  <c r="T416" i="1"/>
  <c r="T437" i="1"/>
  <c r="T508" i="1"/>
  <c r="T604" i="1"/>
  <c r="T419" i="1"/>
  <c r="Q505" i="1"/>
  <c r="T493" i="1"/>
  <c r="U442" i="1"/>
  <c r="T535" i="1"/>
  <c r="T412" i="1"/>
  <c r="Q144" i="1"/>
  <c r="Q145" i="1"/>
  <c r="U385" i="1"/>
  <c r="U403" i="1"/>
  <c r="T300" i="1"/>
  <c r="T579" i="1"/>
  <c r="T459" i="1"/>
  <c r="T405" i="1"/>
  <c r="U313" i="1"/>
  <c r="T283" i="1"/>
  <c r="T271" i="1"/>
  <c r="T414" i="1"/>
  <c r="T327" i="1"/>
  <c r="U344" i="1"/>
  <c r="Q190" i="1"/>
  <c r="U398" i="1"/>
  <c r="T266" i="1"/>
  <c r="U387" i="1"/>
  <c r="U279" i="1"/>
  <c r="U427" i="1"/>
  <c r="U353" i="1"/>
  <c r="U252" i="1"/>
  <c r="U441" i="1"/>
  <c r="T262" i="1"/>
  <c r="T375" i="1"/>
  <c r="T466" i="1"/>
  <c r="U362" i="1"/>
  <c r="T418" i="1"/>
  <c r="Q43" i="1"/>
  <c r="T355" i="1"/>
  <c r="M644" i="1"/>
  <c r="M650" i="1"/>
  <c r="M642" i="1"/>
  <c r="M689" i="1"/>
  <c r="M679" i="1"/>
  <c r="M667" i="1"/>
  <c r="M661" i="1"/>
  <c r="M656" i="1"/>
  <c r="M632" i="1"/>
  <c r="M629" i="1"/>
  <c r="M606" i="1"/>
  <c r="M568" i="1"/>
  <c r="M695" i="1"/>
  <c r="M618" i="1"/>
  <c r="M704" i="1"/>
  <c r="M675" i="1"/>
  <c r="M665" i="1"/>
  <c r="M527" i="1"/>
  <c r="M491" i="1"/>
  <c r="M684" i="1"/>
  <c r="M649" i="1"/>
  <c r="M645" i="1"/>
  <c r="M628" i="1"/>
  <c r="M596" i="1"/>
  <c r="M592" i="1"/>
  <c r="M543" i="1"/>
  <c r="M539" i="1"/>
  <c r="M507" i="1"/>
  <c r="M501" i="1"/>
  <c r="M680" i="1"/>
  <c r="M593" i="1"/>
  <c r="M581" i="1"/>
  <c r="M569" i="1"/>
  <c r="M556" i="1"/>
  <c r="M502" i="1"/>
  <c r="M503" i="1"/>
  <c r="M701" i="1"/>
  <c r="M668" i="1"/>
  <c r="M612" i="1"/>
  <c r="M533" i="1"/>
  <c r="M698" i="1"/>
  <c r="M626" i="1"/>
  <c r="M621" i="1"/>
  <c r="M567" i="1"/>
  <c r="M557" i="1"/>
  <c r="M516" i="1"/>
  <c r="M492" i="1"/>
  <c r="M443" i="1"/>
  <c r="M437" i="1"/>
  <c r="M431" i="1"/>
  <c r="M425" i="1"/>
  <c r="M419" i="1"/>
  <c r="M413" i="1"/>
  <c r="M407" i="1"/>
  <c r="M401" i="1"/>
  <c r="M395" i="1"/>
  <c r="M386" i="1"/>
  <c r="M374" i="1"/>
  <c r="M362" i="1"/>
  <c r="M350" i="1"/>
  <c r="M338" i="1"/>
  <c r="M326" i="1"/>
  <c r="M314" i="1"/>
  <c r="M302" i="1"/>
  <c r="M685" i="1"/>
  <c r="M677" i="1"/>
  <c r="M636" i="1"/>
  <c r="M608" i="1"/>
  <c r="M588" i="1"/>
  <c r="M526" i="1"/>
  <c r="M521" i="1"/>
  <c r="M489" i="1"/>
  <c r="M387" i="1"/>
  <c r="M375" i="1"/>
  <c r="M363" i="1"/>
  <c r="M351" i="1"/>
  <c r="M339" i="1"/>
  <c r="M327" i="1"/>
  <c r="M315" i="1"/>
  <c r="M692" i="1"/>
  <c r="M623" i="1"/>
  <c r="M580" i="1"/>
  <c r="M477" i="1"/>
  <c r="M474" i="1"/>
  <c r="M471" i="1"/>
  <c r="M468" i="1"/>
  <c r="M389" i="1"/>
  <c r="M377" i="1"/>
  <c r="M365" i="1"/>
  <c r="M353" i="1"/>
  <c r="M699" i="1"/>
  <c r="M671" i="1"/>
  <c r="M640" i="1"/>
  <c r="M440" i="1"/>
  <c r="M434" i="1"/>
  <c r="M428" i="1"/>
  <c r="M422" i="1"/>
  <c r="M416" i="1"/>
  <c r="M410" i="1"/>
  <c r="M404" i="1"/>
  <c r="M398" i="1"/>
  <c r="M392" i="1"/>
  <c r="M380" i="1"/>
  <c r="M368" i="1"/>
  <c r="M356" i="1"/>
  <c r="M344" i="1"/>
  <c r="M332" i="1"/>
  <c r="M320" i="1"/>
  <c r="M308" i="1"/>
  <c r="M688" i="1"/>
  <c r="M673" i="1"/>
  <c r="M655" i="1"/>
  <c r="M610" i="1"/>
  <c r="M544" i="1"/>
  <c r="M542" i="1"/>
  <c r="M500" i="1"/>
  <c r="M480" i="1"/>
  <c r="M457" i="1"/>
  <c r="M454" i="1"/>
  <c r="M436" i="1"/>
  <c r="M433" i="1"/>
  <c r="M400" i="1"/>
  <c r="M397" i="1"/>
  <c r="M390" i="1"/>
  <c r="M378" i="1"/>
  <c r="M366" i="1"/>
  <c r="M354" i="1"/>
  <c r="M341" i="1"/>
  <c r="M317" i="1"/>
  <c r="M294" i="1"/>
  <c r="M238" i="1"/>
  <c r="M490" i="1"/>
  <c r="M478" i="1"/>
  <c r="M473" i="1"/>
  <c r="M460" i="1"/>
  <c r="M423" i="1"/>
  <c r="M420" i="1"/>
  <c r="M342" i="1"/>
  <c r="M337" i="1"/>
  <c r="M318" i="1"/>
  <c r="M313" i="1"/>
  <c r="M307" i="1"/>
  <c r="M301" i="1"/>
  <c r="M232" i="1"/>
  <c r="M703" i="1"/>
  <c r="M616" i="1"/>
  <c r="M614" i="1"/>
  <c r="M603" i="1"/>
  <c r="M525" i="1"/>
  <c r="M463" i="1"/>
  <c r="M449" i="1"/>
  <c r="M446" i="1"/>
  <c r="M430" i="1"/>
  <c r="M427" i="1"/>
  <c r="M394" i="1"/>
  <c r="M322" i="1"/>
  <c r="M295" i="1"/>
  <c r="M660" i="1"/>
  <c r="M552" i="1"/>
  <c r="M466" i="1"/>
  <c r="M452" i="1"/>
  <c r="M417" i="1"/>
  <c r="M414" i="1"/>
  <c r="M391" i="1"/>
  <c r="M382" i="1"/>
  <c r="M379" i="1"/>
  <c r="M678" i="1"/>
  <c r="M663" i="1"/>
  <c r="M562" i="1"/>
  <c r="M528" i="1"/>
  <c r="M514" i="1"/>
  <c r="M476" i="1"/>
  <c r="M469" i="1"/>
  <c r="M455" i="1"/>
  <c r="M424" i="1"/>
  <c r="M421" i="1"/>
  <c r="M333" i="1"/>
  <c r="M328" i="1"/>
  <c r="M323" i="1"/>
  <c r="M296" i="1"/>
  <c r="M620" i="1"/>
  <c r="M600" i="1"/>
  <c r="M461" i="1"/>
  <c r="M458" i="1"/>
  <c r="M444" i="1"/>
  <c r="M411" i="1"/>
  <c r="M408" i="1"/>
  <c r="M324" i="1"/>
  <c r="M233" i="1"/>
  <c r="M179" i="1"/>
  <c r="M659" i="1"/>
  <c r="M573" i="1"/>
  <c r="M545" i="1"/>
  <c r="M485" i="1"/>
  <c r="M479" i="1"/>
  <c r="M472" i="1"/>
  <c r="M467" i="1"/>
  <c r="M453" i="1"/>
  <c r="M450" i="1"/>
  <c r="M441" i="1"/>
  <c r="M438" i="1"/>
  <c r="M405" i="1"/>
  <c r="M402" i="1"/>
  <c r="M330" i="1"/>
  <c r="M325" i="1"/>
  <c r="M555" i="1"/>
  <c r="M538" i="1"/>
  <c r="M462" i="1"/>
  <c r="M456" i="1"/>
  <c r="M435" i="1"/>
  <c r="M426" i="1"/>
  <c r="M381" i="1"/>
  <c r="M372" i="1"/>
  <c r="M360" i="1"/>
  <c r="M348" i="1"/>
  <c r="M304" i="1"/>
  <c r="M292" i="1"/>
  <c r="M286" i="1"/>
  <c r="M280" i="1"/>
  <c r="M274" i="1"/>
  <c r="M268" i="1"/>
  <c r="M262" i="1"/>
  <c r="M256" i="1"/>
  <c r="M250" i="1"/>
  <c r="M244" i="1"/>
  <c r="M683" i="1"/>
  <c r="M448" i="1"/>
  <c r="M403" i="1"/>
  <c r="M331" i="1"/>
  <c r="M310" i="1"/>
  <c r="M231" i="1"/>
  <c r="M591" i="1"/>
  <c r="M495" i="1"/>
  <c r="M475" i="1"/>
  <c r="M429" i="1"/>
  <c r="M329" i="1"/>
  <c r="M316" i="1"/>
  <c r="M299" i="1"/>
  <c r="M235" i="1"/>
  <c r="M653" i="1"/>
  <c r="M615" i="1"/>
  <c r="M577" i="1"/>
  <c r="M465" i="1"/>
  <c r="M442" i="1"/>
  <c r="M305" i="1"/>
  <c r="M288" i="1"/>
  <c r="M282" i="1"/>
  <c r="M276" i="1"/>
  <c r="M270" i="1"/>
  <c r="M264" i="1"/>
  <c r="M258" i="1"/>
  <c r="M252" i="1"/>
  <c r="M229" i="1"/>
  <c r="M412" i="1"/>
  <c r="M393" i="1"/>
  <c r="M384" i="1"/>
  <c r="M361" i="1"/>
  <c r="M349" i="1"/>
  <c r="M319" i="1"/>
  <c r="M311" i="1"/>
  <c r="M148" i="1"/>
  <c r="M406" i="1"/>
  <c r="M373" i="1"/>
  <c r="M371" i="1"/>
  <c r="M359" i="1"/>
  <c r="M347" i="1"/>
  <c r="M334" i="1"/>
  <c r="M300" i="1"/>
  <c r="M297" i="1"/>
  <c r="M549" i="1"/>
  <c r="M459" i="1"/>
  <c r="M451" i="1"/>
  <c r="M447" i="1"/>
  <c r="M432" i="1"/>
  <c r="M306" i="1"/>
  <c r="M303" i="1"/>
  <c r="M625" i="1"/>
  <c r="M439" i="1"/>
  <c r="M399" i="1"/>
  <c r="M298" i="1"/>
  <c r="M266" i="1"/>
  <c r="M263" i="1"/>
  <c r="M561" i="1"/>
  <c r="M291" i="1"/>
  <c r="M285" i="1"/>
  <c r="M279" i="1"/>
  <c r="M273" i="1"/>
  <c r="M247" i="1"/>
  <c r="M445" i="1"/>
  <c r="M418" i="1"/>
  <c r="M388" i="1"/>
  <c r="M369" i="1"/>
  <c r="M367" i="1"/>
  <c r="M346" i="1"/>
  <c r="M260" i="1"/>
  <c r="M257" i="1"/>
  <c r="M225" i="1"/>
  <c r="M197" i="1"/>
  <c r="M166" i="1"/>
  <c r="M143" i="1"/>
  <c r="M132" i="1"/>
  <c r="M94" i="1"/>
  <c r="M340" i="1"/>
  <c r="M336" i="1"/>
  <c r="M267" i="1"/>
  <c r="M611" i="1"/>
  <c r="M515" i="1"/>
  <c r="M352" i="1"/>
  <c r="M309" i="1"/>
  <c r="M289" i="1"/>
  <c r="M283" i="1"/>
  <c r="M277" i="1"/>
  <c r="M254" i="1"/>
  <c r="M251" i="1"/>
  <c r="M566" i="1"/>
  <c r="M464" i="1"/>
  <c r="M409" i="1"/>
  <c r="M396" i="1"/>
  <c r="M358" i="1"/>
  <c r="M321" i="1"/>
  <c r="M271" i="1"/>
  <c r="M261" i="1"/>
  <c r="M171" i="1"/>
  <c r="M147" i="1"/>
  <c r="M520" i="1"/>
  <c r="M415" i="1"/>
  <c r="M248" i="1"/>
  <c r="M220" i="1"/>
  <c r="M204" i="1"/>
  <c r="M691" i="1"/>
  <c r="M511" i="1"/>
  <c r="M383" i="1"/>
  <c r="M364" i="1"/>
  <c r="M265" i="1"/>
  <c r="M255" i="1"/>
  <c r="M246" i="1"/>
  <c r="M551" i="1"/>
  <c r="M470" i="1"/>
  <c r="M376" i="1"/>
  <c r="M293" i="1"/>
  <c r="M290" i="1"/>
  <c r="M287" i="1"/>
  <c r="M284" i="1"/>
  <c r="M281" i="1"/>
  <c r="M278" i="1"/>
  <c r="M275" i="1"/>
  <c r="M259" i="1"/>
  <c r="M249" i="1"/>
  <c r="M181" i="1"/>
  <c r="M163" i="1"/>
  <c r="M106" i="1"/>
  <c r="M370" i="1"/>
  <c r="M203" i="1"/>
  <c r="M151" i="1"/>
  <c r="M135" i="1"/>
  <c r="M127" i="1"/>
  <c r="M124" i="1"/>
  <c r="M86" i="1"/>
  <c r="M83" i="1"/>
  <c r="M597" i="1"/>
  <c r="M167" i="1"/>
  <c r="M138" i="1"/>
  <c r="M109" i="1"/>
  <c r="M343" i="1"/>
  <c r="M240" i="1"/>
  <c r="M228" i="1"/>
  <c r="M205" i="1"/>
  <c r="M192" i="1"/>
  <c r="M114" i="1"/>
  <c r="M102" i="1"/>
  <c r="M92" i="1"/>
  <c r="M345" i="1"/>
  <c r="M125" i="1"/>
  <c r="M269" i="1"/>
  <c r="M202" i="1"/>
  <c r="M156" i="1"/>
  <c r="M145" i="1"/>
  <c r="M142" i="1"/>
  <c r="M87" i="1"/>
  <c r="M71" i="1"/>
  <c r="M67" i="1"/>
  <c r="M63" i="1"/>
  <c r="M59" i="1"/>
  <c r="M55" i="1"/>
  <c r="M51" i="1"/>
  <c r="M47" i="1"/>
  <c r="M183" i="1"/>
  <c r="M154" i="1"/>
  <c r="M139" i="1"/>
  <c r="O4" i="1"/>
  <c r="M335" i="1"/>
  <c r="M159" i="1"/>
  <c r="M108" i="1"/>
  <c r="M118" i="1"/>
  <c r="M385" i="1"/>
  <c r="M253" i="1"/>
  <c r="M155" i="1"/>
  <c r="M93" i="1"/>
  <c r="M79" i="1"/>
  <c r="M226" i="1"/>
  <c r="M12" i="1"/>
  <c r="M175" i="1"/>
  <c r="M96" i="1"/>
  <c r="M115" i="1"/>
  <c r="M90" i="1"/>
  <c r="M43" i="1"/>
  <c r="M39" i="1"/>
  <c r="M35" i="1"/>
  <c r="M31" i="1"/>
  <c r="M27" i="1"/>
  <c r="M23" i="1"/>
  <c r="M215" i="1"/>
  <c r="M172" i="1"/>
  <c r="M99" i="1"/>
  <c r="M131" i="1"/>
  <c r="M75" i="1"/>
  <c r="M9" i="1"/>
  <c r="M221" i="1"/>
  <c r="M73" i="1"/>
  <c r="M355" i="1"/>
  <c r="M153" i="1"/>
  <c r="M101" i="1"/>
  <c r="M161" i="1"/>
  <c r="M357" i="1"/>
  <c r="M141" i="1"/>
  <c r="M116" i="1"/>
  <c r="M98" i="1"/>
  <c r="M18" i="1"/>
  <c r="M272" i="1"/>
  <c r="M193" i="1"/>
  <c r="M19" i="1"/>
  <c r="M82" i="1"/>
  <c r="Q585" i="1"/>
  <c r="T547" i="1"/>
  <c r="T565" i="1"/>
  <c r="T605" i="1"/>
  <c r="T475" i="1"/>
  <c r="T463" i="1"/>
  <c r="T489" i="1"/>
  <c r="T436" i="1"/>
  <c r="T379" i="1"/>
  <c r="T505" i="1"/>
  <c r="T492" i="1"/>
  <c r="T485" i="1"/>
  <c r="T476" i="1"/>
  <c r="U438" i="1"/>
  <c r="T510" i="1"/>
  <c r="T330" i="1"/>
  <c r="U428" i="1"/>
  <c r="U336" i="1"/>
  <c r="U469" i="1"/>
  <c r="T386" i="1"/>
  <c r="Q89" i="1"/>
  <c r="Q90" i="1"/>
  <c r="T303" i="1"/>
  <c r="T461" i="1"/>
  <c r="T400" i="1"/>
  <c r="U349" i="1"/>
  <c r="U468" i="1"/>
  <c r="U392" i="1"/>
  <c r="T572" i="1"/>
  <c r="T399" i="1"/>
  <c r="U312" i="1"/>
  <c r="T395" i="1"/>
  <c r="U399" i="1"/>
  <c r="T323" i="1"/>
  <c r="U277" i="1"/>
  <c r="Q71" i="1"/>
  <c r="U421" i="1"/>
  <c r="Q93" i="1"/>
  <c r="T289" i="1"/>
  <c r="T319" i="1"/>
  <c r="Q134" i="1"/>
  <c r="U301" i="1"/>
  <c r="Q201" i="1"/>
  <c r="U386" i="1"/>
  <c r="U295" i="1"/>
  <c r="U250" i="1"/>
  <c r="T261" i="1"/>
  <c r="M207" i="1"/>
  <c r="M123" i="1"/>
  <c r="Q55" i="1"/>
  <c r="T454" i="1"/>
  <c r="T394" i="1"/>
  <c r="Q111" i="1"/>
  <c r="T305" i="1"/>
  <c r="Q173" i="1"/>
  <c r="M66" i="1"/>
  <c r="Q108" i="1"/>
  <c r="N645" i="1"/>
  <c r="N584" i="1"/>
  <c r="N572" i="1"/>
  <c r="N560" i="1"/>
  <c r="N620" i="1"/>
  <c r="N614" i="1"/>
  <c r="N608" i="1"/>
  <c r="N602" i="1"/>
  <c r="N596" i="1"/>
  <c r="N585" i="1"/>
  <c r="N573" i="1"/>
  <c r="N561" i="1"/>
  <c r="N617" i="1"/>
  <c r="N606" i="1"/>
  <c r="N589" i="1"/>
  <c r="N568" i="1"/>
  <c r="N553" i="1"/>
  <c r="N547" i="1"/>
  <c r="N541" i="1"/>
  <c r="N535" i="1"/>
  <c r="N529" i="1"/>
  <c r="N518" i="1"/>
  <c r="N506" i="1"/>
  <c r="N494" i="1"/>
  <c r="N482" i="1"/>
  <c r="N102" i="1"/>
  <c r="N692" i="1"/>
  <c r="N621" i="1"/>
  <c r="N610" i="1"/>
  <c r="N574" i="1"/>
  <c r="N569" i="1"/>
  <c r="N564" i="1"/>
  <c r="N519" i="1"/>
  <c r="N507" i="1"/>
  <c r="N495" i="1"/>
  <c r="N483" i="1"/>
  <c r="N235" i="1"/>
  <c r="N669" i="1"/>
  <c r="N657" i="1"/>
  <c r="N627" i="1"/>
  <c r="N603" i="1"/>
  <c r="N599" i="1"/>
  <c r="N590" i="1"/>
  <c r="N575" i="1"/>
  <c r="N570" i="1"/>
  <c r="N554" i="1"/>
  <c r="N684" i="1"/>
  <c r="N619" i="1"/>
  <c r="N592" i="1"/>
  <c r="N543" i="1"/>
  <c r="N539" i="1"/>
  <c r="N517" i="1"/>
  <c r="N501" i="1"/>
  <c r="N481" i="1"/>
  <c r="N688" i="1"/>
  <c r="N660" i="1"/>
  <c r="N643" i="1"/>
  <c r="N626" i="1"/>
  <c r="N611" i="1"/>
  <c r="N601" i="1"/>
  <c r="N528" i="1"/>
  <c r="N512" i="1"/>
  <c r="N497" i="1"/>
  <c r="N492" i="1"/>
  <c r="N693" i="1"/>
  <c r="N609" i="1"/>
  <c r="N578" i="1"/>
  <c r="N540" i="1"/>
  <c r="N508" i="1"/>
  <c r="N503" i="1"/>
  <c r="N498" i="1"/>
  <c r="N678" i="1"/>
  <c r="N656" i="1"/>
  <c r="N637" i="1"/>
  <c r="N633" i="1"/>
  <c r="N607" i="1"/>
  <c r="N587" i="1"/>
  <c r="N566" i="1"/>
  <c r="N557" i="1"/>
  <c r="N544" i="1"/>
  <c r="N513" i="1"/>
  <c r="N493" i="1"/>
  <c r="N650" i="1"/>
  <c r="N631" i="1"/>
  <c r="N629" i="1"/>
  <c r="N615" i="1"/>
  <c r="N597" i="1"/>
  <c r="N594" i="1"/>
  <c r="N582" i="1"/>
  <c r="N576" i="1"/>
  <c r="N551" i="1"/>
  <c r="N548" i="1"/>
  <c r="N514" i="1"/>
  <c r="N499" i="1"/>
  <c r="N680" i="1"/>
  <c r="N675" i="1"/>
  <c r="N636" i="1"/>
  <c r="N588" i="1"/>
  <c r="N546" i="1"/>
  <c r="N526" i="1"/>
  <c r="N521" i="1"/>
  <c r="N489" i="1"/>
  <c r="N484" i="1"/>
  <c r="N387" i="1"/>
  <c r="N375" i="1"/>
  <c r="N363" i="1"/>
  <c r="N351" i="1"/>
  <c r="N339" i="1"/>
  <c r="N327" i="1"/>
  <c r="N315" i="1"/>
  <c r="N303" i="1"/>
  <c r="N665" i="1"/>
  <c r="N604" i="1"/>
  <c r="N538" i="1"/>
  <c r="N510" i="1"/>
  <c r="N502" i="1"/>
  <c r="N464" i="1"/>
  <c r="N460" i="1"/>
  <c r="N456" i="1"/>
  <c r="N452" i="1"/>
  <c r="N448" i="1"/>
  <c r="N444" i="1"/>
  <c r="N438" i="1"/>
  <c r="N432" i="1"/>
  <c r="N426" i="1"/>
  <c r="N420" i="1"/>
  <c r="N414" i="1"/>
  <c r="N408" i="1"/>
  <c r="N402" i="1"/>
  <c r="N396" i="1"/>
  <c r="N388" i="1"/>
  <c r="N376" i="1"/>
  <c r="N364" i="1"/>
  <c r="N352" i="1"/>
  <c r="N340" i="1"/>
  <c r="N328" i="1"/>
  <c r="N316" i="1"/>
  <c r="N616" i="1"/>
  <c r="N562" i="1"/>
  <c r="N555" i="1"/>
  <c r="N536" i="1"/>
  <c r="N524" i="1"/>
  <c r="N480" i="1"/>
  <c r="N439" i="1"/>
  <c r="N433" i="1"/>
  <c r="N427" i="1"/>
  <c r="N421" i="1"/>
  <c r="N415" i="1"/>
  <c r="N409" i="1"/>
  <c r="N403" i="1"/>
  <c r="N397" i="1"/>
  <c r="N390" i="1"/>
  <c r="N378" i="1"/>
  <c r="N366" i="1"/>
  <c r="N354" i="1"/>
  <c r="N583" i="1"/>
  <c r="N558" i="1"/>
  <c r="N515" i="1"/>
  <c r="N478" i="1"/>
  <c r="N475" i="1"/>
  <c r="N472" i="1"/>
  <c r="N469" i="1"/>
  <c r="N381" i="1"/>
  <c r="N369" i="1"/>
  <c r="N357" i="1"/>
  <c r="N345" i="1"/>
  <c r="N333" i="1"/>
  <c r="N321" i="1"/>
  <c r="N309" i="1"/>
  <c r="N297" i="1"/>
  <c r="N565" i="1"/>
  <c r="N533" i="1"/>
  <c r="N531" i="1"/>
  <c r="N496" i="1"/>
  <c r="N490" i="1"/>
  <c r="N473" i="1"/>
  <c r="N423" i="1"/>
  <c r="N410" i="1"/>
  <c r="N342" i="1"/>
  <c r="N337" i="1"/>
  <c r="N332" i="1"/>
  <c r="N318" i="1"/>
  <c r="N313" i="1"/>
  <c r="N307" i="1"/>
  <c r="N301" i="1"/>
  <c r="N525" i="1"/>
  <c r="N523" i="1"/>
  <c r="N488" i="1"/>
  <c r="N486" i="1"/>
  <c r="N463" i="1"/>
  <c r="N449" i="1"/>
  <c r="N446" i="1"/>
  <c r="N443" i="1"/>
  <c r="N430" i="1"/>
  <c r="N407" i="1"/>
  <c r="N394" i="1"/>
  <c r="N386" i="1"/>
  <c r="N374" i="1"/>
  <c r="N362" i="1"/>
  <c r="N350" i="1"/>
  <c r="N322" i="1"/>
  <c r="N295" i="1"/>
  <c r="N612" i="1"/>
  <c r="N552" i="1"/>
  <c r="N471" i="1"/>
  <c r="N466" i="1"/>
  <c r="N440" i="1"/>
  <c r="N417" i="1"/>
  <c r="N404" i="1"/>
  <c r="N391" i="1"/>
  <c r="N382" i="1"/>
  <c r="N379" i="1"/>
  <c r="N370" i="1"/>
  <c r="N367" i="1"/>
  <c r="N358" i="1"/>
  <c r="N355" i="1"/>
  <c r="N346" i="1"/>
  <c r="N343" i="1"/>
  <c r="N319" i="1"/>
  <c r="N193" i="1"/>
  <c r="N705" i="1"/>
  <c r="N663" i="1"/>
  <c r="N550" i="1"/>
  <c r="N476" i="1"/>
  <c r="N455" i="1"/>
  <c r="N437" i="1"/>
  <c r="N424" i="1"/>
  <c r="N401" i="1"/>
  <c r="N681" i="1"/>
  <c r="N618" i="1"/>
  <c r="N605" i="1"/>
  <c r="N600" i="1"/>
  <c r="N598" i="1"/>
  <c r="N571" i="1"/>
  <c r="N567" i="1"/>
  <c r="N556" i="1"/>
  <c r="N537" i="1"/>
  <c r="N530" i="1"/>
  <c r="N505" i="1"/>
  <c r="N461" i="1"/>
  <c r="N458" i="1"/>
  <c r="N434" i="1"/>
  <c r="N411" i="1"/>
  <c r="N398" i="1"/>
  <c r="N324" i="1"/>
  <c r="N223" i="1"/>
  <c r="N642" i="1"/>
  <c r="N580" i="1"/>
  <c r="N516" i="1"/>
  <c r="N509" i="1"/>
  <c r="N474" i="1"/>
  <c r="N447" i="1"/>
  <c r="N431" i="1"/>
  <c r="N418" i="1"/>
  <c r="N395" i="1"/>
  <c r="N383" i="1"/>
  <c r="N371" i="1"/>
  <c r="N359" i="1"/>
  <c r="N347" i="1"/>
  <c r="N329" i="1"/>
  <c r="N205" i="1"/>
  <c r="N593" i="1"/>
  <c r="N522" i="1"/>
  <c r="N520" i="1"/>
  <c r="N487" i="1"/>
  <c r="N425" i="1"/>
  <c r="N412" i="1"/>
  <c r="N384" i="1"/>
  <c r="N372" i="1"/>
  <c r="N360" i="1"/>
  <c r="N348" i="1"/>
  <c r="N334" i="1"/>
  <c r="N532" i="1"/>
  <c r="N491" i="1"/>
  <c r="N454" i="1"/>
  <c r="N422" i="1"/>
  <c r="N405" i="1"/>
  <c r="N331" i="1"/>
  <c r="N310" i="1"/>
  <c r="N211" i="1"/>
  <c r="N199" i="1"/>
  <c r="N175" i="1"/>
  <c r="N698" i="1"/>
  <c r="N613" i="1"/>
  <c r="N545" i="1"/>
  <c r="N511" i="1"/>
  <c r="N450" i="1"/>
  <c r="N399" i="1"/>
  <c r="N365" i="1"/>
  <c r="N353" i="1"/>
  <c r="N336" i="1"/>
  <c r="N326" i="1"/>
  <c r="N293" i="1"/>
  <c r="N287" i="1"/>
  <c r="N281" i="1"/>
  <c r="N275" i="1"/>
  <c r="N269" i="1"/>
  <c r="N263" i="1"/>
  <c r="N257" i="1"/>
  <c r="N251" i="1"/>
  <c r="N246" i="1"/>
  <c r="N653" i="1"/>
  <c r="N577" i="1"/>
  <c r="N534" i="1"/>
  <c r="N467" i="1"/>
  <c r="N465" i="1"/>
  <c r="N442" i="1"/>
  <c r="N416" i="1"/>
  <c r="N377" i="1"/>
  <c r="N368" i="1"/>
  <c r="N356" i="1"/>
  <c r="N344" i="1"/>
  <c r="N305" i="1"/>
  <c r="N302" i="1"/>
  <c r="N288" i="1"/>
  <c r="N282" i="1"/>
  <c r="N276" i="1"/>
  <c r="N270" i="1"/>
  <c r="N264" i="1"/>
  <c r="N258" i="1"/>
  <c r="N252" i="1"/>
  <c r="N229" i="1"/>
  <c r="N701" i="1"/>
  <c r="N668" i="1"/>
  <c r="N542" i="1"/>
  <c r="N504" i="1"/>
  <c r="N485" i="1"/>
  <c r="N477" i="1"/>
  <c r="N393" i="1"/>
  <c r="N361" i="1"/>
  <c r="N349" i="1"/>
  <c r="N311" i="1"/>
  <c r="N308" i="1"/>
  <c r="N217" i="1"/>
  <c r="N595" i="1"/>
  <c r="N579" i="1"/>
  <c r="N479" i="1"/>
  <c r="N436" i="1"/>
  <c r="N406" i="1"/>
  <c r="N373" i="1"/>
  <c r="N314" i="1"/>
  <c r="N300" i="1"/>
  <c r="N289" i="1"/>
  <c r="N283" i="1"/>
  <c r="N277" i="1"/>
  <c r="N271" i="1"/>
  <c r="N265" i="1"/>
  <c r="N259" i="1"/>
  <c r="N253" i="1"/>
  <c r="N247" i="1"/>
  <c r="N241" i="1"/>
  <c r="N207" i="1"/>
  <c r="N151" i="1"/>
  <c r="N145" i="1"/>
  <c r="N704" i="1"/>
  <c r="N549" i="1"/>
  <c r="N459" i="1"/>
  <c r="N457" i="1"/>
  <c r="N453" i="1"/>
  <c r="N451" i="1"/>
  <c r="N380" i="1"/>
  <c r="N306" i="1"/>
  <c r="N632" i="1"/>
  <c r="N581" i="1"/>
  <c r="N559" i="1"/>
  <c r="N445" i="1"/>
  <c r="N400" i="1"/>
  <c r="N312" i="1"/>
  <c r="N290" i="1"/>
  <c r="N284" i="1"/>
  <c r="N278" i="1"/>
  <c r="N655" i="1"/>
  <c r="N330" i="1"/>
  <c r="N291" i="1"/>
  <c r="N285" i="1"/>
  <c r="N279" i="1"/>
  <c r="N273" i="1"/>
  <c r="N296" i="1"/>
  <c r="N260" i="1"/>
  <c r="N250" i="1"/>
  <c r="N234" i="1"/>
  <c r="N197" i="1"/>
  <c r="N184" i="1"/>
  <c r="N177" i="1"/>
  <c r="N166" i="1"/>
  <c r="N392" i="1"/>
  <c r="N294" i="1"/>
  <c r="N267" i="1"/>
  <c r="N157" i="1"/>
  <c r="N136" i="1"/>
  <c r="N125" i="1"/>
  <c r="N641" i="1"/>
  <c r="N591" i="1"/>
  <c r="N500" i="1"/>
  <c r="N428" i="1"/>
  <c r="N338" i="1"/>
  <c r="N254" i="1"/>
  <c r="N261" i="1"/>
  <c r="N673" i="1"/>
  <c r="N563" i="1"/>
  <c r="N325" i="1"/>
  <c r="N323" i="1"/>
  <c r="N299" i="1"/>
  <c r="N292" i="1"/>
  <c r="N286" i="1"/>
  <c r="N280" i="1"/>
  <c r="N274" i="1"/>
  <c r="N248" i="1"/>
  <c r="N222" i="1"/>
  <c r="N220" i="1"/>
  <c r="N101" i="1"/>
  <c r="N98" i="1"/>
  <c r="N691" i="1"/>
  <c r="N462" i="1"/>
  <c r="N317" i="1"/>
  <c r="N255" i="1"/>
  <c r="N202" i="1"/>
  <c r="N187" i="1"/>
  <c r="N413" i="1"/>
  <c r="N385" i="1"/>
  <c r="N268" i="1"/>
  <c r="N527" i="1"/>
  <c r="N429" i="1"/>
  <c r="N341" i="1"/>
  <c r="N335" i="1"/>
  <c r="N272" i="1"/>
  <c r="N262" i="1"/>
  <c r="N240" i="1"/>
  <c r="N163" i="1"/>
  <c r="N468" i="1"/>
  <c r="N389" i="1"/>
  <c r="N238" i="1"/>
  <c r="N153" i="1"/>
  <c r="N132" i="1"/>
  <c r="N116" i="1"/>
  <c r="N304" i="1"/>
  <c r="N179" i="1"/>
  <c r="N138" i="1"/>
  <c r="N130" i="1"/>
  <c r="N89" i="1"/>
  <c r="N77" i="1"/>
  <c r="N70" i="1"/>
  <c r="N66" i="1"/>
  <c r="N62" i="1"/>
  <c r="N58" i="1"/>
  <c r="N54" i="1"/>
  <c r="N50" i="1"/>
  <c r="N46" i="1"/>
  <c r="N42" i="1"/>
  <c r="N38" i="1"/>
  <c r="N34" i="1"/>
  <c r="N30" i="1"/>
  <c r="N26" i="1"/>
  <c r="N22" i="1"/>
  <c r="N14" i="1"/>
  <c r="N214" i="1"/>
  <c r="N208" i="1"/>
  <c r="N192" i="1"/>
  <c r="N122" i="1"/>
  <c r="N114" i="1"/>
  <c r="N97" i="1"/>
  <c r="N622" i="1"/>
  <c r="N249" i="1"/>
  <c r="N181" i="1"/>
  <c r="N133" i="1"/>
  <c r="N74" i="1"/>
  <c r="N256" i="1"/>
  <c r="N219" i="1"/>
  <c r="N169" i="1"/>
  <c r="N112" i="1"/>
  <c r="N84" i="1"/>
  <c r="N441" i="1"/>
  <c r="N243" i="1"/>
  <c r="N164" i="1"/>
  <c r="N139" i="1"/>
  <c r="N128" i="1"/>
  <c r="N120" i="1"/>
  <c r="N117" i="1"/>
  <c r="N78" i="1"/>
  <c r="N213" i="1"/>
  <c r="N110" i="1"/>
  <c r="N105" i="1"/>
  <c r="N90" i="1"/>
  <c r="N298" i="1"/>
  <c r="N210" i="1"/>
  <c r="N188" i="1"/>
  <c r="N148" i="1"/>
  <c r="N137" i="1"/>
  <c r="N108" i="1"/>
  <c r="N12" i="1"/>
  <c r="N435" i="1"/>
  <c r="N227" i="1"/>
  <c r="N127" i="1"/>
  <c r="N118" i="1"/>
  <c r="N113" i="1"/>
  <c r="N86" i="1"/>
  <c r="N61" i="1"/>
  <c r="N48" i="1"/>
  <c r="N198" i="1"/>
  <c r="N152" i="1"/>
  <c r="N190" i="1"/>
  <c r="N170" i="1"/>
  <c r="N146" i="1"/>
  <c r="N135" i="1"/>
  <c r="N129" i="1"/>
  <c r="N65" i="1"/>
  <c r="N10" i="1"/>
  <c r="N85" i="1"/>
  <c r="N419" i="1"/>
  <c r="N245" i="1"/>
  <c r="N470" i="1"/>
  <c r="N124" i="1"/>
  <c r="N83" i="1"/>
  <c r="N69" i="1"/>
  <c r="N56" i="1"/>
  <c r="N45" i="1"/>
  <c r="N41" i="1"/>
  <c r="N37" i="1"/>
  <c r="N33" i="1"/>
  <c r="N29" i="1"/>
  <c r="N25" i="1"/>
  <c r="N21" i="1"/>
  <c r="N5" i="1"/>
  <c r="N586" i="1"/>
  <c r="N320" i="1"/>
  <c r="N266" i="1"/>
  <c r="N104" i="1"/>
  <c r="N49" i="1"/>
  <c r="N218" i="1"/>
  <c r="N165" i="1"/>
  <c r="N159" i="1"/>
  <c r="P4" i="1"/>
  <c r="N121" i="1"/>
  <c r="N94" i="1"/>
  <c r="N80" i="1"/>
  <c r="N53" i="1"/>
  <c r="N13" i="1"/>
  <c r="N6" i="1"/>
  <c r="N106" i="1"/>
  <c r="N68" i="1"/>
  <c r="N57" i="1"/>
  <c r="N4" i="1"/>
  <c r="N44" i="1"/>
  <c r="N40" i="1"/>
  <c r="N36" i="1"/>
  <c r="N32" i="1"/>
  <c r="N28" i="1"/>
  <c r="N24" i="1"/>
  <c r="N20" i="1"/>
  <c r="B12" i="1" l="1"/>
  <c r="B10" i="1"/>
  <c r="B13" i="1"/>
  <c r="R3763" i="1"/>
  <c r="R3372" i="1"/>
  <c r="R1040" i="1"/>
  <c r="R2633" i="1"/>
  <c r="R3445" i="1"/>
  <c r="R3740" i="1"/>
  <c r="R3350" i="1"/>
  <c r="R3340" i="1"/>
  <c r="R1961" i="1"/>
  <c r="R2763" i="1"/>
  <c r="R2162" i="1"/>
  <c r="R3289" i="1"/>
  <c r="R3279" i="1"/>
  <c r="R3885" i="1"/>
  <c r="R2820" i="1"/>
  <c r="R3343" i="1"/>
  <c r="R3931" i="1"/>
  <c r="R3897" i="1"/>
  <c r="R1099" i="1"/>
  <c r="R3487" i="1"/>
  <c r="R2313" i="1"/>
  <c r="R3822" i="1"/>
  <c r="R3841" i="1"/>
  <c r="R2432" i="1"/>
  <c r="R1417" i="1"/>
  <c r="R3453" i="1"/>
  <c r="R3345" i="1"/>
  <c r="R3355" i="1"/>
  <c r="R3887" i="1"/>
  <c r="R3773" i="1"/>
  <c r="R1659" i="1"/>
  <c r="R1190" i="1"/>
  <c r="R1946" i="1"/>
  <c r="R2277" i="1"/>
  <c r="R3420" i="1"/>
  <c r="R3347" i="1"/>
  <c r="R3894" i="1"/>
  <c r="R3086" i="1"/>
  <c r="R1117" i="1"/>
  <c r="R1749" i="1"/>
  <c r="R1934" i="1"/>
  <c r="R3358" i="1"/>
  <c r="R3490" i="1"/>
  <c r="R3806" i="1"/>
  <c r="R3915" i="1"/>
  <c r="R3746" i="1"/>
  <c r="R1009" i="1"/>
  <c r="R1762" i="1"/>
  <c r="R1636" i="1"/>
  <c r="R3346" i="1"/>
  <c r="R3321" i="1"/>
  <c r="R3412" i="1"/>
  <c r="R3096" i="1"/>
  <c r="R3276" i="1"/>
  <c r="R1402" i="1"/>
  <c r="R1908" i="1"/>
  <c r="R1939" i="1"/>
  <c r="R3030" i="1"/>
  <c r="R1704" i="1"/>
  <c r="R1732" i="1"/>
  <c r="R3575" i="1"/>
  <c r="R3835" i="1"/>
  <c r="R3903" i="1"/>
  <c r="R2701" i="1"/>
  <c r="R1031" i="1"/>
  <c r="R1187" i="1"/>
  <c r="R1926" i="1"/>
  <c r="R1935" i="1"/>
  <c r="R1846" i="1"/>
  <c r="R2174" i="1"/>
  <c r="R814" i="1"/>
  <c r="R1003" i="1"/>
  <c r="R1796" i="1"/>
  <c r="R3134" i="1"/>
  <c r="R800" i="1"/>
  <c r="R923" i="1"/>
  <c r="R1949" i="1"/>
  <c r="R1591" i="1"/>
  <c r="R1991" i="1"/>
  <c r="R2403" i="1"/>
  <c r="R2717" i="1"/>
  <c r="R3192" i="1"/>
  <c r="R981" i="1"/>
  <c r="R1052" i="1"/>
  <c r="R1559" i="1"/>
  <c r="R1656" i="1"/>
  <c r="R1421" i="1"/>
  <c r="R2835" i="1"/>
  <c r="R2384" i="1"/>
  <c r="R3201" i="1"/>
  <c r="R1917" i="1"/>
  <c r="R1942" i="1"/>
  <c r="R1225" i="1"/>
  <c r="R1028" i="1"/>
  <c r="R1010" i="1"/>
  <c r="R1951" i="1"/>
  <c r="R2647" i="1"/>
  <c r="R1707" i="1"/>
  <c r="R2391" i="1"/>
  <c r="R2238" i="1"/>
  <c r="R3208" i="1"/>
  <c r="R971" i="1"/>
  <c r="R1714" i="1"/>
  <c r="R2294" i="1"/>
  <c r="R1399" i="1"/>
  <c r="R2677" i="1"/>
  <c r="R2211" i="1"/>
  <c r="R2361" i="1"/>
  <c r="R1067" i="1"/>
  <c r="R3077" i="1"/>
  <c r="R1048" i="1"/>
  <c r="R1146" i="1"/>
  <c r="R1713" i="1"/>
  <c r="R1686" i="1"/>
  <c r="R2155" i="1"/>
  <c r="R1897" i="1"/>
  <c r="R1547" i="1"/>
  <c r="R1661" i="1"/>
  <c r="R2540" i="1"/>
  <c r="R2509" i="1"/>
  <c r="R3175" i="1"/>
  <c r="R824" i="1"/>
  <c r="R2282" i="1"/>
  <c r="R1157" i="1"/>
  <c r="R1629" i="1"/>
  <c r="R1710" i="1"/>
  <c r="R1282" i="1"/>
  <c r="R1927" i="1"/>
  <c r="R2673" i="1"/>
  <c r="R2415" i="1"/>
  <c r="R2280" i="1"/>
  <c r="R2687" i="1"/>
  <c r="R3097" i="1"/>
  <c r="R2880" i="1"/>
  <c r="R2430" i="1"/>
  <c r="R3226" i="1"/>
  <c r="R1143" i="1"/>
  <c r="R1283" i="1"/>
  <c r="R2166" i="1"/>
  <c r="R2253" i="1"/>
  <c r="R2521" i="1"/>
  <c r="R3232" i="1"/>
  <c r="R3177" i="1"/>
  <c r="R1597" i="1"/>
  <c r="R1741" i="1"/>
  <c r="R2740" i="1"/>
  <c r="R2518" i="1"/>
  <c r="R2170" i="1"/>
  <c r="R2419" i="1"/>
  <c r="R2943" i="1"/>
  <c r="R2144" i="1"/>
  <c r="R2136" i="1"/>
  <c r="R2137" i="1"/>
  <c r="R2143" i="1"/>
  <c r="R2140" i="1"/>
  <c r="R1484" i="1"/>
  <c r="R1483" i="1"/>
  <c r="R1482" i="1"/>
  <c r="R1466" i="1"/>
  <c r="R1302" i="1"/>
  <c r="R2801" i="1"/>
  <c r="R721" i="1"/>
  <c r="R709" i="1"/>
  <c r="R784" i="1"/>
  <c r="R898" i="1"/>
  <c r="R897" i="1"/>
  <c r="R887" i="1"/>
  <c r="R1042" i="1"/>
  <c r="R1118" i="1"/>
  <c r="R1350" i="1"/>
  <c r="R1257" i="1"/>
  <c r="R1251" i="1"/>
  <c r="R1240" i="1"/>
  <c r="R1239" i="1"/>
  <c r="R1885" i="1"/>
  <c r="R1766" i="1"/>
  <c r="R1869" i="1"/>
  <c r="R1960" i="1"/>
  <c r="R1238" i="1"/>
  <c r="R1234" i="1"/>
  <c r="R1235" i="1"/>
  <c r="R1232" i="1"/>
  <c r="R1230" i="1"/>
  <c r="R1231" i="1"/>
  <c r="R1061" i="1"/>
  <c r="R2454" i="1"/>
  <c r="R2337" i="1"/>
  <c r="R2355" i="1"/>
  <c r="R2762" i="1"/>
  <c r="R2586" i="1"/>
  <c r="R2585" i="1"/>
  <c r="R2468" i="1"/>
  <c r="R2438" i="1"/>
  <c r="R3608" i="1"/>
  <c r="R3560" i="1"/>
  <c r="R3605" i="1"/>
  <c r="R3579" i="1"/>
  <c r="R3508" i="1"/>
  <c r="R3572" i="1"/>
  <c r="R3607" i="1"/>
  <c r="R2455" i="1"/>
  <c r="R2785" i="1"/>
  <c r="R2784" i="1"/>
  <c r="R3071" i="1"/>
  <c r="R3825" i="1"/>
  <c r="R3720" i="1"/>
  <c r="R3702" i="1"/>
  <c r="R3714" i="1"/>
  <c r="R3719" i="1"/>
  <c r="R3768" i="1"/>
  <c r="R3927" i="1"/>
  <c r="R3922" i="1"/>
  <c r="R3188" i="1"/>
  <c r="R3810" i="1"/>
  <c r="R2792" i="1"/>
  <c r="R2855" i="1"/>
  <c r="R909" i="1"/>
  <c r="R1196" i="1"/>
  <c r="R1194" i="1"/>
  <c r="R1195" i="1"/>
  <c r="R1191" i="1"/>
  <c r="R956" i="1"/>
  <c r="R1860" i="1"/>
  <c r="R1115" i="1"/>
  <c r="R1255" i="1"/>
  <c r="R1377" i="1"/>
  <c r="R1375" i="1"/>
  <c r="R1373" i="1"/>
  <c r="R2126" i="1"/>
  <c r="R1250" i="1"/>
  <c r="R1729" i="1"/>
  <c r="R2410" i="1"/>
  <c r="R2409" i="1"/>
  <c r="R2407" i="1"/>
  <c r="R2408" i="1"/>
  <c r="R2877" i="1"/>
  <c r="R2874" i="1"/>
  <c r="R2876" i="1"/>
  <c r="R2289" i="1"/>
  <c r="R2288" i="1"/>
  <c r="R2286" i="1"/>
  <c r="R2287" i="1"/>
  <c r="R2336" i="1"/>
  <c r="R2522" i="1"/>
  <c r="R2839" i="1"/>
  <c r="R2608" i="1"/>
  <c r="R2607" i="1"/>
  <c r="R2604" i="1"/>
  <c r="R2606" i="1"/>
  <c r="R2603" i="1"/>
  <c r="R2599" i="1"/>
  <c r="R2600" i="1"/>
  <c r="R2602" i="1"/>
  <c r="R2377" i="1"/>
  <c r="R3622" i="1"/>
  <c r="R3621" i="1"/>
  <c r="R2914" i="1"/>
  <c r="R3010" i="1"/>
  <c r="R3331" i="1"/>
  <c r="R3480" i="1"/>
  <c r="R3411" i="1"/>
  <c r="R3376" i="1"/>
  <c r="R3479" i="1"/>
  <c r="R3476" i="1"/>
  <c r="R3456" i="1"/>
  <c r="R3386" i="1"/>
  <c r="R3475" i="1"/>
  <c r="R3467" i="1"/>
  <c r="R3395" i="1"/>
  <c r="R3448" i="1"/>
  <c r="R3401" i="1"/>
  <c r="R3439" i="1"/>
  <c r="R3384" i="1"/>
  <c r="R3437" i="1"/>
  <c r="R2327" i="1"/>
  <c r="R2324" i="1"/>
  <c r="R2297" i="1"/>
  <c r="R2312" i="1"/>
  <c r="R2310" i="1"/>
  <c r="R2920" i="1"/>
  <c r="R2918" i="1"/>
  <c r="R2919" i="1"/>
  <c r="R3170" i="1"/>
  <c r="R3168" i="1"/>
  <c r="R3166" i="1"/>
  <c r="R3167" i="1"/>
  <c r="R3169" i="1"/>
  <c r="R3070" i="1"/>
  <c r="R3163" i="1"/>
  <c r="R2363" i="1"/>
  <c r="R3157" i="1"/>
  <c r="R2817" i="1"/>
  <c r="R3653" i="1"/>
  <c r="R3872" i="1"/>
  <c r="R3865" i="1"/>
  <c r="R3868" i="1"/>
  <c r="R3803" i="1"/>
  <c r="R3627" i="1"/>
  <c r="R726" i="1"/>
  <c r="R811" i="1"/>
  <c r="R804" i="1"/>
  <c r="R719" i="1"/>
  <c r="R712" i="1"/>
  <c r="R710" i="1"/>
  <c r="R715" i="1"/>
  <c r="R781" i="1"/>
  <c r="R752" i="1"/>
  <c r="R734" i="1"/>
  <c r="R730" i="1"/>
  <c r="R770" i="1"/>
  <c r="R818" i="1"/>
  <c r="R812" i="1"/>
  <c r="R2640" i="1"/>
  <c r="R2635" i="1"/>
  <c r="R2637" i="1"/>
  <c r="R2638" i="1"/>
  <c r="R911" i="1"/>
  <c r="R1572" i="1"/>
  <c r="R1180" i="1"/>
  <c r="R1267" i="1"/>
  <c r="R1564" i="1"/>
  <c r="R1760" i="1"/>
  <c r="R1758" i="1"/>
  <c r="R1757" i="1"/>
  <c r="R1759" i="1"/>
  <c r="R1409" i="1"/>
  <c r="R1857" i="1"/>
  <c r="R1387" i="1"/>
  <c r="R2362" i="1"/>
  <c r="R2570" i="1"/>
  <c r="R2832" i="1"/>
  <c r="R2078" i="1"/>
  <c r="R2077" i="1"/>
  <c r="R2073" i="1"/>
  <c r="R2000" i="1"/>
  <c r="R1989" i="1"/>
  <c r="R1998" i="1"/>
  <c r="R2035" i="1"/>
  <c r="R2044" i="1"/>
  <c r="R2018" i="1"/>
  <c r="R2050" i="1"/>
  <c r="R2565" i="1"/>
  <c r="R2583" i="1"/>
  <c r="R2582" i="1"/>
  <c r="R2581" i="1"/>
  <c r="R2568" i="1"/>
  <c r="R2653" i="1"/>
  <c r="R2590" i="1"/>
  <c r="R2588" i="1"/>
  <c r="R2589" i="1"/>
  <c r="R3058" i="1"/>
  <c r="R3512" i="1"/>
  <c r="R2714" i="1"/>
  <c r="R2325" i="1"/>
  <c r="R3261" i="1"/>
  <c r="R3080" i="1"/>
  <c r="R3065" i="1"/>
  <c r="R3072" i="1"/>
  <c r="R3703" i="1"/>
  <c r="R3870" i="1"/>
  <c r="R2490" i="1"/>
  <c r="R2981" i="1"/>
  <c r="R3651" i="1"/>
  <c r="R1896" i="1"/>
  <c r="R1895" i="1"/>
  <c r="R2900" i="1"/>
  <c r="R2879" i="1"/>
  <c r="R2895" i="1"/>
  <c r="R2887" i="1"/>
  <c r="R2899" i="1"/>
  <c r="R2890" i="1"/>
  <c r="R2893" i="1"/>
  <c r="R742" i="1"/>
  <c r="R757" i="1"/>
  <c r="R820" i="1"/>
  <c r="R1200" i="1"/>
  <c r="R850" i="1"/>
  <c r="R848" i="1"/>
  <c r="R845" i="1"/>
  <c r="R843" i="1"/>
  <c r="R846" i="1"/>
  <c r="R1164" i="1"/>
  <c r="R1371" i="1"/>
  <c r="R1369" i="1"/>
  <c r="R1363" i="1"/>
  <c r="R1330" i="1"/>
  <c r="R1805" i="1"/>
  <c r="R1185" i="1"/>
  <c r="R2261" i="1"/>
  <c r="R2259" i="1"/>
  <c r="R2228" i="1"/>
  <c r="R1376" i="1"/>
  <c r="R1604" i="1"/>
  <c r="R1601" i="1"/>
  <c r="R1603" i="1"/>
  <c r="R1247" i="1"/>
  <c r="R1628" i="1"/>
  <c r="R1624" i="1"/>
  <c r="R1627" i="1"/>
  <c r="R1622" i="1"/>
  <c r="R2220" i="1"/>
  <c r="R1984" i="1"/>
  <c r="R1980" i="1"/>
  <c r="R1979" i="1"/>
  <c r="R1982" i="1"/>
  <c r="R1978" i="1"/>
  <c r="R1941" i="1"/>
  <c r="R1969" i="1"/>
  <c r="R1981" i="1"/>
  <c r="R1975" i="1"/>
  <c r="R1964" i="1"/>
  <c r="R1957" i="1"/>
  <c r="R1976" i="1"/>
  <c r="R1931" i="1"/>
  <c r="R1955" i="1"/>
  <c r="R2534" i="1"/>
  <c r="R2618" i="1"/>
  <c r="R2148" i="1"/>
  <c r="R2212" i="1"/>
  <c r="R2869" i="1"/>
  <c r="R2339" i="1"/>
  <c r="R3234" i="1"/>
  <c r="R3459" i="1"/>
  <c r="R3492" i="1"/>
  <c r="R3485" i="1"/>
  <c r="R3482" i="1"/>
  <c r="R3484" i="1"/>
  <c r="R3488" i="1"/>
  <c r="R3144" i="1"/>
  <c r="R2970" i="1"/>
  <c r="R3106" i="1"/>
  <c r="R3446" i="1"/>
  <c r="R2367" i="1"/>
  <c r="R2969" i="1"/>
  <c r="R2964" i="1"/>
  <c r="R2966" i="1"/>
  <c r="R2967" i="1"/>
  <c r="R2963" i="1"/>
  <c r="R2965" i="1"/>
  <c r="R2934" i="1"/>
  <c r="R2968" i="1"/>
  <c r="R2949" i="1"/>
  <c r="R2937" i="1"/>
  <c r="R3606" i="1"/>
  <c r="R2100" i="1"/>
  <c r="R3390" i="1"/>
  <c r="R3222" i="1"/>
  <c r="R3850" i="1"/>
  <c r="R1832" i="1"/>
  <c r="R1321" i="1"/>
  <c r="R1305" i="1"/>
  <c r="R1320" i="1"/>
  <c r="R1317" i="1"/>
  <c r="R1307" i="1"/>
  <c r="R1312" i="1"/>
  <c r="R1615" i="1"/>
  <c r="R1263" i="1"/>
  <c r="R2559" i="1"/>
  <c r="R2557" i="1"/>
  <c r="R2549" i="1"/>
  <c r="R2546" i="1"/>
  <c r="R2550" i="1"/>
  <c r="R2545" i="1"/>
  <c r="R2558" i="1"/>
  <c r="R2953" i="1"/>
  <c r="R2765" i="1"/>
  <c r="R2956" i="1"/>
  <c r="R3516" i="1"/>
  <c r="R2753" i="1"/>
  <c r="R1291" i="1"/>
  <c r="R2998" i="1"/>
  <c r="R2992" i="1"/>
  <c r="R2532" i="1"/>
  <c r="R2528" i="1"/>
  <c r="R2531" i="1"/>
  <c r="R3656" i="1"/>
  <c r="R3701" i="1"/>
  <c r="R3690" i="1"/>
  <c r="R3699" i="1"/>
  <c r="R3689" i="1"/>
  <c r="R3764" i="1"/>
  <c r="R3761" i="1"/>
  <c r="R3784" i="1"/>
  <c r="R3795" i="1"/>
  <c r="R2862" i="1"/>
  <c r="R867" i="1"/>
  <c r="R1258" i="1"/>
  <c r="R988" i="1"/>
  <c r="R977" i="1"/>
  <c r="R985" i="1"/>
  <c r="R986" i="1"/>
  <c r="R953" i="1"/>
  <c r="R1821" i="1"/>
  <c r="R1600" i="1"/>
  <c r="R1784" i="1"/>
  <c r="R1840" i="1"/>
  <c r="R1290" i="1"/>
  <c r="R1289" i="1"/>
  <c r="R1275" i="1"/>
  <c r="R1287" i="1"/>
  <c r="R1103" i="1"/>
  <c r="R1098" i="1"/>
  <c r="R1520" i="1"/>
  <c r="R1279" i="1"/>
  <c r="R1579" i="1"/>
  <c r="R2678" i="1"/>
  <c r="R2841" i="1"/>
  <c r="R1059" i="1"/>
  <c r="R2248" i="1"/>
  <c r="R2193" i="1"/>
  <c r="R2279" i="1"/>
  <c r="R2329" i="1"/>
  <c r="R2328" i="1"/>
  <c r="R3599" i="1"/>
  <c r="R2975" i="1"/>
  <c r="R3374" i="1"/>
  <c r="R3398" i="1"/>
  <c r="R3462" i="1"/>
  <c r="R2993" i="1"/>
  <c r="R2867" i="1"/>
  <c r="R3200" i="1"/>
  <c r="R3180" i="1"/>
  <c r="R3199" i="1"/>
  <c r="R3179" i="1"/>
  <c r="R3941" i="1"/>
  <c r="R3913" i="1"/>
  <c r="R3245" i="1"/>
  <c r="R3863" i="1"/>
  <c r="R3802" i="1"/>
  <c r="R3820" i="1"/>
  <c r="R3815" i="1"/>
  <c r="R3834" i="1"/>
  <c r="R3842" i="1"/>
  <c r="R3843" i="1"/>
  <c r="R3858" i="1"/>
  <c r="R3862" i="1"/>
  <c r="R3845" i="1"/>
  <c r="R3829" i="1"/>
  <c r="R3851" i="1"/>
  <c r="R3826" i="1"/>
  <c r="R3742" i="1"/>
  <c r="R3726" i="1"/>
  <c r="R1222" i="1"/>
  <c r="R1542" i="1"/>
  <c r="R1323" i="1"/>
  <c r="R1781" i="1"/>
  <c r="R1366" i="1"/>
  <c r="R2088" i="1"/>
  <c r="R2080" i="1"/>
  <c r="R2086" i="1"/>
  <c r="R2083" i="1"/>
  <c r="R2084" i="1"/>
  <c r="R2082" i="1"/>
  <c r="R2081" i="1"/>
  <c r="R1652" i="1"/>
  <c r="R1643" i="1"/>
  <c r="R1632" i="1"/>
  <c r="R1634" i="1"/>
  <c r="R1633" i="1"/>
  <c r="R1639" i="1"/>
  <c r="R1647" i="1"/>
  <c r="R2591" i="1"/>
  <c r="R2489" i="1"/>
  <c r="R2872" i="1"/>
  <c r="R1111" i="1"/>
  <c r="R1110" i="1"/>
  <c r="R1109" i="1"/>
  <c r="R1983" i="1"/>
  <c r="R2099" i="1"/>
  <c r="R2089" i="1"/>
  <c r="R2093" i="1"/>
  <c r="R2095" i="1"/>
  <c r="R2091" i="1"/>
  <c r="R2451" i="1"/>
  <c r="R2623" i="1"/>
  <c r="R2848" i="1"/>
  <c r="R3338" i="1"/>
  <c r="R3330" i="1"/>
  <c r="R3333" i="1"/>
  <c r="R3328" i="1"/>
  <c r="R3334" i="1"/>
  <c r="R3336" i="1"/>
  <c r="R3337" i="1"/>
  <c r="R3327" i="1"/>
  <c r="R3329" i="1"/>
  <c r="R3259" i="1"/>
  <c r="R3220" i="1"/>
  <c r="R3256" i="1"/>
  <c r="R3250" i="1"/>
  <c r="R3255" i="1"/>
  <c r="R3254" i="1"/>
  <c r="R3257" i="1"/>
  <c r="R3258" i="1"/>
  <c r="R2351" i="1"/>
  <c r="R2736" i="1"/>
  <c r="R2729" i="1"/>
  <c r="R2711" i="1"/>
  <c r="R2727" i="1"/>
  <c r="R2723" i="1"/>
  <c r="R2726" i="1"/>
  <c r="R2722" i="1"/>
  <c r="R3678" i="1"/>
  <c r="R2866" i="1"/>
  <c r="R2865" i="1"/>
  <c r="R2845" i="1"/>
  <c r="R2861" i="1"/>
  <c r="R2856" i="1"/>
  <c r="R972" i="1"/>
  <c r="R965" i="1"/>
  <c r="R969" i="1"/>
  <c r="R1328" i="1"/>
  <c r="R1327" i="1"/>
  <c r="R1452" i="1"/>
  <c r="R1447" i="1"/>
  <c r="R1445" i="1"/>
  <c r="R1448" i="1"/>
  <c r="R1450" i="1"/>
  <c r="R2774" i="1"/>
  <c r="R2125" i="1"/>
  <c r="R2122" i="1"/>
  <c r="R995" i="1"/>
  <c r="R938" i="1"/>
  <c r="R879" i="1"/>
  <c r="R1013" i="1"/>
  <c r="R1076" i="1"/>
  <c r="R1353" i="1"/>
  <c r="R1538" i="1"/>
  <c r="R1532" i="1"/>
  <c r="R1529" i="1"/>
  <c r="R1535" i="1"/>
  <c r="R1537" i="1"/>
  <c r="R1524" i="1"/>
  <c r="R1531" i="1"/>
  <c r="R1536" i="1"/>
  <c r="R1487" i="1"/>
  <c r="R1486" i="1"/>
  <c r="R1725" i="1"/>
  <c r="R1296" i="1"/>
  <c r="R1473" i="1"/>
  <c r="R1243" i="1"/>
  <c r="R1490" i="1"/>
  <c r="R1716" i="1"/>
  <c r="R1974" i="1"/>
  <c r="R1101" i="1"/>
  <c r="R1379" i="1"/>
  <c r="R1378" i="1"/>
  <c r="R1929" i="1"/>
  <c r="R1199" i="1"/>
  <c r="R1648" i="1"/>
  <c r="R2267" i="1"/>
  <c r="R2264" i="1"/>
  <c r="R2265" i="1"/>
  <c r="R2266" i="1"/>
  <c r="R2513" i="1"/>
  <c r="R2663" i="1"/>
  <c r="R2262" i="1"/>
  <c r="R2516" i="1"/>
  <c r="R2053" i="1"/>
  <c r="R2235" i="1"/>
  <c r="R2484" i="1"/>
  <c r="R1914" i="1"/>
  <c r="R2092" i="1"/>
  <c r="R2227" i="1"/>
  <c r="R3047" i="1"/>
  <c r="R2703" i="1"/>
  <c r="R3237" i="1"/>
  <c r="R2913" i="1"/>
  <c r="R2904" i="1"/>
  <c r="R2912" i="1"/>
  <c r="R2910" i="1"/>
  <c r="R2905" i="1"/>
  <c r="R2902" i="1"/>
  <c r="R3139" i="1"/>
  <c r="R3004" i="1"/>
  <c r="R3643" i="1"/>
  <c r="R3641" i="1"/>
  <c r="R3634" i="1"/>
  <c r="R3642" i="1"/>
  <c r="R3423" i="1"/>
  <c r="R3219" i="1"/>
  <c r="R3203" i="1"/>
  <c r="R3213" i="1"/>
  <c r="R3211" i="1"/>
  <c r="R3215" i="1"/>
  <c r="R3217" i="1"/>
  <c r="R2734" i="1"/>
  <c r="R2244" i="1"/>
  <c r="R3752" i="1"/>
  <c r="R3636" i="1"/>
  <c r="R837" i="1"/>
  <c r="R3038" i="1"/>
  <c r="R3027" i="1"/>
  <c r="R3028" i="1"/>
  <c r="R3674" i="1"/>
  <c r="R3673" i="1"/>
  <c r="R3665" i="1"/>
  <c r="R3662" i="1"/>
  <c r="R3617" i="1"/>
  <c r="R3613" i="1"/>
  <c r="R3615" i="1"/>
  <c r="R1186" i="1"/>
  <c r="R1176" i="1"/>
  <c r="R1183" i="1"/>
  <c r="R1134" i="1"/>
  <c r="R1584" i="1"/>
  <c r="R1582" i="1"/>
  <c r="R1598" i="1"/>
  <c r="R1892" i="1"/>
  <c r="R1638" i="1"/>
  <c r="R1514" i="1"/>
  <c r="R1390" i="1"/>
  <c r="R1478" i="1"/>
  <c r="R2250" i="1"/>
  <c r="R2469" i="1"/>
  <c r="R1442" i="1"/>
  <c r="R1429" i="1"/>
  <c r="R1433" i="1"/>
  <c r="R1426" i="1"/>
  <c r="R1436" i="1"/>
  <c r="R1441" i="1"/>
  <c r="R1438" i="1"/>
  <c r="R1424" i="1"/>
  <c r="R1412" i="1"/>
  <c r="R1400" i="1"/>
  <c r="R2010" i="1"/>
  <c r="R2378" i="1"/>
  <c r="R2107" i="1"/>
  <c r="R2695" i="1"/>
  <c r="R2681" i="1"/>
  <c r="R2641" i="1"/>
  <c r="R2273" i="1"/>
  <c r="R2283" i="1"/>
  <c r="R2229" i="1"/>
  <c r="R2038" i="1"/>
  <c r="R2525" i="1"/>
  <c r="R2609" i="1"/>
  <c r="R2406" i="1"/>
  <c r="R2390" i="1"/>
  <c r="R2340" i="1"/>
  <c r="R2345" i="1"/>
  <c r="R2360" i="1"/>
  <c r="R2396" i="1"/>
  <c r="R2354" i="1"/>
  <c r="R2385" i="1"/>
  <c r="R2401" i="1"/>
  <c r="R2398" i="1"/>
  <c r="R2347" i="1"/>
  <c r="R2822" i="1"/>
  <c r="R2821" i="1"/>
  <c r="R3314" i="1"/>
  <c r="R3298" i="1"/>
  <c r="R3286" i="1"/>
  <c r="R3308" i="1"/>
  <c r="R3281" i="1"/>
  <c r="R3285" i="1"/>
  <c r="R3282" i="1"/>
  <c r="R3309" i="1"/>
  <c r="R3305" i="1"/>
  <c r="R3300" i="1"/>
  <c r="R3310" i="1"/>
  <c r="R3313" i="1"/>
  <c r="R3297" i="1"/>
  <c r="R3301" i="1"/>
  <c r="R3306" i="1"/>
  <c r="R3302" i="1"/>
  <c r="R3299" i="1"/>
  <c r="R3290" i="1"/>
  <c r="R3296" i="1"/>
  <c r="R3312" i="1"/>
  <c r="R3304" i="1"/>
  <c r="R3303" i="1"/>
  <c r="R3277" i="1"/>
  <c r="R3307" i="1"/>
  <c r="R3311" i="1"/>
  <c r="R2317" i="1"/>
  <c r="R2797" i="1"/>
  <c r="R3162" i="1"/>
  <c r="R3118" i="1"/>
  <c r="R3127" i="1"/>
  <c r="R3156" i="1"/>
  <c r="R3110" i="1"/>
  <c r="R3160" i="1"/>
  <c r="R2704" i="1"/>
  <c r="R3078" i="1"/>
  <c r="R3214" i="1"/>
  <c r="R3649" i="1"/>
  <c r="R3083" i="1"/>
  <c r="R2778" i="1"/>
  <c r="R3909" i="1"/>
  <c r="R3816" i="1"/>
  <c r="R2039" i="1"/>
  <c r="R915" i="1"/>
  <c r="R914" i="1"/>
  <c r="R902" i="1"/>
  <c r="R901" i="1"/>
  <c r="R913" i="1"/>
  <c r="R872" i="1"/>
  <c r="R871" i="1"/>
  <c r="R1903" i="1"/>
  <c r="R1902" i="1"/>
  <c r="R925" i="1"/>
  <c r="R1210" i="1"/>
  <c r="R833" i="1"/>
  <c r="R1002" i="1"/>
  <c r="R1001" i="1"/>
  <c r="R998" i="1"/>
  <c r="R1166" i="1"/>
  <c r="R1154" i="1"/>
  <c r="R949" i="1"/>
  <c r="R857" i="1"/>
  <c r="R1551" i="1"/>
  <c r="R839" i="1"/>
  <c r="R1170" i="1"/>
  <c r="R854" i="1"/>
  <c r="R859" i="1"/>
  <c r="R893" i="1"/>
  <c r="R1594" i="1"/>
  <c r="R1502" i="1"/>
  <c r="R1668" i="1"/>
  <c r="R1332" i="1"/>
  <c r="R1563" i="1"/>
  <c r="R1562" i="1"/>
  <c r="R1549" i="1"/>
  <c r="R1554" i="1"/>
  <c r="R1839" i="1"/>
  <c r="R1837" i="1"/>
  <c r="R1833" i="1"/>
  <c r="R1835" i="1"/>
  <c r="R1776" i="1"/>
  <c r="R1803" i="1"/>
  <c r="R1838" i="1"/>
  <c r="R1790" i="1"/>
  <c r="R1823" i="1"/>
  <c r="R1890" i="1"/>
  <c r="R1811" i="1"/>
  <c r="R962" i="1"/>
  <c r="R1769" i="1"/>
  <c r="R1344" i="1"/>
  <c r="R1745" i="1"/>
  <c r="R2151" i="1"/>
  <c r="R2666" i="1"/>
  <c r="R2814" i="1"/>
  <c r="R2812" i="1"/>
  <c r="R2813" i="1"/>
  <c r="R2627" i="1"/>
  <c r="R2721" i="1"/>
  <c r="R2748" i="1"/>
  <c r="R2116" i="1"/>
  <c r="R2551" i="1"/>
  <c r="R2611" i="1"/>
  <c r="R3066" i="1"/>
  <c r="R2925" i="1"/>
  <c r="R3582" i="1"/>
  <c r="R2658" i="1"/>
  <c r="R3205" i="1"/>
  <c r="R3382" i="1"/>
  <c r="R3580" i="1"/>
  <c r="R747" i="1"/>
  <c r="R780" i="1"/>
  <c r="R1608" i="1"/>
  <c r="R2270" i="1"/>
  <c r="R1021" i="1"/>
  <c r="R2165" i="1"/>
  <c r="R2442" i="1"/>
  <c r="R2298" i="1"/>
  <c r="R3242" i="1"/>
  <c r="R3021" i="1"/>
  <c r="R3006" i="1"/>
  <c r="R3921" i="1"/>
  <c r="R3275" i="1"/>
  <c r="R1525" i="1"/>
  <c r="R1692" i="1"/>
  <c r="R1723" i="1"/>
  <c r="R1841" i="1"/>
  <c r="R1207" i="1"/>
  <c r="R2059" i="1"/>
  <c r="R1804" i="1"/>
  <c r="R869" i="1"/>
  <c r="R1972" i="1"/>
  <c r="R2334" i="1"/>
  <c r="R2598" i="1"/>
  <c r="R2003" i="1"/>
  <c r="R2901" i="1"/>
  <c r="R3366" i="1"/>
  <c r="R3274" i="1"/>
  <c r="R3271" i="1"/>
  <c r="R3272" i="1"/>
  <c r="R3273" i="1"/>
  <c r="R3821" i="1"/>
  <c r="R3861" i="1"/>
  <c r="R2803" i="1"/>
  <c r="R3631" i="1"/>
  <c r="R3197" i="1"/>
  <c r="R3819" i="1"/>
  <c r="R787" i="1"/>
  <c r="R888" i="1"/>
  <c r="R1220" i="1"/>
  <c r="R1695" i="1"/>
  <c r="R1546" i="1"/>
  <c r="R2742" i="1"/>
  <c r="R2189" i="1"/>
  <c r="R3323" i="1"/>
  <c r="R3025" i="1"/>
  <c r="R3545" i="1"/>
  <c r="R2750" i="1"/>
  <c r="R2747" i="1"/>
  <c r="R3183" i="1"/>
  <c r="R3373" i="1"/>
  <c r="R3577" i="1"/>
  <c r="R3198" i="1"/>
  <c r="R805" i="1"/>
  <c r="R756" i="1"/>
  <c r="R792" i="1"/>
  <c r="R1060" i="1"/>
  <c r="R992" i="1"/>
  <c r="R2154" i="1"/>
  <c r="R1576" i="1"/>
  <c r="R1728" i="1"/>
  <c r="R2024" i="1"/>
  <c r="R2662" i="1"/>
  <c r="R3344" i="1"/>
  <c r="R3125" i="1"/>
  <c r="R3436" i="1"/>
  <c r="R3434" i="1"/>
  <c r="R3375" i="1"/>
  <c r="R707" i="1"/>
  <c r="R785" i="1"/>
  <c r="R3708" i="1"/>
  <c r="R3730" i="1"/>
  <c r="R3413" i="1"/>
  <c r="R728" i="1"/>
  <c r="R963" i="1"/>
  <c r="R906" i="1"/>
  <c r="R1126" i="1"/>
  <c r="R907" i="1"/>
  <c r="R1004" i="1"/>
  <c r="R830" i="1"/>
  <c r="R1419" i="1"/>
  <c r="R2001" i="1"/>
  <c r="R1372" i="1"/>
  <c r="R1752" i="1"/>
  <c r="R1682" i="1"/>
  <c r="R2016" i="1"/>
  <c r="R1880" i="1"/>
  <c r="R1278" i="1"/>
  <c r="R1397" i="1"/>
  <c r="R1685" i="1"/>
  <c r="R1763" i="1"/>
  <c r="R1819" i="1"/>
  <c r="R1808" i="1"/>
  <c r="R2068" i="1"/>
  <c r="R1528" i="1"/>
  <c r="R1374" i="1"/>
  <c r="R1566" i="1"/>
  <c r="R1599" i="1"/>
  <c r="R1853" i="1"/>
  <c r="R1986" i="1"/>
  <c r="R1123" i="1"/>
  <c r="R1316" i="1"/>
  <c r="R1667" i="1"/>
  <c r="R2346" i="1"/>
  <c r="R1465" i="1"/>
  <c r="R1649" i="1"/>
  <c r="R1771" i="1"/>
  <c r="R1874" i="1"/>
  <c r="R1245" i="1"/>
  <c r="R1244" i="1"/>
  <c r="R1476" i="1"/>
  <c r="R1425" i="1"/>
  <c r="R1748" i="1"/>
  <c r="R1655" i="1"/>
  <c r="R1775" i="1"/>
  <c r="R2004" i="1"/>
  <c r="R1304" i="1"/>
  <c r="R1427" i="1"/>
  <c r="R1791" i="1"/>
  <c r="R1788" i="1"/>
  <c r="R1062" i="1"/>
  <c r="R1281" i="1"/>
  <c r="R1356" i="1"/>
  <c r="R1605" i="1"/>
  <c r="R1913" i="1"/>
  <c r="R2433" i="1"/>
  <c r="R2579" i="1"/>
  <c r="R2779" i="1"/>
  <c r="R2514" i="1"/>
  <c r="R2375" i="1"/>
  <c r="R2806" i="1"/>
  <c r="R2139" i="1"/>
  <c r="R2416" i="1"/>
  <c r="R2829" i="1"/>
  <c r="R1747" i="1"/>
  <c r="R2147" i="1"/>
  <c r="R2467" i="1"/>
  <c r="R2497" i="1"/>
  <c r="R1962" i="1"/>
  <c r="R2142" i="1"/>
  <c r="R2587" i="1"/>
  <c r="R2428" i="1"/>
  <c r="R2580" i="1"/>
  <c r="R2503" i="1"/>
  <c r="R2501" i="1"/>
  <c r="R2694" i="1"/>
  <c r="R2230" i="1"/>
  <c r="R2475" i="1"/>
  <c r="R2519" i="1"/>
  <c r="R2689" i="1"/>
  <c r="R2187" i="1"/>
  <c r="R2672" i="1"/>
  <c r="R2335" i="1"/>
  <c r="R2049" i="1"/>
  <c r="R2120" i="1"/>
  <c r="R2118" i="1"/>
  <c r="R2117" i="1"/>
  <c r="R2115" i="1"/>
  <c r="R2119" i="1"/>
  <c r="R2272" i="1"/>
  <c r="R2319" i="1"/>
  <c r="R2426" i="1"/>
  <c r="R1899" i="1"/>
  <c r="R2561" i="1"/>
  <c r="R2632" i="1"/>
  <c r="R2564" i="1"/>
  <c r="R2552" i="1"/>
  <c r="R2977" i="1"/>
  <c r="R2974" i="1"/>
  <c r="R1631" i="1"/>
  <c r="R2009" i="1"/>
  <c r="R2023" i="1"/>
  <c r="R2395" i="1"/>
  <c r="R2316" i="1"/>
  <c r="R2502" i="1"/>
  <c r="R2498" i="1"/>
  <c r="R2712" i="1"/>
  <c r="R3269" i="1"/>
  <c r="R2684" i="1"/>
  <c r="R2683" i="1"/>
  <c r="R3315" i="1"/>
  <c r="R3002" i="1"/>
  <c r="R3018" i="1"/>
  <c r="R3122" i="1"/>
  <c r="R2237" i="1"/>
  <c r="R2530" i="1"/>
  <c r="R2718" i="1"/>
  <c r="R3486" i="1"/>
  <c r="R3604" i="1"/>
  <c r="R2179" i="1"/>
  <c r="R2932" i="1"/>
  <c r="R3193" i="1"/>
  <c r="R3406" i="1"/>
  <c r="R3552" i="1"/>
  <c r="R1792" i="1"/>
  <c r="R2479" i="1"/>
  <c r="R3103" i="1"/>
  <c r="R2941" i="1"/>
  <c r="R3013" i="1"/>
  <c r="R3511" i="1"/>
  <c r="R3043" i="1"/>
  <c r="R3284" i="1"/>
  <c r="R3362" i="1"/>
  <c r="R3553" i="1"/>
  <c r="R3664" i="1"/>
  <c r="R2110" i="1"/>
  <c r="R2906" i="1"/>
  <c r="R2954" i="1"/>
  <c r="R3138" i="1"/>
  <c r="R3468" i="1"/>
  <c r="R3598" i="1"/>
  <c r="R2245" i="1"/>
  <c r="R3619" i="1"/>
  <c r="R3798" i="1"/>
  <c r="R3131" i="1"/>
  <c r="R3725" i="1"/>
  <c r="R3723" i="1"/>
  <c r="R2218" i="1"/>
  <c r="R3404" i="1"/>
  <c r="R3639" i="1"/>
  <c r="R3827" i="1"/>
  <c r="R3762" i="1"/>
  <c r="R3866" i="1"/>
  <c r="R2308" i="1"/>
  <c r="R3581" i="1"/>
  <c r="R3781" i="1"/>
  <c r="R3848" i="1"/>
  <c r="R3780" i="1"/>
  <c r="R3787" i="1"/>
  <c r="R3838" i="1"/>
  <c r="R3935" i="1"/>
  <c r="R3365" i="1"/>
  <c r="R3647" i="1"/>
  <c r="R3738" i="1"/>
  <c r="R3196" i="1"/>
  <c r="R3503" i="1"/>
  <c r="R3755" i="1"/>
  <c r="R3933" i="1"/>
  <c r="R3549" i="1"/>
  <c r="R3709" i="1"/>
  <c r="R722" i="1"/>
  <c r="R3264" i="1"/>
  <c r="R3354" i="1"/>
  <c r="R3595" i="1"/>
  <c r="R3704" i="1"/>
  <c r="R3732" i="1"/>
  <c r="R922" i="1"/>
  <c r="R1715" i="1"/>
  <c r="R1740" i="1"/>
  <c r="R1202" i="1"/>
  <c r="R1016" i="1"/>
  <c r="R1920" i="1"/>
  <c r="R1854" i="1"/>
  <c r="R2487" i="1"/>
  <c r="R2243" i="1"/>
  <c r="R3600" i="1"/>
  <c r="R3020" i="1"/>
  <c r="R3318" i="1"/>
  <c r="R3115" i="1"/>
  <c r="R3685" i="1"/>
  <c r="R3905" i="1"/>
  <c r="R3190" i="1"/>
  <c r="R2804" i="1"/>
  <c r="R750" i="1"/>
  <c r="R1163" i="1"/>
  <c r="R1132" i="1"/>
  <c r="R1360" i="1"/>
  <c r="R1844" i="1"/>
  <c r="R1813" i="1"/>
  <c r="R1413" i="1"/>
  <c r="R1342" i="1"/>
  <c r="R2412" i="1"/>
  <c r="R1806" i="1"/>
  <c r="R3119" i="1"/>
  <c r="R3494" i="1"/>
  <c r="R3381" i="1"/>
  <c r="R3592" i="1"/>
  <c r="R2333" i="1"/>
  <c r="R3249" i="1"/>
  <c r="R3567" i="1"/>
  <c r="R769" i="1"/>
  <c r="R765" i="1"/>
  <c r="R1096" i="1"/>
  <c r="R926" i="1"/>
  <c r="R892" i="1"/>
  <c r="R1053" i="1"/>
  <c r="R1657" i="1"/>
  <c r="R958" i="1"/>
  <c r="R1455" i="1"/>
  <c r="R975" i="1"/>
  <c r="R832" i="1"/>
  <c r="R904" i="1"/>
  <c r="R1037" i="1"/>
  <c r="R1193" i="1"/>
  <c r="R919" i="1"/>
  <c r="R1027" i="1"/>
  <c r="R1237" i="1"/>
  <c r="R1555" i="1"/>
  <c r="R1431" i="1"/>
  <c r="R1505" i="1"/>
  <c r="R1816" i="1"/>
  <c r="R1548" i="1"/>
  <c r="R1731" i="1"/>
  <c r="R1849" i="1"/>
  <c r="R1386" i="1"/>
  <c r="R1578" i="1"/>
  <c r="R1611" i="1"/>
  <c r="R1735" i="1"/>
  <c r="R1500" i="1"/>
  <c r="R1437" i="1"/>
  <c r="R1590" i="1"/>
  <c r="R1679" i="1"/>
  <c r="R1794" i="1"/>
  <c r="R1699" i="1"/>
  <c r="R1901" i="1"/>
  <c r="R1822" i="1"/>
  <c r="R1617" i="1"/>
  <c r="R2661" i="1"/>
  <c r="R2062" i="1"/>
  <c r="R2330" i="1"/>
  <c r="R2715" i="1"/>
  <c r="R2146" i="1"/>
  <c r="R2161" i="1"/>
  <c r="R2573" i="1"/>
  <c r="R2543" i="1"/>
  <c r="R2231" i="1"/>
  <c r="R2226" i="1"/>
  <c r="R2233" i="1"/>
  <c r="R2777" i="1"/>
  <c r="R2739" i="1"/>
  <c r="R2878" i="1"/>
  <c r="R2012" i="1"/>
  <c r="R2365" i="1"/>
  <c r="R3101" i="1"/>
  <c r="R3132" i="1"/>
  <c r="R3360" i="1"/>
  <c r="R3541" i="1"/>
  <c r="R2529" i="1"/>
  <c r="R2760" i="1"/>
  <c r="R2931" i="1"/>
  <c r="R3153" i="1"/>
  <c r="R3159" i="1"/>
  <c r="R3574" i="1"/>
  <c r="R3011" i="1"/>
  <c r="R2945" i="1"/>
  <c r="R3057" i="1"/>
  <c r="R3176" i="1"/>
  <c r="R3295" i="1"/>
  <c r="R3402" i="1"/>
  <c r="R1793" i="1"/>
  <c r="R3470" i="1"/>
  <c r="R2833" i="1"/>
  <c r="R3055" i="1"/>
  <c r="R3253" i="1"/>
  <c r="R3267" i="1"/>
  <c r="R3252" i="1"/>
  <c r="R3098" i="1"/>
  <c r="R2892" i="1"/>
  <c r="R3099" i="1"/>
  <c r="R3172" i="1"/>
  <c r="R3408" i="1"/>
  <c r="R3509" i="1"/>
  <c r="R3672" i="1"/>
  <c r="R2271" i="1"/>
  <c r="R2959" i="1"/>
  <c r="R3212" i="1"/>
  <c r="R3414" i="1"/>
  <c r="R3610" i="1"/>
  <c r="R3691" i="1"/>
  <c r="R3831" i="1"/>
  <c r="R3750" i="1"/>
  <c r="R3774" i="1"/>
  <c r="R3925" i="1"/>
  <c r="R794" i="1"/>
  <c r="R2898" i="1"/>
  <c r="R3247" i="1"/>
  <c r="R3783" i="1"/>
  <c r="R3765" i="1"/>
  <c r="R3403" i="1"/>
  <c r="R3659" i="1"/>
  <c r="R3792" i="1"/>
  <c r="R3869" i="1"/>
  <c r="R3805" i="1"/>
  <c r="R3890" i="1"/>
  <c r="R3888" i="1"/>
  <c r="R2331" i="1"/>
  <c r="R3546" i="1"/>
  <c r="R3799" i="1"/>
  <c r="R2994" i="1"/>
  <c r="R3474" i="1"/>
  <c r="R3629" i="1"/>
  <c r="R3380" i="1"/>
  <c r="R3936" i="1"/>
  <c r="R3210" i="1"/>
  <c r="R3506" i="1"/>
  <c r="R3839" i="1"/>
  <c r="R3260" i="1"/>
  <c r="R3880" i="1"/>
  <c r="R3879" i="1"/>
  <c r="R3877" i="1"/>
  <c r="R3878" i="1"/>
  <c r="R3876" i="1"/>
  <c r="R3499" i="1"/>
  <c r="R3696" i="1"/>
  <c r="R3800" i="1"/>
  <c r="R3924" i="1"/>
  <c r="R3263" i="1"/>
  <c r="R3918" i="1"/>
  <c r="R3739" i="1"/>
  <c r="R3105" i="1"/>
  <c r="R789" i="1"/>
  <c r="R821" i="1"/>
  <c r="R771" i="1"/>
  <c r="R996" i="1"/>
  <c r="R939" i="1"/>
  <c r="R1212" i="1"/>
  <c r="R885" i="1"/>
  <c r="R851" i="1"/>
  <c r="R1246" i="1"/>
  <c r="R1272" i="1"/>
  <c r="R1491" i="1"/>
  <c r="R1662" i="1"/>
  <c r="R1249" i="1"/>
  <c r="R2191" i="1"/>
  <c r="R2652" i="1"/>
  <c r="R2962" i="1"/>
  <c r="R3658" i="1"/>
  <c r="R3231" i="1"/>
  <c r="R3578" i="1"/>
  <c r="R3603" i="1"/>
  <c r="R3794" i="1"/>
  <c r="R3675" i="1"/>
  <c r="R3808" i="1"/>
  <c r="R3911" i="1"/>
  <c r="R3791" i="1"/>
  <c r="R741" i="1"/>
  <c r="R934" i="1"/>
  <c r="R1177" i="1"/>
  <c r="R1102" i="1"/>
  <c r="R1658" i="1"/>
  <c r="R1703" i="1"/>
  <c r="R2296" i="1"/>
  <c r="R1706" i="1"/>
  <c r="R1510" i="1"/>
  <c r="R1871" i="1"/>
  <c r="R2075" i="1"/>
  <c r="R1461" i="1"/>
  <c r="R2183" i="1"/>
  <c r="R2657" i="1"/>
  <c r="R2857" i="1"/>
  <c r="R2939" i="1"/>
  <c r="R2917" i="1"/>
  <c r="R2948" i="1"/>
  <c r="R2979" i="1"/>
  <c r="R1680" i="1"/>
  <c r="R3601" i="1"/>
  <c r="R3776" i="1"/>
  <c r="R3873" i="1"/>
  <c r="R3356" i="1"/>
  <c r="R3807" i="1"/>
  <c r="R3747" i="1"/>
  <c r="R3715" i="1"/>
  <c r="R3874" i="1"/>
  <c r="R788" i="1"/>
  <c r="R1084" i="1"/>
  <c r="R946" i="1"/>
  <c r="R858" i="1"/>
  <c r="R899" i="1"/>
  <c r="R1182" i="1"/>
  <c r="R1174" i="1"/>
  <c r="R864" i="1"/>
  <c r="R1214" i="1"/>
  <c r="R1179" i="1"/>
  <c r="R831" i="1"/>
  <c r="R1718" i="1"/>
  <c r="R802" i="1"/>
  <c r="R772" i="1"/>
  <c r="R773" i="1"/>
  <c r="R866" i="1"/>
  <c r="R1120" i="1"/>
  <c r="R1469" i="1"/>
  <c r="R1020" i="1"/>
  <c r="R1051" i="1"/>
  <c r="R1066" i="1"/>
  <c r="R1018" i="1"/>
  <c r="R883" i="1"/>
  <c r="R1081" i="1"/>
  <c r="R1077" i="1"/>
  <c r="R918" i="1"/>
  <c r="R828" i="1"/>
  <c r="R1213" i="1"/>
  <c r="R1464" i="1"/>
  <c r="R1681" i="1"/>
  <c r="R1167" i="1"/>
  <c r="R1384" i="1"/>
  <c r="R1765" i="1"/>
  <c r="R1924" i="1"/>
  <c r="R2042" i="1"/>
  <c r="R1879" i="1"/>
  <c r="R1878" i="1"/>
  <c r="R829" i="1"/>
  <c r="R1295" i="1"/>
  <c r="R1348" i="1"/>
  <c r="R1870" i="1"/>
  <c r="R2131" i="1"/>
  <c r="R2175" i="1"/>
  <c r="R1334" i="1"/>
  <c r="R1300" i="1"/>
  <c r="R1691" i="1"/>
  <c r="R1999" i="1"/>
  <c r="R1911" i="1"/>
  <c r="R1085" i="1"/>
  <c r="R1481" i="1"/>
  <c r="R1340" i="1"/>
  <c r="R1777" i="1"/>
  <c r="R1026" i="1"/>
  <c r="R1261" i="1"/>
  <c r="R1260" i="1"/>
  <c r="R1082" i="1"/>
  <c r="R1322" i="1"/>
  <c r="R1861" i="1"/>
  <c r="R1439" i="1"/>
  <c r="R1734" i="1"/>
  <c r="R1887" i="1"/>
  <c r="R2006" i="1"/>
  <c r="R1368" i="1"/>
  <c r="R1560" i="1"/>
  <c r="R2400" i="1"/>
  <c r="R2169" i="1"/>
  <c r="R2824" i="1"/>
  <c r="R2838" i="1"/>
  <c r="R2955" i="1"/>
  <c r="R2257" i="1"/>
  <c r="R2482" i="1"/>
  <c r="R2576" i="1"/>
  <c r="R1358" i="1"/>
  <c r="R1583" i="1"/>
  <c r="R2350" i="1"/>
  <c r="R2343" i="1"/>
  <c r="R2263" i="1"/>
  <c r="R2471" i="1"/>
  <c r="R2793" i="1"/>
  <c r="R2492" i="1"/>
  <c r="R1820" i="1"/>
  <c r="R2725" i="1"/>
  <c r="R2141" i="1"/>
  <c r="R2021" i="1"/>
  <c r="R2456" i="1"/>
  <c r="R2746" i="1"/>
  <c r="R2671" i="1"/>
  <c r="R1898" i="1"/>
  <c r="R2584" i="1"/>
  <c r="R2577" i="1"/>
  <c r="R2675" i="1"/>
  <c r="R2575" i="1"/>
  <c r="R2413" i="1"/>
  <c r="R2716" i="1"/>
  <c r="R3394" i="1"/>
  <c r="R3008" i="1"/>
  <c r="R2649" i="1"/>
  <c r="R2909" i="1"/>
  <c r="R3409" i="1"/>
  <c r="R3407" i="1"/>
  <c r="R754" i="1"/>
  <c r="R759" i="1"/>
  <c r="R799" i="1"/>
  <c r="R739" i="1"/>
  <c r="R825" i="1"/>
  <c r="R717" i="1"/>
  <c r="R810" i="1"/>
  <c r="R970" i="1"/>
  <c r="R1173" i="1"/>
  <c r="R900" i="1"/>
  <c r="R1144" i="1"/>
  <c r="R1485" i="1"/>
  <c r="R1090" i="1"/>
  <c r="R937" i="1"/>
  <c r="R1217" i="1"/>
  <c r="R1125" i="1"/>
  <c r="R1129" i="1"/>
  <c r="R987" i="1"/>
  <c r="R916" i="1"/>
  <c r="R1198" i="1"/>
  <c r="R841" i="1"/>
  <c r="R930" i="1"/>
  <c r="R1192" i="1"/>
  <c r="R1023" i="1"/>
  <c r="R931" i="1"/>
  <c r="R876" i="1"/>
  <c r="R853" i="1"/>
  <c r="R1211" i="1"/>
  <c r="R1253" i="1"/>
  <c r="R1236" i="1"/>
  <c r="R1488" i="1"/>
  <c r="R1443" i="1"/>
  <c r="R1801" i="1"/>
  <c r="R1075" i="1"/>
  <c r="R1541" i="1"/>
  <c r="R1299" i="1"/>
  <c r="R1396" i="1"/>
  <c r="R1523" i="1"/>
  <c r="R1761" i="1"/>
  <c r="R1635" i="1"/>
  <c r="R1863" i="1"/>
  <c r="R2066" i="1"/>
  <c r="R2129" i="1"/>
  <c r="R1313" i="1"/>
  <c r="R1468" i="1"/>
  <c r="R1933" i="1"/>
  <c r="R1967" i="1"/>
  <c r="R1996" i="1"/>
  <c r="R1025" i="1"/>
  <c r="R1345" i="1"/>
  <c r="R1742" i="1"/>
  <c r="R1398" i="1"/>
  <c r="R1701" i="1"/>
  <c r="R1623" i="1"/>
  <c r="R1817" i="1"/>
  <c r="R1216" i="1"/>
  <c r="R1318" i="1"/>
  <c r="R1851" i="1"/>
  <c r="R1834" i="1"/>
  <c r="R2022" i="1"/>
  <c r="R880" i="1"/>
  <c r="R1497" i="1"/>
  <c r="R1589" i="1"/>
  <c r="R1277" i="1"/>
  <c r="R1276" i="1"/>
  <c r="R1518" i="1"/>
  <c r="R1449" i="1"/>
  <c r="R1602" i="1"/>
  <c r="R1923" i="1"/>
  <c r="R1083" i="1"/>
  <c r="R1475" i="1"/>
  <c r="R1900" i="1"/>
  <c r="R2123" i="1"/>
  <c r="R1171" i="1"/>
  <c r="R1288" i="1"/>
  <c r="R1480" i="1"/>
  <c r="R1451" i="1"/>
  <c r="R1799" i="1"/>
  <c r="R2030" i="1"/>
  <c r="R1224" i="1"/>
  <c r="R1349" i="1"/>
  <c r="R1501" i="1"/>
  <c r="R1380" i="1"/>
  <c r="R1674" i="1"/>
  <c r="R1810" i="1"/>
  <c r="R2448" i="1"/>
  <c r="R2639" i="1"/>
  <c r="R1645" i="1"/>
  <c r="R1912" i="1"/>
  <c r="R2372" i="1"/>
  <c r="R2569" i="1"/>
  <c r="R2620" i="1"/>
  <c r="R2660" i="1"/>
  <c r="R2864" i="1"/>
  <c r="R1370" i="1"/>
  <c r="R1595" i="1"/>
  <c r="R2055" i="1"/>
  <c r="R2260" i="1"/>
  <c r="R2160" i="1"/>
  <c r="R2422" i="1"/>
  <c r="R2379" i="1"/>
  <c r="R2868" i="1"/>
  <c r="R2305" i="1"/>
  <c r="R2145" i="1"/>
  <c r="R2449" i="1"/>
  <c r="R2665" i="1"/>
  <c r="R2493" i="1"/>
  <c r="R1711" i="1"/>
  <c r="R2693" i="1"/>
  <c r="R2269" i="1"/>
  <c r="R2394" i="1"/>
  <c r="R2781" i="1"/>
  <c r="R2605" i="1"/>
  <c r="R2070" i="1"/>
  <c r="R2523" i="1"/>
  <c r="R2738" i="1"/>
  <c r="R2417" i="1"/>
  <c r="R2431" i="1"/>
  <c r="R2791" i="1"/>
  <c r="R2788" i="1"/>
  <c r="R2790" i="1"/>
  <c r="R1848" i="1"/>
  <c r="R2314" i="1"/>
  <c r="R2504" i="1"/>
  <c r="R2795" i="1"/>
  <c r="R3465" i="1"/>
  <c r="R3388" i="1"/>
  <c r="R2574" i="1"/>
  <c r="R2991" i="1"/>
  <c r="R3389" i="1"/>
  <c r="R3387" i="1"/>
  <c r="R3221" i="1"/>
  <c r="R3429" i="1"/>
  <c r="R3491" i="1"/>
  <c r="R3593" i="1"/>
  <c r="R3614" i="1"/>
  <c r="R1773" i="1"/>
  <c r="R2425" i="1"/>
  <c r="R2768" i="1"/>
  <c r="R2798" i="1"/>
  <c r="R3064" i="1"/>
  <c r="R3396" i="1"/>
  <c r="R3565" i="1"/>
  <c r="R3668" i="1"/>
  <c r="R2759" i="1"/>
  <c r="R3121" i="1"/>
  <c r="R3158" i="1"/>
  <c r="R3457" i="1"/>
  <c r="R2850" i="1"/>
  <c r="R2938" i="1"/>
  <c r="R3060" i="1"/>
  <c r="R3191" i="1"/>
  <c r="R3351" i="1"/>
  <c r="R3471" i="1"/>
  <c r="R2995" i="1"/>
  <c r="R3195" i="1"/>
  <c r="R3135" i="1"/>
  <c r="R2947" i="1"/>
  <c r="R2891" i="1"/>
  <c r="R3052" i="1"/>
  <c r="R3140" i="1"/>
  <c r="R3266" i="1"/>
  <c r="R3495" i="1"/>
  <c r="R3626" i="1"/>
  <c r="R3111" i="1"/>
  <c r="R3251" i="1"/>
  <c r="R3661" i="1"/>
  <c r="R3130" i="1"/>
  <c r="R3510" i="1"/>
  <c r="R3602" i="1"/>
  <c r="R3693" i="1"/>
  <c r="R3884" i="1"/>
  <c r="R740" i="1"/>
  <c r="R2897" i="1"/>
  <c r="R3906" i="1"/>
  <c r="R3694" i="1"/>
  <c r="R3767" i="1"/>
  <c r="R3910" i="1"/>
  <c r="R3528" i="1"/>
  <c r="R3733" i="1"/>
  <c r="R3716" i="1"/>
  <c r="R3886" i="1"/>
  <c r="R3570" i="1"/>
  <c r="R3628" i="1"/>
  <c r="R3727" i="1"/>
  <c r="R3852" i="1"/>
  <c r="R3559" i="1"/>
  <c r="R3530" i="1"/>
  <c r="R3711" i="1"/>
  <c r="R3849" i="1"/>
  <c r="R3473" i="1"/>
  <c r="R3472" i="1"/>
  <c r="R3630" i="1"/>
  <c r="R3895" i="1"/>
  <c r="R3811" i="1"/>
  <c r="R3433" i="1"/>
  <c r="R3520" i="1"/>
  <c r="R3881" i="1"/>
  <c r="R3352" i="1"/>
  <c r="R3498" i="1"/>
  <c r="R3771" i="1"/>
  <c r="R3923" i="1"/>
  <c r="R3683" i="1"/>
  <c r="R3597" i="1"/>
  <c r="R3710" i="1"/>
  <c r="R3749" i="1"/>
  <c r="R3929" i="1"/>
  <c r="R3753" i="1"/>
  <c r="R2508" i="1"/>
  <c r="R878" i="1"/>
  <c r="R1012" i="1"/>
  <c r="R1756" i="1"/>
  <c r="R1326" i="1"/>
  <c r="R1453" i="1"/>
  <c r="R2190" i="1"/>
  <c r="R3590" i="1"/>
  <c r="R2459" i="1"/>
  <c r="R2923" i="1"/>
  <c r="R3017" i="1"/>
  <c r="R3544" i="1"/>
  <c r="R3882" i="1"/>
  <c r="R3652" i="1"/>
  <c r="R1033" i="1"/>
  <c r="R1008" i="1"/>
  <c r="R1072" i="1"/>
  <c r="R1407" i="1"/>
  <c r="R1286" i="1"/>
  <c r="R1415" i="1"/>
  <c r="R1460" i="1"/>
  <c r="R2563" i="1"/>
  <c r="R2491" i="1"/>
  <c r="R2164" i="1"/>
  <c r="R2176" i="1"/>
  <c r="R2356" i="1"/>
  <c r="R2700" i="1"/>
  <c r="R3040" i="1"/>
  <c r="R3262" i="1"/>
  <c r="R2240" i="1"/>
  <c r="R2246" i="1"/>
  <c r="R2309" i="1"/>
  <c r="R806" i="1"/>
  <c r="R816" i="1"/>
  <c r="R798" i="1"/>
  <c r="R716" i="1"/>
  <c r="R1150" i="1"/>
  <c r="R982" i="1"/>
  <c r="R868" i="1"/>
  <c r="R1114" i="1"/>
  <c r="R999" i="1"/>
  <c r="R1169" i="1"/>
  <c r="R1030" i="1"/>
  <c r="R943" i="1"/>
  <c r="R1208" i="1"/>
  <c r="R896" i="1"/>
  <c r="R1073" i="1"/>
  <c r="R1269" i="1"/>
  <c r="R1252" i="1"/>
  <c r="R1509" i="1"/>
  <c r="R1836" i="1"/>
  <c r="R1814" i="1"/>
  <c r="R1408" i="1"/>
  <c r="R1331" i="1"/>
  <c r="R1463" i="1"/>
  <c r="R1492" i="1"/>
  <c r="R1474" i="1"/>
  <c r="R1855" i="1"/>
  <c r="R1410" i="1"/>
  <c r="R1508" i="1"/>
  <c r="R1630" i="1"/>
  <c r="R1883" i="1"/>
  <c r="R2047" i="1"/>
  <c r="R2201" i="1"/>
  <c r="R1336" i="1"/>
  <c r="R1722" i="1"/>
  <c r="R1907" i="1"/>
  <c r="R1948" i="1"/>
  <c r="R1850" i="1"/>
  <c r="R2048" i="1"/>
  <c r="R1818" i="1"/>
  <c r="R1569" i="1"/>
  <c r="R1641" i="1"/>
  <c r="R1644" i="1"/>
  <c r="R1676" i="1"/>
  <c r="R1543" i="1"/>
  <c r="R1642" i="1"/>
  <c r="R1614" i="1"/>
  <c r="R1921" i="1"/>
  <c r="R1842" i="1"/>
  <c r="R1499" i="1"/>
  <c r="R1737" i="1"/>
  <c r="R1789" i="1"/>
  <c r="R1965" i="1"/>
  <c r="R1881" i="1"/>
  <c r="R838" i="1"/>
  <c r="R1306" i="1"/>
  <c r="R1457" i="1"/>
  <c r="R1503" i="1"/>
  <c r="R2056" i="1"/>
  <c r="R1047" i="1"/>
  <c r="R1339" i="1"/>
  <c r="R1456" i="1"/>
  <c r="R1519" i="1"/>
  <c r="R1392" i="1"/>
  <c r="R1894" i="1"/>
  <c r="R2008" i="1"/>
  <c r="R2177" i="1"/>
  <c r="R2153" i="1"/>
  <c r="R2466" i="1"/>
  <c r="R2651" i="1"/>
  <c r="R1831" i="1"/>
  <c r="R2234" i="1"/>
  <c r="R1357" i="1"/>
  <c r="R1997" i="1"/>
  <c r="R2381" i="1"/>
  <c r="R2644" i="1"/>
  <c r="R2710" i="1"/>
  <c r="R1382" i="1"/>
  <c r="R1607" i="1"/>
  <c r="R2074" i="1"/>
  <c r="R2017" i="1"/>
  <c r="R2027" i="1"/>
  <c r="R2034" i="1"/>
  <c r="R2037" i="1"/>
  <c r="R2036" i="1"/>
  <c r="R2015" i="1"/>
  <c r="R2072" i="1"/>
  <c r="R2011" i="1"/>
  <c r="R2299" i="1"/>
  <c r="R2437" i="1"/>
  <c r="R2696" i="1"/>
  <c r="R2819" i="1"/>
  <c r="R2860" i="1"/>
  <c r="R2370" i="1"/>
  <c r="R2130" i="1"/>
  <c r="R2476" i="1"/>
  <c r="R2440" i="1"/>
  <c r="R2444" i="1"/>
  <c r="R2517" i="1"/>
  <c r="R2844" i="1"/>
  <c r="R1489" i="1"/>
  <c r="R1826" i="1"/>
  <c r="R2138" i="1"/>
  <c r="R2450" i="1"/>
  <c r="R2256" i="1"/>
  <c r="R2399" i="1"/>
  <c r="R2461" i="1"/>
  <c r="R2870" i="1"/>
  <c r="R2304" i="1"/>
  <c r="R2172" i="1"/>
  <c r="R2171" i="1"/>
  <c r="R2368" i="1"/>
  <c r="R2221" i="1"/>
  <c r="R2069" i="1"/>
  <c r="R2636" i="1"/>
  <c r="R2427" i="1"/>
  <c r="R2485" i="1"/>
  <c r="R2547" i="1"/>
  <c r="R2826" i="1"/>
  <c r="R1218" i="1"/>
  <c r="R1314" i="1"/>
  <c r="R1995" i="1"/>
  <c r="R2614" i="1"/>
  <c r="R1577" i="1"/>
  <c r="R2386" i="1"/>
  <c r="R2397" i="1"/>
  <c r="R2505" i="1"/>
  <c r="R2292" i="1"/>
  <c r="R3224" i="1"/>
  <c r="R2990" i="1"/>
  <c r="R2988" i="1"/>
  <c r="R2987" i="1"/>
  <c r="R3113" i="1"/>
  <c r="R3326" i="1"/>
  <c r="R3392" i="1"/>
  <c r="R2827" i="1"/>
  <c r="R2903" i="1"/>
  <c r="R3019" i="1"/>
  <c r="R3625" i="1"/>
  <c r="R2692" i="1"/>
  <c r="R2915" i="1"/>
  <c r="R3141" i="1"/>
  <c r="R3648" i="1"/>
  <c r="R2323" i="1"/>
  <c r="R2929" i="1"/>
  <c r="R3022" i="1"/>
  <c r="R3555" i="1"/>
  <c r="R2927" i="1"/>
  <c r="R3090" i="1"/>
  <c r="R3049" i="1"/>
  <c r="R3194" i="1"/>
  <c r="R2159" i="1"/>
  <c r="R3050" i="1"/>
  <c r="R3045" i="1"/>
  <c r="R3012" i="1"/>
  <c r="R3278" i="1"/>
  <c r="R3368" i="1"/>
  <c r="R3461" i="1"/>
  <c r="R2847" i="1"/>
  <c r="R3165" i="1"/>
  <c r="R3294" i="1"/>
  <c r="R2353" i="1"/>
  <c r="R2512" i="1"/>
  <c r="R3173" i="1"/>
  <c r="R3669" i="1"/>
  <c r="R2859" i="1"/>
  <c r="R3129" i="1"/>
  <c r="R3517" i="1"/>
  <c r="R2973" i="1"/>
  <c r="R2554" i="1"/>
  <c r="R3769" i="1"/>
  <c r="R3504" i="1"/>
  <c r="R3571" i="1"/>
  <c r="R3896" i="1"/>
  <c r="R3585" i="1"/>
  <c r="R2383" i="1"/>
  <c r="R3124" i="1"/>
  <c r="R3529" i="1"/>
  <c r="R3900" i="1"/>
  <c r="R3734" i="1"/>
  <c r="R3893" i="1"/>
  <c r="R3418" i="1"/>
  <c r="R3679" i="1"/>
  <c r="R3432" i="1"/>
  <c r="R3431" i="1"/>
  <c r="R3550" i="1"/>
  <c r="R3609" i="1"/>
  <c r="R3846" i="1"/>
  <c r="R3016" i="1"/>
  <c r="R3830" i="1"/>
  <c r="R3926" i="1"/>
  <c r="R3751" i="1"/>
  <c r="R3778" i="1"/>
  <c r="R3745" i="1"/>
  <c r="R3859" i="1"/>
  <c r="R2366" i="1"/>
  <c r="R3076" i="1"/>
  <c r="R3463" i="1"/>
  <c r="R3833" i="1"/>
  <c r="R718" i="1"/>
  <c r="R3014" i="1"/>
  <c r="R3638" i="1"/>
  <c r="R817" i="1"/>
  <c r="R751" i="1"/>
  <c r="R1034" i="1"/>
  <c r="R2634" i="1"/>
  <c r="R980" i="1"/>
  <c r="R1575" i="1"/>
  <c r="R1064" i="1"/>
  <c r="R1507" i="1"/>
  <c r="R1889" i="1"/>
  <c r="R1694" i="1"/>
  <c r="R1270" i="1"/>
  <c r="R1675" i="1"/>
  <c r="R1264" i="1"/>
  <c r="R1581" i="1"/>
  <c r="R2770" i="1"/>
  <c r="R2520" i="1"/>
  <c r="R2560" i="1"/>
  <c r="R2429" i="1"/>
  <c r="R3161" i="1"/>
  <c r="R3758" i="1"/>
  <c r="R3867" i="1"/>
  <c r="R3564" i="1"/>
  <c r="R3916" i="1"/>
  <c r="R3934" i="1"/>
  <c r="R1189" i="1"/>
  <c r="R1262" i="1"/>
  <c r="R1070" i="1"/>
  <c r="R1362" i="1"/>
  <c r="R1587" i="1"/>
  <c r="R1709" i="1"/>
  <c r="R1724" i="1"/>
  <c r="R1812" i="1"/>
  <c r="R1705" i="1"/>
  <c r="R2376" i="1"/>
  <c r="R2643" i="1"/>
  <c r="R2499" i="1"/>
  <c r="R3063" i="1"/>
  <c r="R3123" i="1"/>
  <c r="R3415" i="1"/>
  <c r="R3612" i="1"/>
  <c r="R2719" i="1"/>
  <c r="R2849" i="1"/>
  <c r="R3244" i="1"/>
  <c r="R3225" i="1"/>
  <c r="R3722" i="1"/>
  <c r="R3786" i="1"/>
  <c r="R2922" i="1"/>
  <c r="R3646" i="1"/>
  <c r="R3779" i="1"/>
  <c r="R738" i="1"/>
  <c r="R935" i="1"/>
  <c r="R912" i="1"/>
  <c r="R1160" i="1"/>
  <c r="R921" i="1"/>
  <c r="R1545" i="1"/>
  <c r="R1470" i="1"/>
  <c r="R1867" i="1"/>
  <c r="R1865" i="1"/>
  <c r="R1866" i="1"/>
  <c r="R1074" i="1"/>
  <c r="R736" i="1"/>
  <c r="R776" i="1"/>
  <c r="R790" i="1"/>
  <c r="R924" i="1"/>
  <c r="R1573" i="1"/>
  <c r="R1044" i="1"/>
  <c r="R1138" i="1"/>
  <c r="R961" i="1"/>
  <c r="R955" i="1"/>
  <c r="R1107" i="1"/>
  <c r="R908" i="1"/>
  <c r="R1527" i="1"/>
  <c r="R1335" i="1"/>
  <c r="R1512" i="1"/>
  <c r="R1498" i="1"/>
  <c r="R1422" i="1"/>
  <c r="R1664" i="1"/>
  <c r="R1411" i="1"/>
  <c r="R1105" i="1"/>
  <c r="R1049" i="1"/>
  <c r="R2622" i="1"/>
  <c r="R1626" i="1"/>
  <c r="R1785" i="1"/>
  <c r="R1987" i="1"/>
  <c r="R2128" i="1"/>
  <c r="R1188" i="1"/>
  <c r="R1875" i="1"/>
  <c r="R1354" i="1"/>
  <c r="R2032" i="1"/>
  <c r="R1922" i="1"/>
  <c r="R2699" i="1"/>
  <c r="R1394" i="1"/>
  <c r="R2300" i="1"/>
  <c r="R1540" i="1"/>
  <c r="R1882" i="1"/>
  <c r="R2209" i="1"/>
  <c r="R2163" i="1"/>
  <c r="R2197" i="1"/>
  <c r="R2483" i="1"/>
  <c r="R2612" i="1"/>
  <c r="R2541" i="1"/>
  <c r="R1341" i="1"/>
  <c r="R1943" i="1"/>
  <c r="R2462" i="1"/>
  <c r="R2436" i="1"/>
  <c r="R2477" i="1"/>
  <c r="R2057" i="1"/>
  <c r="R2613" i="1"/>
  <c r="R2733" i="1"/>
  <c r="R3100" i="1"/>
  <c r="R3126" i="1"/>
  <c r="R2321" i="1"/>
  <c r="R3109" i="1"/>
  <c r="R3531" i="1"/>
  <c r="R2494" i="1"/>
  <c r="R3348" i="1"/>
  <c r="R3623" i="1"/>
  <c r="R2766" i="1"/>
  <c r="R2402" i="1"/>
  <c r="R3449" i="1"/>
  <c r="R2690" i="1"/>
  <c r="R3116" i="1"/>
  <c r="R3427" i="1"/>
  <c r="R3677" i="1"/>
  <c r="R2837" i="1"/>
  <c r="R3085" i="1"/>
  <c r="R3379" i="1"/>
  <c r="R3670" i="1"/>
  <c r="R3686" i="1"/>
  <c r="R2553" i="1"/>
  <c r="R3023" i="1"/>
  <c r="R3654" i="1"/>
  <c r="R3797" i="1"/>
  <c r="R3891" i="1"/>
  <c r="R3616" i="1"/>
  <c r="R3864" i="1"/>
  <c r="R3186" i="1"/>
  <c r="R3466" i="1"/>
  <c r="R3532" i="1"/>
  <c r="R3796" i="1"/>
  <c r="R3447" i="1"/>
  <c r="R3785" i="1"/>
  <c r="R767" i="1"/>
  <c r="R3523" i="1"/>
  <c r="R3417" i="1"/>
  <c r="R3857" i="1"/>
  <c r="R3700" i="1"/>
  <c r="R3741" i="1"/>
  <c r="R737" i="1"/>
  <c r="R2800" i="1"/>
  <c r="R3440" i="1"/>
  <c r="R3075" i="1"/>
  <c r="R3143" i="1"/>
  <c r="R3663" i="1"/>
  <c r="R3519" i="1"/>
  <c r="R3637" i="1"/>
  <c r="R3633" i="1"/>
  <c r="R3748" i="1"/>
  <c r="R2275" i="1"/>
  <c r="R3558" i="1"/>
  <c r="R743" i="1"/>
  <c r="R1203" i="1"/>
  <c r="R1005" i="1"/>
  <c r="R1696" i="1"/>
  <c r="R1621" i="1"/>
  <c r="R2114" i="1"/>
  <c r="R1401" i="1"/>
  <c r="R1403" i="1"/>
  <c r="R2112" i="1"/>
  <c r="R1139" i="1"/>
  <c r="R2526" i="1"/>
  <c r="R2566" i="1"/>
  <c r="R2182" i="1"/>
  <c r="R2840" i="1"/>
  <c r="R1068" i="1"/>
  <c r="R2757" i="1"/>
  <c r="R3341" i="1"/>
  <c r="R3005" i="1"/>
  <c r="R3164" i="1"/>
  <c r="R2435" i="1"/>
  <c r="R3914" i="1"/>
  <c r="R3645" i="1"/>
  <c r="R3270" i="1"/>
  <c r="R762" i="1"/>
  <c r="R1043" i="1"/>
  <c r="R1071" i="1"/>
  <c r="R895" i="1"/>
  <c r="R884" i="1"/>
  <c r="R1007" i="1"/>
  <c r="R1100" i="1"/>
  <c r="R1750" i="1"/>
  <c r="R2369" i="1"/>
  <c r="R2667" i="1"/>
  <c r="R2460" i="1"/>
  <c r="R2236" i="1"/>
  <c r="R3526" i="1"/>
  <c r="R2111" i="1"/>
  <c r="R3712" i="1"/>
  <c r="R3037" i="1"/>
  <c r="R3640" i="1"/>
  <c r="R3901" i="1"/>
  <c r="R807" i="1"/>
  <c r="R1553" i="1"/>
  <c r="R1148" i="1"/>
  <c r="R852" i="1"/>
  <c r="R928" i="1"/>
  <c r="R834" i="1"/>
  <c r="R889" i="1"/>
  <c r="R942" i="1"/>
  <c r="R1038" i="1"/>
  <c r="R809" i="1"/>
  <c r="R796" i="1"/>
  <c r="R778" i="1"/>
  <c r="R1162" i="1"/>
  <c r="R994" i="1"/>
  <c r="R1113" i="1"/>
  <c r="R1065" i="1"/>
  <c r="R856" i="1"/>
  <c r="R855" i="1"/>
  <c r="R1011" i="1"/>
  <c r="R940" i="1"/>
  <c r="R882" i="1"/>
  <c r="R905" i="1"/>
  <c r="R1141" i="1"/>
  <c r="R954" i="1"/>
  <c r="R933" i="1"/>
  <c r="R863" i="1"/>
  <c r="R1285" i="1"/>
  <c r="R1268" i="1"/>
  <c r="R1494" i="1"/>
  <c r="R1640" i="1"/>
  <c r="R1868" i="1"/>
  <c r="R1420" i="1"/>
  <c r="R1990" i="1"/>
  <c r="R1963" i="1"/>
  <c r="R1744" i="1"/>
  <c r="R1646" i="1"/>
  <c r="R2156" i="1"/>
  <c r="R1526" i="1"/>
  <c r="R2031" i="1"/>
  <c r="R2200" i="1"/>
  <c r="R2199" i="1"/>
  <c r="R1472" i="1"/>
  <c r="R1852" i="1"/>
  <c r="R1347" i="1"/>
  <c r="R1471" i="1"/>
  <c r="R1730" i="1"/>
  <c r="R1613" i="1"/>
  <c r="R1778" i="1"/>
  <c r="R1936" i="1"/>
  <c r="R2002" i="1"/>
  <c r="R1843" i="1"/>
  <c r="R1516" i="1"/>
  <c r="R1824" i="1"/>
  <c r="R1558" i="1"/>
  <c r="R1324" i="1"/>
  <c r="R1521" i="1"/>
  <c r="R1571" i="1"/>
  <c r="R1539" i="1"/>
  <c r="R1404" i="1"/>
  <c r="R1462" i="1"/>
  <c r="R1736" i="1"/>
  <c r="R1746" i="1"/>
  <c r="R2167" i="1"/>
  <c r="R2150" i="1"/>
  <c r="R2152" i="1"/>
  <c r="R2572" i="1"/>
  <c r="R1654" i="1"/>
  <c r="R1772" i="1"/>
  <c r="R1830" i="1"/>
  <c r="R1829" i="1"/>
  <c r="R1828" i="1"/>
  <c r="R2258" i="1"/>
  <c r="R2252" i="1"/>
  <c r="R2247" i="1"/>
  <c r="R2515" i="1"/>
  <c r="R2562" i="1"/>
  <c r="R1619" i="1"/>
  <c r="R2204" i="1"/>
  <c r="R2548" i="1"/>
  <c r="R2983" i="1"/>
  <c r="R1827" i="1"/>
  <c r="R1504" i="1"/>
  <c r="R2065" i="1"/>
  <c r="R2217" i="1"/>
  <c r="R2173" i="1"/>
  <c r="R2045" i="1"/>
  <c r="R1994" i="1"/>
  <c r="R2447" i="1"/>
  <c r="R2389" i="1"/>
  <c r="R2242" i="1"/>
  <c r="R2184" i="1"/>
  <c r="R2816" i="1"/>
  <c r="R2293" i="1"/>
  <c r="R3145" i="1"/>
  <c r="R3243" i="1"/>
  <c r="R3460" i="1"/>
  <c r="R3454" i="1"/>
  <c r="R3533" i="1"/>
  <c r="R2196" i="1"/>
  <c r="R2916" i="1"/>
  <c r="R3067" i="1"/>
  <c r="R2322" i="1"/>
  <c r="R2950" i="1"/>
  <c r="R3377" i="1"/>
  <c r="R3501" i="1"/>
  <c r="R3400" i="1"/>
  <c r="R3112" i="1"/>
  <c r="R3114" i="1"/>
  <c r="R3248" i="1"/>
  <c r="R2886" i="1"/>
  <c r="R3187" i="1"/>
  <c r="R3287" i="1"/>
  <c r="R3206" i="1"/>
  <c r="R3424" i="1"/>
  <c r="R3422" i="1"/>
  <c r="R3428" i="1"/>
  <c r="R3543" i="1"/>
  <c r="R3563" i="1"/>
  <c r="R1663" i="1"/>
  <c r="R2352" i="1"/>
  <c r="R3048" i="1"/>
  <c r="R735" i="1"/>
  <c r="R813" i="1"/>
  <c r="R766" i="1"/>
  <c r="R775" i="1"/>
  <c r="R724" i="1"/>
  <c r="R795" i="1"/>
  <c r="R1206" i="1"/>
  <c r="R1006" i="1"/>
  <c r="R1223" i="1"/>
  <c r="R1089" i="1"/>
  <c r="R936" i="1"/>
  <c r="R2628" i="1"/>
  <c r="R1153" i="1"/>
  <c r="R973" i="1"/>
  <c r="R1046" i="1"/>
  <c r="R1351" i="1"/>
  <c r="R1175" i="1"/>
  <c r="R952" i="1"/>
  <c r="R844" i="1"/>
  <c r="R917" i="1"/>
  <c r="R861" i="1"/>
  <c r="R966" i="1"/>
  <c r="R1093" i="1"/>
  <c r="R967" i="1"/>
  <c r="R1131" i="1"/>
  <c r="R1019" i="1"/>
  <c r="R920" i="1"/>
  <c r="R945" i="1"/>
  <c r="R1284" i="1"/>
  <c r="R1884" i="1"/>
  <c r="R1873" i="1"/>
  <c r="R1700" i="1"/>
  <c r="R1919" i="1"/>
  <c r="R1947" i="1"/>
  <c r="R874" i="1"/>
  <c r="R1454" i="1"/>
  <c r="R1432" i="1"/>
  <c r="R1738" i="1"/>
  <c r="R1888" i="1"/>
  <c r="R2101" i="1"/>
  <c r="R1477" i="1"/>
  <c r="R1297" i="1"/>
  <c r="R1530" i="1"/>
  <c r="R1653" i="1"/>
  <c r="R1807" i="1"/>
  <c r="R1637" i="1"/>
  <c r="R1338" i="1"/>
  <c r="R1434" i="1"/>
  <c r="R1787" i="1"/>
  <c r="R1688" i="1"/>
  <c r="R1847" i="1"/>
  <c r="R2071" i="1"/>
  <c r="R1201" i="1"/>
  <c r="R1178" i="1"/>
  <c r="R1496" i="1"/>
  <c r="R1423" i="1"/>
  <c r="R1856" i="1"/>
  <c r="R1106" i="1"/>
  <c r="R1087" i="1"/>
  <c r="R1495" i="1"/>
  <c r="R1779" i="1"/>
  <c r="R1625" i="1"/>
  <c r="R1993" i="1"/>
  <c r="R1301" i="1"/>
  <c r="R1669" i="1"/>
  <c r="R1937" i="1"/>
  <c r="R2026" i="1"/>
  <c r="R865" i="1"/>
  <c r="R1352" i="1"/>
  <c r="R1534" i="1"/>
  <c r="R1570" i="1"/>
  <c r="R1672" i="1"/>
  <c r="R1698" i="1"/>
  <c r="R1035" i="1"/>
  <c r="R1459" i="1"/>
  <c r="R1893" i="1"/>
  <c r="R2127" i="1"/>
  <c r="R1205" i="1"/>
  <c r="R1293" i="1"/>
  <c r="R1416" i="1"/>
  <c r="R1517" i="1"/>
  <c r="R1660" i="1"/>
  <c r="R2005" i="1"/>
  <c r="R2058" i="1"/>
  <c r="R2087" i="1"/>
  <c r="R1770" i="1"/>
  <c r="R2149" i="1"/>
  <c r="R2332" i="1"/>
  <c r="R2481" i="1"/>
  <c r="R2724" i="1"/>
  <c r="R1925" i="1"/>
  <c r="R2500" i="1"/>
  <c r="R2624" i="1"/>
  <c r="R2488" i="1"/>
  <c r="R1381" i="1"/>
  <c r="R1606" i="1"/>
  <c r="R1918" i="1"/>
  <c r="R2364" i="1"/>
  <c r="R2341" i="1"/>
  <c r="R2601" i="1"/>
  <c r="R2578" i="1"/>
  <c r="R2875" i="1"/>
  <c r="R2780" i="1"/>
  <c r="R1406" i="1"/>
  <c r="R1774" i="1"/>
  <c r="R2205" i="1"/>
  <c r="R2315" i="1"/>
  <c r="R2776" i="1"/>
  <c r="R2873" i="1"/>
  <c r="R2853" i="1"/>
  <c r="R2158" i="1"/>
  <c r="R2208" i="1"/>
  <c r="R2207" i="1"/>
  <c r="R2202" i="1"/>
  <c r="R2203" i="1"/>
  <c r="R2206" i="1"/>
  <c r="R2198" i="1"/>
  <c r="R2679" i="1"/>
  <c r="R2818" i="1"/>
  <c r="R2894" i="1"/>
  <c r="R2388" i="1"/>
  <c r="R2626" i="1"/>
  <c r="R1522" i="1"/>
  <c r="R2216" i="1"/>
  <c r="R2215" i="1"/>
  <c r="R2214" i="1"/>
  <c r="R2210" i="1"/>
  <c r="R2754" i="1"/>
  <c r="R2040" i="1"/>
  <c r="R2033" i="1"/>
  <c r="R2067" i="1"/>
  <c r="R2669" i="1"/>
  <c r="R2374" i="1"/>
  <c r="R2702" i="1"/>
  <c r="R1346" i="1"/>
  <c r="R1755" i="1"/>
  <c r="R2732" i="1"/>
  <c r="R2789" i="1"/>
  <c r="R2884" i="1"/>
  <c r="R1687" i="1"/>
  <c r="R2311" i="1"/>
  <c r="R2085" i="1"/>
  <c r="R2756" i="1"/>
  <c r="R2185" i="1"/>
  <c r="R2854" i="1"/>
  <c r="R2090" i="1"/>
  <c r="R2951" i="1"/>
  <c r="R3178" i="1"/>
  <c r="R3324" i="1"/>
  <c r="R3046" i="1"/>
  <c r="R3181" i="1"/>
  <c r="R3455" i="1"/>
  <c r="R3502" i="1"/>
  <c r="R3655" i="1"/>
  <c r="R2195" i="1"/>
  <c r="R2697" i="1"/>
  <c r="R3117" i="1"/>
  <c r="R3146" i="1"/>
  <c r="R3397" i="1"/>
  <c r="R3551" i="1"/>
  <c r="R3620" i="1"/>
  <c r="R2320" i="1"/>
  <c r="R2924" i="1"/>
  <c r="R2976" i="1"/>
  <c r="R3133" i="1"/>
  <c r="R3332" i="1"/>
  <c r="R3452" i="1"/>
  <c r="R2495" i="1"/>
  <c r="R2858" i="1"/>
  <c r="R2946" i="1"/>
  <c r="R3469" i="1"/>
  <c r="R3587" i="1"/>
  <c r="R3644" i="1"/>
  <c r="R2936" i="1"/>
  <c r="R3033" i="1"/>
  <c r="R3268" i="1"/>
  <c r="R1557" i="1"/>
  <c r="R2691" i="1"/>
  <c r="R3325" i="1"/>
  <c r="R3241" i="1"/>
  <c r="R2885" i="1"/>
  <c r="R3069" i="1"/>
  <c r="R3150" i="1"/>
  <c r="R3061" i="1"/>
  <c r="R3207" i="1"/>
  <c r="R3489" i="1"/>
  <c r="R1677" i="1"/>
  <c r="R3335" i="1"/>
  <c r="R3405" i="1"/>
  <c r="R3053" i="1"/>
  <c r="R3184" i="1"/>
  <c r="R3483" i="1"/>
  <c r="R3562" i="1"/>
  <c r="R3692" i="1"/>
  <c r="R3840" i="1"/>
  <c r="R3919" i="1"/>
  <c r="R713" i="1"/>
  <c r="R3618" i="1"/>
  <c r="R3088" i="1"/>
  <c r="R3082" i="1"/>
  <c r="R3556" i="1"/>
  <c r="R3707" i="1"/>
  <c r="R714" i="1"/>
  <c r="R3024" i="1"/>
  <c r="R3443" i="1"/>
  <c r="R3539" i="1"/>
  <c r="R3736" i="1"/>
  <c r="R3591" i="1"/>
  <c r="R3698" i="1"/>
  <c r="R3718" i="1"/>
  <c r="R3832" i="1"/>
  <c r="R3814" i="1"/>
  <c r="R3185" i="1"/>
  <c r="R3782" i="1"/>
  <c r="R3920" i="1"/>
  <c r="R2944" i="1"/>
  <c r="R3676" i="1"/>
  <c r="R3731" i="1"/>
  <c r="R744" i="1"/>
  <c r="R3522" i="1"/>
  <c r="R3855" i="1"/>
  <c r="R3939" i="1"/>
  <c r="R3706" i="1"/>
  <c r="R2799" i="1"/>
  <c r="R3059" i="1"/>
  <c r="R3828" i="1"/>
  <c r="R755" i="1"/>
  <c r="R2978" i="1"/>
  <c r="R3142" i="1"/>
  <c r="R3527" i="1"/>
  <c r="R3671" i="1"/>
  <c r="R3682" i="1"/>
  <c r="R3899" i="1"/>
  <c r="R3515" i="1"/>
  <c r="R2274" i="1"/>
  <c r="R3566" i="1"/>
  <c r="R1108" i="1"/>
  <c r="R1078" i="1"/>
  <c r="R1395" i="1"/>
  <c r="R2135" i="1"/>
  <c r="R1127" i="1"/>
  <c r="R1229" i="1"/>
  <c r="R1733" i="1"/>
  <c r="R2542" i="1"/>
  <c r="R2775" i="1"/>
  <c r="R2772" i="1"/>
  <c r="R2630" i="1"/>
  <c r="R1574" i="1"/>
  <c r="R1973" i="1"/>
  <c r="R2615" i="1"/>
  <c r="R2465" i="1"/>
  <c r="R3056" i="1"/>
  <c r="R2713" i="1"/>
  <c r="R2188" i="1"/>
  <c r="R3108" i="1"/>
  <c r="R3729" i="1"/>
  <c r="R3728" i="1"/>
  <c r="R3548" i="1"/>
  <c r="R3632" i="1"/>
  <c r="R729" i="1"/>
  <c r="R1050" i="1"/>
  <c r="R1165" i="1"/>
  <c r="R1620" i="1"/>
  <c r="R1809" i="1"/>
  <c r="R1298" i="1"/>
  <c r="R1797" i="1"/>
  <c r="R1063" i="1"/>
  <c r="R1265" i="1"/>
  <c r="R1593" i="1"/>
  <c r="R2810" i="1"/>
  <c r="R2194" i="1"/>
  <c r="R2769" i="1"/>
  <c r="R2421" i="1"/>
  <c r="R3353" i="1"/>
  <c r="R2685" i="1"/>
  <c r="R2794" i="1"/>
  <c r="R3236" i="1"/>
  <c r="R3450" i="1"/>
  <c r="R3441" i="1"/>
  <c r="R3569" i="1"/>
  <c r="R3189" i="1"/>
  <c r="R746" i="1"/>
  <c r="R768" i="1"/>
  <c r="R764" i="1"/>
  <c r="R779" i="1"/>
  <c r="R733" i="1"/>
  <c r="R723" i="1"/>
  <c r="R711" i="1"/>
  <c r="R761" i="1"/>
  <c r="R731" i="1"/>
  <c r="R786" i="1"/>
  <c r="R1092" i="1"/>
  <c r="R948" i="1"/>
  <c r="R1145" i="1"/>
  <c r="R1172" i="1"/>
  <c r="R1095" i="1"/>
  <c r="R1029" i="1"/>
  <c r="R1045" i="1"/>
  <c r="R891" i="1"/>
  <c r="R1133" i="1"/>
  <c r="R964" i="1"/>
  <c r="R929" i="1"/>
  <c r="R860" i="1"/>
  <c r="R978" i="1"/>
  <c r="R1147" i="1"/>
  <c r="R979" i="1"/>
  <c r="R1149" i="1"/>
  <c r="R847" i="1"/>
  <c r="R932" i="1"/>
  <c r="R1056" i="1"/>
  <c r="R957" i="1"/>
  <c r="R1292" i="1"/>
  <c r="R1739" i="1"/>
  <c r="R1764" i="1"/>
  <c r="R2104" i="1"/>
  <c r="R875" i="1"/>
  <c r="R1444" i="1"/>
  <c r="R2007" i="1"/>
  <c r="R2306" i="1"/>
  <c r="R947" i="1"/>
  <c r="R1055" i="1"/>
  <c r="R1493" i="1"/>
  <c r="R1315" i="1"/>
  <c r="R1751" i="1"/>
  <c r="R1959" i="1"/>
  <c r="R1754" i="1"/>
  <c r="R1782" i="1"/>
  <c r="R2132" i="1"/>
  <c r="R2133" i="1"/>
  <c r="R1446" i="1"/>
  <c r="R2020" i="1"/>
  <c r="R2097" i="1"/>
  <c r="R1515" i="1"/>
  <c r="R1435" i="1"/>
  <c r="R1743" i="1"/>
  <c r="R1665" i="1"/>
  <c r="R1864" i="1"/>
  <c r="R1845" i="1"/>
  <c r="R1130" i="1"/>
  <c r="R1086" i="1"/>
  <c r="R1556" i="1"/>
  <c r="R1666" i="1"/>
  <c r="R2113" i="1"/>
  <c r="R1197" i="1"/>
  <c r="R1319" i="1"/>
  <c r="R1458" i="1"/>
  <c r="R1693" i="1"/>
  <c r="R1708" i="1"/>
  <c r="R1988" i="1"/>
  <c r="R1952" i="1"/>
  <c r="R1950" i="1"/>
  <c r="R2052" i="1"/>
  <c r="R1650" i="1"/>
  <c r="R1798" i="1"/>
  <c r="R1906" i="1"/>
  <c r="R1958" i="1"/>
  <c r="R1036" i="1"/>
  <c r="R1355" i="1"/>
  <c r="R1702" i="1"/>
  <c r="R1580" i="1"/>
  <c r="R1977" i="1"/>
  <c r="R1944" i="1"/>
  <c r="R1088" i="1"/>
  <c r="R1136" i="1"/>
  <c r="R1311" i="1"/>
  <c r="R1428" i="1"/>
  <c r="R1684" i="1"/>
  <c r="R1815" i="1"/>
  <c r="R2076" i="1"/>
  <c r="R2225" i="1"/>
  <c r="R2251" i="1"/>
  <c r="R2404" i="1"/>
  <c r="R2771" i="1"/>
  <c r="R2480" i="1"/>
  <c r="R2463" i="1"/>
  <c r="R2446" i="1"/>
  <c r="R2761" i="1"/>
  <c r="R2181" i="1"/>
  <c r="R2648" i="1"/>
  <c r="R2373" i="1"/>
  <c r="R2511" i="1"/>
  <c r="R2796" i="1"/>
  <c r="R1219" i="1"/>
  <c r="R1393" i="1"/>
  <c r="R1618" i="1"/>
  <c r="R2103" i="1"/>
  <c r="R2295" i="1"/>
  <c r="R2720" i="1"/>
  <c r="R2815" i="1"/>
  <c r="R1418" i="1"/>
  <c r="R1753" i="1"/>
  <c r="R1862" i="1"/>
  <c r="R2178" i="1"/>
  <c r="R2387" i="1"/>
  <c r="R2593" i="1"/>
  <c r="R2595" i="1"/>
  <c r="R2061" i="1"/>
  <c r="R2105" i="1"/>
  <c r="R2393" i="1"/>
  <c r="R2830" i="1"/>
  <c r="R2831" i="1"/>
  <c r="R2957" i="1"/>
  <c r="R2063" i="1"/>
  <c r="R2284" i="1"/>
  <c r="R2281" i="1"/>
  <c r="R2650" i="1"/>
  <c r="R1966" i="1"/>
  <c r="R2571" i="1"/>
  <c r="R2594" i="1"/>
  <c r="R2708" i="1"/>
  <c r="R2102" i="1"/>
  <c r="R2054" i="1"/>
  <c r="R2043" i="1"/>
  <c r="R1916" i="1"/>
  <c r="R2445" i="1"/>
  <c r="R2676" i="1"/>
  <c r="R2706" i="1"/>
  <c r="R2157" i="1"/>
  <c r="R2232" i="1"/>
  <c r="R2610" i="1"/>
  <c r="R2656" i="1"/>
  <c r="R2745" i="1"/>
  <c r="R2755" i="1"/>
  <c r="R2808" i="1"/>
  <c r="R2889" i="1"/>
  <c r="R2960" i="1"/>
  <c r="R2961" i="1"/>
  <c r="R3148" i="1"/>
  <c r="R3209" i="1"/>
  <c r="R3091" i="1"/>
  <c r="R3319" i="1"/>
  <c r="R3317" i="1"/>
  <c r="R3349" i="1"/>
  <c r="R3229" i="1"/>
  <c r="R3322" i="1"/>
  <c r="R3425" i="1"/>
  <c r="R3584" i="1"/>
  <c r="R2464" i="1"/>
  <c r="R2907" i="1"/>
  <c r="R3155" i="1"/>
  <c r="R3154" i="1"/>
  <c r="R3233" i="1"/>
  <c r="R2392" i="1"/>
  <c r="R3399" i="1"/>
  <c r="R2496" i="1"/>
  <c r="R2888" i="1"/>
  <c r="R2928" i="1"/>
  <c r="R2952" i="1"/>
  <c r="R3032" i="1"/>
  <c r="R3051" i="1"/>
  <c r="R3410" i="1"/>
  <c r="R2852" i="1"/>
  <c r="R2883" i="1"/>
  <c r="R3416" i="1"/>
  <c r="R2357" i="1"/>
  <c r="R2805" i="1"/>
  <c r="R3042" i="1"/>
  <c r="R3364" i="1"/>
  <c r="R3451" i="1"/>
  <c r="R2303" i="1"/>
  <c r="R2809" i="1"/>
  <c r="R2989" i="1"/>
  <c r="R3068" i="1"/>
  <c r="R3174" i="1"/>
  <c r="R3031" i="1"/>
  <c r="R3435" i="1"/>
  <c r="R3521" i="1"/>
  <c r="R3009" i="1"/>
  <c r="R2942" i="1"/>
  <c r="R3478" i="1"/>
  <c r="R3034" i="1"/>
  <c r="R3204" i="1"/>
  <c r="R3370" i="1"/>
  <c r="R3721" i="1"/>
  <c r="R3940" i="1"/>
  <c r="R3557" i="1"/>
  <c r="R3824" i="1"/>
  <c r="R3760" i="1"/>
  <c r="R2510" i="1"/>
  <c r="R3419" i="1"/>
  <c r="R3538" i="1"/>
  <c r="R3687" i="1"/>
  <c r="R3854" i="1"/>
  <c r="R3717" i="1"/>
  <c r="R3292" i="1"/>
  <c r="R2881" i="1"/>
  <c r="R815" i="1"/>
  <c r="R3705" i="1"/>
  <c r="R777" i="1"/>
  <c r="R3524" i="1"/>
  <c r="R3789" i="1"/>
  <c r="R3892" i="1"/>
  <c r="R3883" i="1"/>
  <c r="R2882" i="1"/>
  <c r="R3853" i="1"/>
  <c r="R3576" i="1"/>
  <c r="R3844" i="1"/>
  <c r="R3912" i="1"/>
  <c r="R3908" i="1"/>
  <c r="R3744" i="1"/>
  <c r="R3898" i="1"/>
  <c r="R3089" i="1"/>
  <c r="R3514" i="1"/>
  <c r="R3772" i="1"/>
  <c r="R3240" i="1"/>
  <c r="R3759" i="1"/>
  <c r="R3554" i="1"/>
  <c r="R758" i="1"/>
  <c r="R870" i="1"/>
  <c r="R835" i="1"/>
  <c r="R1158" i="1"/>
  <c r="R2255" i="1"/>
  <c r="R2109" i="1"/>
  <c r="R2631" i="1"/>
  <c r="R2539" i="1"/>
  <c r="R2478" i="1"/>
  <c r="R3357" i="1"/>
  <c r="R748" i="1"/>
  <c r="R753" i="1"/>
  <c r="R3737" i="1"/>
  <c r="R2646" i="1"/>
  <c r="R1121" i="1"/>
  <c r="R951" i="1"/>
  <c r="R1122" i="1"/>
  <c r="R989" i="1"/>
  <c r="R894" i="1"/>
  <c r="R1024" i="1"/>
  <c r="R1726" i="1"/>
  <c r="R1385" i="1"/>
  <c r="R1168" i="1"/>
  <c r="R1228" i="1"/>
  <c r="R1280" i="1"/>
  <c r="R1479" i="1"/>
  <c r="R2192" i="1"/>
  <c r="R2592" i="1"/>
  <c r="R2741" i="1"/>
  <c r="R2871" i="1"/>
  <c r="R1325" i="1"/>
  <c r="R2344" i="1"/>
  <c r="R1544" i="1"/>
  <c r="R2278" i="1"/>
  <c r="R2276" i="1"/>
  <c r="R2443" i="1"/>
  <c r="R2616" i="1"/>
  <c r="R2121" i="1"/>
  <c r="R2486" i="1"/>
  <c r="R2836" i="1"/>
  <c r="R2654" i="1"/>
  <c r="R1719" i="1"/>
  <c r="R2688" i="1"/>
  <c r="R2686" i="1"/>
  <c r="R3316" i="1"/>
  <c r="R3151" i="1"/>
  <c r="R1678" i="1"/>
  <c r="R2940" i="1"/>
  <c r="R3044" i="1"/>
  <c r="R3087" i="1"/>
  <c r="R2457" i="1"/>
  <c r="R3586" i="1"/>
  <c r="R3756" i="1"/>
  <c r="R3757" i="1"/>
  <c r="R3534" i="1"/>
  <c r="R3735" i="1"/>
  <c r="R793" i="1"/>
  <c r="R727" i="1"/>
  <c r="R720" i="1"/>
  <c r="R826" i="1"/>
  <c r="R732" i="1"/>
  <c r="R797" i="1"/>
  <c r="R842" i="1"/>
  <c r="R1204" i="1"/>
  <c r="R1057" i="1"/>
  <c r="R881" i="1"/>
  <c r="R960" i="1"/>
  <c r="R1242" i="1"/>
  <c r="R1209" i="1"/>
  <c r="R997" i="1"/>
  <c r="R1119" i="1"/>
  <c r="R1094" i="1"/>
  <c r="R903" i="1"/>
  <c r="R1041" i="1"/>
  <c r="R1032" i="1"/>
  <c r="R1184" i="1"/>
  <c r="R976" i="1"/>
  <c r="R849" i="1"/>
  <c r="R1137" i="1"/>
  <c r="R941" i="1"/>
  <c r="R990" i="1"/>
  <c r="R873" i="1"/>
  <c r="R1159" i="1"/>
  <c r="R991" i="1"/>
  <c r="R1161" i="1"/>
  <c r="R1097" i="1"/>
  <c r="R944" i="1"/>
  <c r="R1080" i="1"/>
  <c r="R1310" i="1"/>
  <c r="R1271" i="1"/>
  <c r="R1359" i="1"/>
  <c r="R1928" i="1"/>
  <c r="R1800" i="1"/>
  <c r="R2029" i="1"/>
  <c r="R1116" i="1"/>
  <c r="R1585" i="1"/>
  <c r="R959" i="1"/>
  <c r="R1079" i="1"/>
  <c r="R1565" i="1"/>
  <c r="R1333" i="1"/>
  <c r="R1953" i="1"/>
  <c r="R1586" i="1"/>
  <c r="R1876" i="1"/>
  <c r="R1767" i="1"/>
  <c r="R2013" i="1"/>
  <c r="R1241" i="1"/>
  <c r="R1561" i="1"/>
  <c r="R1720" i="1"/>
  <c r="R2019" i="1"/>
  <c r="R1971" i="1"/>
  <c r="R2046" i="1"/>
  <c r="R1904" i="1"/>
  <c r="R1533" i="1"/>
  <c r="R1588" i="1"/>
  <c r="R1689" i="1"/>
  <c r="R950" i="1"/>
  <c r="R1266" i="1"/>
  <c r="R1364" i="1"/>
  <c r="R1568" i="1"/>
  <c r="R1690" i="1"/>
  <c r="R827" i="1"/>
  <c r="R1337" i="1"/>
  <c r="R1303" i="1"/>
  <c r="R1567" i="1"/>
  <c r="R1365" i="1"/>
  <c r="R1970" i="1"/>
  <c r="R1945" i="1"/>
  <c r="R2358" i="1"/>
  <c r="R877" i="1"/>
  <c r="R1104" i="1"/>
  <c r="R1233" i="1"/>
  <c r="R1367" i="1"/>
  <c r="R1783" i="1"/>
  <c r="R1592" i="1"/>
  <c r="R1124" i="1"/>
  <c r="R1135" i="1"/>
  <c r="R1329" i="1"/>
  <c r="R1440" i="1"/>
  <c r="R1905" i="1"/>
  <c r="R2224" i="1"/>
  <c r="R2222" i="1"/>
  <c r="R2223" i="1"/>
  <c r="R2219" i="1"/>
  <c r="R2060" i="1"/>
  <c r="R2470" i="1"/>
  <c r="R2241" i="1"/>
  <c r="R2452" i="1"/>
  <c r="R2828" i="1"/>
  <c r="R1985" i="1"/>
  <c r="R2041" i="1"/>
  <c r="R2180" i="1"/>
  <c r="R2338" i="1"/>
  <c r="R2535" i="1"/>
  <c r="R2709" i="1"/>
  <c r="R2811" i="1"/>
  <c r="R2911" i="1"/>
  <c r="R1405" i="1"/>
  <c r="R2301" i="1"/>
  <c r="R2290" i="1"/>
  <c r="R2382" i="1"/>
  <c r="R2668" i="1"/>
  <c r="R2659" i="1"/>
  <c r="R2730" i="1"/>
  <c r="R862" i="1"/>
  <c r="R1430" i="1"/>
  <c r="R1886" i="1"/>
  <c r="R2538" i="1"/>
  <c r="R2342" i="1"/>
  <c r="R2670" i="1"/>
  <c r="R2767" i="1"/>
  <c r="R1112" i="1"/>
  <c r="R2079" i="1"/>
  <c r="R2108" i="1"/>
  <c r="R2527" i="1"/>
  <c r="R2307" i="1"/>
  <c r="R2787" i="1"/>
  <c r="R2843" i="1"/>
  <c r="R2134" i="1"/>
  <c r="R2348" i="1"/>
  <c r="R2764" i="1"/>
  <c r="R1058" i="1"/>
  <c r="R2458" i="1"/>
  <c r="R2441" i="1"/>
  <c r="R2621" i="1"/>
  <c r="R1780" i="1"/>
  <c r="R2028" i="1"/>
  <c r="R2064" i="1"/>
  <c r="R2524" i="1"/>
  <c r="R2731" i="1"/>
  <c r="R2728" i="1"/>
  <c r="R1915" i="1"/>
  <c r="R2249" i="1"/>
  <c r="R2544" i="1"/>
  <c r="R2597" i="1"/>
  <c r="R2664" i="1"/>
  <c r="R2705" i="1"/>
  <c r="R2823" i="1"/>
  <c r="R2472" i="1"/>
  <c r="R2268" i="1"/>
  <c r="R2423" i="1"/>
  <c r="R2744" i="1"/>
  <c r="R2625" i="1"/>
  <c r="R2807" i="1"/>
  <c r="R2996" i="1"/>
  <c r="R3039" i="1"/>
  <c r="R2318" i="1"/>
  <c r="R2851" i="1"/>
  <c r="R2908" i="1"/>
  <c r="R3062" i="1"/>
  <c r="R3202" i="1"/>
  <c r="R3265" i="1"/>
  <c r="R3438" i="1"/>
  <c r="R3444" i="1"/>
  <c r="R3493" i="1"/>
  <c r="R2749" i="1"/>
  <c r="R3003" i="1"/>
  <c r="R3367" i="1"/>
  <c r="R3342" i="1"/>
  <c r="R3293" i="1"/>
  <c r="R3288" i="1"/>
  <c r="R3513" i="1"/>
  <c r="R3536" i="1"/>
  <c r="R2536" i="1"/>
  <c r="R2896" i="1"/>
  <c r="R3015" i="1"/>
  <c r="R3120" i="1"/>
  <c r="R3235" i="1"/>
  <c r="R3320" i="1"/>
  <c r="R3481" i="1"/>
  <c r="R3507" i="1"/>
  <c r="R2842" i="1"/>
  <c r="R2863" i="1"/>
  <c r="R2933" i="1"/>
  <c r="R2921" i="1"/>
  <c r="R3107" i="1"/>
  <c r="R3136" i="1"/>
  <c r="R3171" i="1"/>
  <c r="R3283" i="1"/>
  <c r="R3583" i="1"/>
  <c r="R3041" i="1"/>
  <c r="R2533" i="1"/>
  <c r="R2786" i="1"/>
  <c r="R3000" i="1"/>
  <c r="R3094" i="1"/>
  <c r="R3084" i="1"/>
  <c r="R2302" i="1"/>
  <c r="R2971" i="1"/>
  <c r="R3001" i="1"/>
  <c r="R3149" i="1"/>
  <c r="R1768" i="1"/>
  <c r="R2698" i="1"/>
  <c r="R3073" i="1"/>
  <c r="R3291" i="1"/>
  <c r="R3369" i="1"/>
  <c r="R3371" i="1"/>
  <c r="R3500" i="1"/>
  <c r="R3594" i="1"/>
  <c r="R2371" i="1"/>
  <c r="R3081" i="1"/>
  <c r="R3393" i="1"/>
  <c r="R3391" i="1"/>
  <c r="R3385" i="1"/>
  <c r="R3505" i="1"/>
  <c r="R3036" i="1"/>
  <c r="R3442" i="1"/>
  <c r="R3724" i="1"/>
  <c r="R822" i="1"/>
  <c r="R3596" i="1"/>
  <c r="R3657" i="1"/>
  <c r="R3754" i="1"/>
  <c r="R3823" i="1"/>
  <c r="R3937" i="1"/>
  <c r="R760" i="1"/>
  <c r="R3029" i="1"/>
  <c r="R3421" i="1"/>
  <c r="R3540" i="1"/>
  <c r="R3688" i="1"/>
  <c r="R3928" i="1"/>
  <c r="R3875" i="1"/>
  <c r="R3525" i="1"/>
  <c r="R3635" i="1"/>
  <c r="R823" i="1"/>
  <c r="R3147" i="1"/>
  <c r="R3102" i="1"/>
  <c r="R3542" i="1"/>
  <c r="R3589" i="1"/>
  <c r="R3695" i="1"/>
  <c r="R3766" i="1"/>
  <c r="R3568" i="1"/>
  <c r="R3938" i="1"/>
  <c r="R3547" i="1"/>
  <c r="R3537" i="1"/>
  <c r="R3860" i="1"/>
  <c r="R3684" i="1"/>
  <c r="R2986" i="1"/>
  <c r="R3497" i="1"/>
  <c r="R774" i="1"/>
  <c r="R3666" i="1"/>
  <c r="R3813" i="1"/>
  <c r="R3239" i="1"/>
  <c r="R3777" i="1"/>
  <c r="R3477" i="1"/>
  <c r="R3817" i="1"/>
  <c r="R3812" i="1"/>
  <c r="R3917" i="1"/>
  <c r="R2783" i="1"/>
  <c r="R2985" i="1"/>
  <c r="R706" i="1"/>
  <c r="R803" i="1"/>
  <c r="R808" i="1"/>
  <c r="R745" i="1"/>
  <c r="R783" i="1"/>
  <c r="R782" i="1"/>
  <c r="R749" i="1"/>
  <c r="R725" i="1"/>
  <c r="R801" i="1"/>
  <c r="R910" i="1"/>
  <c r="R840" i="1"/>
  <c r="R984" i="1"/>
  <c r="R1091" i="1"/>
  <c r="R1274" i="1"/>
  <c r="R1151" i="1"/>
  <c r="R1155" i="1"/>
  <c r="R890" i="1"/>
  <c r="R1142" i="1"/>
  <c r="R927" i="1"/>
  <c r="R836" i="1"/>
  <c r="R1156" i="1"/>
  <c r="R1000" i="1"/>
  <c r="R1014" i="1"/>
  <c r="R1054" i="1"/>
  <c r="R1215" i="1"/>
  <c r="R1015" i="1"/>
  <c r="R1039" i="1"/>
  <c r="R968" i="1"/>
  <c r="R1181" i="1"/>
  <c r="R993" i="1"/>
  <c r="R1294" i="1"/>
  <c r="R1383" i="1"/>
  <c r="R1683" i="1"/>
  <c r="R1596" i="1"/>
  <c r="R1956" i="1"/>
  <c r="R1872" i="1"/>
  <c r="R1343" i="1"/>
  <c r="R1552" i="1"/>
  <c r="R1609" i="1"/>
  <c r="R1721" i="1"/>
  <c r="R1938" i="1"/>
  <c r="R1909" i="1"/>
  <c r="R983" i="1"/>
  <c r="R1221" i="1"/>
  <c r="R1361" i="1"/>
  <c r="R1610" i="1"/>
  <c r="R1671" i="1"/>
  <c r="R1891" i="1"/>
  <c r="R886" i="1"/>
  <c r="R1273" i="1"/>
  <c r="R1256" i="1"/>
  <c r="R1259" i="1"/>
  <c r="R1467" i="1"/>
  <c r="R1859" i="1"/>
  <c r="R1786" i="1"/>
  <c r="R1930" i="1"/>
  <c r="R1022" i="1"/>
  <c r="R1550" i="1"/>
  <c r="R1612" i="1"/>
  <c r="R1697" i="1"/>
  <c r="R1712" i="1"/>
  <c r="R1968" i="1"/>
  <c r="R1858" i="1"/>
  <c r="R2285" i="1"/>
  <c r="R974" i="1"/>
  <c r="R1226" i="1"/>
  <c r="R1513" i="1"/>
  <c r="R1388" i="1"/>
  <c r="R1511" i="1"/>
  <c r="R1877" i="1"/>
  <c r="R1727" i="1"/>
  <c r="R1717" i="1"/>
  <c r="R1017" i="1"/>
  <c r="R1128" i="1"/>
  <c r="R1389" i="1"/>
  <c r="R1795" i="1"/>
  <c r="R1954" i="1"/>
  <c r="R1308" i="1"/>
  <c r="R1414" i="1"/>
  <c r="R1670" i="1"/>
  <c r="R1152" i="1"/>
  <c r="R1254" i="1"/>
  <c r="R1391" i="1"/>
  <c r="R1802" i="1"/>
  <c r="R1616" i="1"/>
  <c r="R1673" i="1"/>
  <c r="R1910" i="1"/>
  <c r="R1992" i="1"/>
  <c r="R1248" i="1"/>
  <c r="R1940" i="1"/>
  <c r="R1140" i="1"/>
  <c r="R2596" i="1"/>
  <c r="R1651" i="1"/>
  <c r="R2453" i="1"/>
  <c r="R2254" i="1"/>
  <c r="R2424" i="1"/>
  <c r="R2752" i="1"/>
  <c r="R2674" i="1"/>
  <c r="R2051" i="1"/>
  <c r="R2537" i="1"/>
  <c r="R2629" i="1"/>
  <c r="R2682" i="1"/>
  <c r="R2680" i="1"/>
  <c r="R2168" i="1"/>
  <c r="R2291" i="1"/>
  <c r="R2418" i="1"/>
  <c r="R2414" i="1"/>
  <c r="R2567" i="1"/>
  <c r="R2773" i="1"/>
  <c r="R2834" i="1"/>
  <c r="R1932" i="1"/>
  <c r="R2106" i="1"/>
  <c r="R2619" i="1"/>
  <c r="R2737" i="1"/>
  <c r="R2213" i="1"/>
  <c r="R2349" i="1"/>
  <c r="R2420" i="1"/>
  <c r="R1227" i="1"/>
  <c r="R2186" i="1"/>
  <c r="R2405" i="1"/>
  <c r="R2439" i="1"/>
  <c r="R2645" i="1"/>
  <c r="R2743" i="1"/>
  <c r="R1825" i="1"/>
  <c r="R2025" i="1"/>
  <c r="R2014" i="1"/>
  <c r="R2359" i="1"/>
  <c r="R2411" i="1"/>
  <c r="R2474" i="1"/>
  <c r="R2707" i="1"/>
  <c r="R1506" i="1"/>
  <c r="R2098" i="1"/>
  <c r="R2094" i="1"/>
  <c r="R2096" i="1"/>
  <c r="R2124" i="1"/>
  <c r="R2239" i="1"/>
  <c r="R2380" i="1"/>
  <c r="R2556" i="1"/>
  <c r="R2617" i="1"/>
  <c r="R2846" i="1"/>
  <c r="R2825" i="1"/>
  <c r="R3093" i="1"/>
  <c r="R3361" i="1"/>
  <c r="R2655" i="1"/>
  <c r="R2926" i="1"/>
  <c r="R3095" i="1"/>
  <c r="R3496" i="1"/>
  <c r="R3697" i="1"/>
  <c r="R3518" i="1"/>
  <c r="R1069" i="1"/>
  <c r="R2555" i="1"/>
  <c r="R2758" i="1"/>
  <c r="R3026" i="1"/>
  <c r="R3128" i="1"/>
  <c r="R3223" i="1"/>
  <c r="R3238" i="1"/>
  <c r="R3588" i="1"/>
  <c r="R2802" i="1"/>
  <c r="R2972" i="1"/>
  <c r="R2980" i="1"/>
  <c r="R3035" i="1"/>
  <c r="R3359" i="1"/>
  <c r="R1309" i="1"/>
  <c r="R2326" i="1"/>
  <c r="R2935" i="1"/>
  <c r="R2982" i="1"/>
  <c r="R2984" i="1"/>
  <c r="R3464" i="1"/>
  <c r="R2751" i="1"/>
  <c r="R2997" i="1"/>
  <c r="R3182" i="1"/>
  <c r="R2999" i="1"/>
  <c r="R3137" i="1"/>
  <c r="R3363" i="1"/>
  <c r="R2642" i="1"/>
  <c r="R3007" i="1"/>
  <c r="R3074" i="1"/>
  <c r="R3339" i="1"/>
  <c r="R3218" i="1"/>
  <c r="R3378" i="1"/>
  <c r="R3624" i="1"/>
  <c r="R2473" i="1"/>
  <c r="R2735" i="1"/>
  <c r="R2958" i="1"/>
  <c r="R3092" i="1"/>
  <c r="R3246" i="1"/>
  <c r="R3152" i="1"/>
  <c r="R3230" i="1"/>
  <c r="R3227" i="1"/>
  <c r="R3228" i="1"/>
  <c r="R3430" i="1"/>
  <c r="R2930" i="1"/>
  <c r="R3079" i="1"/>
  <c r="R3383" i="1"/>
  <c r="R2434" i="1"/>
  <c r="R3770" i="1"/>
  <c r="R3216" i="1"/>
  <c r="R3775" i="1"/>
  <c r="R3426" i="1"/>
  <c r="R3713" i="1"/>
  <c r="R3650" i="1"/>
  <c r="R3743" i="1"/>
  <c r="R3836" i="1"/>
  <c r="R3871" i="1"/>
  <c r="R819" i="1"/>
  <c r="R3561" i="1"/>
  <c r="R3667" i="1"/>
  <c r="R3790" i="1"/>
  <c r="R3809" i="1"/>
  <c r="R3104" i="1"/>
  <c r="R3788" i="1"/>
  <c r="R763" i="1"/>
  <c r="R2507" i="1"/>
  <c r="R2506" i="1"/>
  <c r="R3856" i="1"/>
  <c r="R3930" i="1"/>
  <c r="R2782" i="1"/>
  <c r="R3054" i="1"/>
  <c r="R3458" i="1"/>
  <c r="R3818" i="1"/>
  <c r="R3847" i="1"/>
  <c r="R3932" i="1"/>
  <c r="R3280" i="1"/>
  <c r="R3680" i="1"/>
  <c r="R3793" i="1"/>
  <c r="R3804" i="1"/>
  <c r="R3801" i="1"/>
  <c r="R3902" i="1"/>
  <c r="R791" i="1"/>
  <c r="R3837" i="1"/>
  <c r="R3611" i="1"/>
  <c r="R3660" i="1"/>
  <c r="R3681" i="1"/>
  <c r="R3907" i="1"/>
  <c r="R708" i="1"/>
  <c r="R3889" i="1"/>
  <c r="R3904" i="1"/>
  <c r="R3535" i="1"/>
  <c r="R3573" i="1"/>
  <c r="R403" i="1"/>
  <c r="R354" i="1"/>
  <c r="R362" i="1"/>
  <c r="R472" i="1"/>
  <c r="R370" i="1"/>
  <c r="R371" i="1"/>
  <c r="R363" i="1"/>
  <c r="R427" i="1"/>
  <c r="R683" i="1"/>
  <c r="R304" i="1"/>
  <c r="R445" i="1"/>
  <c r="R271" i="1"/>
  <c r="R404" i="1"/>
  <c r="R447" i="1"/>
  <c r="R518" i="1"/>
  <c r="R383" i="1"/>
  <c r="R382" i="1"/>
  <c r="R324" i="1"/>
  <c r="R369" i="1"/>
  <c r="R428" i="1"/>
  <c r="R372" i="1"/>
  <c r="R436" i="1"/>
  <c r="R435" i="1"/>
  <c r="R331" i="1"/>
  <c r="R368" i="1"/>
  <c r="R440" i="1"/>
  <c r="R390" i="1"/>
  <c r="R482" i="1"/>
  <c r="R344" i="1"/>
  <c r="R705" i="1"/>
  <c r="R467" i="1"/>
  <c r="R337" i="1"/>
  <c r="R432" i="1"/>
  <c r="R479" i="1"/>
  <c r="R698" i="1"/>
  <c r="R381" i="1"/>
  <c r="R374" i="1"/>
  <c r="R413" i="1"/>
  <c r="R425" i="1"/>
  <c r="R254" i="1"/>
  <c r="R462" i="1"/>
  <c r="R292" i="1"/>
  <c r="R142" i="1"/>
  <c r="R613" i="1"/>
  <c r="R460" i="1"/>
  <c r="R458" i="1"/>
  <c r="R431" i="1"/>
  <c r="R398" i="1"/>
  <c r="R409" i="1"/>
  <c r="R414" i="1"/>
  <c r="R689" i="1"/>
  <c r="R397" i="1"/>
  <c r="R630" i="1"/>
  <c r="R256" i="1"/>
  <c r="R366" i="1"/>
  <c r="R359" i="1"/>
  <c r="R448" i="1"/>
  <c r="R328" i="1"/>
  <c r="R395" i="1"/>
  <c r="R389" i="1"/>
  <c r="R373" i="1"/>
  <c r="R464" i="1"/>
  <c r="R686" i="1"/>
  <c r="R510" i="1"/>
  <c r="R441" i="1"/>
  <c r="R129" i="1"/>
  <c r="R487" i="1"/>
  <c r="R449" i="1"/>
  <c r="R456" i="1"/>
  <c r="R420" i="1"/>
  <c r="R387" i="1"/>
  <c r="R452" i="1"/>
  <c r="R442" i="1"/>
  <c r="R392" i="1"/>
  <c r="R400" i="1"/>
  <c r="R408" i="1"/>
  <c r="R473" i="1"/>
  <c r="R175" i="1"/>
  <c r="R214" i="1"/>
  <c r="R426" i="1"/>
  <c r="R639" i="1"/>
  <c r="R181" i="1"/>
  <c r="R421" i="1"/>
  <c r="R443" i="1"/>
  <c r="R430" i="1"/>
  <c r="R407" i="1"/>
  <c r="R678" i="1"/>
  <c r="R412" i="1"/>
  <c r="R384" i="1"/>
  <c r="R647" i="1"/>
  <c r="R471" i="1"/>
  <c r="R619" i="1"/>
  <c r="R290" i="1"/>
  <c r="R165" i="1"/>
  <c r="R365" i="1"/>
  <c r="R418" i="1"/>
  <c r="R466" i="1"/>
  <c r="R453" i="1"/>
  <c r="R416" i="1"/>
  <c r="R385" i="1"/>
  <c r="R378" i="1"/>
  <c r="R399" i="1"/>
  <c r="R157" i="1"/>
  <c r="R429" i="1"/>
  <c r="R154" i="1"/>
  <c r="R520" i="1"/>
  <c r="R585" i="1"/>
  <c r="R240" i="1"/>
  <c r="R234" i="1"/>
  <c r="R664" i="1"/>
  <c r="R451" i="1"/>
  <c r="R433" i="1"/>
  <c r="R423" i="1"/>
  <c r="R415" i="1"/>
  <c r="R474" i="1"/>
  <c r="R494" i="1"/>
  <c r="R606" i="1"/>
  <c r="R375" i="1"/>
  <c r="R405" i="1"/>
  <c r="R402" i="1"/>
  <c r="R480" i="1"/>
  <c r="R459" i="1"/>
  <c r="R434" i="1"/>
  <c r="R360" i="1"/>
  <c r="R444" i="1"/>
  <c r="R628" i="1"/>
  <c r="R463" i="1"/>
  <c r="R367" i="1"/>
  <c r="R457" i="1"/>
  <c r="R417" i="1"/>
  <c r="R475" i="1"/>
  <c r="R376" i="1"/>
  <c r="R411" i="1"/>
  <c r="R386" i="1"/>
  <c r="R424" i="1"/>
  <c r="R481" i="1"/>
  <c r="R422" i="1"/>
  <c r="R503" i="1"/>
  <c r="R307" i="1"/>
  <c r="R235" i="1"/>
  <c r="R353" i="1"/>
  <c r="R216" i="1"/>
  <c r="R187" i="1"/>
  <c r="R455" i="1"/>
  <c r="R646" i="1"/>
  <c r="R419" i="1"/>
  <c r="R446" i="1"/>
  <c r="R401" i="1"/>
  <c r="R406" i="1"/>
  <c r="R394" i="1"/>
  <c r="R393" i="1"/>
  <c r="R468" i="1"/>
  <c r="R437" i="1"/>
  <c r="R208" i="1"/>
  <c r="R461" i="1"/>
  <c r="R439" i="1"/>
  <c r="R358" i="1"/>
  <c r="R450" i="1"/>
  <c r="R357" i="1"/>
  <c r="R536" i="1"/>
  <c r="R203" i="1"/>
  <c r="R477" i="1"/>
  <c r="R280" i="1"/>
  <c r="R361" i="1"/>
  <c r="R655" i="1"/>
  <c r="R364" i="1"/>
  <c r="R303" i="1"/>
  <c r="R465" i="1"/>
  <c r="R380" i="1"/>
  <c r="R377" i="1"/>
  <c r="R388" i="1"/>
  <c r="R396" i="1"/>
  <c r="R469" i="1"/>
  <c r="R476" i="1"/>
  <c r="R322" i="1"/>
  <c r="R605" i="1"/>
  <c r="R478" i="1"/>
  <c r="R454" i="1"/>
  <c r="R179" i="1"/>
  <c r="R656" i="1"/>
  <c r="R391" i="1"/>
  <c r="R379" i="1"/>
  <c r="R410" i="1"/>
  <c r="R470" i="1"/>
  <c r="R438" i="1"/>
  <c r="R246" i="1"/>
  <c r="R250" i="1"/>
  <c r="R611" i="1"/>
  <c r="R625" i="1"/>
  <c r="R195" i="1"/>
  <c r="R259" i="1"/>
  <c r="R266" i="1"/>
  <c r="R296" i="1"/>
  <c r="R325" i="1"/>
  <c r="R149" i="1"/>
  <c r="R616" i="1"/>
  <c r="R629" i="1"/>
  <c r="R196" i="1"/>
  <c r="R202" i="1"/>
  <c r="R276" i="1"/>
  <c r="R309" i="1"/>
  <c r="R521" i="1"/>
  <c r="R153" i="1"/>
  <c r="R198" i="1"/>
  <c r="R124" i="1"/>
  <c r="R125" i="1"/>
  <c r="R205" i="1"/>
  <c r="R245" i="1"/>
  <c r="R333" i="1"/>
  <c r="R212" i="1"/>
  <c r="R327" i="1"/>
  <c r="R275" i="1"/>
  <c r="R500" i="1"/>
  <c r="R576" i="1"/>
  <c r="R167" i="1"/>
  <c r="R557" i="1"/>
  <c r="R539" i="1"/>
  <c r="R270" i="1"/>
  <c r="R581" i="1"/>
  <c r="R492" i="1"/>
  <c r="R587" i="1"/>
  <c r="R158" i="1"/>
  <c r="R507" i="1"/>
  <c r="R699" i="1"/>
  <c r="R504" i="1"/>
  <c r="R188" i="1"/>
  <c r="R138" i="1"/>
  <c r="C10" i="1"/>
  <c r="R285" i="1"/>
  <c r="T248" i="1"/>
  <c r="T247" i="1"/>
  <c r="B11" i="1"/>
  <c r="R265" i="1"/>
  <c r="R178" i="1"/>
  <c r="R150" i="1"/>
  <c r="R233" i="1"/>
  <c r="R244" i="1"/>
  <c r="R134" i="1"/>
  <c r="R277" i="1"/>
  <c r="R194" i="1"/>
  <c r="R286" i="1"/>
  <c r="R209" i="1"/>
  <c r="R318" i="1"/>
  <c r="R615" i="1"/>
  <c r="R540" i="1"/>
  <c r="R623" i="1"/>
  <c r="R495" i="1"/>
  <c r="R493" i="1"/>
  <c r="R502" i="1"/>
  <c r="R588" i="1"/>
  <c r="R537" i="1"/>
  <c r="R509" i="1"/>
  <c r="R614" i="1"/>
  <c r="R692" i="1"/>
  <c r="R690" i="1"/>
  <c r="R526" i="1"/>
  <c r="R645" i="1"/>
  <c r="R556" i="1"/>
  <c r="R547" i="1"/>
  <c r="R229" i="1"/>
  <c r="R260" i="1"/>
  <c r="R636" i="1"/>
  <c r="R563" i="1"/>
  <c r="R252" i="1"/>
  <c r="R338" i="1"/>
  <c r="R131" i="1"/>
  <c r="R272" i="1"/>
  <c r="R320" i="1"/>
  <c r="R168" i="1"/>
  <c r="R219" i="1"/>
  <c r="R590" i="1"/>
  <c r="R231" i="1"/>
  <c r="R242" i="1"/>
  <c r="R622" i="1"/>
  <c r="R329" i="1"/>
  <c r="R200" i="1"/>
  <c r="R312" i="1"/>
  <c r="R697" i="1"/>
  <c r="R662" i="1"/>
  <c r="R685" i="1"/>
  <c r="R702" i="1"/>
  <c r="R676" i="1"/>
  <c r="R673" i="1"/>
  <c r="R674" i="1"/>
  <c r="R675" i="1"/>
  <c r="R653" i="1"/>
  <c r="R648" i="1"/>
  <c r="R649" i="1"/>
  <c r="R578" i="1"/>
  <c r="R641" i="1"/>
  <c r="R660" i="1"/>
  <c r="R550" i="1"/>
  <c r="R498" i="1"/>
  <c r="R140" i="1"/>
  <c r="R562" i="1"/>
  <c r="R635" i="1"/>
  <c r="R258" i="1"/>
  <c r="R528" i="1"/>
  <c r="R577" i="1"/>
  <c r="R169" i="1"/>
  <c r="R695" i="1"/>
  <c r="R128" i="1"/>
  <c r="R192" i="1"/>
  <c r="R300" i="1"/>
  <c r="R311" i="1"/>
  <c r="R351" i="1"/>
  <c r="R156" i="1"/>
  <c r="R130" i="1"/>
  <c r="R132" i="1"/>
  <c r="R279" i="1"/>
  <c r="R634" i="1"/>
  <c r="R323" i="1"/>
  <c r="R273" i="1"/>
  <c r="R703" i="1"/>
  <c r="R491" i="1"/>
  <c r="R560" i="1"/>
  <c r="R565" i="1"/>
  <c r="R155" i="1"/>
  <c r="R661" i="1"/>
  <c r="R610" i="1"/>
  <c r="R499" i="1"/>
  <c r="R257" i="1"/>
  <c r="R524" i="1"/>
  <c r="R558" i="1"/>
  <c r="R564" i="1"/>
  <c r="R551" i="1"/>
  <c r="R677" i="1"/>
  <c r="R644" i="1"/>
  <c r="R204" i="1"/>
  <c r="R262" i="1"/>
  <c r="R247" i="1"/>
  <c r="R293" i="1"/>
  <c r="R282" i="1"/>
  <c r="R278" i="1"/>
  <c r="R220" i="1"/>
  <c r="R334" i="1"/>
  <c r="R248" i="1"/>
  <c r="R217" i="1"/>
  <c r="R218" i="1"/>
  <c r="R549" i="1"/>
  <c r="R284" i="1"/>
  <c r="R281" i="1"/>
  <c r="R341" i="1"/>
  <c r="R348" i="1"/>
  <c r="R669" i="1"/>
  <c r="R670" i="1"/>
  <c r="R193" i="1"/>
  <c r="R543" i="1"/>
  <c r="R704" i="1"/>
  <c r="R535" i="1"/>
  <c r="R522" i="1"/>
  <c r="R583" i="1"/>
  <c r="R609" i="1"/>
  <c r="R688" i="1"/>
  <c r="R145" i="1"/>
  <c r="R269" i="1"/>
  <c r="R591" i="1"/>
  <c r="R552" i="1"/>
  <c r="R601" i="1"/>
  <c r="R597" i="1"/>
  <c r="R553" i="1"/>
  <c r="R527" i="1"/>
  <c r="R294" i="1"/>
  <c r="R319" i="1"/>
  <c r="R243" i="1"/>
  <c r="R545" i="1"/>
  <c r="R147" i="1"/>
  <c r="R345" i="1"/>
  <c r="R283" i="1"/>
  <c r="R538" i="1"/>
  <c r="R136" i="1"/>
  <c r="R632" i="1"/>
  <c r="R137" i="1"/>
  <c r="R310" i="1"/>
  <c r="R651" i="1"/>
  <c r="R148" i="1"/>
  <c r="R517" i="1"/>
  <c r="R326" i="1"/>
  <c r="R642" i="1"/>
  <c r="R567" i="1"/>
  <c r="R182" i="1"/>
  <c r="R143" i="1"/>
  <c r="R679" i="1"/>
  <c r="R582" i="1"/>
  <c r="R584" i="1"/>
  <c r="R486" i="1"/>
  <c r="R687" i="1"/>
  <c r="R144" i="1"/>
  <c r="R268" i="1"/>
  <c r="R267" i="1"/>
  <c r="R161" i="1"/>
  <c r="R513" i="1"/>
  <c r="R659" i="1"/>
  <c r="R696" i="1"/>
  <c r="R573" i="1"/>
  <c r="R575" i="1"/>
  <c r="R223" i="1"/>
  <c r="R237" i="1"/>
  <c r="R663" i="1"/>
  <c r="R141" i="1"/>
  <c r="R693" i="1"/>
  <c r="R342" i="1"/>
  <c r="R626" i="1"/>
  <c r="R624" i="1"/>
  <c r="R172" i="1"/>
  <c r="R159" i="1"/>
  <c r="R186" i="1"/>
  <c r="R603" i="1"/>
  <c r="R227" i="1"/>
  <c r="R295" i="1"/>
  <c r="R602" i="1"/>
  <c r="R525" i="1"/>
  <c r="R239" i="1"/>
  <c r="R519" i="1"/>
  <c r="R199" i="1"/>
  <c r="R213" i="1"/>
  <c r="R336" i="1"/>
  <c r="R177" i="1"/>
  <c r="R314" i="1"/>
  <c r="R347" i="1"/>
  <c r="R298" i="1"/>
  <c r="R568" i="1"/>
  <c r="R249" i="1"/>
  <c r="R512" i="1"/>
  <c r="R548" i="1"/>
  <c r="R682" i="1"/>
  <c r="R496" i="1"/>
  <c r="R190" i="1"/>
  <c r="R160" i="1"/>
  <c r="R514" i="1"/>
  <c r="R488" i="1"/>
  <c r="R574" i="1"/>
  <c r="R571" i="1"/>
  <c r="R317" i="1"/>
  <c r="R316" i="1"/>
  <c r="R315" i="1"/>
  <c r="R691" i="1"/>
  <c r="R232" i="1"/>
  <c r="R595" i="1"/>
  <c r="R542" i="1"/>
  <c r="R126" i="1"/>
  <c r="R228" i="1"/>
  <c r="R170" i="1"/>
  <c r="R263" i="1"/>
  <c r="R185" i="1"/>
  <c r="R555" i="1"/>
  <c r="R356" i="1"/>
  <c r="R238" i="1"/>
  <c r="R226" i="1"/>
  <c r="R302" i="1"/>
  <c r="R604" i="1"/>
  <c r="R618" i="1"/>
  <c r="R633" i="1"/>
  <c r="R658" i="1"/>
  <c r="R335" i="1"/>
  <c r="R668" i="1"/>
  <c r="R652" i="1"/>
  <c r="R313" i="1"/>
  <c r="R308" i="1"/>
  <c r="R297" i="1"/>
  <c r="R579" i="1"/>
  <c r="R681" i="1"/>
  <c r="R671" i="1"/>
  <c r="R349" i="1"/>
  <c r="R497" i="1"/>
  <c r="R621" i="1"/>
  <c r="R593" i="1"/>
  <c r="R490" i="1"/>
  <c r="R643" i="1"/>
  <c r="R306" i="1"/>
  <c r="R566" i="1"/>
  <c r="R600" i="1"/>
  <c r="R672" i="1"/>
  <c r="R572" i="1"/>
  <c r="R135" i="1"/>
  <c r="R631" i="1"/>
  <c r="R684" i="1"/>
  <c r="R255" i="1"/>
  <c r="R291" i="1"/>
  <c r="R133" i="1"/>
  <c r="R183" i="1"/>
  <c r="R637" i="1"/>
  <c r="R127" i="1"/>
  <c r="R221" i="1"/>
  <c r="R264" i="1"/>
  <c r="R207" i="1"/>
  <c r="R191" i="1"/>
  <c r="R511" i="1"/>
  <c r="R139" i="1"/>
  <c r="R343" i="1"/>
  <c r="R305" i="1"/>
  <c r="R667" i="1"/>
  <c r="R184" i="1"/>
  <c r="R174" i="1"/>
  <c r="R287" i="1"/>
  <c r="R534" i="1"/>
  <c r="R483" i="1"/>
  <c r="R580" i="1"/>
  <c r="R350" i="1"/>
  <c r="R592" i="1"/>
  <c r="R617" i="1"/>
  <c r="R701" i="1"/>
  <c r="R666" i="1"/>
  <c r="R665" i="1"/>
  <c r="R261" i="1"/>
  <c r="R694" i="1"/>
  <c r="R654" i="1"/>
  <c r="R680" i="1"/>
  <c r="R211" i="1"/>
  <c r="R559" i="1"/>
  <c r="R596" i="1"/>
  <c r="R222" i="1"/>
  <c r="R340" i="1"/>
  <c r="R230" i="1"/>
  <c r="R321" i="1"/>
  <c r="R206" i="1"/>
  <c r="R274" i="1"/>
  <c r="R151" i="1"/>
  <c r="R598" i="1"/>
  <c r="R355" i="1"/>
  <c r="R346" i="1"/>
  <c r="R241" i="1"/>
  <c r="R251" i="1"/>
  <c r="R530" i="1"/>
  <c r="R533" i="1"/>
  <c r="R501" i="1"/>
  <c r="R531" i="1"/>
  <c r="R180" i="1"/>
  <c r="R224" i="1"/>
  <c r="R299" i="1"/>
  <c r="R589" i="1"/>
  <c r="R620" i="1"/>
  <c r="R505" i="1"/>
  <c r="R484" i="1"/>
  <c r="R657" i="1"/>
  <c r="R541" i="1"/>
  <c r="R586" i="1"/>
  <c r="R546" i="1"/>
  <c r="R352" i="1"/>
  <c r="R594" i="1"/>
  <c r="R515" i="1"/>
  <c r="R215" i="1"/>
  <c r="R523" i="1"/>
  <c r="R608" i="1"/>
  <c r="R288" i="1"/>
  <c r="R529" i="1"/>
  <c r="R569" i="1"/>
  <c r="U247" i="1"/>
  <c r="U248" i="1"/>
  <c r="C11" i="1"/>
  <c r="R176" i="1"/>
  <c r="R253" i="1"/>
  <c r="R210" i="1"/>
  <c r="R650" i="1"/>
  <c r="R561" i="1"/>
  <c r="R164" i="1"/>
  <c r="R201" i="1"/>
  <c r="R189" i="1"/>
  <c r="R173" i="1"/>
  <c r="R289" i="1"/>
  <c r="R339" i="1"/>
  <c r="R301" i="1"/>
  <c r="R225" i="1"/>
  <c r="R627" i="1"/>
  <c r="R162" i="1"/>
  <c r="R163" i="1"/>
  <c r="R330" i="1"/>
  <c r="R640" i="1"/>
  <c r="R152" i="1"/>
  <c r="R171" i="1"/>
  <c r="R544" i="1"/>
  <c r="R197" i="1"/>
  <c r="R236" i="1"/>
  <c r="R638" i="1"/>
  <c r="R332" i="1"/>
  <c r="R599" i="1"/>
  <c r="R166" i="1"/>
  <c r="R554" i="1"/>
  <c r="R506" i="1"/>
  <c r="R485" i="1"/>
  <c r="R489" i="1"/>
  <c r="R146" i="1"/>
  <c r="R607" i="1"/>
  <c r="R508" i="1"/>
  <c r="R612" i="1"/>
  <c r="R516" i="1"/>
  <c r="R700" i="1"/>
  <c r="R570" i="1"/>
  <c r="R532" i="1"/>
  <c r="S708" i="1" l="1"/>
  <c r="S3280" i="1"/>
  <c r="S3788" i="1"/>
  <c r="S3426" i="1"/>
  <c r="S3152" i="1"/>
  <c r="S2642" i="1"/>
  <c r="S1309" i="1"/>
  <c r="S2555" i="1"/>
  <c r="S2617" i="1"/>
  <c r="S2359" i="1"/>
  <c r="S2213" i="1"/>
  <c r="S2680" i="1"/>
  <c r="S1140" i="1"/>
  <c r="S1414" i="1"/>
  <c r="S1513" i="1"/>
  <c r="S1786" i="1"/>
  <c r="S983" i="1"/>
  <c r="S1294" i="1"/>
  <c r="S927" i="1"/>
  <c r="S749" i="1"/>
  <c r="S3477" i="1"/>
  <c r="S3938" i="1"/>
  <c r="S3928" i="1"/>
  <c r="S3724" i="1"/>
  <c r="S3369" i="1"/>
  <c r="S2786" i="1"/>
  <c r="S3507" i="1"/>
  <c r="S3342" i="1"/>
  <c r="S2318" i="1"/>
  <c r="S2597" i="1"/>
  <c r="S2458" i="1"/>
  <c r="S2767" i="1"/>
  <c r="S2301" i="1"/>
  <c r="S2241" i="1"/>
  <c r="S1592" i="1"/>
  <c r="S1337" i="1"/>
  <c r="S1971" i="1"/>
  <c r="S1079" i="1"/>
  <c r="S791" i="1"/>
  <c r="S2782" i="1"/>
  <c r="S819" i="1"/>
  <c r="S3079" i="1"/>
  <c r="S3624" i="1"/>
  <c r="S2751" i="1"/>
  <c r="S3588" i="1"/>
  <c r="S2926" i="1"/>
  <c r="S2094" i="1"/>
  <c r="S2439" i="1"/>
  <c r="S2773" i="1"/>
  <c r="S2752" i="1"/>
  <c r="S1616" i="1"/>
  <c r="S1017" i="1"/>
  <c r="S1712" i="1"/>
  <c r="S886" i="1"/>
  <c r="S1343" i="1"/>
  <c r="S1215" i="1"/>
  <c r="S1091" i="1"/>
  <c r="S706" i="1"/>
  <c r="S3497" i="1"/>
  <c r="S3102" i="1"/>
  <c r="S3937" i="1"/>
  <c r="S3393" i="1"/>
  <c r="S3001" i="1"/>
  <c r="S3136" i="1"/>
  <c r="S2896" i="1"/>
  <c r="S3438" i="1"/>
  <c r="S2423" i="1"/>
  <c r="S2524" i="1"/>
  <c r="S2787" i="1"/>
  <c r="S862" i="1"/>
  <c r="S2338" i="1"/>
  <c r="S2224" i="1"/>
  <c r="S2358" i="1"/>
  <c r="S950" i="1"/>
  <c r="S1767" i="1"/>
  <c r="S203" i="1"/>
  <c r="S3611" i="1"/>
  <c r="S3458" i="1"/>
  <c r="S3667" i="1"/>
  <c r="S2434" i="1"/>
  <c r="S2735" i="1"/>
  <c r="S3182" i="1"/>
  <c r="S2972" i="1"/>
  <c r="S3496" i="1"/>
  <c r="S2124" i="1"/>
  <c r="S2743" i="1"/>
  <c r="S1932" i="1"/>
  <c r="S2051" i="1"/>
  <c r="S1910" i="1"/>
  <c r="S1389" i="1"/>
  <c r="S1858" i="1"/>
  <c r="S1256" i="1"/>
  <c r="S1609" i="1"/>
  <c r="S1039" i="1"/>
  <c r="S1151" i="1"/>
  <c r="S808" i="1"/>
  <c r="S3666" i="1"/>
  <c r="S3589" i="1"/>
  <c r="S3029" i="1"/>
  <c r="S3385" i="1"/>
  <c r="S1768" i="1"/>
  <c r="S3283" i="1"/>
  <c r="S3120" i="1"/>
  <c r="S3493" i="1"/>
  <c r="S2625" i="1"/>
  <c r="S2728" i="1"/>
  <c r="S2134" i="1"/>
  <c r="S1886" i="1"/>
  <c r="S2709" i="1"/>
  <c r="S2223" i="1"/>
  <c r="S1104" i="1"/>
  <c r="S1364" i="1"/>
  <c r="S1241" i="1"/>
  <c r="S2029" i="1"/>
  <c r="S873" i="1"/>
  <c r="S997" i="1"/>
  <c r="S727" i="1"/>
  <c r="S3151" i="1"/>
  <c r="S2278" i="1"/>
  <c r="S1385" i="1"/>
  <c r="S3357" i="1"/>
  <c r="S3759" i="1"/>
  <c r="S2882" i="1"/>
  <c r="S3687" i="1"/>
  <c r="S3478" i="1"/>
  <c r="S3364" i="1"/>
  <c r="S2888" i="1"/>
  <c r="S3229" i="1"/>
  <c r="S2745" i="1"/>
  <c r="S2708" i="1"/>
  <c r="S2105" i="1"/>
  <c r="S2103" i="1"/>
  <c r="S2480" i="1"/>
  <c r="S1944" i="1"/>
  <c r="S1952" i="1"/>
  <c r="S1845" i="1"/>
  <c r="S1754" i="1"/>
  <c r="S1764" i="1"/>
  <c r="S929" i="1"/>
  <c r="S731" i="1"/>
  <c r="S3450" i="1"/>
  <c r="S1797" i="1"/>
  <c r="S2188" i="1"/>
  <c r="S1229" i="1"/>
  <c r="S3527" i="1"/>
  <c r="S3731" i="1"/>
  <c r="S3539" i="1"/>
  <c r="S3692" i="1"/>
  <c r="S3069" i="1"/>
  <c r="S2946" i="1"/>
  <c r="S3146" i="1"/>
  <c r="S2090" i="1"/>
  <c r="S2702" i="1"/>
  <c r="S2626" i="1"/>
  <c r="S2853" i="1"/>
  <c r="S2364" i="1"/>
  <c r="S1770" i="1"/>
  <c r="S1035" i="1"/>
  <c r="S1625" i="1"/>
  <c r="S1688" i="1"/>
  <c r="S1738" i="1"/>
  <c r="S1019" i="1"/>
  <c r="S973" i="1"/>
  <c r="S813" i="1"/>
  <c r="S3187" i="1"/>
  <c r="S2196" i="1"/>
  <c r="S1994" i="1"/>
  <c r="S2515" i="1"/>
  <c r="S2167" i="1"/>
  <c r="S1843" i="1"/>
  <c r="S2031" i="1"/>
  <c r="S1285" i="1"/>
  <c r="S1113" i="1"/>
  <c r="S1148" i="1"/>
  <c r="S2369" i="1"/>
  <c r="S2435" i="1"/>
  <c r="S2112" i="1"/>
  <c r="S3633" i="1"/>
  <c r="S3417" i="1"/>
  <c r="S3797" i="1"/>
  <c r="S2690" i="1"/>
  <c r="S2733" i="1"/>
  <c r="S2163" i="1"/>
  <c r="S2128" i="1"/>
  <c r="S1335" i="1"/>
  <c r="S736" i="1"/>
  <c r="S3779" i="1"/>
  <c r="S3063" i="1"/>
  <c r="S1189" i="1"/>
  <c r="S1264" i="1"/>
  <c r="S817" i="1"/>
  <c r="S3926" i="1"/>
  <c r="S3900" i="1"/>
  <c r="S3129" i="1"/>
  <c r="S3012" i="1"/>
  <c r="S3648" i="1"/>
  <c r="S2988" i="1"/>
  <c r="S2826" i="1"/>
  <c r="S2461" i="1"/>
  <c r="S2130" i="1"/>
  <c r="S2034" i="1"/>
  <c r="S1831" i="1"/>
  <c r="S2056" i="1"/>
  <c r="S1614" i="1"/>
  <c r="S1722" i="1"/>
  <c r="S1331" i="1"/>
  <c r="S1169" i="1"/>
  <c r="S2240" i="1"/>
  <c r="S1407" i="1"/>
  <c r="S1453" i="1"/>
  <c r="S3923" i="1"/>
  <c r="S3849" i="1"/>
  <c r="S3910" i="1"/>
  <c r="S3251" i="1"/>
  <c r="S3471" i="1"/>
  <c r="S3396" i="1"/>
  <c r="S3389" i="1"/>
  <c r="S2431" i="1"/>
  <c r="S2665" i="1"/>
  <c r="S2864" i="1"/>
  <c r="S1501" i="1"/>
  <c r="S1083" i="1"/>
  <c r="S1851" i="1"/>
  <c r="S1933" i="1"/>
  <c r="S1075" i="1"/>
  <c r="S930" i="1"/>
  <c r="S900" i="1"/>
  <c r="S2909" i="1"/>
  <c r="S2746" i="1"/>
  <c r="S1583" i="1"/>
  <c r="S2006" i="1"/>
  <c r="S1481" i="1"/>
  <c r="S829" i="1"/>
  <c r="S918" i="1"/>
  <c r="S772" i="1"/>
  <c r="S1084" i="1"/>
  <c r="S2948" i="1"/>
  <c r="S1703" i="1"/>
  <c r="S3578" i="1"/>
  <c r="S885" i="1"/>
  <c r="S3800" i="1"/>
  <c r="S3936" i="1"/>
  <c r="S3792" i="1"/>
  <c r="S3691" i="1"/>
  <c r="S3098" i="1"/>
  <c r="S2945" i="1"/>
  <c r="S2365" i="1"/>
  <c r="S2715" i="1"/>
  <c r="S1500" i="1"/>
  <c r="S1237" i="1"/>
  <c r="S892" i="1"/>
  <c r="S1806" i="1"/>
  <c r="S3905" i="1"/>
  <c r="S1202" i="1"/>
  <c r="S3933" i="1"/>
  <c r="S3781" i="1"/>
  <c r="S3798" i="1"/>
  <c r="S3284" i="1"/>
  <c r="S2179" i="1"/>
  <c r="S3269" i="1"/>
  <c r="S2564" i="1"/>
  <c r="S2049" i="1"/>
  <c r="S2428" i="1"/>
  <c r="S2375" i="1"/>
  <c r="S1427" i="1"/>
  <c r="S1649" i="1"/>
  <c r="S2068" i="1"/>
  <c r="S2001" i="1"/>
  <c r="S785" i="1"/>
  <c r="S992" i="1"/>
  <c r="S3025" i="1"/>
  <c r="S2803" i="1"/>
  <c r="S1972" i="1"/>
  <c r="S3021" i="1"/>
  <c r="S3205" i="1"/>
  <c r="S2813" i="1"/>
  <c r="S1790" i="1"/>
  <c r="S1332" i="1"/>
  <c r="S857" i="1"/>
  <c r="S2170" i="1"/>
  <c r="S2313" i="1"/>
  <c r="S3160" i="1"/>
  <c r="S3304" i="1"/>
  <c r="S3305" i="1"/>
  <c r="S2398" i="1"/>
  <c r="S2525" i="1"/>
  <c r="S1400" i="1"/>
  <c r="S1478" i="1"/>
  <c r="S1176" i="1"/>
  <c r="S3027" i="1"/>
  <c r="S2734" i="1"/>
  <c r="S3004" i="1"/>
  <c r="S2092" i="1"/>
  <c r="S2267" i="1"/>
  <c r="S1296" i="1"/>
  <c r="S1949" i="1"/>
  <c r="S2125" i="1"/>
  <c r="S965" i="1"/>
  <c r="S3678" i="1"/>
  <c r="S3257" i="1"/>
  <c r="S3334" i="1"/>
  <c r="S2089" i="1"/>
  <c r="S1647" i="1"/>
  <c r="S2086" i="1"/>
  <c r="S1010" i="1"/>
  <c r="S3815" i="1"/>
  <c r="S3941" i="1"/>
  <c r="S3097" i="1"/>
  <c r="S1279" i="1"/>
  <c r="S1821" i="1"/>
  <c r="S2687" i="1"/>
  <c r="S3372" i="1"/>
  <c r="S2280" i="1"/>
  <c r="S2253" i="1"/>
  <c r="S1832" i="1"/>
  <c r="S3606" i="1"/>
  <c r="S3446" i="1"/>
  <c r="S2339" i="1"/>
  <c r="S1981" i="1"/>
  <c r="S1624" i="1"/>
  <c r="S1805" i="1"/>
  <c r="S820" i="1"/>
  <c r="S2887" i="1"/>
  <c r="S1190" i="1"/>
  <c r="S3340" i="1"/>
  <c r="S2582" i="1"/>
  <c r="S2078" i="1"/>
  <c r="S1757" i="1"/>
  <c r="S2640" i="1"/>
  <c r="S804" i="1"/>
  <c r="S2363" i="1"/>
  <c r="S2312" i="1"/>
  <c r="S3386" i="1"/>
  <c r="S3487" i="1"/>
  <c r="S2522" i="1"/>
  <c r="S2410" i="1"/>
  <c r="S956" i="1"/>
  <c r="S2763" i="1"/>
  <c r="S3825" i="1"/>
  <c r="S2438" i="1"/>
  <c r="S1235" i="1"/>
  <c r="S1118" i="1"/>
  <c r="S1466" i="1"/>
  <c r="S1927" i="1"/>
  <c r="S1559" i="1"/>
  <c r="S3837" i="1"/>
  <c r="S3054" i="1"/>
  <c r="S3561" i="1"/>
  <c r="S3383" i="1"/>
  <c r="S2473" i="1"/>
  <c r="S2997" i="1"/>
  <c r="S2802" i="1"/>
  <c r="S3095" i="1"/>
  <c r="S2096" i="1"/>
  <c r="S2645" i="1"/>
  <c r="S2834" i="1"/>
  <c r="S2674" i="1"/>
  <c r="S1673" i="1"/>
  <c r="S1128" i="1"/>
  <c r="S1968" i="1"/>
  <c r="S1273" i="1"/>
  <c r="S1552" i="1"/>
  <c r="S1015" i="1"/>
  <c r="S1274" i="1"/>
  <c r="S803" i="1"/>
  <c r="S774" i="1"/>
  <c r="S3542" i="1"/>
  <c r="S760" i="1"/>
  <c r="S3391" i="1"/>
  <c r="S3149" i="1"/>
  <c r="S3171" i="1"/>
  <c r="S3015" i="1"/>
  <c r="S3444" i="1"/>
  <c r="S2744" i="1"/>
  <c r="S2731" i="1"/>
  <c r="S2843" i="1"/>
  <c r="S1430" i="1"/>
  <c r="S2535" i="1"/>
  <c r="S2222" i="1"/>
  <c r="S877" i="1"/>
  <c r="S1266" i="1"/>
  <c r="S2013" i="1"/>
  <c r="S1800" i="1"/>
  <c r="S990" i="1"/>
  <c r="S1209" i="1"/>
  <c r="S793" i="1"/>
  <c r="S3316" i="1"/>
  <c r="S1544" i="1"/>
  <c r="S1726" i="1"/>
  <c r="S2478" i="1"/>
  <c r="S3240" i="1"/>
  <c r="S3883" i="1"/>
  <c r="S3538" i="1"/>
  <c r="S2942" i="1"/>
  <c r="S3042" i="1"/>
  <c r="S2496" i="1"/>
  <c r="S3349" i="1"/>
  <c r="S2656" i="1"/>
  <c r="S2594" i="1"/>
  <c r="S2061" i="1"/>
  <c r="S1618" i="1"/>
  <c r="S2771" i="1"/>
  <c r="S1977" i="1"/>
  <c r="S1988" i="1"/>
  <c r="S1864" i="1"/>
  <c r="S1959" i="1"/>
  <c r="S1739" i="1"/>
  <c r="S964" i="1"/>
  <c r="S761" i="1"/>
  <c r="S3236" i="1"/>
  <c r="S1298" i="1"/>
  <c r="S2713" i="1"/>
  <c r="S1127" i="1"/>
  <c r="S3142" i="1"/>
  <c r="S3676" i="1"/>
  <c r="S3443" i="1"/>
  <c r="S3562" i="1"/>
  <c r="S2885" i="1"/>
  <c r="S2858" i="1"/>
  <c r="S3117" i="1"/>
  <c r="S2854" i="1"/>
  <c r="S2374" i="1"/>
  <c r="S2388" i="1"/>
  <c r="S2873" i="1"/>
  <c r="S1918" i="1"/>
  <c r="S2087" i="1"/>
  <c r="S1698" i="1"/>
  <c r="S1779" i="1"/>
  <c r="S1787" i="1"/>
  <c r="S1432" i="1"/>
  <c r="S1131" i="1"/>
  <c r="S1153" i="1"/>
  <c r="S735" i="1"/>
  <c r="S2886" i="1"/>
  <c r="S3533" i="1"/>
  <c r="S2045" i="1"/>
  <c r="S2247" i="1"/>
  <c r="S1746" i="1"/>
  <c r="S2002" i="1"/>
  <c r="S1526" i="1"/>
  <c r="S863" i="1"/>
  <c r="S994" i="1"/>
  <c r="S1553" i="1"/>
  <c r="S1750" i="1"/>
  <c r="S3164" i="1"/>
  <c r="S1403" i="1"/>
  <c r="S3637" i="1"/>
  <c r="S3523" i="1"/>
  <c r="S3654" i="1"/>
  <c r="S3449" i="1"/>
  <c r="S2613" i="1"/>
  <c r="S2209" i="1"/>
  <c r="S1987" i="1"/>
  <c r="S1527" i="1"/>
  <c r="S1074" i="1"/>
  <c r="S3646" i="1"/>
  <c r="S2499" i="1"/>
  <c r="S3934" i="1"/>
  <c r="S1675" i="1"/>
  <c r="S3638" i="1"/>
  <c r="S3830" i="1"/>
  <c r="S3529" i="1"/>
  <c r="S2859" i="1"/>
  <c r="S3045" i="1"/>
  <c r="S3141" i="1"/>
  <c r="S2990" i="1"/>
  <c r="S2547" i="1"/>
  <c r="S2399" i="1"/>
  <c r="S2370" i="1"/>
  <c r="S2027" i="1"/>
  <c r="S2651" i="1"/>
  <c r="S1503" i="1"/>
  <c r="S1642" i="1"/>
  <c r="S1336" i="1"/>
  <c r="S1408" i="1"/>
  <c r="S999" i="1"/>
  <c r="S3262" i="1"/>
  <c r="S1072" i="1"/>
  <c r="S1326" i="1"/>
  <c r="S3771" i="1"/>
  <c r="S3711" i="1"/>
  <c r="S3767" i="1"/>
  <c r="S3111" i="1"/>
  <c r="S3351" i="1"/>
  <c r="S3064" i="1"/>
  <c r="S2991" i="1"/>
  <c r="S2417" i="1"/>
  <c r="S2449" i="1"/>
  <c r="S2660" i="1"/>
  <c r="S1349" i="1"/>
  <c r="S1923" i="1"/>
  <c r="S1318" i="1"/>
  <c r="S1468" i="1"/>
  <c r="S1801" i="1"/>
  <c r="S841" i="1"/>
  <c r="S1173" i="1"/>
  <c r="S2649" i="1"/>
  <c r="S2456" i="1"/>
  <c r="S1358" i="1"/>
  <c r="S1887" i="1"/>
  <c r="S1085" i="1"/>
  <c r="S1878" i="1"/>
  <c r="S1077" i="1"/>
  <c r="S802" i="1"/>
  <c r="S788" i="1"/>
  <c r="S2917" i="1"/>
  <c r="S1658" i="1"/>
  <c r="S3231" i="1"/>
  <c r="S1212" i="1"/>
  <c r="S3696" i="1"/>
  <c r="S3380" i="1"/>
  <c r="S3659" i="1"/>
  <c r="S3610" i="1"/>
  <c r="S3252" i="1"/>
  <c r="S3011" i="1"/>
  <c r="S2012" i="1"/>
  <c r="S2330" i="1"/>
  <c r="S1735" i="1"/>
  <c r="S1027" i="1"/>
  <c r="S926" i="1"/>
  <c r="S2412" i="1"/>
  <c r="S3685" i="1"/>
  <c r="S1740" i="1"/>
  <c r="S3755" i="1"/>
  <c r="S3581" i="1"/>
  <c r="S3619" i="1"/>
  <c r="S3043" i="1"/>
  <c r="S3604" i="1"/>
  <c r="S2712" i="1"/>
  <c r="S2632" i="1"/>
  <c r="S2335" i="1"/>
  <c r="S2587" i="1"/>
  <c r="S2514" i="1"/>
  <c r="S1304" i="1"/>
  <c r="S1465" i="1"/>
  <c r="S1808" i="1"/>
  <c r="S1419" i="1"/>
  <c r="S707" i="1"/>
  <c r="S1060" i="1"/>
  <c r="S3323" i="1"/>
  <c r="S3861" i="1"/>
  <c r="S869" i="1"/>
  <c r="S3242" i="1"/>
  <c r="S2658" i="1"/>
  <c r="S2812" i="1"/>
  <c r="S1838" i="1"/>
  <c r="S1668" i="1"/>
  <c r="S949" i="1"/>
  <c r="S1707" i="1"/>
  <c r="S2166" i="1"/>
  <c r="S3110" i="1"/>
  <c r="S3312" i="1"/>
  <c r="S3309" i="1"/>
  <c r="S2401" i="1"/>
  <c r="S2038" i="1"/>
  <c r="S1412" i="1"/>
  <c r="S1390" i="1"/>
  <c r="S1186" i="1"/>
  <c r="S3038" i="1"/>
  <c r="S3217" i="1"/>
  <c r="S3139" i="1"/>
  <c r="S1914" i="1"/>
  <c r="S1648" i="1"/>
  <c r="S1725" i="1"/>
  <c r="S1353" i="1"/>
  <c r="S2518" i="1"/>
  <c r="S972" i="1"/>
  <c r="S3885" i="1"/>
  <c r="S3254" i="1"/>
  <c r="S3328" i="1"/>
  <c r="S2099" i="1"/>
  <c r="S1639" i="1"/>
  <c r="S2080" i="1"/>
  <c r="S3726" i="1"/>
  <c r="S3820" i="1"/>
  <c r="S3179" i="1"/>
  <c r="S3346" i="1"/>
  <c r="S1520" i="1"/>
  <c r="S1003" i="1"/>
  <c r="S1402" i="1"/>
  <c r="S2531" i="1"/>
  <c r="S2956" i="1"/>
  <c r="S1263" i="1"/>
  <c r="S1597" i="1"/>
  <c r="S2937" i="1"/>
  <c r="S3343" i="1"/>
  <c r="S2869" i="1"/>
  <c r="S1969" i="1"/>
  <c r="S1628" i="1"/>
  <c r="S1330" i="1"/>
  <c r="S757" i="1"/>
  <c r="S2895" i="1"/>
  <c r="S1040" i="1"/>
  <c r="S3261" i="1"/>
  <c r="S2583" i="1"/>
  <c r="S2832" i="1"/>
  <c r="S1758" i="1"/>
  <c r="S812" i="1"/>
  <c r="S811" i="1"/>
  <c r="S3163" i="1"/>
  <c r="S2297" i="1"/>
  <c r="S3456" i="1"/>
  <c r="S3208" i="1"/>
  <c r="S2336" i="1"/>
  <c r="S1729" i="1"/>
  <c r="S1191" i="1"/>
  <c r="S2792" i="1"/>
  <c r="S3071" i="1"/>
  <c r="S2468" i="1"/>
  <c r="S1234" i="1"/>
  <c r="S1042" i="1"/>
  <c r="S1482" i="1"/>
  <c r="S1282" i="1"/>
  <c r="S981" i="1"/>
  <c r="S1928" i="1"/>
  <c r="S941" i="1"/>
  <c r="S1242" i="1"/>
  <c r="S3735" i="1"/>
  <c r="S2686" i="1"/>
  <c r="S2344" i="1"/>
  <c r="S1024" i="1"/>
  <c r="S2539" i="1"/>
  <c r="S3772" i="1"/>
  <c r="S3892" i="1"/>
  <c r="S3419" i="1"/>
  <c r="S3009" i="1"/>
  <c r="S2805" i="1"/>
  <c r="S3399" i="1"/>
  <c r="S3317" i="1"/>
  <c r="S2610" i="1"/>
  <c r="S2571" i="1"/>
  <c r="S2595" i="1"/>
  <c r="S1393" i="1"/>
  <c r="S2404" i="1"/>
  <c r="S1580" i="1"/>
  <c r="S1708" i="1"/>
  <c r="S1665" i="1"/>
  <c r="S1751" i="1"/>
  <c r="S1292" i="1"/>
  <c r="S1133" i="1"/>
  <c r="S711" i="1"/>
  <c r="S2794" i="1"/>
  <c r="S1809" i="1"/>
  <c r="S3056" i="1"/>
  <c r="S2135" i="1"/>
  <c r="S2978" i="1"/>
  <c r="S2944" i="1"/>
  <c r="S3024" i="1"/>
  <c r="S3483" i="1"/>
  <c r="S3241" i="1"/>
  <c r="S2495" i="1"/>
  <c r="S2697" i="1"/>
  <c r="S2185" i="1"/>
  <c r="S2669" i="1"/>
  <c r="S2894" i="1"/>
  <c r="S2776" i="1"/>
  <c r="S1606" i="1"/>
  <c r="S2058" i="1"/>
  <c r="S1672" i="1"/>
  <c r="S1495" i="1"/>
  <c r="S1434" i="1"/>
  <c r="S1454" i="1"/>
  <c r="S967" i="1"/>
  <c r="S2628" i="1"/>
  <c r="S3048" i="1"/>
  <c r="S3248" i="1"/>
  <c r="S3454" i="1"/>
  <c r="S2173" i="1"/>
  <c r="S2252" i="1"/>
  <c r="S1736" i="1"/>
  <c r="S1936" i="1"/>
  <c r="S2156" i="1"/>
  <c r="S933" i="1"/>
  <c r="S1162" i="1"/>
  <c r="S807" i="1"/>
  <c r="S1100" i="1"/>
  <c r="S3005" i="1"/>
  <c r="S1401" i="1"/>
  <c r="S3519" i="1"/>
  <c r="S767" i="1"/>
  <c r="S3023" i="1"/>
  <c r="S2402" i="1"/>
  <c r="S2057" i="1"/>
  <c r="S1882" i="1"/>
  <c r="S1785" i="1"/>
  <c r="S908" i="1"/>
  <c r="S1866" i="1"/>
  <c r="S2922" i="1"/>
  <c r="S2643" i="1"/>
  <c r="S3916" i="1"/>
  <c r="S1270" i="1"/>
  <c r="S3014" i="1"/>
  <c r="S3016" i="1"/>
  <c r="S3124" i="1"/>
  <c r="S3669" i="1"/>
  <c r="S3050" i="1"/>
  <c r="S2915" i="1"/>
  <c r="S3224" i="1"/>
  <c r="S2485" i="1"/>
  <c r="S2256" i="1"/>
  <c r="S2860" i="1"/>
  <c r="S2017" i="1"/>
  <c r="S2466" i="1"/>
  <c r="S1457" i="1"/>
  <c r="S1543" i="1"/>
  <c r="S2201" i="1"/>
  <c r="S1814" i="1"/>
  <c r="S1114" i="1"/>
  <c r="S3040" i="1"/>
  <c r="S1008" i="1"/>
  <c r="S1756" i="1"/>
  <c r="S3498" i="1"/>
  <c r="S3530" i="1"/>
  <c r="S3694" i="1"/>
  <c r="S3626" i="1"/>
  <c r="S3191" i="1"/>
  <c r="S2798" i="1"/>
  <c r="S2574" i="1"/>
  <c r="S2738" i="1"/>
  <c r="S2145" i="1"/>
  <c r="S2620" i="1"/>
  <c r="S1224" i="1"/>
  <c r="S1602" i="1"/>
  <c r="S1216" i="1"/>
  <c r="S1313" i="1"/>
  <c r="S1443" i="1"/>
  <c r="S1198" i="1"/>
  <c r="S970" i="1"/>
  <c r="S3008" i="1"/>
  <c r="S2021" i="1"/>
  <c r="S2576" i="1"/>
  <c r="S1734" i="1"/>
  <c r="S1911" i="1"/>
  <c r="S1879" i="1"/>
  <c r="S1081" i="1"/>
  <c r="S1718" i="1"/>
  <c r="S3874" i="1"/>
  <c r="S2939" i="1"/>
  <c r="S1102" i="1"/>
  <c r="S3658" i="1"/>
  <c r="S939" i="1"/>
  <c r="S3499" i="1"/>
  <c r="S3629" i="1"/>
  <c r="S3403" i="1"/>
  <c r="S3414" i="1"/>
  <c r="S3267" i="1"/>
  <c r="S3574" i="1"/>
  <c r="S2878" i="1"/>
  <c r="S2062" i="1"/>
  <c r="S1611" i="1"/>
  <c r="S919" i="1"/>
  <c r="S1096" i="1"/>
  <c r="S1342" i="1"/>
  <c r="S3115" i="1"/>
  <c r="S1715" i="1"/>
  <c r="S3503" i="1"/>
  <c r="S2308" i="1"/>
  <c r="S2245" i="1"/>
  <c r="S3511" i="1"/>
  <c r="S3486" i="1"/>
  <c r="S2498" i="1"/>
  <c r="S2561" i="1"/>
  <c r="S2672" i="1"/>
  <c r="S2142" i="1"/>
  <c r="S2779" i="1"/>
  <c r="S2004" i="1"/>
  <c r="S2346" i="1"/>
  <c r="S1819" i="1"/>
  <c r="S830" i="1"/>
  <c r="S3375" i="1"/>
  <c r="S792" i="1"/>
  <c r="S2189" i="1"/>
  <c r="S3821" i="1"/>
  <c r="S1804" i="1"/>
  <c r="S2298" i="1"/>
  <c r="S3582" i="1"/>
  <c r="S2814" i="1"/>
  <c r="S1803" i="1"/>
  <c r="S1502" i="1"/>
  <c r="S1154" i="1"/>
  <c r="S1902" i="1"/>
  <c r="S2039" i="1"/>
  <c r="S3156" i="1"/>
  <c r="S3296" i="1"/>
  <c r="S3282" i="1"/>
  <c r="S2385" i="1"/>
  <c r="S2229" i="1"/>
  <c r="S1424" i="1"/>
  <c r="S1514" i="1"/>
  <c r="S1146" i="1"/>
  <c r="S2647" i="1"/>
  <c r="S3215" i="1"/>
  <c r="S2902" i="1"/>
  <c r="S2484" i="1"/>
  <c r="S1199" i="1"/>
  <c r="S1486" i="1"/>
  <c r="S1076" i="1"/>
  <c r="S2277" i="1"/>
  <c r="S2856" i="1"/>
  <c r="S3490" i="1"/>
  <c r="S3255" i="1"/>
  <c r="S3333" i="1"/>
  <c r="S1983" i="1"/>
  <c r="S1633" i="1"/>
  <c r="S2088" i="1"/>
  <c r="S3742" i="1"/>
  <c r="S3802" i="1"/>
  <c r="S3199" i="1"/>
  <c r="S2328" i="1"/>
  <c r="S1098" i="1"/>
  <c r="S953" i="1"/>
  <c r="S3795" i="1"/>
  <c r="S2528" i="1"/>
  <c r="S2765" i="1"/>
  <c r="S1615" i="1"/>
  <c r="S3420" i="1"/>
  <c r="S2949" i="1"/>
  <c r="S3106" i="1"/>
  <c r="S2212" i="1"/>
  <c r="S1941" i="1"/>
  <c r="S1247" i="1"/>
  <c r="S1363" i="1"/>
  <c r="S742" i="1"/>
  <c r="S2879" i="1"/>
  <c r="S800" i="1"/>
  <c r="S2325" i="1"/>
  <c r="S2565" i="1"/>
  <c r="S2432" i="1"/>
  <c r="S1760" i="1"/>
  <c r="S818" i="1"/>
  <c r="S726" i="1"/>
  <c r="S3070" i="1"/>
  <c r="S2324" i="1"/>
  <c r="S3476" i="1"/>
  <c r="S2377" i="1"/>
  <c r="S2287" i="1"/>
  <c r="S1250" i="1"/>
  <c r="S1195" i="1"/>
  <c r="S3810" i="1"/>
  <c r="S2784" i="1"/>
  <c r="S2585" i="1"/>
  <c r="S1238" i="1"/>
  <c r="S887" i="1"/>
  <c r="S1483" i="1"/>
  <c r="S1897" i="1"/>
  <c r="S3575" i="1"/>
  <c r="S3902" i="1"/>
  <c r="S3930" i="1"/>
  <c r="S3871" i="1"/>
  <c r="S2930" i="1"/>
  <c r="S3378" i="1"/>
  <c r="S3464" i="1"/>
  <c r="S3238" i="1"/>
  <c r="S2655" i="1"/>
  <c r="S2098" i="1"/>
  <c r="S2405" i="1"/>
  <c r="S2567" i="1"/>
  <c r="S2424" i="1"/>
  <c r="S1802" i="1"/>
  <c r="S1717" i="1"/>
  <c r="S1697" i="1"/>
  <c r="S1891" i="1"/>
  <c r="S1872" i="1"/>
  <c r="S1054" i="1"/>
  <c r="S984" i="1"/>
  <c r="S2985" i="1"/>
  <c r="S2986" i="1"/>
  <c r="S3147" i="1"/>
  <c r="S3823" i="1"/>
  <c r="S3081" i="1"/>
  <c r="S2971" i="1"/>
  <c r="S3107" i="1"/>
  <c r="S2536" i="1"/>
  <c r="S3265" i="1"/>
  <c r="S2268" i="1"/>
  <c r="S2064" i="1"/>
  <c r="S2307" i="1"/>
  <c r="S2730" i="1"/>
  <c r="S2180" i="1"/>
  <c r="S1905" i="1"/>
  <c r="S1945" i="1"/>
  <c r="S1689" i="1"/>
  <c r="S1876" i="1"/>
  <c r="S1359" i="1"/>
  <c r="S1137" i="1"/>
  <c r="S960" i="1"/>
  <c r="S3534" i="1"/>
  <c r="S2688" i="1"/>
  <c r="S1325" i="1"/>
  <c r="S894" i="1"/>
  <c r="S2631" i="1"/>
  <c r="S3514" i="1"/>
  <c r="S3789" i="1"/>
  <c r="S2510" i="1"/>
  <c r="S3521" i="1"/>
  <c r="S2357" i="1"/>
  <c r="S2392" i="1"/>
  <c r="S3319" i="1"/>
  <c r="S2232" i="1"/>
  <c r="S1966" i="1"/>
  <c r="S2593" i="1"/>
  <c r="S1219" i="1"/>
  <c r="S2251" i="1"/>
  <c r="S1702" i="1"/>
  <c r="S1693" i="1"/>
  <c r="S1743" i="1"/>
  <c r="S1315" i="1"/>
  <c r="S957" i="1"/>
  <c r="S891" i="1"/>
  <c r="S723" i="1"/>
  <c r="S2685" i="1"/>
  <c r="S1620" i="1"/>
  <c r="S2465" i="1"/>
  <c r="S1395" i="1"/>
  <c r="S755" i="1"/>
  <c r="S3920" i="1"/>
  <c r="S714" i="1"/>
  <c r="S3184" i="1"/>
  <c r="S3325" i="1"/>
  <c r="S3452" i="1"/>
  <c r="S2195" i="1"/>
  <c r="S2756" i="1"/>
  <c r="S2067" i="1"/>
  <c r="S2818" i="1"/>
  <c r="S2315" i="1"/>
  <c r="S1381" i="1"/>
  <c r="S2005" i="1"/>
  <c r="S1570" i="1"/>
  <c r="S1087" i="1"/>
  <c r="S1338" i="1"/>
  <c r="S874" i="1"/>
  <c r="S1093" i="1"/>
  <c r="S936" i="1"/>
  <c r="S2352" i="1"/>
  <c r="S3114" i="1"/>
  <c r="S3460" i="1"/>
  <c r="S2217" i="1"/>
  <c r="S2258" i="1"/>
  <c r="S1462" i="1"/>
  <c r="S1778" i="1"/>
  <c r="S1646" i="1"/>
  <c r="S954" i="1"/>
  <c r="S778" i="1"/>
  <c r="S3901" i="1"/>
  <c r="S1007" i="1"/>
  <c r="S3341" i="1"/>
  <c r="S2114" i="1"/>
  <c r="S3663" i="1"/>
  <c r="S3785" i="1"/>
  <c r="S2553" i="1"/>
  <c r="S2766" i="1"/>
  <c r="S2477" i="1"/>
  <c r="S1540" i="1"/>
  <c r="S1626" i="1"/>
  <c r="S1107" i="1"/>
  <c r="S1865" i="1"/>
  <c r="S3786" i="1"/>
  <c r="S2376" i="1"/>
  <c r="S3564" i="1"/>
  <c r="S1694" i="1"/>
  <c r="S718" i="1"/>
  <c r="S3846" i="1"/>
  <c r="S2383" i="1"/>
  <c r="S3173" i="1"/>
  <c r="S2159" i="1"/>
  <c r="S2692" i="1"/>
  <c r="S2292" i="1"/>
  <c r="S2427" i="1"/>
  <c r="S2450" i="1"/>
  <c r="S2819" i="1"/>
  <c r="S2074" i="1"/>
  <c r="S2153" i="1"/>
  <c r="S1306" i="1"/>
  <c r="S1676" i="1"/>
  <c r="S2047" i="1"/>
  <c r="S1836" i="1"/>
  <c r="S868" i="1"/>
  <c r="S2700" i="1"/>
  <c r="S1033" i="1"/>
  <c r="S1012" i="1"/>
  <c r="S3352" i="1"/>
  <c r="S3559" i="1"/>
  <c r="S3906" i="1"/>
  <c r="S3495" i="1"/>
  <c r="S3060" i="1"/>
  <c r="S2768" i="1"/>
  <c r="S3388" i="1"/>
  <c r="S2523" i="1"/>
  <c r="S2305" i="1"/>
  <c r="S2569" i="1"/>
  <c r="S2030" i="1"/>
  <c r="S1449" i="1"/>
  <c r="S1817" i="1"/>
  <c r="S2129" i="1"/>
  <c r="S1488" i="1"/>
  <c r="S916" i="1"/>
  <c r="S810" i="1"/>
  <c r="S3394" i="1"/>
  <c r="S2141" i="1"/>
  <c r="S2482" i="1"/>
  <c r="S1439" i="1"/>
  <c r="S1999" i="1"/>
  <c r="S2042" i="1"/>
  <c r="S883" i="1"/>
  <c r="S831" i="1"/>
  <c r="S3715" i="1"/>
  <c r="S2857" i="1"/>
  <c r="S1177" i="1"/>
  <c r="S2962" i="1"/>
  <c r="S996" i="1"/>
  <c r="S3876" i="1"/>
  <c r="S3474" i="1"/>
  <c r="S3765" i="1"/>
  <c r="S3212" i="1"/>
  <c r="S3253" i="1"/>
  <c r="S3159" i="1"/>
  <c r="S2739" i="1"/>
  <c r="S2661" i="1"/>
  <c r="S1578" i="1"/>
  <c r="S1193" i="1"/>
  <c r="S765" i="1"/>
  <c r="S1413" i="1"/>
  <c r="S3318" i="1"/>
  <c r="S922" i="1"/>
  <c r="S3196" i="1"/>
  <c r="S3866" i="1"/>
  <c r="S3598" i="1"/>
  <c r="S3013" i="1"/>
  <c r="S2718" i="1"/>
  <c r="S2502" i="1"/>
  <c r="S1899" i="1"/>
  <c r="S2187" i="1"/>
  <c r="S1962" i="1"/>
  <c r="S2579" i="1"/>
  <c r="S1775" i="1"/>
  <c r="S1667" i="1"/>
  <c r="S1763" i="1"/>
  <c r="S1004" i="1"/>
  <c r="S3434" i="1"/>
  <c r="S756" i="1"/>
  <c r="S2742" i="1"/>
  <c r="S3273" i="1"/>
  <c r="S2059" i="1"/>
  <c r="S2442" i="1"/>
  <c r="S3345" i="1"/>
  <c r="S2666" i="1"/>
  <c r="S1776" i="1"/>
  <c r="S1594" i="1"/>
  <c r="S1166" i="1"/>
  <c r="S1903" i="1"/>
  <c r="S923" i="1"/>
  <c r="S3127" i="1"/>
  <c r="S3290" i="1"/>
  <c r="S3285" i="1"/>
  <c r="S2354" i="1"/>
  <c r="S2283" i="1"/>
  <c r="S1438" i="1"/>
  <c r="S1638" i="1"/>
  <c r="S3615" i="1"/>
  <c r="S2740" i="1"/>
  <c r="S3211" i="1"/>
  <c r="S2905" i="1"/>
  <c r="S2235" i="1"/>
  <c r="S1929" i="1"/>
  <c r="S1487" i="1"/>
  <c r="S1013" i="1"/>
  <c r="S2774" i="1"/>
  <c r="S2861" i="1"/>
  <c r="S2722" i="1"/>
  <c r="S3250" i="1"/>
  <c r="S3330" i="1"/>
  <c r="S2391" i="1"/>
  <c r="S1634" i="1"/>
  <c r="S1661" i="1"/>
  <c r="S3826" i="1"/>
  <c r="S3863" i="1"/>
  <c r="S3180" i="1"/>
  <c r="S2329" i="1"/>
  <c r="S1103" i="1"/>
  <c r="S986" i="1"/>
  <c r="S3784" i="1"/>
  <c r="S2532" i="1"/>
  <c r="S2953" i="1"/>
  <c r="S1312" i="1"/>
  <c r="S3276" i="1"/>
  <c r="S2968" i="1"/>
  <c r="S2970" i="1"/>
  <c r="S2148" i="1"/>
  <c r="S1978" i="1"/>
  <c r="S1603" i="1"/>
  <c r="S1369" i="1"/>
  <c r="S3746" i="1"/>
  <c r="S2900" i="1"/>
  <c r="S3651" i="1"/>
  <c r="S2714" i="1"/>
  <c r="S2050" i="1"/>
  <c r="S2570" i="1"/>
  <c r="S1713" i="1"/>
  <c r="S770" i="1"/>
  <c r="S814" i="1"/>
  <c r="S3169" i="1"/>
  <c r="S2327" i="1"/>
  <c r="S3479" i="1"/>
  <c r="S2602" i="1"/>
  <c r="S2286" i="1"/>
  <c r="S2126" i="1"/>
  <c r="S1194" i="1"/>
  <c r="S3188" i="1"/>
  <c r="S2785" i="1"/>
  <c r="S2586" i="1"/>
  <c r="S1960" i="1"/>
  <c r="S897" i="1"/>
  <c r="S1484" i="1"/>
  <c r="S3931" i="1"/>
  <c r="S2717" i="1"/>
  <c r="S3573" i="1"/>
  <c r="S3801" i="1"/>
  <c r="S3856" i="1"/>
  <c r="S3836" i="1"/>
  <c r="S3430" i="1"/>
  <c r="S3218" i="1"/>
  <c r="S2984" i="1"/>
  <c r="S3223" i="1"/>
  <c r="S3361" i="1"/>
  <c r="S1506" i="1"/>
  <c r="S2186" i="1"/>
  <c r="S2414" i="1"/>
  <c r="S2254" i="1"/>
  <c r="S1391" i="1"/>
  <c r="S1727" i="1"/>
  <c r="S1612" i="1"/>
  <c r="S1671" i="1"/>
  <c r="S1956" i="1"/>
  <c r="S1014" i="1"/>
  <c r="S840" i="1"/>
  <c r="S2783" i="1"/>
  <c r="S3684" i="1"/>
  <c r="S823" i="1"/>
  <c r="S3754" i="1"/>
  <c r="S2371" i="1"/>
  <c r="S2302" i="1"/>
  <c r="S2921" i="1"/>
  <c r="S3536" i="1"/>
  <c r="S3202" i="1"/>
  <c r="S2472" i="1"/>
  <c r="S2028" i="1"/>
  <c r="S2527" i="1"/>
  <c r="S2659" i="1"/>
  <c r="S2041" i="1"/>
  <c r="S1440" i="1"/>
  <c r="S1970" i="1"/>
  <c r="S1588" i="1"/>
  <c r="S1586" i="1"/>
  <c r="S1271" i="1"/>
  <c r="S849" i="1"/>
  <c r="S881" i="1"/>
  <c r="S3757" i="1"/>
  <c r="S1719" i="1"/>
  <c r="S2871" i="1"/>
  <c r="S989" i="1"/>
  <c r="S2109" i="1"/>
  <c r="S3089" i="1"/>
  <c r="S3524" i="1"/>
  <c r="S3760" i="1"/>
  <c r="S3435" i="1"/>
  <c r="S3416" i="1"/>
  <c r="S3233" i="1"/>
  <c r="S3091" i="1"/>
  <c r="S2157" i="1"/>
  <c r="S2650" i="1"/>
  <c r="S2387" i="1"/>
  <c r="S2796" i="1"/>
  <c r="S2225" i="1"/>
  <c r="S1355" i="1"/>
  <c r="S1458" i="1"/>
  <c r="S1435" i="1"/>
  <c r="S1493" i="1"/>
  <c r="S1056" i="1"/>
  <c r="S1045" i="1"/>
  <c r="S733" i="1"/>
  <c r="S3353" i="1"/>
  <c r="S1165" i="1"/>
  <c r="S2615" i="1"/>
  <c r="S1078" i="1"/>
  <c r="S3828" i="1"/>
  <c r="S3782" i="1"/>
  <c r="S3707" i="1"/>
  <c r="S3053" i="1"/>
  <c r="S2691" i="1"/>
  <c r="S3332" i="1"/>
  <c r="S3655" i="1"/>
  <c r="S2085" i="1"/>
  <c r="S2033" i="1"/>
  <c r="S2679" i="1"/>
  <c r="S2205" i="1"/>
  <c r="S2488" i="1"/>
  <c r="S1660" i="1"/>
  <c r="S1534" i="1"/>
  <c r="S1106" i="1"/>
  <c r="S1637" i="1"/>
  <c r="S1947" i="1"/>
  <c r="S966" i="1"/>
  <c r="S1089" i="1"/>
  <c r="S1663" i="1"/>
  <c r="S3112" i="1"/>
  <c r="S3243" i="1"/>
  <c r="S2065" i="1"/>
  <c r="S1828" i="1"/>
  <c r="S1404" i="1"/>
  <c r="S1613" i="1"/>
  <c r="S1744" i="1"/>
  <c r="S1141" i="1"/>
  <c r="S796" i="1"/>
  <c r="S3640" i="1"/>
  <c r="S884" i="1"/>
  <c r="S3358" i="1"/>
  <c r="S1621" i="1"/>
  <c r="S3143" i="1"/>
  <c r="S3447" i="1"/>
  <c r="S3686" i="1"/>
  <c r="S3623" i="1"/>
  <c r="S2436" i="1"/>
  <c r="S2300" i="1"/>
  <c r="S2622" i="1"/>
  <c r="S955" i="1"/>
  <c r="S1867" i="1"/>
  <c r="S3722" i="1"/>
  <c r="S1705" i="1"/>
  <c r="S3867" i="1"/>
  <c r="S1889" i="1"/>
  <c r="S3833" i="1"/>
  <c r="S3609" i="1"/>
  <c r="S3585" i="1"/>
  <c r="S2512" i="1"/>
  <c r="S3194" i="1"/>
  <c r="S3625" i="1"/>
  <c r="S2505" i="1"/>
  <c r="S2636" i="1"/>
  <c r="S2138" i="1"/>
  <c r="S2696" i="1"/>
  <c r="S1607" i="1"/>
  <c r="S2177" i="1"/>
  <c r="S838" i="1"/>
  <c r="S1644" i="1"/>
  <c r="S1883" i="1"/>
  <c r="S1509" i="1"/>
  <c r="S982" i="1"/>
  <c r="S2356" i="1"/>
  <c r="S3652" i="1"/>
  <c r="S878" i="1"/>
  <c r="S3881" i="1"/>
  <c r="S3852" i="1"/>
  <c r="S2897" i="1"/>
  <c r="S3266" i="1"/>
  <c r="S2938" i="1"/>
  <c r="S2425" i="1"/>
  <c r="S3465" i="1"/>
  <c r="S2070" i="1"/>
  <c r="S2868" i="1"/>
  <c r="S2372" i="1"/>
  <c r="S1799" i="1"/>
  <c r="S1518" i="1"/>
  <c r="S1623" i="1"/>
  <c r="S2066" i="1"/>
  <c r="S1236" i="1"/>
  <c r="S987" i="1"/>
  <c r="S717" i="1"/>
  <c r="S2716" i="1"/>
  <c r="S2725" i="1"/>
  <c r="S2257" i="1"/>
  <c r="S1861" i="1"/>
  <c r="S1691" i="1"/>
  <c r="S1924" i="1"/>
  <c r="S1018" i="1"/>
  <c r="S1179" i="1"/>
  <c r="S3747" i="1"/>
  <c r="S2657" i="1"/>
  <c r="S934" i="1"/>
  <c r="S2652" i="1"/>
  <c r="S771" i="1"/>
  <c r="S3878" i="1"/>
  <c r="S2994" i="1"/>
  <c r="S3783" i="1"/>
  <c r="S2959" i="1"/>
  <c r="S3055" i="1"/>
  <c r="S3153" i="1"/>
  <c r="S2777" i="1"/>
  <c r="S1617" i="1"/>
  <c r="S1386" i="1"/>
  <c r="S1037" i="1"/>
  <c r="S769" i="1"/>
  <c r="S1813" i="1"/>
  <c r="S3020" i="1"/>
  <c r="S3732" i="1"/>
  <c r="S3738" i="1"/>
  <c r="S3762" i="1"/>
  <c r="S3468" i="1"/>
  <c r="S2941" i="1"/>
  <c r="S2530" i="1"/>
  <c r="S2316" i="1"/>
  <c r="S2426" i="1"/>
  <c r="S2689" i="1"/>
  <c r="S2497" i="1"/>
  <c r="S2433" i="1"/>
  <c r="S1655" i="1"/>
  <c r="S1316" i="1"/>
  <c r="S1685" i="1"/>
  <c r="S907" i="1"/>
  <c r="S3436" i="1"/>
  <c r="S805" i="1"/>
  <c r="S1546" i="1"/>
  <c r="S3272" i="1"/>
  <c r="S1207" i="1"/>
  <c r="S2165" i="1"/>
  <c r="S2925" i="1"/>
  <c r="S2151" i="1"/>
  <c r="S1835" i="1"/>
  <c r="S893" i="1"/>
  <c r="S998" i="1"/>
  <c r="S871" i="1"/>
  <c r="S3816" i="1"/>
  <c r="S3118" i="1"/>
  <c r="S3299" i="1"/>
  <c r="S3281" i="1"/>
  <c r="S2396" i="1"/>
  <c r="S2273" i="1"/>
  <c r="S1441" i="1"/>
  <c r="S1710" i="1"/>
  <c r="S3613" i="1"/>
  <c r="S1926" i="1"/>
  <c r="S3213" i="1"/>
  <c r="S2910" i="1"/>
  <c r="S2053" i="1"/>
  <c r="S1378" i="1"/>
  <c r="S1536" i="1"/>
  <c r="S879" i="1"/>
  <c r="S1450" i="1"/>
  <c r="S2845" i="1"/>
  <c r="S2726" i="1"/>
  <c r="S3256" i="1"/>
  <c r="S3338" i="1"/>
  <c r="S1109" i="1"/>
  <c r="S1632" i="1"/>
  <c r="S1366" i="1"/>
  <c r="S3851" i="1"/>
  <c r="S3822" i="1"/>
  <c r="S3200" i="1"/>
  <c r="S2279" i="1"/>
  <c r="S1287" i="1"/>
  <c r="S985" i="1"/>
  <c r="S3761" i="1"/>
  <c r="S2992" i="1"/>
  <c r="S2673" i="1"/>
  <c r="S1307" i="1"/>
  <c r="S3355" i="1"/>
  <c r="S2934" i="1"/>
  <c r="S3144" i="1"/>
  <c r="S2618" i="1"/>
  <c r="S1982" i="1"/>
  <c r="S1601" i="1"/>
  <c r="S1371" i="1"/>
  <c r="S3915" i="1"/>
  <c r="S3192" i="1"/>
  <c r="S2981" i="1"/>
  <c r="S3512" i="1"/>
  <c r="S2018" i="1"/>
  <c r="S2362" i="1"/>
  <c r="S1564" i="1"/>
  <c r="S730" i="1"/>
  <c r="S3627" i="1"/>
  <c r="S3167" i="1"/>
  <c r="S3437" i="1"/>
  <c r="S3376" i="1"/>
  <c r="S2600" i="1"/>
  <c r="S2288" i="1"/>
  <c r="S1934" i="1"/>
  <c r="S1196" i="1"/>
  <c r="S3922" i="1"/>
  <c r="S2455" i="1"/>
  <c r="S2762" i="1"/>
  <c r="S1869" i="1"/>
  <c r="S898" i="1"/>
  <c r="S2540" i="1"/>
  <c r="S2677" i="1"/>
  <c r="S1991" i="1"/>
  <c r="S3535" i="1"/>
  <c r="S3804" i="1"/>
  <c r="S2506" i="1"/>
  <c r="S3743" i="1"/>
  <c r="S3228" i="1"/>
  <c r="S3339" i="1"/>
  <c r="S2982" i="1"/>
  <c r="S3128" i="1"/>
  <c r="S3093" i="1"/>
  <c r="S2707" i="1"/>
  <c r="S1227" i="1"/>
  <c r="S2418" i="1"/>
  <c r="S2453" i="1"/>
  <c r="S1254" i="1"/>
  <c r="S1877" i="1"/>
  <c r="S1550" i="1"/>
  <c r="S1610" i="1"/>
  <c r="S1596" i="1"/>
  <c r="S1000" i="1"/>
  <c r="S910" i="1"/>
  <c r="S3917" i="1"/>
  <c r="S3860" i="1"/>
  <c r="S3635" i="1"/>
  <c r="S3657" i="1"/>
  <c r="S3594" i="1"/>
  <c r="S3084" i="1"/>
  <c r="S2933" i="1"/>
  <c r="S3513" i="1"/>
  <c r="S3062" i="1"/>
  <c r="S2823" i="1"/>
  <c r="S1780" i="1"/>
  <c r="S2108" i="1"/>
  <c r="S2668" i="1"/>
  <c r="S1985" i="1"/>
  <c r="S1329" i="1"/>
  <c r="S1365" i="1"/>
  <c r="S1533" i="1"/>
  <c r="S1953" i="1"/>
  <c r="S1310" i="1"/>
  <c r="S976" i="1"/>
  <c r="S1057" i="1"/>
  <c r="S3756" i="1"/>
  <c r="S2654" i="1"/>
  <c r="S2741" i="1"/>
  <c r="S1122" i="1"/>
  <c r="S2255" i="1"/>
  <c r="S3898" i="1"/>
  <c r="S777" i="1"/>
  <c r="S3824" i="1"/>
  <c r="S3031" i="1"/>
  <c r="S2883" i="1"/>
  <c r="S3154" i="1"/>
  <c r="S3209" i="1"/>
  <c r="S2706" i="1"/>
  <c r="S2281" i="1"/>
  <c r="S2178" i="1"/>
  <c r="S2511" i="1"/>
  <c r="S2076" i="1"/>
  <c r="S1036" i="1"/>
  <c r="S1319" i="1"/>
  <c r="S1515" i="1"/>
  <c r="S1055" i="1"/>
  <c r="S932" i="1"/>
  <c r="S1029" i="1"/>
  <c r="S779" i="1"/>
  <c r="S2421" i="1"/>
  <c r="S1050" i="1"/>
  <c r="S1973" i="1"/>
  <c r="S1108" i="1"/>
  <c r="S3059" i="1"/>
  <c r="S3185" i="1"/>
  <c r="S3556" i="1"/>
  <c r="S3405" i="1"/>
  <c r="S1557" i="1"/>
  <c r="S3133" i="1"/>
  <c r="S3502" i="1"/>
  <c r="S2311" i="1"/>
  <c r="S2040" i="1"/>
  <c r="S2198" i="1"/>
  <c r="S1774" i="1"/>
  <c r="S2624" i="1"/>
  <c r="S1517" i="1"/>
  <c r="S1352" i="1"/>
  <c r="S1856" i="1"/>
  <c r="S1807" i="1"/>
  <c r="S1919" i="1"/>
  <c r="S861" i="1"/>
  <c r="S1223" i="1"/>
  <c r="S3563" i="1"/>
  <c r="S3400" i="1"/>
  <c r="S3145" i="1"/>
  <c r="S1504" i="1"/>
  <c r="S1829" i="1"/>
  <c r="S1539" i="1"/>
  <c r="S1730" i="1"/>
  <c r="S1963" i="1"/>
  <c r="S905" i="1"/>
  <c r="S809" i="1"/>
  <c r="S3037" i="1"/>
  <c r="S895" i="1"/>
  <c r="S2757" i="1"/>
  <c r="S1696" i="1"/>
  <c r="S3075" i="1"/>
  <c r="S3796" i="1"/>
  <c r="S3670" i="1"/>
  <c r="S3348" i="1"/>
  <c r="S2462" i="1"/>
  <c r="S1394" i="1"/>
  <c r="S1049" i="1"/>
  <c r="S961" i="1"/>
  <c r="S1470" i="1"/>
  <c r="S3225" i="1"/>
  <c r="S1812" i="1"/>
  <c r="S3758" i="1"/>
  <c r="S1507" i="1"/>
  <c r="S3463" i="1"/>
  <c r="S3550" i="1"/>
  <c r="S3896" i="1"/>
  <c r="S2353" i="1"/>
  <c r="S3049" i="1"/>
  <c r="S3019" i="1"/>
  <c r="S2397" i="1"/>
  <c r="S2069" i="1"/>
  <c r="S1826" i="1"/>
  <c r="S2437" i="1"/>
  <c r="S1382" i="1"/>
  <c r="S2008" i="1"/>
  <c r="S1881" i="1"/>
  <c r="S1641" i="1"/>
  <c r="S1630" i="1"/>
  <c r="S1252" i="1"/>
  <c r="S1150" i="1"/>
  <c r="S2176" i="1"/>
  <c r="S3882" i="1"/>
  <c r="S2508" i="1"/>
  <c r="S3520" i="1"/>
  <c r="S3727" i="1"/>
  <c r="S740" i="1"/>
  <c r="S3140" i="1"/>
  <c r="S2850" i="1"/>
  <c r="S1773" i="1"/>
  <c r="S2795" i="1"/>
  <c r="S2605" i="1"/>
  <c r="S2379" i="1"/>
  <c r="S1912" i="1"/>
  <c r="S1451" i="1"/>
  <c r="S1276" i="1"/>
  <c r="S1701" i="1"/>
  <c r="S1863" i="1"/>
  <c r="S1253" i="1"/>
  <c r="S1129" i="1"/>
  <c r="S825" i="1"/>
  <c r="S2413" i="1"/>
  <c r="S1820" i="1"/>
  <c r="S2955" i="1"/>
  <c r="S1322" i="1"/>
  <c r="S1300" i="1"/>
  <c r="S1765" i="1"/>
  <c r="S1066" i="1"/>
  <c r="S1214" i="1"/>
  <c r="S3807" i="1"/>
  <c r="S2183" i="1"/>
  <c r="S741" i="1"/>
  <c r="S2191" i="1"/>
  <c r="S821" i="1"/>
  <c r="S3877" i="1"/>
  <c r="S3799" i="1"/>
  <c r="S3247" i="1"/>
  <c r="S2271" i="1"/>
  <c r="S2833" i="1"/>
  <c r="S2931" i="1"/>
  <c r="S2233" i="1"/>
  <c r="S1822" i="1"/>
  <c r="S1849" i="1"/>
  <c r="S904" i="1"/>
  <c r="S3567" i="1"/>
  <c r="S1844" i="1"/>
  <c r="S3600" i="1"/>
  <c r="S3704" i="1"/>
  <c r="S3647" i="1"/>
  <c r="S3827" i="1"/>
  <c r="S3138" i="1"/>
  <c r="S3103" i="1"/>
  <c r="S2237" i="1"/>
  <c r="S2395" i="1"/>
  <c r="S2319" i="1"/>
  <c r="S2519" i="1"/>
  <c r="S2467" i="1"/>
  <c r="S1913" i="1"/>
  <c r="S1748" i="1"/>
  <c r="S1123" i="1"/>
  <c r="S1397" i="1"/>
  <c r="S1126" i="1"/>
  <c r="S3125" i="1"/>
  <c r="S3198" i="1"/>
  <c r="S1695" i="1"/>
  <c r="S3271" i="1"/>
  <c r="S1841" i="1"/>
  <c r="S1021" i="1"/>
  <c r="S3066" i="1"/>
  <c r="S1745" i="1"/>
  <c r="S1833" i="1"/>
  <c r="S859" i="1"/>
  <c r="S1001" i="1"/>
  <c r="S872" i="1"/>
  <c r="S3909" i="1"/>
  <c r="S3162" i="1"/>
  <c r="S3302" i="1"/>
  <c r="S3308" i="1"/>
  <c r="S2360" i="1"/>
  <c r="S1961" i="1"/>
  <c r="S1436" i="1"/>
  <c r="S1741" i="1"/>
  <c r="S3617" i="1"/>
  <c r="S837" i="1"/>
  <c r="S3203" i="1"/>
  <c r="S2912" i="1"/>
  <c r="S2516" i="1"/>
  <c r="S1379" i="1"/>
  <c r="S1531" i="1"/>
  <c r="S938" i="1"/>
  <c r="S1448" i="1"/>
  <c r="S2865" i="1"/>
  <c r="S2723" i="1"/>
  <c r="S3220" i="1"/>
  <c r="S2848" i="1"/>
  <c r="S1110" i="1"/>
  <c r="S1643" i="1"/>
  <c r="S1781" i="1"/>
  <c r="S3829" i="1"/>
  <c r="S3773" i="1"/>
  <c r="S2867" i="1"/>
  <c r="S2193" i="1"/>
  <c r="S1275" i="1"/>
  <c r="S977" i="1"/>
  <c r="S3764" i="1"/>
  <c r="S2998" i="1"/>
  <c r="S2558" i="1"/>
  <c r="S1317" i="1"/>
  <c r="S2880" i="1"/>
  <c r="S2965" i="1"/>
  <c r="S3488" i="1"/>
  <c r="S2534" i="1"/>
  <c r="S1979" i="1"/>
  <c r="S1604" i="1"/>
  <c r="S1164" i="1"/>
  <c r="S3806" i="1"/>
  <c r="S3175" i="1"/>
  <c r="S2490" i="1"/>
  <c r="S3058" i="1"/>
  <c r="S2044" i="1"/>
  <c r="S1762" i="1"/>
  <c r="S1267" i="1"/>
  <c r="S734" i="1"/>
  <c r="S3803" i="1"/>
  <c r="S3166" i="1"/>
  <c r="S3384" i="1"/>
  <c r="S3411" i="1"/>
  <c r="S2599" i="1"/>
  <c r="S2289" i="1"/>
  <c r="S1373" i="1"/>
  <c r="S1031" i="1"/>
  <c r="S3887" i="1"/>
  <c r="S3607" i="1"/>
  <c r="S2355" i="1"/>
  <c r="S1766" i="1"/>
  <c r="S784" i="1"/>
  <c r="S2140" i="1"/>
  <c r="S1714" i="1"/>
  <c r="S1796" i="1"/>
  <c r="S3904" i="1"/>
  <c r="S3793" i="1"/>
  <c r="S2507" i="1"/>
  <c r="S3650" i="1"/>
  <c r="S3227" i="1"/>
  <c r="S3074" i="1"/>
  <c r="S2935" i="1"/>
  <c r="S3026" i="1"/>
  <c r="S2825" i="1"/>
  <c r="S2474" i="1"/>
  <c r="S2420" i="1"/>
  <c r="S2291" i="1"/>
  <c r="S1651" i="1"/>
  <c r="S1152" i="1"/>
  <c r="S1511" i="1"/>
  <c r="S1022" i="1"/>
  <c r="S1361" i="1"/>
  <c r="S1683" i="1"/>
  <c r="S1156" i="1"/>
  <c r="S801" i="1"/>
  <c r="S3812" i="1"/>
  <c r="S3537" i="1"/>
  <c r="S3525" i="1"/>
  <c r="S3596" i="1"/>
  <c r="S3500" i="1"/>
  <c r="S3094" i="1"/>
  <c r="S2863" i="1"/>
  <c r="S3288" i="1"/>
  <c r="S2908" i="1"/>
  <c r="S2705" i="1"/>
  <c r="S2621" i="1"/>
  <c r="S2079" i="1"/>
  <c r="S2382" i="1"/>
  <c r="S2828" i="1"/>
  <c r="S1135" i="1"/>
  <c r="S1567" i="1"/>
  <c r="S1904" i="1"/>
  <c r="S1333" i="1"/>
  <c r="S1080" i="1"/>
  <c r="S1184" i="1"/>
  <c r="S1204" i="1"/>
  <c r="S3586" i="1"/>
  <c r="S2836" i="1"/>
  <c r="S2592" i="1"/>
  <c r="S951" i="1"/>
  <c r="S1158" i="1"/>
  <c r="S3744" i="1"/>
  <c r="S3705" i="1"/>
  <c r="S3557" i="1"/>
  <c r="S3174" i="1"/>
  <c r="S2852" i="1"/>
  <c r="S3155" i="1"/>
  <c r="S3148" i="1"/>
  <c r="S2676" i="1"/>
  <c r="S2284" i="1"/>
  <c r="S1862" i="1"/>
  <c r="S2373" i="1"/>
  <c r="S1815" i="1"/>
  <c r="S1958" i="1"/>
  <c r="S1197" i="1"/>
  <c r="S2097" i="1"/>
  <c r="S947" i="1"/>
  <c r="S847" i="1"/>
  <c r="S1095" i="1"/>
  <c r="S764" i="1"/>
  <c r="S2769" i="1"/>
  <c r="S729" i="1"/>
  <c r="S1574" i="1"/>
  <c r="S3566" i="1"/>
  <c r="S2799" i="1"/>
  <c r="S3814" i="1"/>
  <c r="S3082" i="1"/>
  <c r="S3335" i="1"/>
  <c r="S3268" i="1"/>
  <c r="S2976" i="1"/>
  <c r="S3455" i="1"/>
  <c r="S1687" i="1"/>
  <c r="S2754" i="1"/>
  <c r="S2206" i="1"/>
  <c r="S1406" i="1"/>
  <c r="S2500" i="1"/>
  <c r="S1416" i="1"/>
  <c r="S865" i="1"/>
  <c r="S1423" i="1"/>
  <c r="S1653" i="1"/>
  <c r="S1700" i="1"/>
  <c r="S917" i="1"/>
  <c r="S1006" i="1"/>
  <c r="S3543" i="1"/>
  <c r="S3501" i="1"/>
  <c r="S2293" i="1"/>
  <c r="S1827" i="1"/>
  <c r="S1830" i="1"/>
  <c r="S1571" i="1"/>
  <c r="S1471" i="1"/>
  <c r="S1990" i="1"/>
  <c r="S882" i="1"/>
  <c r="S1038" i="1"/>
  <c r="S3712" i="1"/>
  <c r="S1071" i="1"/>
  <c r="S1068" i="1"/>
  <c r="S1005" i="1"/>
  <c r="S3440" i="1"/>
  <c r="S3532" i="1"/>
  <c r="S3379" i="1"/>
  <c r="S2494" i="1"/>
  <c r="S1943" i="1"/>
  <c r="S2699" i="1"/>
  <c r="S1105" i="1"/>
  <c r="S1138" i="1"/>
  <c r="S1545" i="1"/>
  <c r="S3244" i="1"/>
  <c r="S1724" i="1"/>
  <c r="S3161" i="1"/>
  <c r="S1064" i="1"/>
  <c r="S3076" i="1"/>
  <c r="S3431" i="1"/>
  <c r="S3571" i="1"/>
  <c r="S3294" i="1"/>
  <c r="S3090" i="1"/>
  <c r="S2903" i="1"/>
  <c r="S2386" i="1"/>
  <c r="S2221" i="1"/>
  <c r="S1489" i="1"/>
  <c r="S2299" i="1"/>
  <c r="S2710" i="1"/>
  <c r="S1894" i="1"/>
  <c r="S1965" i="1"/>
  <c r="S1569" i="1"/>
  <c r="S1508" i="1"/>
  <c r="S1269" i="1"/>
  <c r="S716" i="1"/>
  <c r="S2164" i="1"/>
  <c r="S3544" i="1"/>
  <c r="S3753" i="1"/>
  <c r="S3433" i="1"/>
  <c r="S3628" i="1"/>
  <c r="S3884" i="1"/>
  <c r="S3052" i="1"/>
  <c r="S3457" i="1"/>
  <c r="S3614" i="1"/>
  <c r="S2504" i="1"/>
  <c r="S2781" i="1"/>
  <c r="S2422" i="1"/>
  <c r="S1645" i="1"/>
  <c r="S1480" i="1"/>
  <c r="S1277" i="1"/>
  <c r="S1398" i="1"/>
  <c r="S1635" i="1"/>
  <c r="S1211" i="1"/>
  <c r="S1125" i="1"/>
  <c r="S739" i="1"/>
  <c r="S2575" i="1"/>
  <c r="S2492" i="1"/>
  <c r="S2838" i="1"/>
  <c r="S1082" i="1"/>
  <c r="S1334" i="1"/>
  <c r="S1384" i="1"/>
  <c r="S1051" i="1"/>
  <c r="S864" i="1"/>
  <c r="S3356" i="1"/>
  <c r="S1461" i="1"/>
  <c r="S3791" i="1"/>
  <c r="S1249" i="1"/>
  <c r="S789" i="1"/>
  <c r="S3879" i="1"/>
  <c r="S3546" i="1"/>
  <c r="S2898" i="1"/>
  <c r="S3672" i="1"/>
  <c r="S3470" i="1"/>
  <c r="S2760" i="1"/>
  <c r="S2226" i="1"/>
  <c r="S1901" i="1"/>
  <c r="S1731" i="1"/>
  <c r="S832" i="1"/>
  <c r="S3249" i="1"/>
  <c r="S1360" i="1"/>
  <c r="S3350" i="1"/>
  <c r="S3595" i="1"/>
  <c r="S3365" i="1"/>
  <c r="S3639" i="1"/>
  <c r="S2954" i="1"/>
  <c r="S2479" i="1"/>
  <c r="S3122" i="1"/>
  <c r="S2023" i="1"/>
  <c r="S2272" i="1"/>
  <c r="S2475" i="1"/>
  <c r="S2147" i="1"/>
  <c r="S1605" i="1"/>
  <c r="S1425" i="1"/>
  <c r="S1986" i="1"/>
  <c r="S1278" i="1"/>
  <c r="S906" i="1"/>
  <c r="S3344" i="1"/>
  <c r="S3577" i="1"/>
  <c r="S1220" i="1"/>
  <c r="S3274" i="1"/>
  <c r="S1723" i="1"/>
  <c r="S2270" i="1"/>
  <c r="S2611" i="1"/>
  <c r="S1344" i="1"/>
  <c r="S1837" i="1"/>
  <c r="S854" i="1"/>
  <c r="S1002" i="1"/>
  <c r="S913" i="1"/>
  <c r="S2778" i="1"/>
  <c r="S2797" i="1"/>
  <c r="S3306" i="1"/>
  <c r="S3286" i="1"/>
  <c r="S2345" i="1"/>
  <c r="S2641" i="1"/>
  <c r="S1426" i="1"/>
  <c r="S1892" i="1"/>
  <c r="S3201" i="1"/>
  <c r="S1028" i="1"/>
  <c r="S3219" i="1"/>
  <c r="S2904" i="1"/>
  <c r="S2262" i="1"/>
  <c r="S1101" i="1"/>
  <c r="S1524" i="1"/>
  <c r="S995" i="1"/>
  <c r="S1445" i="1"/>
  <c r="S2866" i="1"/>
  <c r="S2727" i="1"/>
  <c r="S3259" i="1"/>
  <c r="S3445" i="1"/>
  <c r="S1111" i="1"/>
  <c r="S1652" i="1"/>
  <c r="S1323" i="1"/>
  <c r="S3845" i="1"/>
  <c r="S3245" i="1"/>
  <c r="S2993" i="1"/>
  <c r="S2248" i="1"/>
  <c r="S1289" i="1"/>
  <c r="S988" i="1"/>
  <c r="S3689" i="1"/>
  <c r="S3086" i="1"/>
  <c r="S2545" i="1"/>
  <c r="S1320" i="1"/>
  <c r="S2211" i="1"/>
  <c r="S2963" i="1"/>
  <c r="S3484" i="1"/>
  <c r="S1955" i="1"/>
  <c r="S1980" i="1"/>
  <c r="S1917" i="1"/>
  <c r="S846" i="1"/>
  <c r="S3077" i="1"/>
  <c r="S1067" i="1"/>
  <c r="S3894" i="1"/>
  <c r="S2589" i="1"/>
  <c r="S2035" i="1"/>
  <c r="S1951" i="1"/>
  <c r="S1180" i="1"/>
  <c r="S752" i="1"/>
  <c r="S3868" i="1"/>
  <c r="S3168" i="1"/>
  <c r="S3439" i="1"/>
  <c r="S3480" i="1"/>
  <c r="S2603" i="1"/>
  <c r="S2876" i="1"/>
  <c r="S1375" i="1"/>
  <c r="S909" i="1"/>
  <c r="S3927" i="1"/>
  <c r="S3572" i="1"/>
  <c r="S2337" i="1"/>
  <c r="S1885" i="1"/>
  <c r="S709" i="1"/>
  <c r="S2143" i="1"/>
  <c r="S971" i="1"/>
  <c r="S3177" i="1"/>
  <c r="S3889" i="1"/>
  <c r="S3680" i="1"/>
  <c r="S763" i="1"/>
  <c r="S3713" i="1"/>
  <c r="S3230" i="1"/>
  <c r="S3007" i="1"/>
  <c r="S2326" i="1"/>
  <c r="S2758" i="1"/>
  <c r="S2846" i="1"/>
  <c r="S2411" i="1"/>
  <c r="S2349" i="1"/>
  <c r="S2168" i="1"/>
  <c r="S2596" i="1"/>
  <c r="S1670" i="1"/>
  <c r="S1388" i="1"/>
  <c r="S1930" i="1"/>
  <c r="S1221" i="1"/>
  <c r="S1383" i="1"/>
  <c r="S836" i="1"/>
  <c r="S725" i="1"/>
  <c r="S3817" i="1"/>
  <c r="S3547" i="1"/>
  <c r="S3875" i="1"/>
  <c r="S822" i="1"/>
  <c r="S3371" i="1"/>
  <c r="S3000" i="1"/>
  <c r="S2842" i="1"/>
  <c r="S3293" i="1"/>
  <c r="S2851" i="1"/>
  <c r="S2664" i="1"/>
  <c r="S2441" i="1"/>
  <c r="S1112" i="1"/>
  <c r="S2290" i="1"/>
  <c r="S2452" i="1"/>
  <c r="S1124" i="1"/>
  <c r="S1303" i="1"/>
  <c r="S2046" i="1"/>
  <c r="S1565" i="1"/>
  <c r="S944" i="1"/>
  <c r="S1032" i="1"/>
  <c r="S842" i="1"/>
  <c r="S2457" i="1"/>
  <c r="S2486" i="1"/>
  <c r="S2192" i="1"/>
  <c r="S1121" i="1"/>
  <c r="S835" i="1"/>
  <c r="S3908" i="1"/>
  <c r="S815" i="1"/>
  <c r="S3940" i="1"/>
  <c r="S3068" i="1"/>
  <c r="S3410" i="1"/>
  <c r="S2907" i="1"/>
  <c r="S2961" i="1"/>
  <c r="S2445" i="1"/>
  <c r="S2063" i="1"/>
  <c r="S1753" i="1"/>
  <c r="S2648" i="1"/>
  <c r="S1684" i="1"/>
  <c r="S1906" i="1"/>
  <c r="S2113" i="1"/>
  <c r="S2020" i="1"/>
  <c r="S2306" i="1"/>
  <c r="S1149" i="1"/>
  <c r="S1172" i="1"/>
  <c r="S768" i="1"/>
  <c r="S2194" i="1"/>
  <c r="S3632" i="1"/>
  <c r="S2630" i="1"/>
  <c r="S2274" i="1"/>
  <c r="S3706" i="1"/>
  <c r="S3832" i="1"/>
  <c r="S3088" i="1"/>
  <c r="S1677" i="1"/>
  <c r="S3033" i="1"/>
  <c r="S2924" i="1"/>
  <c r="S3181" i="1"/>
  <c r="S2884" i="1"/>
  <c r="S2210" i="1"/>
  <c r="S2203" i="1"/>
  <c r="S2780" i="1"/>
  <c r="S1925" i="1"/>
  <c r="S1293" i="1"/>
  <c r="S2026" i="1"/>
  <c r="S1496" i="1"/>
  <c r="S1530" i="1"/>
  <c r="S1873" i="1"/>
  <c r="S844" i="1"/>
  <c r="S1206" i="1"/>
  <c r="S3428" i="1"/>
  <c r="S3377" i="1"/>
  <c r="S2816" i="1"/>
  <c r="S2983" i="1"/>
  <c r="S1772" i="1"/>
  <c r="S1521" i="1"/>
  <c r="S1347" i="1"/>
  <c r="S1420" i="1"/>
  <c r="S940" i="1"/>
  <c r="S942" i="1"/>
  <c r="S2111" i="1"/>
  <c r="S1043" i="1"/>
  <c r="S2840" i="1"/>
  <c r="S1203" i="1"/>
  <c r="S2800" i="1"/>
  <c r="S3466" i="1"/>
  <c r="S3085" i="1"/>
  <c r="S3531" i="1"/>
  <c r="S1341" i="1"/>
  <c r="S1922" i="1"/>
  <c r="S1411" i="1"/>
  <c r="S1044" i="1"/>
  <c r="S921" i="1"/>
  <c r="S2849" i="1"/>
  <c r="S1709" i="1"/>
  <c r="S2429" i="1"/>
  <c r="S1575" i="1"/>
  <c r="S2366" i="1"/>
  <c r="S3432" i="1"/>
  <c r="S3504" i="1"/>
  <c r="S3165" i="1"/>
  <c r="S2927" i="1"/>
  <c r="S2827" i="1"/>
  <c r="S1577" i="1"/>
  <c r="S2368" i="1"/>
  <c r="S2844" i="1"/>
  <c r="S2011" i="1"/>
  <c r="S2644" i="1"/>
  <c r="S1392" i="1"/>
  <c r="S1789" i="1"/>
  <c r="S1818" i="1"/>
  <c r="S1410" i="1"/>
  <c r="S1073" i="1"/>
  <c r="S798" i="1"/>
  <c r="S2491" i="1"/>
  <c r="S3017" i="1"/>
  <c r="S3929" i="1"/>
  <c r="S3811" i="1"/>
  <c r="S3570" i="1"/>
  <c r="S3693" i="1"/>
  <c r="S2891" i="1"/>
  <c r="S3158" i="1"/>
  <c r="S3593" i="1"/>
  <c r="S2314" i="1"/>
  <c r="S2394" i="1"/>
  <c r="S2160" i="1"/>
  <c r="S2639" i="1"/>
  <c r="S1288" i="1"/>
  <c r="S1589" i="1"/>
  <c r="S1742" i="1"/>
  <c r="S1761" i="1"/>
  <c r="S853" i="1"/>
  <c r="S1217" i="1"/>
  <c r="S799" i="1"/>
  <c r="S2675" i="1"/>
  <c r="S2793" i="1"/>
  <c r="S2824" i="1"/>
  <c r="S1260" i="1"/>
  <c r="S2175" i="1"/>
  <c r="S1167" i="1"/>
  <c r="S1020" i="1"/>
  <c r="S1174" i="1"/>
  <c r="S3873" i="1"/>
  <c r="S2075" i="1"/>
  <c r="S3911" i="1"/>
  <c r="S1662" i="1"/>
  <c r="S3105" i="1"/>
  <c r="S3880" i="1"/>
  <c r="S2331" i="1"/>
  <c r="S794" i="1"/>
  <c r="S3509" i="1"/>
  <c r="S1793" i="1"/>
  <c r="S2529" i="1"/>
  <c r="S2231" i="1"/>
  <c r="S1699" i="1"/>
  <c r="S1548" i="1"/>
  <c r="S975" i="1"/>
  <c r="S2333" i="1"/>
  <c r="S1132" i="1"/>
  <c r="S2243" i="1"/>
  <c r="S3354" i="1"/>
  <c r="S3935" i="1"/>
  <c r="S3404" i="1"/>
  <c r="S2906" i="1"/>
  <c r="S1792" i="1"/>
  <c r="S3018" i="1"/>
  <c r="S2009" i="1"/>
  <c r="S2119" i="1"/>
  <c r="S2230" i="1"/>
  <c r="S1747" i="1"/>
  <c r="S1356" i="1"/>
  <c r="S1476" i="1"/>
  <c r="S1853" i="1"/>
  <c r="S1880" i="1"/>
  <c r="S963" i="1"/>
  <c r="S2662" i="1"/>
  <c r="S3373" i="1"/>
  <c r="S888" i="1"/>
  <c r="S3366" i="1"/>
  <c r="S1692" i="1"/>
  <c r="S1608" i="1"/>
  <c r="S2551" i="1"/>
  <c r="S1769" i="1"/>
  <c r="S1839" i="1"/>
  <c r="S1170" i="1"/>
  <c r="S833" i="1"/>
  <c r="S901" i="1"/>
  <c r="S3083" i="1"/>
  <c r="S2317" i="1"/>
  <c r="S3301" i="1"/>
  <c r="S3298" i="1"/>
  <c r="S2340" i="1"/>
  <c r="S2681" i="1"/>
  <c r="S1433" i="1"/>
  <c r="S1598" i="1"/>
  <c r="S3662" i="1"/>
  <c r="S2361" i="1"/>
  <c r="S3423" i="1"/>
  <c r="S2913" i="1"/>
  <c r="S2663" i="1"/>
  <c r="S1974" i="1"/>
  <c r="S1537" i="1"/>
  <c r="S1629" i="1"/>
  <c r="S1447" i="1"/>
  <c r="S2509" i="1"/>
  <c r="S2711" i="1"/>
  <c r="S3412" i="1"/>
  <c r="S2623" i="1"/>
  <c r="S2872" i="1"/>
  <c r="S2403" i="1"/>
  <c r="S1704" i="1"/>
  <c r="S3862" i="1"/>
  <c r="S2820" i="1"/>
  <c r="S3462" i="1"/>
  <c r="S1059" i="1"/>
  <c r="S1290" i="1"/>
  <c r="S1258" i="1"/>
  <c r="S3699" i="1"/>
  <c r="S3134" i="1"/>
  <c r="S2550" i="1"/>
  <c r="S1305" i="1"/>
  <c r="S1417" i="1"/>
  <c r="S2967" i="1"/>
  <c r="S3482" i="1"/>
  <c r="S1931" i="1"/>
  <c r="S1984" i="1"/>
  <c r="S1376" i="1"/>
  <c r="S843" i="1"/>
  <c r="S3226" i="1"/>
  <c r="S1895" i="1"/>
  <c r="S3870" i="1"/>
  <c r="S2588" i="1"/>
  <c r="S1998" i="1"/>
  <c r="S1387" i="1"/>
  <c r="S1572" i="1"/>
  <c r="S781" i="1"/>
  <c r="S3865" i="1"/>
  <c r="S3170" i="1"/>
  <c r="S3401" i="1"/>
  <c r="S3331" i="1"/>
  <c r="S2606" i="1"/>
  <c r="S2874" i="1"/>
  <c r="S1377" i="1"/>
  <c r="S2855" i="1"/>
  <c r="S3768" i="1"/>
  <c r="S3508" i="1"/>
  <c r="S2454" i="1"/>
  <c r="S1239" i="1"/>
  <c r="S721" i="1"/>
  <c r="S2137" i="1"/>
  <c r="S1846" i="1"/>
  <c r="S3030" i="1"/>
  <c r="S1097" i="1"/>
  <c r="S1041" i="1"/>
  <c r="S797" i="1"/>
  <c r="S3087" i="1"/>
  <c r="S2121" i="1"/>
  <c r="S1479" i="1"/>
  <c r="S2646" i="1"/>
  <c r="S870" i="1"/>
  <c r="S3912" i="1"/>
  <c r="S2881" i="1"/>
  <c r="S3721" i="1"/>
  <c r="S2989" i="1"/>
  <c r="S3051" i="1"/>
  <c r="S2464" i="1"/>
  <c r="S2960" i="1"/>
  <c r="S1916" i="1"/>
  <c r="S2957" i="1"/>
  <c r="S1418" i="1"/>
  <c r="S2181" i="1"/>
  <c r="S1428" i="1"/>
  <c r="S1798" i="1"/>
  <c r="S1666" i="1"/>
  <c r="S1446" i="1"/>
  <c r="S2007" i="1"/>
  <c r="S979" i="1"/>
  <c r="S1145" i="1"/>
  <c r="S746" i="1"/>
  <c r="S2810" i="1"/>
  <c r="S3548" i="1"/>
  <c r="S2772" i="1"/>
  <c r="S3515" i="1"/>
  <c r="S3939" i="1"/>
  <c r="S3718" i="1"/>
  <c r="S3618" i="1"/>
  <c r="S3489" i="1"/>
  <c r="S2936" i="1"/>
  <c r="S2320" i="1"/>
  <c r="S3046" i="1"/>
  <c r="S2789" i="1"/>
  <c r="S2214" i="1"/>
  <c r="S2202" i="1"/>
  <c r="S2875" i="1"/>
  <c r="S2724" i="1"/>
  <c r="S1205" i="1"/>
  <c r="S1937" i="1"/>
  <c r="S1178" i="1"/>
  <c r="S1297" i="1"/>
  <c r="S1884" i="1"/>
  <c r="S952" i="1"/>
  <c r="S795" i="1"/>
  <c r="S3422" i="1"/>
  <c r="S2950" i="1"/>
  <c r="S2184" i="1"/>
  <c r="S2548" i="1"/>
  <c r="S1654" i="1"/>
  <c r="S1324" i="1"/>
  <c r="S1852" i="1"/>
  <c r="S1868" i="1"/>
  <c r="S1011" i="1"/>
  <c r="S889" i="1"/>
  <c r="S3526" i="1"/>
  <c r="S762" i="1"/>
  <c r="S2182" i="1"/>
  <c r="S743" i="1"/>
  <c r="S737" i="1"/>
  <c r="S3186" i="1"/>
  <c r="S2837" i="1"/>
  <c r="S3109" i="1"/>
  <c r="S2541" i="1"/>
  <c r="S2032" i="1"/>
  <c r="S1664" i="1"/>
  <c r="S1573" i="1"/>
  <c r="S1160" i="1"/>
  <c r="S2719" i="1"/>
  <c r="S1587" i="1"/>
  <c r="S2560" i="1"/>
  <c r="S980" i="1"/>
  <c r="S3859" i="1"/>
  <c r="S3679" i="1"/>
  <c r="S3769" i="1"/>
  <c r="S2847" i="1"/>
  <c r="S3555" i="1"/>
  <c r="S3392" i="1"/>
  <c r="S2614" i="1"/>
  <c r="S2171" i="1"/>
  <c r="S2517" i="1"/>
  <c r="S2072" i="1"/>
  <c r="S2381" i="1"/>
  <c r="S1519" i="1"/>
  <c r="S1737" i="1"/>
  <c r="S2048" i="1"/>
  <c r="S1855" i="1"/>
  <c r="S896" i="1"/>
  <c r="S816" i="1"/>
  <c r="S2563" i="1"/>
  <c r="S2923" i="1"/>
  <c r="S3749" i="1"/>
  <c r="S3895" i="1"/>
  <c r="S3886" i="1"/>
  <c r="S3602" i="1"/>
  <c r="S2947" i="1"/>
  <c r="S3121" i="1"/>
  <c r="S3491" i="1"/>
  <c r="S1848" i="1"/>
  <c r="S2269" i="1"/>
  <c r="S2260" i="1"/>
  <c r="S2448" i="1"/>
  <c r="S1171" i="1"/>
  <c r="S1497" i="1"/>
  <c r="S1345" i="1"/>
  <c r="S1523" i="1"/>
  <c r="S876" i="1"/>
  <c r="S937" i="1"/>
  <c r="S759" i="1"/>
  <c r="S2577" i="1"/>
  <c r="S2471" i="1"/>
  <c r="S2169" i="1"/>
  <c r="S1261" i="1"/>
  <c r="S2131" i="1"/>
  <c r="S1681" i="1"/>
  <c r="S1469" i="1"/>
  <c r="S1182" i="1"/>
  <c r="S3776" i="1"/>
  <c r="S1871" i="1"/>
  <c r="S3808" i="1"/>
  <c r="S1491" i="1"/>
  <c r="S3739" i="1"/>
  <c r="S3260" i="1"/>
  <c r="S3888" i="1"/>
  <c r="S3925" i="1"/>
  <c r="S3408" i="1"/>
  <c r="S3402" i="1"/>
  <c r="S3541" i="1"/>
  <c r="S2543" i="1"/>
  <c r="S1794" i="1"/>
  <c r="S1816" i="1"/>
  <c r="S1455" i="1"/>
  <c r="S3592" i="1"/>
  <c r="S1163" i="1"/>
  <c r="S2487" i="1"/>
  <c r="S3264" i="1"/>
  <c r="S3838" i="1"/>
  <c r="S2218" i="1"/>
  <c r="S2110" i="1"/>
  <c r="S3552" i="1"/>
  <c r="S3002" i="1"/>
  <c r="S1631" i="1"/>
  <c r="S2115" i="1"/>
  <c r="S2694" i="1"/>
  <c r="S2829" i="1"/>
  <c r="S1281" i="1"/>
  <c r="S1244" i="1"/>
  <c r="S1599" i="1"/>
  <c r="S2016" i="1"/>
  <c r="S728" i="1"/>
  <c r="S2024" i="1"/>
  <c r="S3183" i="1"/>
  <c r="S787" i="1"/>
  <c r="S2901" i="1"/>
  <c r="S1525" i="1"/>
  <c r="S780" i="1"/>
  <c r="S2116" i="1"/>
  <c r="S962" i="1"/>
  <c r="S1554" i="1"/>
  <c r="S839" i="1"/>
  <c r="S1210" i="1"/>
  <c r="S902" i="1"/>
  <c r="S3649" i="1"/>
  <c r="S3311" i="1"/>
  <c r="S3297" i="1"/>
  <c r="S3314" i="1"/>
  <c r="S2390" i="1"/>
  <c r="S2695" i="1"/>
  <c r="S1429" i="1"/>
  <c r="S1582" i="1"/>
  <c r="S3665" i="1"/>
  <c r="S3897" i="1"/>
  <c r="S3642" i="1"/>
  <c r="S3237" i="1"/>
  <c r="S2513" i="1"/>
  <c r="S1716" i="1"/>
  <c r="S1535" i="1"/>
  <c r="S1749" i="1"/>
  <c r="S1452" i="1"/>
  <c r="S1636" i="1"/>
  <c r="S2729" i="1"/>
  <c r="S3329" i="1"/>
  <c r="S2451" i="1"/>
  <c r="S2415" i="1"/>
  <c r="S2081" i="1"/>
  <c r="S1542" i="1"/>
  <c r="S3858" i="1"/>
  <c r="S3903" i="1"/>
  <c r="S3398" i="1"/>
  <c r="S2841" i="1"/>
  <c r="S1840" i="1"/>
  <c r="S1048" i="1"/>
  <c r="S3690" i="1"/>
  <c r="S1291" i="1"/>
  <c r="S2546" i="1"/>
  <c r="S1321" i="1"/>
  <c r="S3850" i="1"/>
  <c r="S2966" i="1"/>
  <c r="S3485" i="1"/>
  <c r="S1976" i="1"/>
  <c r="S2220" i="1"/>
  <c r="S2228" i="1"/>
  <c r="S845" i="1"/>
  <c r="S3096" i="1"/>
  <c r="S1896" i="1"/>
  <c r="S3703" i="1"/>
  <c r="S2590" i="1"/>
  <c r="S1989" i="1"/>
  <c r="S1857" i="1"/>
  <c r="S911" i="1"/>
  <c r="S715" i="1"/>
  <c r="S3872" i="1"/>
  <c r="S2919" i="1"/>
  <c r="S3448" i="1"/>
  <c r="S3010" i="1"/>
  <c r="S2604" i="1"/>
  <c r="S2877" i="1"/>
  <c r="S1255" i="1"/>
  <c r="S1591" i="1"/>
  <c r="S3719" i="1"/>
  <c r="S3579" i="1"/>
  <c r="S1061" i="1"/>
  <c r="S1240" i="1"/>
  <c r="S2801" i="1"/>
  <c r="S2136" i="1"/>
  <c r="S1225" i="1"/>
  <c r="S2943" i="1"/>
  <c r="S3907" i="1"/>
  <c r="S3932" i="1"/>
  <c r="S3104" i="1"/>
  <c r="S3775" i="1"/>
  <c r="S3246" i="1"/>
  <c r="S3363" i="1"/>
  <c r="S3359" i="1"/>
  <c r="S1069" i="1"/>
  <c r="S2556" i="1"/>
  <c r="S2014" i="1"/>
  <c r="S2737" i="1"/>
  <c r="S2682" i="1"/>
  <c r="S1940" i="1"/>
  <c r="S1308" i="1"/>
  <c r="S1226" i="1"/>
  <c r="S1859" i="1"/>
  <c r="S1909" i="1"/>
  <c r="S993" i="1"/>
  <c r="S1142" i="1"/>
  <c r="S782" i="1"/>
  <c r="S3777" i="1"/>
  <c r="S3568" i="1"/>
  <c r="S3688" i="1"/>
  <c r="S3442" i="1"/>
  <c r="S3291" i="1"/>
  <c r="S2533" i="1"/>
  <c r="S3481" i="1"/>
  <c r="S3367" i="1"/>
  <c r="S3039" i="1"/>
  <c r="S2544" i="1"/>
  <c r="S1058" i="1"/>
  <c r="S2670" i="1"/>
  <c r="S1405" i="1"/>
  <c r="S2470" i="1"/>
  <c r="S1783" i="1"/>
  <c r="S827" i="1"/>
  <c r="S2019" i="1"/>
  <c r="S959" i="1"/>
  <c r="S1161" i="1"/>
  <c r="S903" i="1"/>
  <c r="S732" i="1"/>
  <c r="S3044" i="1"/>
  <c r="S2616" i="1"/>
  <c r="S1280" i="1"/>
  <c r="S3737" i="1"/>
  <c r="S758" i="1"/>
  <c r="S3844" i="1"/>
  <c r="S3292" i="1"/>
  <c r="S3370" i="1"/>
  <c r="S2809" i="1"/>
  <c r="S3032" i="1"/>
  <c r="S3584" i="1"/>
  <c r="S2889" i="1"/>
  <c r="S2043" i="1"/>
  <c r="S2831" i="1"/>
  <c r="S2815" i="1"/>
  <c r="S2761" i="1"/>
  <c r="S1311" i="1"/>
  <c r="S1650" i="1"/>
  <c r="S1556" i="1"/>
  <c r="S2133" i="1"/>
  <c r="S1444" i="1"/>
  <c r="S1147" i="1"/>
  <c r="S948" i="1"/>
  <c r="S3189" i="1"/>
  <c r="S1593" i="1"/>
  <c r="S3728" i="1"/>
  <c r="S2775" i="1"/>
  <c r="S3899" i="1"/>
  <c r="S3855" i="1"/>
  <c r="S3698" i="1"/>
  <c r="S713" i="1"/>
  <c r="S3207" i="1"/>
  <c r="S3644" i="1"/>
  <c r="S3620" i="1"/>
  <c r="S3324" i="1"/>
  <c r="S2732" i="1"/>
  <c r="S2215" i="1"/>
  <c r="S2207" i="1"/>
  <c r="S2578" i="1"/>
  <c r="S2481" i="1"/>
  <c r="S2127" i="1"/>
  <c r="S1669" i="1"/>
  <c r="S1201" i="1"/>
  <c r="S1477" i="1"/>
  <c r="S1284" i="1"/>
  <c r="S1175" i="1"/>
  <c r="S724" i="1"/>
  <c r="S3424" i="1"/>
  <c r="S2322" i="1"/>
  <c r="S2242" i="1"/>
  <c r="S2204" i="1"/>
  <c r="S2572" i="1"/>
  <c r="S1558" i="1"/>
  <c r="S1472" i="1"/>
  <c r="S1640" i="1"/>
  <c r="S855" i="1"/>
  <c r="S834" i="1"/>
  <c r="S2236" i="1"/>
  <c r="S3270" i="1"/>
  <c r="S2566" i="1"/>
  <c r="S3558" i="1"/>
  <c r="S3741" i="1"/>
  <c r="S3864" i="1"/>
  <c r="S3677" i="1"/>
  <c r="S2321" i="1"/>
  <c r="S2612" i="1"/>
  <c r="S1354" i="1"/>
  <c r="S1422" i="1"/>
  <c r="S924" i="1"/>
  <c r="S912" i="1"/>
  <c r="S3612" i="1"/>
  <c r="S1362" i="1"/>
  <c r="S2520" i="1"/>
  <c r="S2634" i="1"/>
  <c r="S3745" i="1"/>
  <c r="S3418" i="1"/>
  <c r="S2554" i="1"/>
  <c r="S3461" i="1"/>
  <c r="S3022" i="1"/>
  <c r="S3326" i="1"/>
  <c r="S1995" i="1"/>
  <c r="S2172" i="1"/>
  <c r="S2444" i="1"/>
  <c r="S2015" i="1"/>
  <c r="S1997" i="1"/>
  <c r="S1456" i="1"/>
  <c r="S1499" i="1"/>
  <c r="S1850" i="1"/>
  <c r="S1474" i="1"/>
  <c r="S1208" i="1"/>
  <c r="S806" i="1"/>
  <c r="S1460" i="1"/>
  <c r="S2459" i="1"/>
  <c r="S3710" i="1"/>
  <c r="S3630" i="1"/>
  <c r="S3716" i="1"/>
  <c r="S3510" i="1"/>
  <c r="S3135" i="1"/>
  <c r="S2759" i="1"/>
  <c r="S3429" i="1"/>
  <c r="S2790" i="1"/>
  <c r="S2693" i="1"/>
  <c r="S2055" i="1"/>
  <c r="S1810" i="1"/>
  <c r="S2123" i="1"/>
  <c r="S880" i="1"/>
  <c r="S1025" i="1"/>
  <c r="S1396" i="1"/>
  <c r="S931" i="1"/>
  <c r="S1090" i="1"/>
  <c r="S754" i="1"/>
  <c r="S2584" i="1"/>
  <c r="S2263" i="1"/>
  <c r="S2400" i="1"/>
  <c r="S1026" i="1"/>
  <c r="S1870" i="1"/>
  <c r="S1464" i="1"/>
  <c r="S1120" i="1"/>
  <c r="S899" i="1"/>
  <c r="S3601" i="1"/>
  <c r="S1510" i="1"/>
  <c r="S3675" i="1"/>
  <c r="S1272" i="1"/>
  <c r="S3918" i="1"/>
  <c r="S3839" i="1"/>
  <c r="S3890" i="1"/>
  <c r="S3774" i="1"/>
  <c r="S3172" i="1"/>
  <c r="S3295" i="1"/>
  <c r="S3360" i="1"/>
  <c r="S2573" i="1"/>
  <c r="S1679" i="1"/>
  <c r="S1505" i="1"/>
  <c r="S958" i="1"/>
  <c r="S3381" i="1"/>
  <c r="S750" i="1"/>
  <c r="S1854" i="1"/>
  <c r="S722" i="1"/>
  <c r="S3787" i="1"/>
  <c r="S3723" i="1"/>
  <c r="S3664" i="1"/>
  <c r="S3406" i="1"/>
  <c r="S3315" i="1"/>
  <c r="S2974" i="1"/>
  <c r="S2117" i="1"/>
  <c r="S2501" i="1"/>
  <c r="S2416" i="1"/>
  <c r="S1062" i="1"/>
  <c r="S1245" i="1"/>
  <c r="S1566" i="1"/>
  <c r="S1682" i="1"/>
  <c r="S3413" i="1"/>
  <c r="S1728" i="1"/>
  <c r="S2747" i="1"/>
  <c r="S3819" i="1"/>
  <c r="S2003" i="1"/>
  <c r="S3275" i="1"/>
  <c r="S747" i="1"/>
  <c r="S2748" i="1"/>
  <c r="S1811" i="1"/>
  <c r="S1549" i="1"/>
  <c r="S1732" i="1"/>
  <c r="S925" i="1"/>
  <c r="S914" i="1"/>
  <c r="S3214" i="1"/>
  <c r="S3307" i="1"/>
  <c r="S3313" i="1"/>
  <c r="S2821" i="1"/>
  <c r="S2406" i="1"/>
  <c r="S2107" i="1"/>
  <c r="S1442" i="1"/>
  <c r="S1584" i="1"/>
  <c r="S3673" i="1"/>
  <c r="S3636" i="1"/>
  <c r="S3634" i="1"/>
  <c r="S2703" i="1"/>
  <c r="S2266" i="1"/>
  <c r="S1490" i="1"/>
  <c r="S1529" i="1"/>
  <c r="S1052" i="1"/>
  <c r="S1327" i="1"/>
  <c r="S1283" i="1"/>
  <c r="S2736" i="1"/>
  <c r="S3327" i="1"/>
  <c r="S2091" i="1"/>
  <c r="S2489" i="1"/>
  <c r="S2082" i="1"/>
  <c r="S1222" i="1"/>
  <c r="S3843" i="1"/>
  <c r="S3913" i="1"/>
  <c r="S3374" i="1"/>
  <c r="S1946" i="1"/>
  <c r="S1784" i="1"/>
  <c r="S867" i="1"/>
  <c r="S3701" i="1"/>
  <c r="S2753" i="1"/>
  <c r="S2549" i="1"/>
  <c r="S1942" i="1"/>
  <c r="S3222" i="1"/>
  <c r="S2964" i="1"/>
  <c r="S3492" i="1"/>
  <c r="S1957" i="1"/>
  <c r="S1939" i="1"/>
  <c r="S2259" i="1"/>
  <c r="S848" i="1"/>
  <c r="S2893" i="1"/>
  <c r="S1399" i="1"/>
  <c r="S3072" i="1"/>
  <c r="S2653" i="1"/>
  <c r="S2000" i="1"/>
  <c r="S1409" i="1"/>
  <c r="S2638" i="1"/>
  <c r="S710" i="1"/>
  <c r="S3653" i="1"/>
  <c r="S2918" i="1"/>
  <c r="S3395" i="1"/>
  <c r="S2914" i="1"/>
  <c r="S2607" i="1"/>
  <c r="S2408" i="1"/>
  <c r="S1115" i="1"/>
  <c r="S1099" i="1"/>
  <c r="S3714" i="1"/>
  <c r="S3605" i="1"/>
  <c r="S1231" i="1"/>
  <c r="S1251" i="1"/>
  <c r="S3279" i="1"/>
  <c r="S2144" i="1"/>
  <c r="S824" i="1"/>
  <c r="S3321" i="1"/>
  <c r="S3681" i="1"/>
  <c r="S3847" i="1"/>
  <c r="S3809" i="1"/>
  <c r="S3216" i="1"/>
  <c r="S3092" i="1"/>
  <c r="S3137" i="1"/>
  <c r="S3035" i="1"/>
  <c r="S3518" i="1"/>
  <c r="S2380" i="1"/>
  <c r="S2025" i="1"/>
  <c r="S2619" i="1"/>
  <c r="S2629" i="1"/>
  <c r="S1248" i="1"/>
  <c r="S1954" i="1"/>
  <c r="S974" i="1"/>
  <c r="S1467" i="1"/>
  <c r="S1938" i="1"/>
  <c r="S1181" i="1"/>
  <c r="S890" i="1"/>
  <c r="S783" i="1"/>
  <c r="S3239" i="1"/>
  <c r="S3766" i="1"/>
  <c r="S3540" i="1"/>
  <c r="S3036" i="1"/>
  <c r="S3073" i="1"/>
  <c r="S3041" i="1"/>
  <c r="S3320" i="1"/>
  <c r="S3003" i="1"/>
  <c r="S2996" i="1"/>
  <c r="S2249" i="1"/>
  <c r="S2764" i="1"/>
  <c r="S2342" i="1"/>
  <c r="S2911" i="1"/>
  <c r="S2060" i="1"/>
  <c r="S1367" i="1"/>
  <c r="S1690" i="1"/>
  <c r="S1720" i="1"/>
  <c r="S1585" i="1"/>
  <c r="S991" i="1"/>
  <c r="S1094" i="1"/>
  <c r="S826" i="1"/>
  <c r="S2940" i="1"/>
  <c r="S2443" i="1"/>
  <c r="S1228" i="1"/>
  <c r="S753" i="1"/>
  <c r="S3347" i="1"/>
  <c r="S3576" i="1"/>
  <c r="S3717" i="1"/>
  <c r="S3204" i="1"/>
  <c r="S2303" i="1"/>
  <c r="S2952" i="1"/>
  <c r="S3425" i="1"/>
  <c r="S2808" i="1"/>
  <c r="S2054" i="1"/>
  <c r="S2830" i="1"/>
  <c r="S2720" i="1"/>
  <c r="S2446" i="1"/>
  <c r="S1136" i="1"/>
  <c r="S2052" i="1"/>
  <c r="S1086" i="1"/>
  <c r="S2132" i="1"/>
  <c r="S875" i="1"/>
  <c r="S978" i="1"/>
  <c r="S1092" i="1"/>
  <c r="S3569" i="1"/>
  <c r="S1265" i="1"/>
  <c r="S3729" i="1"/>
  <c r="S2542" i="1"/>
  <c r="S3682" i="1"/>
  <c r="S3522" i="1"/>
  <c r="S3591" i="1"/>
  <c r="S3919" i="1"/>
  <c r="S3061" i="1"/>
  <c r="S3587" i="1"/>
  <c r="S3551" i="1"/>
  <c r="S3178" i="1"/>
  <c r="S1755" i="1"/>
  <c r="S2216" i="1"/>
  <c r="S2208" i="1"/>
  <c r="S2601" i="1"/>
  <c r="S2332" i="1"/>
  <c r="S1893" i="1"/>
  <c r="S1301" i="1"/>
  <c r="S2071" i="1"/>
  <c r="S2101" i="1"/>
  <c r="S945" i="1"/>
  <c r="S1351" i="1"/>
  <c r="S775" i="1"/>
  <c r="S3206" i="1"/>
  <c r="S3067" i="1"/>
  <c r="S2389" i="1"/>
  <c r="S1619" i="1"/>
  <c r="S2152" i="1"/>
  <c r="S1824" i="1"/>
  <c r="S2199" i="1"/>
  <c r="S1494" i="1"/>
  <c r="S856" i="1"/>
  <c r="S928" i="1"/>
  <c r="S2460" i="1"/>
  <c r="S3645" i="1"/>
  <c r="S2526" i="1"/>
  <c r="S2275" i="1"/>
  <c r="S3700" i="1"/>
  <c r="S3616" i="1"/>
  <c r="S3427" i="1"/>
  <c r="S3126" i="1"/>
  <c r="S2483" i="1"/>
  <c r="S1875" i="1"/>
  <c r="S1498" i="1"/>
  <c r="S790" i="1"/>
  <c r="S935" i="1"/>
  <c r="S3415" i="1"/>
  <c r="S1070" i="1"/>
  <c r="S2770" i="1"/>
  <c r="S1034" i="1"/>
  <c r="S3778" i="1"/>
  <c r="S3893" i="1"/>
  <c r="S2973" i="1"/>
  <c r="S3368" i="1"/>
  <c r="S2929" i="1"/>
  <c r="S3113" i="1"/>
  <c r="S1314" i="1"/>
  <c r="S2304" i="1"/>
  <c r="S2440" i="1"/>
  <c r="S2036" i="1"/>
  <c r="S1357" i="1"/>
  <c r="S1339" i="1"/>
  <c r="S1842" i="1"/>
  <c r="S1948" i="1"/>
  <c r="S1492" i="1"/>
  <c r="S943" i="1"/>
  <c r="S2309" i="1"/>
  <c r="S1415" i="1"/>
  <c r="S3590" i="1"/>
  <c r="S3597" i="1"/>
  <c r="S3472" i="1"/>
  <c r="S3733" i="1"/>
  <c r="S3130" i="1"/>
  <c r="S3195" i="1"/>
  <c r="S3668" i="1"/>
  <c r="S3221" i="1"/>
  <c r="S2788" i="1"/>
  <c r="S1711" i="1"/>
  <c r="S1595" i="1"/>
  <c r="S1674" i="1"/>
  <c r="S1900" i="1"/>
  <c r="S2022" i="1"/>
  <c r="S1996" i="1"/>
  <c r="S1299" i="1"/>
  <c r="S1023" i="1"/>
  <c r="S1485" i="1"/>
  <c r="S3407" i="1"/>
  <c r="S1898" i="1"/>
  <c r="S2343" i="1"/>
  <c r="S1560" i="1"/>
  <c r="S1777" i="1"/>
  <c r="S1348" i="1"/>
  <c r="S1213" i="1"/>
  <c r="S866" i="1"/>
  <c r="S858" i="1"/>
  <c r="S1680" i="1"/>
  <c r="S1706" i="1"/>
  <c r="S3794" i="1"/>
  <c r="S1246" i="1"/>
  <c r="S3263" i="1"/>
  <c r="S3506" i="1"/>
  <c r="S3805" i="1"/>
  <c r="S3750" i="1"/>
  <c r="S3099" i="1"/>
  <c r="S3176" i="1"/>
  <c r="S3132" i="1"/>
  <c r="S2161" i="1"/>
  <c r="S1590" i="1"/>
  <c r="S1431" i="1"/>
  <c r="S1657" i="1"/>
  <c r="S3494" i="1"/>
  <c r="S2804" i="1"/>
  <c r="S1920" i="1"/>
  <c r="S3709" i="1"/>
  <c r="S3780" i="1"/>
  <c r="S3725" i="1"/>
  <c r="S3553" i="1"/>
  <c r="S3193" i="1"/>
  <c r="S2683" i="1"/>
  <c r="S2977" i="1"/>
  <c r="S2118" i="1"/>
  <c r="S2503" i="1"/>
  <c r="S2139" i="1"/>
  <c r="S1788" i="1"/>
  <c r="S1874" i="1"/>
  <c r="S1374" i="1"/>
  <c r="S1752" i="1"/>
  <c r="S3730" i="1"/>
  <c r="S1576" i="1"/>
  <c r="S2750" i="1"/>
  <c r="S3197" i="1"/>
  <c r="S2598" i="1"/>
  <c r="S3921" i="1"/>
  <c r="S3580" i="1"/>
  <c r="S2721" i="1"/>
  <c r="S1890" i="1"/>
  <c r="S1562" i="1"/>
  <c r="S1551" i="1"/>
  <c r="S2162" i="1"/>
  <c r="S915" i="1"/>
  <c r="S3078" i="1"/>
  <c r="S3277" i="1"/>
  <c r="S3310" i="1"/>
  <c r="S2822" i="1"/>
  <c r="S2701" i="1"/>
  <c r="S2378" i="1"/>
  <c r="S2469" i="1"/>
  <c r="S1134" i="1"/>
  <c r="S3674" i="1"/>
  <c r="S3752" i="1"/>
  <c r="S3641" i="1"/>
  <c r="S3047" i="1"/>
  <c r="S2265" i="1"/>
  <c r="S1243" i="1"/>
  <c r="S1532" i="1"/>
  <c r="S3289" i="1"/>
  <c r="S1328" i="1"/>
  <c r="S1187" i="1"/>
  <c r="S2351" i="1"/>
  <c r="S3337" i="1"/>
  <c r="S2095" i="1"/>
  <c r="S2591" i="1"/>
  <c r="S2084" i="1"/>
  <c r="S1908" i="1"/>
  <c r="S3842" i="1"/>
  <c r="S3835" i="1"/>
  <c r="S2975" i="1"/>
  <c r="S2678" i="1"/>
  <c r="S2282" i="1"/>
  <c r="S2862" i="1"/>
  <c r="S3763" i="1"/>
  <c r="S3516" i="1"/>
  <c r="S2557" i="1"/>
  <c r="S2155" i="1"/>
  <c r="S3390" i="1"/>
  <c r="S2969" i="1"/>
  <c r="S3459" i="1"/>
  <c r="S1964" i="1"/>
  <c r="S1622" i="1"/>
  <c r="S2261" i="1"/>
  <c r="S850" i="1"/>
  <c r="S2890" i="1"/>
  <c r="S1421" i="1"/>
  <c r="S3065" i="1"/>
  <c r="S2568" i="1"/>
  <c r="S2073" i="1"/>
  <c r="S2294" i="1"/>
  <c r="S2637" i="1"/>
  <c r="S712" i="1"/>
  <c r="S2817" i="1"/>
  <c r="S2920" i="1"/>
  <c r="S3467" i="1"/>
  <c r="S3621" i="1"/>
  <c r="S2608" i="1"/>
  <c r="S2407" i="1"/>
  <c r="S1860" i="1"/>
  <c r="S1547" i="1"/>
  <c r="S3702" i="1"/>
  <c r="S3560" i="1"/>
  <c r="S1230" i="1"/>
  <c r="S1257" i="1"/>
  <c r="S3232" i="1"/>
  <c r="S3841" i="1"/>
  <c r="S2384" i="1"/>
  <c r="S2521" i="1"/>
  <c r="S3660" i="1"/>
  <c r="S3818" i="1"/>
  <c r="S3790" i="1"/>
  <c r="S3770" i="1"/>
  <c r="S2958" i="1"/>
  <c r="S2999" i="1"/>
  <c r="S2980" i="1"/>
  <c r="S3697" i="1"/>
  <c r="S2239" i="1"/>
  <c r="S1825" i="1"/>
  <c r="S2106" i="1"/>
  <c r="S2537" i="1"/>
  <c r="S1992" i="1"/>
  <c r="S1795" i="1"/>
  <c r="S2285" i="1"/>
  <c r="S1259" i="1"/>
  <c r="S1721" i="1"/>
  <c r="S968" i="1"/>
  <c r="S1155" i="1"/>
  <c r="S745" i="1"/>
  <c r="S3813" i="1"/>
  <c r="S3695" i="1"/>
  <c r="S3421" i="1"/>
  <c r="S3505" i="1"/>
  <c r="S2698" i="1"/>
  <c r="S3583" i="1"/>
  <c r="S3235" i="1"/>
  <c r="S2749" i="1"/>
  <c r="S2807" i="1"/>
  <c r="S1915" i="1"/>
  <c r="S2348" i="1"/>
  <c r="S2538" i="1"/>
  <c r="S2811" i="1"/>
  <c r="S2219" i="1"/>
  <c r="S1233" i="1"/>
  <c r="S1568" i="1"/>
  <c r="S1561" i="1"/>
  <c r="S1116" i="1"/>
  <c r="S1159" i="1"/>
  <c r="S1119" i="1"/>
  <c r="S720" i="1"/>
  <c r="S1678" i="1"/>
  <c r="S2276" i="1"/>
  <c r="S1168" i="1"/>
  <c r="S748" i="1"/>
  <c r="S3554" i="1"/>
  <c r="S3853" i="1"/>
  <c r="S3854" i="1"/>
  <c r="S3034" i="1"/>
  <c r="S3451" i="1"/>
  <c r="S2928" i="1"/>
  <c r="S3322" i="1"/>
  <c r="S2755" i="1"/>
  <c r="S2102" i="1"/>
  <c r="S2393" i="1"/>
  <c r="S2295" i="1"/>
  <c r="S2463" i="1"/>
  <c r="S1088" i="1"/>
  <c r="S1950" i="1"/>
  <c r="S1130" i="1"/>
  <c r="S1782" i="1"/>
  <c r="S2104" i="1"/>
  <c r="S860" i="1"/>
  <c r="S786" i="1"/>
  <c r="S3441" i="1"/>
  <c r="S1063" i="1"/>
  <c r="S3108" i="1"/>
  <c r="S1733" i="1"/>
  <c r="S3671" i="1"/>
  <c r="S744" i="1"/>
  <c r="S3736" i="1"/>
  <c r="S3840" i="1"/>
  <c r="S3150" i="1"/>
  <c r="S3469" i="1"/>
  <c r="S3397" i="1"/>
  <c r="S2951" i="1"/>
  <c r="S1346" i="1"/>
  <c r="S1522" i="1"/>
  <c r="S2158" i="1"/>
  <c r="S2341" i="1"/>
  <c r="S2149" i="1"/>
  <c r="S1459" i="1"/>
  <c r="S1993" i="1"/>
  <c r="S1847" i="1"/>
  <c r="S1888" i="1"/>
  <c r="S920" i="1"/>
  <c r="S1046" i="1"/>
  <c r="S766" i="1"/>
  <c r="S3287" i="1"/>
  <c r="S2916" i="1"/>
  <c r="S2447" i="1"/>
  <c r="S2562" i="1"/>
  <c r="S2150" i="1"/>
  <c r="S1516" i="1"/>
  <c r="S2200" i="1"/>
  <c r="S1268" i="1"/>
  <c r="S1065" i="1"/>
  <c r="S852" i="1"/>
  <c r="S2667" i="1"/>
  <c r="S3914" i="1"/>
  <c r="S1139" i="1"/>
  <c r="S3748" i="1"/>
  <c r="S3857" i="1"/>
  <c r="S3891" i="1"/>
  <c r="S3116" i="1"/>
  <c r="S3100" i="1"/>
  <c r="S2197" i="1"/>
  <c r="S1188" i="1"/>
  <c r="S1512" i="1"/>
  <c r="S776" i="1"/>
  <c r="S738" i="1"/>
  <c r="S3123" i="1"/>
  <c r="S1262" i="1"/>
  <c r="S1581" i="1"/>
  <c r="S751" i="1"/>
  <c r="S3751" i="1"/>
  <c r="S3734" i="1"/>
  <c r="S3517" i="1"/>
  <c r="S3278" i="1"/>
  <c r="S2323" i="1"/>
  <c r="S2987" i="1"/>
  <c r="S1218" i="1"/>
  <c r="S2870" i="1"/>
  <c r="S2476" i="1"/>
  <c r="S2037" i="1"/>
  <c r="S2234" i="1"/>
  <c r="S1047" i="1"/>
  <c r="S1921" i="1"/>
  <c r="S1907" i="1"/>
  <c r="S1463" i="1"/>
  <c r="S1030" i="1"/>
  <c r="S2246" i="1"/>
  <c r="S1286" i="1"/>
  <c r="S2190" i="1"/>
  <c r="S3683" i="1"/>
  <c r="S3473" i="1"/>
  <c r="S3528" i="1"/>
  <c r="S3661" i="1"/>
  <c r="S2995" i="1"/>
  <c r="S3565" i="1"/>
  <c r="S3387" i="1"/>
  <c r="S2791" i="1"/>
  <c r="S2493" i="1"/>
  <c r="S1370" i="1"/>
  <c r="S1380" i="1"/>
  <c r="S1475" i="1"/>
  <c r="S1834" i="1"/>
  <c r="S1967" i="1"/>
  <c r="S1541" i="1"/>
  <c r="S1192" i="1"/>
  <c r="S1144" i="1"/>
  <c r="S3409" i="1"/>
  <c r="S2671" i="1"/>
  <c r="S2350" i="1"/>
  <c r="S1368" i="1"/>
  <c r="S1340" i="1"/>
  <c r="S1295" i="1"/>
  <c r="S828" i="1"/>
  <c r="S773" i="1"/>
  <c r="S946" i="1"/>
  <c r="S2979" i="1"/>
  <c r="S2296" i="1"/>
  <c r="S3603" i="1"/>
  <c r="S851" i="1"/>
  <c r="S3924" i="1"/>
  <c r="S3210" i="1"/>
  <c r="S3869" i="1"/>
  <c r="S3831" i="1"/>
  <c r="S2892" i="1"/>
  <c r="S3057" i="1"/>
  <c r="S3101" i="1"/>
  <c r="S2146" i="1"/>
  <c r="S1437" i="1"/>
  <c r="S1555" i="1"/>
  <c r="S1053" i="1"/>
  <c r="S3119" i="1"/>
  <c r="S3190" i="1"/>
  <c r="S1016" i="1"/>
  <c r="S3549" i="1"/>
  <c r="S3848" i="1"/>
  <c r="S3131" i="1"/>
  <c r="S3362" i="1"/>
  <c r="S2932" i="1"/>
  <c r="S2684" i="1"/>
  <c r="S2552" i="1"/>
  <c r="S2120" i="1"/>
  <c r="S2580" i="1"/>
  <c r="S2806" i="1"/>
  <c r="S1791" i="1"/>
  <c r="S1771" i="1"/>
  <c r="S1528" i="1"/>
  <c r="S1372" i="1"/>
  <c r="S3708" i="1"/>
  <c r="S2154" i="1"/>
  <c r="S3545" i="1"/>
  <c r="S3631" i="1"/>
  <c r="S2334" i="1"/>
  <c r="S3006" i="1"/>
  <c r="S3382" i="1"/>
  <c r="S2627" i="1"/>
  <c r="S1823" i="1"/>
  <c r="S1563" i="1"/>
  <c r="S1656" i="1"/>
  <c r="S2238" i="1"/>
  <c r="S2633" i="1"/>
  <c r="S2704" i="1"/>
  <c r="S3303" i="1"/>
  <c r="S3300" i="1"/>
  <c r="S2347" i="1"/>
  <c r="S2609" i="1"/>
  <c r="S2010" i="1"/>
  <c r="S2250" i="1"/>
  <c r="S1183" i="1"/>
  <c r="S3028" i="1"/>
  <c r="S2244" i="1"/>
  <c r="S3643" i="1"/>
  <c r="S2227" i="1"/>
  <c r="S2264" i="1"/>
  <c r="S1473" i="1"/>
  <c r="S1538" i="1"/>
  <c r="S2122" i="1"/>
  <c r="S969" i="1"/>
  <c r="S1009" i="1"/>
  <c r="S3258" i="1"/>
  <c r="S3336" i="1"/>
  <c r="S2093" i="1"/>
  <c r="S2174" i="1"/>
  <c r="S2083" i="1"/>
  <c r="S1935" i="1"/>
  <c r="S3834" i="1"/>
  <c r="S3740" i="1"/>
  <c r="S3599" i="1"/>
  <c r="S1579" i="1"/>
  <c r="S1600" i="1"/>
  <c r="S3453" i="1"/>
  <c r="S3656" i="1"/>
  <c r="S2419" i="1"/>
  <c r="S2559" i="1"/>
  <c r="S1686" i="1"/>
  <c r="S2100" i="1"/>
  <c r="S2367" i="1"/>
  <c r="S3234" i="1"/>
  <c r="S1975" i="1"/>
  <c r="S1627" i="1"/>
  <c r="S1185" i="1"/>
  <c r="S1200" i="1"/>
  <c r="S2899" i="1"/>
  <c r="S1157" i="1"/>
  <c r="S3080" i="1"/>
  <c r="S2581" i="1"/>
  <c r="S2077" i="1"/>
  <c r="S1759" i="1"/>
  <c r="S2635" i="1"/>
  <c r="S719" i="1"/>
  <c r="S3157" i="1"/>
  <c r="S2310" i="1"/>
  <c r="S3475" i="1"/>
  <c r="S3622" i="1"/>
  <c r="S2839" i="1"/>
  <c r="S2409" i="1"/>
  <c r="S1659" i="1"/>
  <c r="S1117" i="1"/>
  <c r="S3720" i="1"/>
  <c r="S3608" i="1"/>
  <c r="S1232" i="1"/>
  <c r="S1350" i="1"/>
  <c r="S1302" i="1"/>
  <c r="S2430" i="1"/>
  <c r="S2835" i="1"/>
  <c r="S1143" i="1"/>
  <c r="S410" i="1"/>
  <c r="S343" i="1"/>
  <c r="S620" i="1"/>
  <c r="S197" i="1"/>
  <c r="S359" i="1"/>
  <c r="S544" i="1"/>
  <c r="S429" i="1"/>
  <c r="S570" i="1"/>
  <c r="S515" i="1"/>
  <c r="S139" i="1"/>
  <c r="S193" i="1"/>
  <c r="S379" i="1"/>
  <c r="S393" i="1"/>
  <c r="S597" i="1"/>
  <c r="S614" i="1"/>
  <c r="S653" i="1"/>
  <c r="S622" i="1"/>
  <c r="S580" i="1"/>
  <c r="S642" i="1"/>
  <c r="S299" i="1"/>
  <c r="S456" i="1"/>
  <c r="S401" i="1"/>
  <c r="S482" i="1"/>
  <c r="S236" i="1"/>
  <c r="S339" i="1"/>
  <c r="S176" i="1"/>
  <c r="S364" i="1"/>
  <c r="S428" i="1"/>
  <c r="S694" i="1"/>
  <c r="S423" i="1"/>
  <c r="S478" i="1"/>
  <c r="S552" i="1"/>
  <c r="S252" i="1"/>
  <c r="S421" i="1"/>
  <c r="S388" i="1"/>
  <c r="S424" i="1"/>
  <c r="S416" i="1"/>
  <c r="S513" i="1"/>
  <c r="S468" i="1"/>
  <c r="S391" i="1"/>
  <c r="S465" i="1"/>
  <c r="S463" i="1"/>
  <c r="S232" i="1"/>
  <c r="S342" i="1"/>
  <c r="S267" i="1"/>
  <c r="S152" i="1"/>
  <c r="S173" i="1"/>
  <c r="S373" i="1"/>
  <c r="S239" i="1"/>
  <c r="S229" i="1"/>
  <c r="S355" i="1"/>
  <c r="S211" i="1"/>
  <c r="S643" i="1"/>
  <c r="S411" i="1"/>
  <c r="S143" i="1"/>
  <c r="S677" i="1"/>
  <c r="S351" i="1"/>
  <c r="S532" i="1"/>
  <c r="S489" i="1"/>
  <c r="S546" i="1"/>
  <c r="S483" i="1"/>
  <c r="S511" i="1"/>
  <c r="S255" i="1"/>
  <c r="S593" i="1"/>
  <c r="S454" i="1"/>
  <c r="S462" i="1"/>
  <c r="S383" i="1"/>
  <c r="S640" i="1"/>
  <c r="S189" i="1"/>
  <c r="S354" i="1"/>
  <c r="S431" i="1"/>
  <c r="S261" i="1"/>
  <c r="S469" i="1"/>
  <c r="S668" i="1"/>
  <c r="S185" i="1"/>
  <c r="S683" i="1"/>
  <c r="S249" i="1"/>
  <c r="S693" i="1"/>
  <c r="S703" i="1"/>
  <c r="S470" i="1"/>
  <c r="S372" i="1"/>
  <c r="S138" i="1"/>
  <c r="S516" i="1"/>
  <c r="S506" i="1"/>
  <c r="S531" i="1"/>
  <c r="S206" i="1"/>
  <c r="S665" i="1"/>
  <c r="S264" i="1"/>
  <c r="S382" i="1"/>
  <c r="S602" i="1"/>
  <c r="S545" i="1"/>
  <c r="S257" i="1"/>
  <c r="S219" i="1"/>
  <c r="S389" i="1"/>
  <c r="S134" i="1"/>
  <c r="S576" i="1"/>
  <c r="S163" i="1"/>
  <c r="S164" i="1"/>
  <c r="S541" i="1"/>
  <c r="S501" i="1"/>
  <c r="S321" i="1"/>
  <c r="S666" i="1"/>
  <c r="S457" i="1"/>
  <c r="S221" i="1"/>
  <c r="S135" i="1"/>
  <c r="S419" i="1"/>
  <c r="S399" i="1"/>
  <c r="S695" i="1"/>
  <c r="S458" i="1"/>
  <c r="S702" i="1"/>
  <c r="S166" i="1"/>
  <c r="S288" i="1"/>
  <c r="S417" i="1"/>
  <c r="S533" i="1"/>
  <c r="S230" i="1"/>
  <c r="S361" i="1"/>
  <c r="S572" i="1"/>
  <c r="S488" i="1"/>
  <c r="S405" i="1"/>
  <c r="S319" i="1"/>
  <c r="S293" i="1"/>
  <c r="S384" i="1"/>
  <c r="S320" i="1"/>
  <c r="S233" i="1"/>
  <c r="S508" i="1"/>
  <c r="S657" i="1"/>
  <c r="S637" i="1"/>
  <c r="S223" i="1"/>
  <c r="S310" i="1"/>
  <c r="S281" i="1"/>
  <c r="S247" i="1"/>
  <c r="S279" i="1"/>
  <c r="S660" i="1"/>
  <c r="S662" i="1"/>
  <c r="S526" i="1"/>
  <c r="S623" i="1"/>
  <c r="S332" i="1"/>
  <c r="S225" i="1"/>
  <c r="S210" i="1"/>
  <c r="S523" i="1"/>
  <c r="S592" i="1"/>
  <c r="S604" i="1"/>
  <c r="S542" i="1"/>
  <c r="S160" i="1"/>
  <c r="S137" i="1"/>
  <c r="S474" i="1"/>
  <c r="S215" i="1"/>
  <c r="S241" i="1"/>
  <c r="S596" i="1"/>
  <c r="S667" i="1"/>
  <c r="S133" i="1"/>
  <c r="S177" i="1"/>
  <c r="S441" i="1"/>
  <c r="S582" i="1"/>
  <c r="S553" i="1"/>
  <c r="S407" i="1"/>
  <c r="S549" i="1"/>
  <c r="S460" i="1"/>
  <c r="S438" i="1"/>
  <c r="S615" i="1"/>
  <c r="S587" i="1"/>
  <c r="S600" i="1"/>
  <c r="S349" i="1"/>
  <c r="S658" i="1"/>
  <c r="S170" i="1"/>
  <c r="S426" i="1"/>
  <c r="S682" i="1"/>
  <c r="S213" i="1"/>
  <c r="S172" i="1"/>
  <c r="S573" i="1"/>
  <c r="S486" i="1"/>
  <c r="S517" i="1"/>
  <c r="S345" i="1"/>
  <c r="S494" i="1"/>
  <c r="S385" i="1"/>
  <c r="S669" i="1"/>
  <c r="S220" i="1"/>
  <c r="S564" i="1"/>
  <c r="S565" i="1"/>
  <c r="S130" i="1"/>
  <c r="S169" i="1"/>
  <c r="S408" i="1"/>
  <c r="S674" i="1"/>
  <c r="S477" i="1"/>
  <c r="S563" i="1"/>
  <c r="S690" i="1"/>
  <c r="S502" i="1"/>
  <c r="S194" i="1"/>
  <c r="S699" i="1"/>
  <c r="S581" i="1"/>
  <c r="S333" i="1"/>
  <c r="S202" i="1"/>
  <c r="S625" i="1"/>
  <c r="S664" i="1"/>
  <c r="S129" i="1"/>
  <c r="S179" i="1"/>
  <c r="S700" i="1"/>
  <c r="S485" i="1"/>
  <c r="S171" i="1"/>
  <c r="S289" i="1"/>
  <c r="S594" i="1"/>
  <c r="S484" i="1"/>
  <c r="S530" i="1"/>
  <c r="S340" i="1"/>
  <c r="S701" i="1"/>
  <c r="S534" i="1"/>
  <c r="S191" i="1"/>
  <c r="S503" i="1"/>
  <c r="S566" i="1"/>
  <c r="S671" i="1"/>
  <c r="S633" i="1"/>
  <c r="S228" i="1"/>
  <c r="S571" i="1"/>
  <c r="S548" i="1"/>
  <c r="S199" i="1"/>
  <c r="S624" i="1"/>
  <c r="S696" i="1"/>
  <c r="S584" i="1"/>
  <c r="S148" i="1"/>
  <c r="S366" i="1"/>
  <c r="S434" i="1"/>
  <c r="S609" i="1"/>
  <c r="S348" i="1"/>
  <c r="S278" i="1"/>
  <c r="S558" i="1"/>
  <c r="S560" i="1"/>
  <c r="S156" i="1"/>
  <c r="S577" i="1"/>
  <c r="S400" i="1"/>
  <c r="S673" i="1"/>
  <c r="S231" i="1"/>
  <c r="S636" i="1"/>
  <c r="S480" i="1"/>
  <c r="S493" i="1"/>
  <c r="S365" i="1"/>
  <c r="S439" i="1"/>
  <c r="S427" i="1"/>
  <c r="S270" i="1"/>
  <c r="S245" i="1"/>
  <c r="S196" i="1"/>
  <c r="S611" i="1"/>
  <c r="S234" i="1"/>
  <c r="S686" i="1"/>
  <c r="S303" i="1"/>
  <c r="S397" i="1"/>
  <c r="S352" i="1"/>
  <c r="S505" i="1"/>
  <c r="S251" i="1"/>
  <c r="S222" i="1"/>
  <c r="S617" i="1"/>
  <c r="S287" i="1"/>
  <c r="S207" i="1"/>
  <c r="S291" i="1"/>
  <c r="S306" i="1"/>
  <c r="S681" i="1"/>
  <c r="S618" i="1"/>
  <c r="S126" i="1"/>
  <c r="S574" i="1"/>
  <c r="S512" i="1"/>
  <c r="S519" i="1"/>
  <c r="S626" i="1"/>
  <c r="S659" i="1"/>
  <c r="S475" i="1"/>
  <c r="S651" i="1"/>
  <c r="S147" i="1"/>
  <c r="S422" i="1"/>
  <c r="S583" i="1"/>
  <c r="S341" i="1"/>
  <c r="S282" i="1"/>
  <c r="S524" i="1"/>
  <c r="S491" i="1"/>
  <c r="S363" i="1"/>
  <c r="S528" i="1"/>
  <c r="S392" i="1"/>
  <c r="S676" i="1"/>
  <c r="S590" i="1"/>
  <c r="S260" i="1"/>
  <c r="S692" i="1"/>
  <c r="S495" i="1"/>
  <c r="S277" i="1"/>
  <c r="S285" i="1"/>
  <c r="S507" i="1"/>
  <c r="S539" i="1"/>
  <c r="S205" i="1"/>
  <c r="S629" i="1"/>
  <c r="S344" i="1"/>
  <c r="S240" i="1"/>
  <c r="S256" i="1"/>
  <c r="S655" i="1"/>
  <c r="S425" i="1"/>
  <c r="S557" i="1"/>
  <c r="S125" i="1"/>
  <c r="S487" i="1"/>
  <c r="S250" i="1"/>
  <c r="S585" i="1"/>
  <c r="S630" i="1"/>
  <c r="S280" i="1"/>
  <c r="S612" i="1"/>
  <c r="S554" i="1"/>
  <c r="S330" i="1"/>
  <c r="S201" i="1"/>
  <c r="S290" i="1"/>
  <c r="S396" i="1"/>
  <c r="S589" i="1"/>
  <c r="S346" i="1"/>
  <c r="S559" i="1"/>
  <c r="S350" i="1"/>
  <c r="S448" i="1"/>
  <c r="S467" i="1"/>
  <c r="S684" i="1"/>
  <c r="S490" i="1"/>
  <c r="S579" i="1"/>
  <c r="S302" i="1"/>
  <c r="S595" i="1"/>
  <c r="S514" i="1"/>
  <c r="S568" i="1"/>
  <c r="S525" i="1"/>
  <c r="S476" i="1"/>
  <c r="S161" i="1"/>
  <c r="S679" i="1"/>
  <c r="S479" i="1"/>
  <c r="S243" i="1"/>
  <c r="S601" i="1"/>
  <c r="S445" i="1"/>
  <c r="S284" i="1"/>
  <c r="S510" i="1"/>
  <c r="S499" i="1"/>
  <c r="S466" i="1"/>
  <c r="S311" i="1"/>
  <c r="S459" i="1"/>
  <c r="S550" i="1"/>
  <c r="S685" i="1"/>
  <c r="S168" i="1"/>
  <c r="S547" i="1"/>
  <c r="S509" i="1"/>
  <c r="S540" i="1"/>
  <c r="S244" i="1"/>
  <c r="S362" i="1"/>
  <c r="S158" i="1"/>
  <c r="S167" i="1"/>
  <c r="S124" i="1"/>
  <c r="S616" i="1"/>
  <c r="S328" i="1"/>
  <c r="S154" i="1"/>
  <c r="S689" i="1"/>
  <c r="S472" i="1"/>
  <c r="S471" i="1"/>
  <c r="S447" i="1"/>
  <c r="S149" i="1"/>
  <c r="S246" i="1"/>
  <c r="S157" i="1"/>
  <c r="S613" i="1"/>
  <c r="S536" i="1"/>
  <c r="S607" i="1"/>
  <c r="S440" i="1"/>
  <c r="S162" i="1"/>
  <c r="S561" i="1"/>
  <c r="S569" i="1"/>
  <c r="S377" i="1"/>
  <c r="S443" i="1"/>
  <c r="S598" i="1"/>
  <c r="S680" i="1"/>
  <c r="S394" i="1"/>
  <c r="S174" i="1"/>
  <c r="S353" i="1"/>
  <c r="S631" i="1"/>
  <c r="S621" i="1"/>
  <c r="S297" i="1"/>
  <c r="S226" i="1"/>
  <c r="S691" i="1"/>
  <c r="S190" i="1"/>
  <c r="S298" i="1"/>
  <c r="S295" i="1"/>
  <c r="S141" i="1"/>
  <c r="S268" i="1"/>
  <c r="S446" i="1"/>
  <c r="S632" i="1"/>
  <c r="S322" i="1"/>
  <c r="S591" i="1"/>
  <c r="S522" i="1"/>
  <c r="S218" i="1"/>
  <c r="S461" i="1"/>
  <c r="S368" i="1"/>
  <c r="S273" i="1"/>
  <c r="S300" i="1"/>
  <c r="S258" i="1"/>
  <c r="S641" i="1"/>
  <c r="S697" i="1"/>
  <c r="S272" i="1"/>
  <c r="S418" i="1"/>
  <c r="S537" i="1"/>
  <c r="S387" i="1"/>
  <c r="S150" i="1"/>
  <c r="S188" i="1"/>
  <c r="S413" i="1"/>
  <c r="S500" i="1"/>
  <c r="S198" i="1"/>
  <c r="S325" i="1"/>
  <c r="S214" i="1"/>
  <c r="S165" i="1"/>
  <c r="S142" i="1"/>
  <c r="S208" i="1"/>
  <c r="S146" i="1"/>
  <c r="S599" i="1"/>
  <c r="S627" i="1"/>
  <c r="S650" i="1"/>
  <c r="S529" i="1"/>
  <c r="S380" i="1"/>
  <c r="S224" i="1"/>
  <c r="S151" i="1"/>
  <c r="S654" i="1"/>
  <c r="S406" i="1"/>
  <c r="S184" i="1"/>
  <c r="S127" i="1"/>
  <c r="S698" i="1"/>
  <c r="S497" i="1"/>
  <c r="S308" i="1"/>
  <c r="S238" i="1"/>
  <c r="S315" i="1"/>
  <c r="S496" i="1"/>
  <c r="S453" i="1"/>
  <c r="S227" i="1"/>
  <c r="S430" i="1"/>
  <c r="S144" i="1"/>
  <c r="S452" i="1"/>
  <c r="S136" i="1"/>
  <c r="S294" i="1"/>
  <c r="S269" i="1"/>
  <c r="S535" i="1"/>
  <c r="S217" i="1"/>
  <c r="S262" i="1"/>
  <c r="S412" i="1"/>
  <c r="S323" i="1"/>
  <c r="S192" i="1"/>
  <c r="S635" i="1"/>
  <c r="S578" i="1"/>
  <c r="S312" i="1"/>
  <c r="S131" i="1"/>
  <c r="S304" i="1"/>
  <c r="S588" i="1"/>
  <c r="S433" i="1"/>
  <c r="S178" i="1"/>
  <c r="S449" i="1"/>
  <c r="S374" i="1"/>
  <c r="S451" i="1"/>
  <c r="S153" i="1"/>
  <c r="S360" i="1"/>
  <c r="S647" i="1"/>
  <c r="S619" i="1"/>
  <c r="S292" i="1"/>
  <c r="S646" i="1"/>
  <c r="S403" i="1"/>
  <c r="S313" i="1"/>
  <c r="S356" i="1"/>
  <c r="S316" i="1"/>
  <c r="S371" i="1"/>
  <c r="S347" i="1"/>
  <c r="S603" i="1"/>
  <c r="S663" i="1"/>
  <c r="S687" i="1"/>
  <c r="S182" i="1"/>
  <c r="S538" i="1"/>
  <c r="S527" i="1"/>
  <c r="S145" i="1"/>
  <c r="S704" i="1"/>
  <c r="S455" i="1"/>
  <c r="S204" i="1"/>
  <c r="S610" i="1"/>
  <c r="S444" i="1"/>
  <c r="S128" i="1"/>
  <c r="S562" i="1"/>
  <c r="S649" i="1"/>
  <c r="S200" i="1"/>
  <c r="S518" i="1"/>
  <c r="S556" i="1"/>
  <c r="S414" i="1"/>
  <c r="S318" i="1"/>
  <c r="S357" i="1"/>
  <c r="S358" i="1"/>
  <c r="S369" i="1"/>
  <c r="S275" i="1"/>
  <c r="S521" i="1"/>
  <c r="S296" i="1"/>
  <c r="S331" i="1"/>
  <c r="S678" i="1"/>
  <c r="S254" i="1"/>
  <c r="S187" i="1"/>
  <c r="S370" i="1"/>
  <c r="S638" i="1"/>
  <c r="S301" i="1"/>
  <c r="S253" i="1"/>
  <c r="S608" i="1"/>
  <c r="S586" i="1"/>
  <c r="S180" i="1"/>
  <c r="S274" i="1"/>
  <c r="S473" i="1"/>
  <c r="S415" i="1"/>
  <c r="S305" i="1"/>
  <c r="S183" i="1"/>
  <c r="S605" i="1"/>
  <c r="S390" i="1"/>
  <c r="S652" i="1"/>
  <c r="S555" i="1"/>
  <c r="S317" i="1"/>
  <c r="S386" i="1"/>
  <c r="S314" i="1"/>
  <c r="S186" i="1"/>
  <c r="S237" i="1"/>
  <c r="S402" i="1"/>
  <c r="S567" i="1"/>
  <c r="S432" i="1"/>
  <c r="S481" i="1"/>
  <c r="S688" i="1"/>
  <c r="S543" i="1"/>
  <c r="S248" i="1"/>
  <c r="S644" i="1"/>
  <c r="S661" i="1"/>
  <c r="S634" i="1"/>
  <c r="S435" i="1"/>
  <c r="S140" i="1"/>
  <c r="S648" i="1"/>
  <c r="S329" i="1"/>
  <c r="S338" i="1"/>
  <c r="S645" i="1"/>
  <c r="S409" i="1"/>
  <c r="S209" i="1"/>
  <c r="S265" i="1"/>
  <c r="S271" i="1"/>
  <c r="S381" i="1"/>
  <c r="S327" i="1"/>
  <c r="S367" i="1"/>
  <c r="S266" i="1"/>
  <c r="S324" i="1"/>
  <c r="S181" i="1"/>
  <c r="S337" i="1"/>
  <c r="S216" i="1"/>
  <c r="S504" i="1"/>
  <c r="S442" i="1"/>
  <c r="S420" i="1"/>
  <c r="S309" i="1"/>
  <c r="S259" i="1"/>
  <c r="S628" i="1"/>
  <c r="S639" i="1"/>
  <c r="S705" i="1"/>
  <c r="S235" i="1"/>
  <c r="S672" i="1"/>
  <c r="S404" i="1"/>
  <c r="S335" i="1"/>
  <c r="S263" i="1"/>
  <c r="S520" i="1"/>
  <c r="S376" i="1"/>
  <c r="S336" i="1"/>
  <c r="S159" i="1"/>
  <c r="S575" i="1"/>
  <c r="S375" i="1"/>
  <c r="S326" i="1"/>
  <c r="S283" i="1"/>
  <c r="S464" i="1"/>
  <c r="S378" i="1"/>
  <c r="S670" i="1"/>
  <c r="S334" i="1"/>
  <c r="S551" i="1"/>
  <c r="S155" i="1"/>
  <c r="S132" i="1"/>
  <c r="S395" i="1"/>
  <c r="S498" i="1"/>
  <c r="S675" i="1"/>
  <c r="S242" i="1"/>
  <c r="S450" i="1"/>
  <c r="S437" i="1"/>
  <c r="S398" i="1"/>
  <c r="S286" i="1"/>
  <c r="S436" i="1"/>
  <c r="S492" i="1"/>
  <c r="S212" i="1"/>
  <c r="S276" i="1"/>
  <c r="S195" i="1"/>
  <c r="S606" i="1"/>
  <c r="S175" i="1"/>
  <c r="S656" i="1"/>
  <c r="S30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3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<sst xmlns="http://schemas.openxmlformats.org/spreadsheetml/2006/main" count="61" uniqueCount="52">
  <si>
    <t>起始日期</t>
    <phoneticPr fontId="3" type="noConversion"/>
  </si>
  <si>
    <t>辅助列</t>
    <phoneticPr fontId="3" type="noConversion"/>
  </si>
  <si>
    <t>策略名称：</t>
  </si>
  <si>
    <t>制图区</t>
    <phoneticPr fontId="3" type="noConversion"/>
  </si>
  <si>
    <t>终止日期</t>
    <phoneticPr fontId="3" type="noConversion"/>
  </si>
  <si>
    <t>日期</t>
  </si>
  <si>
    <t>业绩基准</t>
  </si>
  <si>
    <t>单位净值</t>
    <phoneticPr fontId="3" type="noConversion"/>
  </si>
  <si>
    <t>基准单位净值</t>
    <phoneticPr fontId="3" type="noConversion"/>
  </si>
  <si>
    <t>超额收益</t>
    <phoneticPr fontId="3" type="noConversion"/>
  </si>
  <si>
    <t>组合最大回撤</t>
    <phoneticPr fontId="3" type="noConversion"/>
  </si>
  <si>
    <t>基准最大回撤</t>
    <phoneticPr fontId="3" type="noConversion"/>
  </si>
  <si>
    <t>组合日涨跌</t>
    <phoneticPr fontId="3" type="noConversion"/>
  </si>
  <si>
    <t>基准日涨跌</t>
    <phoneticPr fontId="3" type="noConversion"/>
  </si>
  <si>
    <t>超额日涨跌</t>
    <phoneticPr fontId="3" type="noConversion"/>
  </si>
  <si>
    <t>滚动半年跟踪误差</t>
    <phoneticPr fontId="3" type="noConversion"/>
  </si>
  <si>
    <t>组合年化跟踪误差</t>
    <phoneticPr fontId="3" type="noConversion"/>
  </si>
  <si>
    <t>策略组合：滚动1年波动率</t>
    <phoneticPr fontId="3" type="noConversion"/>
  </si>
  <si>
    <t>业绩基准：滚动1年波动率</t>
    <phoneticPr fontId="3" type="noConversion"/>
  </si>
  <si>
    <t>输出区域</t>
    <phoneticPr fontId="3" type="noConversion"/>
  </si>
  <si>
    <t>NA</t>
    <phoneticPr fontId="3" type="noConversion"/>
  </si>
  <si>
    <t>交易日数量</t>
    <phoneticPr fontId="6" type="noConversion"/>
  </si>
  <si>
    <t>年化因子</t>
    <phoneticPr fontId="6" type="noConversion"/>
  </si>
  <si>
    <t>总年份</t>
    <phoneticPr fontId="6" type="noConversion"/>
  </si>
  <si>
    <t>策略组合</t>
    <phoneticPr fontId="3" type="noConversion"/>
  </si>
  <si>
    <t>业绩基准</t>
    <phoneticPr fontId="3" type="noConversion"/>
  </si>
  <si>
    <t>超额</t>
    <phoneticPr fontId="3" type="noConversion"/>
  </si>
  <si>
    <t>累计收益率</t>
    <phoneticPr fontId="6" type="noConversion"/>
  </si>
  <si>
    <t>年化收益率</t>
    <phoneticPr fontId="6" type="noConversion"/>
  </si>
  <si>
    <t>最大回撤</t>
    <phoneticPr fontId="6" type="noConversion"/>
  </si>
  <si>
    <t>年化波动率</t>
    <phoneticPr fontId="6" type="noConversion"/>
  </si>
  <si>
    <t>年化跟踪误差</t>
    <phoneticPr fontId="3" type="noConversion"/>
  </si>
  <si>
    <t>回撤10分位</t>
    <phoneticPr fontId="3" type="noConversion"/>
  </si>
  <si>
    <t>年度数据</t>
    <phoneticPr fontId="3" type="noConversion"/>
  </si>
  <si>
    <t>全天候配置</t>
    <phoneticPr fontId="3" type="noConversion"/>
  </si>
  <si>
    <t>近1月</t>
  </si>
  <si>
    <t>近1月</t>
    <phoneticPr fontId="3" type="noConversion"/>
  </si>
  <si>
    <t>近3月</t>
  </si>
  <si>
    <t>近3月</t>
    <phoneticPr fontId="3" type="noConversion"/>
  </si>
  <si>
    <t>近6月</t>
  </si>
  <si>
    <t>近6月</t>
    <phoneticPr fontId="3" type="noConversion"/>
  </si>
  <si>
    <t>今年以来</t>
  </si>
  <si>
    <t>今年以来</t>
    <phoneticPr fontId="3" type="noConversion"/>
  </si>
  <si>
    <t>阶段收益</t>
    <phoneticPr fontId="3" type="noConversion"/>
  </si>
  <si>
    <t>近1年</t>
  </si>
  <si>
    <t>近1年</t>
    <phoneticPr fontId="3" type="noConversion"/>
  </si>
  <si>
    <t>策略组合</t>
  </si>
  <si>
    <t>累计收益率</t>
  </si>
  <si>
    <t>年化收益率</t>
  </si>
  <si>
    <t>最大回撤</t>
  </si>
  <si>
    <t>年化波动率</t>
  </si>
  <si>
    <t>回撤10分位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</si>
</sst>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\-mm\-dd"/>
    <numFmt numFmtId="177" formatCode="0.0000_);[Red]\(0.0000\)"/>
    <numFmt numFmtId="178" formatCode="0.00_);[Red]\(0.00\)"/>
    <numFmt numFmtId="179" formatCode="0.0000%"/>
    <numFmt numFmtId="180" formatCode="0.00_ "/>
  </numFmts>
  <fonts count="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rgb="FFFF0000"/>
      <name val="等线"/>
      <family val="3"/>
      <charset val="134"/>
      <scheme val="minor"/>
    </font>
    <font>
      <sz val="9"/>
      <name val="宋体"/>
      <family val="2"/>
      <charset val="134"/>
    </font>
    <font>
      <b/>
      <sz val="10"/>
      <color theme="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34">
    <xf numFmtId="0" fontId="0" fillId="0" borderId="0" xfId="0"/>
    <xf numFmtId="0" fontId="2" fillId="0" borderId="0" xfId="0" applyFont="1"/>
    <xf numFmtId="14" fontId="4" fillId="0" borderId="0" xfId="0" applyNumberFormat="1" applyFont="1"/>
    <xf numFmtId="0" fontId="4" fillId="2" borderId="0" xfId="0" applyNumberFormat="1" applyFont="1" applyFill="1"/>
    <xf numFmtId="0" fontId="4" fillId="2" borderId="0" xfId="0" applyFont="1" applyFill="1"/>
    <xf numFmtId="10" fontId="4" fillId="2" borderId="0" xfId="1" applyNumberFormat="1" applyFont="1" applyFill="1" applyAlignment="1"/>
    <xf numFmtId="0" fontId="4" fillId="3" borderId="0" xfId="0" applyFont="1" applyFill="1"/>
    <xf numFmtId="0" fontId="5" fillId="0" borderId="0" xfId="0" applyFont="1"/>
    <xf numFmtId="176" fontId="4" fillId="2" borderId="0" xfId="0" applyNumberFormat="1" applyFont="1" applyFill="1" applyAlignment="1">
      <alignment horizontal="right"/>
    </xf>
    <xf numFmtId="10" fontId="4" fillId="2" borderId="0" xfId="0" applyNumberFormat="1" applyFont="1" applyFill="1"/>
    <xf numFmtId="177" fontId="4" fillId="2" borderId="0" xfId="0" applyNumberFormat="1" applyFont="1" applyFill="1"/>
    <xf numFmtId="178" fontId="4" fillId="2" borderId="0" xfId="0" applyNumberFormat="1" applyFont="1" applyFill="1"/>
    <xf numFmtId="179" fontId="4" fillId="2" borderId="0" xfId="0" applyNumberFormat="1" applyFont="1" applyFill="1"/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right" vertical="center"/>
    </xf>
    <xf numFmtId="0" fontId="4" fillId="0" borderId="0" xfId="0" applyFont="1" applyFill="1"/>
    <xf numFmtId="179" fontId="4" fillId="2" borderId="0" xfId="1" applyNumberFormat="1" applyFont="1" applyFill="1" applyAlignment="1"/>
    <xf numFmtId="180" fontId="4" fillId="0" borderId="0" xfId="0" applyNumberFormat="1" applyFont="1" applyFill="1" applyAlignment="1">
      <alignment horizontal="right" vertical="center"/>
    </xf>
    <xf numFmtId="0" fontId="4" fillId="0" borderId="1" xfId="0" applyFont="1" applyFill="1" applyBorder="1" applyAlignment="1">
      <alignment vertical="center"/>
    </xf>
    <xf numFmtId="180" fontId="4" fillId="0" borderId="2" xfId="0" applyNumberFormat="1" applyFont="1" applyFill="1" applyBorder="1" applyAlignment="1">
      <alignment horizontal="right" vertical="center"/>
    </xf>
    <xf numFmtId="0" fontId="4" fillId="0" borderId="3" xfId="0" applyFont="1" applyFill="1" applyBorder="1" applyAlignment="1">
      <alignment horizontal="right"/>
    </xf>
    <xf numFmtId="0" fontId="4" fillId="0" borderId="0" xfId="0" applyFont="1" applyFill="1" applyAlignment="1">
      <alignment horizontal="right"/>
    </xf>
    <xf numFmtId="0" fontId="4" fillId="0" borderId="4" xfId="0" applyFont="1" applyFill="1" applyBorder="1" applyAlignment="1">
      <alignment vertical="center"/>
    </xf>
    <xf numFmtId="10" fontId="4" fillId="0" borderId="0" xfId="1" applyNumberFormat="1" applyFont="1" applyFill="1" applyBorder="1" applyAlignment="1">
      <alignment horizontal="right" vertical="center"/>
    </xf>
    <xf numFmtId="10" fontId="4" fillId="0" borderId="5" xfId="0" applyNumberFormat="1" applyFont="1" applyFill="1" applyBorder="1" applyAlignment="1">
      <alignment horizontal="right"/>
    </xf>
    <xf numFmtId="10" fontId="4" fillId="0" borderId="0" xfId="0" applyNumberFormat="1" applyFont="1" applyFill="1" applyAlignment="1">
      <alignment horizontal="right"/>
    </xf>
    <xf numFmtId="0" fontId="4" fillId="0" borderId="5" xfId="0" applyFont="1" applyFill="1" applyBorder="1" applyAlignment="1">
      <alignment horizontal="right"/>
    </xf>
    <xf numFmtId="0" fontId="4" fillId="0" borderId="5" xfId="0" applyFont="1" applyFill="1" applyBorder="1"/>
    <xf numFmtId="0" fontId="4" fillId="0" borderId="6" xfId="0" applyFont="1" applyFill="1" applyBorder="1" applyAlignment="1">
      <alignment vertical="center"/>
    </xf>
    <xf numFmtId="10" fontId="4" fillId="0" borderId="7" xfId="1" applyNumberFormat="1" applyFont="1" applyFill="1" applyBorder="1" applyAlignment="1">
      <alignment horizontal="right" vertical="center"/>
    </xf>
    <xf numFmtId="0" fontId="4" fillId="0" borderId="8" xfId="0" applyFont="1" applyBorder="1"/>
    <xf numFmtId="0" fontId="7" fillId="4" borderId="0" xfId="0" applyFont="1" applyFill="1" applyAlignment="1">
      <alignment horizontal="left" vertical="center"/>
    </xf>
    <xf numFmtId="180" fontId="7" fillId="4" borderId="0" xfId="0" applyNumberFormat="1" applyFont="1" applyFill="1" applyAlignment="1">
      <alignment horizontal="right" vertical="center"/>
    </xf>
    <xf numFmtId="10" fontId="4" fillId="0" borderId="0" xfId="1" applyNumberFormat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Segoe UI" panose="020B0502040204020203" pitchFamily="34" charset="0"/>
              </a:defRPr>
            </a:pPr>
            <a:r>
              <a:rPr lang="zh-CN" b="0"/>
              <a:t>组合业绩表现：超额收益（右轴）</a:t>
            </a:r>
            <a:endParaRPr lang="en-US" b="0"/>
          </a:p>
        </c:rich>
      </c:tx>
      <c:layout>
        <c:manualLayout>
          <c:xMode val="edge"/>
          <c:yMode val="edge"/>
          <c:x val="5.39906103286385E-2"/>
          <c:y val="1.76600441501103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Segoe UI" panose="020B0502040204020203" pitchFamily="34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4.0444715537318397E-2"/>
          <c:y val="0.11468738593106326"/>
          <c:w val="0.90817160178921297"/>
          <c:h val="0.74049028639631964"/>
        </c:manualLayout>
      </c:layout>
      <c:lineChart>
        <c:grouping val="standard"/>
        <c:varyColors val="0"/>
        <c:ser>
          <c:idx val="0"/>
          <c:order val="0"/>
          <c:tx>
            <c:strRef>
              <c:f>策略组合!$H$2</c:f>
              <c:strCache>
                <c:ptCount val="1"/>
                <c:pt idx="0">
                  <c:v>全天候配置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策略组合!$G$3:$G$4000</c:f>
              <c:numCache>
                <c:formatCode>yyyy\-mm\-dd</c:formatCode>
                <c:ptCount val="3998"/>
                <c:pt idx="0">
                  <c:v>45442</c:v>
                </c:pt>
                <c:pt idx="1">
                  <c:v>45443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45454</c:v>
                </c:pt>
                <c:pt idx="8">
                  <c:v>45455</c:v>
                </c:pt>
                <c:pt idx="9">
                  <c:v>45456</c:v>
                </c:pt>
                <c:pt idx="10">
                  <c:v>45457</c:v>
                </c:pt>
                <c:pt idx="11">
                  <c:v>45460</c:v>
                </c:pt>
                <c:pt idx="12">
                  <c:v>45461</c:v>
                </c:pt>
                <c:pt idx="13">
                  <c:v>45462</c:v>
                </c:pt>
                <c:pt idx="14">
                  <c:v>45463</c:v>
                </c:pt>
                <c:pt idx="15">
                  <c:v>45464</c:v>
                </c:pt>
                <c:pt idx="16">
                  <c:v>45467</c:v>
                </c:pt>
                <c:pt idx="17">
                  <c:v>45468</c:v>
                </c:pt>
                <c:pt idx="18">
                  <c:v>45469</c:v>
                </c:pt>
                <c:pt idx="19">
                  <c:v>45470</c:v>
                </c:pt>
                <c:pt idx="20">
                  <c:v>45471</c:v>
                </c:pt>
                <c:pt idx="21">
                  <c:v>45474</c:v>
                </c:pt>
                <c:pt idx="22">
                  <c:v>45475</c:v>
                </c:pt>
                <c:pt idx="23">
                  <c:v>45476</c:v>
                </c:pt>
                <c:pt idx="24">
                  <c:v>45477</c:v>
                </c:pt>
                <c:pt idx="25">
                  <c:v>45478</c:v>
                </c:pt>
                <c:pt idx="26">
                  <c:v>45481</c:v>
                </c:pt>
                <c:pt idx="27">
                  <c:v>45482</c:v>
                </c:pt>
                <c:pt idx="28">
                  <c:v>45483</c:v>
                </c:pt>
                <c:pt idx="29">
                  <c:v>45484</c:v>
                </c:pt>
                <c:pt idx="30">
                  <c:v>45485</c:v>
                </c:pt>
                <c:pt idx="31">
                  <c:v>45488</c:v>
                </c:pt>
                <c:pt idx="32">
                  <c:v>45489</c:v>
                </c:pt>
                <c:pt idx="33">
                  <c:v>45490</c:v>
                </c:pt>
                <c:pt idx="34">
                  <c:v>45491</c:v>
                </c:pt>
                <c:pt idx="35">
                  <c:v>45492</c:v>
                </c:pt>
                <c:pt idx="36">
                  <c:v>45495</c:v>
                </c:pt>
                <c:pt idx="37">
                  <c:v>45496</c:v>
                </c:pt>
                <c:pt idx="38">
                  <c:v>45497</c:v>
                </c:pt>
                <c:pt idx="39">
                  <c:v>45498</c:v>
                </c:pt>
                <c:pt idx="40">
                  <c:v>45499</c:v>
                </c:pt>
                <c:pt idx="41">
                  <c:v>45502</c:v>
                </c:pt>
                <c:pt idx="42">
                  <c:v>45503</c:v>
                </c:pt>
                <c:pt idx="43">
                  <c:v>45504</c:v>
                </c:pt>
                <c:pt idx="44">
                  <c:v>45505</c:v>
                </c:pt>
                <c:pt idx="45">
                  <c:v>45506</c:v>
                </c:pt>
                <c:pt idx="46">
                  <c:v>45509</c:v>
                </c:pt>
                <c:pt idx="47">
                  <c:v>45510</c:v>
                </c:pt>
                <c:pt idx="48">
                  <c:v>45511</c:v>
                </c:pt>
                <c:pt idx="49">
                  <c:v>45512</c:v>
                </c:pt>
                <c:pt idx="50">
                  <c:v>45513</c:v>
                </c:pt>
                <c:pt idx="51">
                  <c:v>45516</c:v>
                </c:pt>
                <c:pt idx="52">
                  <c:v>45517</c:v>
                </c:pt>
                <c:pt idx="53">
                  <c:v>45518</c:v>
                </c:pt>
                <c:pt idx="54">
                  <c:v>45519</c:v>
                </c:pt>
                <c:pt idx="55">
                  <c:v>45520</c:v>
                </c:pt>
                <c:pt idx="56">
                  <c:v>45523</c:v>
                </c:pt>
                <c:pt idx="57">
                  <c:v>45524</c:v>
                </c:pt>
                <c:pt idx="58">
                  <c:v>45525</c:v>
                </c:pt>
                <c:pt idx="59">
                  <c:v>45526</c:v>
                </c:pt>
                <c:pt idx="60">
                  <c:v>45527</c:v>
                </c:pt>
                <c:pt idx="61">
                  <c:v>45530</c:v>
                </c:pt>
                <c:pt idx="62">
                  <c:v>45531</c:v>
                </c:pt>
                <c:pt idx="63">
                  <c:v>45532</c:v>
                </c:pt>
                <c:pt idx="64">
                  <c:v>45533</c:v>
                </c:pt>
                <c:pt idx="65">
                  <c:v>45534</c:v>
                </c:pt>
                <c:pt idx="66">
                  <c:v>45537</c:v>
                </c:pt>
                <c:pt idx="67">
                  <c:v>45538</c:v>
                </c:pt>
                <c:pt idx="68">
                  <c:v>45539</c:v>
                </c:pt>
                <c:pt idx="69">
                  <c:v>45540</c:v>
                </c:pt>
                <c:pt idx="70">
                  <c:v>45541</c:v>
                </c:pt>
                <c:pt idx="71">
                  <c:v>45544</c:v>
                </c:pt>
                <c:pt idx="72">
                  <c:v>45545</c:v>
                </c:pt>
                <c:pt idx="73">
                  <c:v>45546</c:v>
                </c:pt>
                <c:pt idx="74">
                  <c:v>45547</c:v>
                </c:pt>
                <c:pt idx="75">
                  <c:v>45548</c:v>
                </c:pt>
                <c:pt idx="76">
                  <c:v>45553</c:v>
                </c:pt>
                <c:pt idx="77">
                  <c:v>45554</c:v>
                </c:pt>
                <c:pt idx="78">
                  <c:v>45555</c:v>
                </c:pt>
                <c:pt idx="79">
                  <c:v>45558</c:v>
                </c:pt>
                <c:pt idx="80">
                  <c:v>45559</c:v>
                </c:pt>
                <c:pt idx="81">
                  <c:v>45560</c:v>
                </c:pt>
                <c:pt idx="82">
                  <c:v>45561</c:v>
                </c:pt>
                <c:pt idx="83">
                  <c:v>45562</c:v>
                </c:pt>
                <c:pt idx="84">
                  <c:v>45565</c:v>
                </c:pt>
                <c:pt idx="85">
                  <c:v>45573</c:v>
                </c:pt>
                <c:pt idx="86">
                  <c:v>45574</c:v>
                </c:pt>
                <c:pt idx="87">
                  <c:v>45575</c:v>
                </c:pt>
                <c:pt idx="88">
                  <c:v>45576</c:v>
                </c:pt>
                <c:pt idx="89">
                  <c:v>45579</c:v>
                </c:pt>
                <c:pt idx="90">
                  <c:v>45580</c:v>
                </c:pt>
                <c:pt idx="91">
                  <c:v>45581</c:v>
                </c:pt>
                <c:pt idx="92">
                  <c:v>45582</c:v>
                </c:pt>
                <c:pt idx="93">
                  <c:v>45583</c:v>
                </c:pt>
                <c:pt idx="94">
                  <c:v>45586</c:v>
                </c:pt>
                <c:pt idx="95">
                  <c:v>45587</c:v>
                </c:pt>
                <c:pt idx="96">
                  <c:v>45588</c:v>
                </c:pt>
                <c:pt idx="97">
                  <c:v>45589</c:v>
                </c:pt>
                <c:pt idx="98">
                  <c:v>45590</c:v>
                </c:pt>
                <c:pt idx="99">
                  <c:v>45593</c:v>
                </c:pt>
                <c:pt idx="100">
                  <c:v>45594</c:v>
                </c:pt>
                <c:pt idx="101">
                  <c:v>45595</c:v>
                </c:pt>
                <c:pt idx="102">
                  <c:v>45596</c:v>
                </c:pt>
                <c:pt idx="103">
                  <c:v>45597</c:v>
                </c:pt>
                <c:pt idx="104">
                  <c:v>45600</c:v>
                </c:pt>
                <c:pt idx="105">
                  <c:v>45601</c:v>
                </c:pt>
                <c:pt idx="106">
                  <c:v>45602</c:v>
                </c:pt>
                <c:pt idx="107">
                  <c:v>45603</c:v>
                </c:pt>
                <c:pt idx="108">
                  <c:v>45604</c:v>
                </c:pt>
                <c:pt idx="109">
                  <c:v>45607</c:v>
                </c:pt>
                <c:pt idx="110">
                  <c:v>45608</c:v>
                </c:pt>
                <c:pt idx="111">
                  <c:v>45609</c:v>
                </c:pt>
                <c:pt idx="112">
                  <c:v>45610</c:v>
                </c:pt>
                <c:pt idx="113">
                  <c:v>45611</c:v>
                </c:pt>
                <c:pt idx="114">
                  <c:v>45614</c:v>
                </c:pt>
                <c:pt idx="115">
                  <c:v>45615</c:v>
                </c:pt>
                <c:pt idx="116">
                  <c:v>45616</c:v>
                </c:pt>
                <c:pt idx="117">
                  <c:v>45617</c:v>
                </c:pt>
                <c:pt idx="118">
                  <c:v>45618</c:v>
                </c:pt>
                <c:pt idx="119">
                  <c:v>45621</c:v>
                </c:pt>
                <c:pt idx="120">
                  <c:v>45622</c:v>
                </c:pt>
                <c:pt idx="121">
                  <c:v>45623</c:v>
                </c:pt>
                <c:pt idx="122">
                  <c:v>45624</c:v>
                </c:pt>
                <c:pt idx="123">
                  <c:v>45625</c:v>
                </c:pt>
                <c:pt idx="124">
                  <c:v>45628</c:v>
                </c:pt>
                <c:pt idx="125">
                  <c:v>45629</c:v>
                </c:pt>
                <c:pt idx="126">
                  <c:v>45630</c:v>
                </c:pt>
                <c:pt idx="127">
                  <c:v>45631</c:v>
                </c:pt>
                <c:pt idx="128">
                  <c:v>45632</c:v>
                </c:pt>
                <c:pt idx="129">
                  <c:v>45635</c:v>
                </c:pt>
                <c:pt idx="130">
                  <c:v>45636</c:v>
                </c:pt>
                <c:pt idx="131">
                  <c:v>45637</c:v>
                </c:pt>
                <c:pt idx="132">
                  <c:v>45638</c:v>
                </c:pt>
                <c:pt idx="133">
                  <c:v>45639</c:v>
                </c:pt>
                <c:pt idx="134">
                  <c:v>45642</c:v>
                </c:pt>
                <c:pt idx="135">
                  <c:v>45643</c:v>
                </c:pt>
                <c:pt idx="136">
                  <c:v>45644</c:v>
                </c:pt>
                <c:pt idx="137">
                  <c:v>45645</c:v>
                </c:pt>
                <c:pt idx="138">
                  <c:v>45646</c:v>
                </c:pt>
                <c:pt idx="139">
                  <c:v>45649</c:v>
                </c:pt>
                <c:pt idx="140">
                  <c:v>45650</c:v>
                </c:pt>
                <c:pt idx="141">
                  <c:v>45651</c:v>
                </c:pt>
                <c:pt idx="142">
                  <c:v>45652</c:v>
                </c:pt>
                <c:pt idx="143">
                  <c:v>45653</c:v>
                </c:pt>
                <c:pt idx="144">
                  <c:v>45656</c:v>
                </c:pt>
                <c:pt idx="145">
                  <c:v>45657</c:v>
                </c:pt>
                <c:pt idx="146">
                  <c:v>45659</c:v>
                </c:pt>
                <c:pt idx="147">
                  <c:v>45660</c:v>
                </c:pt>
                <c:pt idx="148">
                  <c:v>45663</c:v>
                </c:pt>
                <c:pt idx="149">
                  <c:v>45664</c:v>
                </c:pt>
                <c:pt idx="150">
                  <c:v>45665</c:v>
                </c:pt>
                <c:pt idx="151">
                  <c:v>45666</c:v>
                </c:pt>
                <c:pt idx="152">
                  <c:v>45667</c:v>
                </c:pt>
                <c:pt idx="153">
                  <c:v>45670</c:v>
                </c:pt>
                <c:pt idx="154">
                  <c:v>45671</c:v>
                </c:pt>
                <c:pt idx="155">
                  <c:v>45672</c:v>
                </c:pt>
                <c:pt idx="156">
                  <c:v>45673</c:v>
                </c:pt>
                <c:pt idx="157">
                  <c:v>45674</c:v>
                </c:pt>
                <c:pt idx="158">
                  <c:v>45677</c:v>
                </c:pt>
                <c:pt idx="159">
                  <c:v>45678</c:v>
                </c:pt>
                <c:pt idx="160">
                  <c:v>45679</c:v>
                </c:pt>
                <c:pt idx="161">
                  <c:v>45680</c:v>
                </c:pt>
                <c:pt idx="162">
                  <c:v>45681</c:v>
                </c:pt>
                <c:pt idx="163">
                  <c:v>45684</c:v>
                </c:pt>
                <c:pt idx="164">
                  <c:v>45693</c:v>
                </c:pt>
                <c:pt idx="165">
                  <c:v>45694</c:v>
                </c:pt>
                <c:pt idx="166">
                  <c:v>45695</c:v>
                </c:pt>
                <c:pt idx="167">
                  <c:v>45698</c:v>
                </c:pt>
                <c:pt idx="168">
                  <c:v>45699</c:v>
                </c:pt>
                <c:pt idx="169">
                  <c:v>45700</c:v>
                </c:pt>
                <c:pt idx="170">
                  <c:v>45701</c:v>
                </c:pt>
                <c:pt idx="171">
                  <c:v>45702</c:v>
                </c:pt>
                <c:pt idx="172">
                  <c:v>45705</c:v>
                </c:pt>
                <c:pt idx="173">
                  <c:v>45706</c:v>
                </c:pt>
                <c:pt idx="174">
                  <c:v>45707</c:v>
                </c:pt>
                <c:pt idx="175">
                  <c:v>45708</c:v>
                </c:pt>
                <c:pt idx="176">
                  <c:v>45709</c:v>
                </c:pt>
                <c:pt idx="177">
                  <c:v>45712</c:v>
                </c:pt>
                <c:pt idx="178">
                  <c:v>45713</c:v>
                </c:pt>
                <c:pt idx="179">
                  <c:v>45714</c:v>
                </c:pt>
                <c:pt idx="180">
                  <c:v>45715</c:v>
                </c:pt>
                <c:pt idx="181">
                  <c:v>45716</c:v>
                </c:pt>
                <c:pt idx="182">
                  <c:v>45719</c:v>
                </c:pt>
                <c:pt idx="183">
                  <c:v>45720</c:v>
                </c:pt>
                <c:pt idx="184">
                  <c:v>45721</c:v>
                </c:pt>
                <c:pt idx="185">
                  <c:v>45722</c:v>
                </c:pt>
                <c:pt idx="186">
                  <c:v>45723</c:v>
                </c:pt>
                <c:pt idx="187">
                  <c:v>45726</c:v>
                </c:pt>
                <c:pt idx="188">
                  <c:v>45727</c:v>
                </c:pt>
                <c:pt idx="189">
                  <c:v>45728</c:v>
                </c:pt>
                <c:pt idx="190">
                  <c:v>45729</c:v>
                </c:pt>
                <c:pt idx="191">
                  <c:v>45730</c:v>
                </c:pt>
                <c:pt idx="192">
                  <c:v>45733</c:v>
                </c:pt>
                <c:pt idx="193">
                  <c:v>45734</c:v>
                </c:pt>
                <c:pt idx="194">
                  <c:v>45735</c:v>
                </c:pt>
                <c:pt idx="195">
                  <c:v>45736</c:v>
                </c:pt>
                <c:pt idx="196">
                  <c:v>45737</c:v>
                </c:pt>
                <c:pt idx="197">
                  <c:v>45740</c:v>
                </c:pt>
                <c:pt idx="198">
                  <c:v>45741</c:v>
                </c:pt>
                <c:pt idx="199">
                  <c:v>45742</c:v>
                </c:pt>
                <c:pt idx="200">
                  <c:v>45743</c:v>
                </c:pt>
                <c:pt idx="201">
                  <c:v>45744</c:v>
                </c:pt>
                <c:pt idx="202">
                  <c:v>45747</c:v>
                </c:pt>
                <c:pt idx="203">
                  <c:v>45748</c:v>
                </c:pt>
                <c:pt idx="204">
                  <c:v>45749</c:v>
                </c:pt>
                <c:pt idx="205">
                  <c:v>45750</c:v>
                </c:pt>
                <c:pt idx="206">
                  <c:v>45754</c:v>
                </c:pt>
                <c:pt idx="207">
                  <c:v>45755</c:v>
                </c:pt>
                <c:pt idx="208">
                  <c:v>45756</c:v>
                </c:pt>
                <c:pt idx="209">
                  <c:v>45757</c:v>
                </c:pt>
                <c:pt idx="210">
                  <c:v>45758</c:v>
                </c:pt>
                <c:pt idx="211">
                  <c:v>45761</c:v>
                </c:pt>
                <c:pt idx="212">
                  <c:v>45762</c:v>
                </c:pt>
                <c:pt idx="213">
                  <c:v>45763</c:v>
                </c:pt>
                <c:pt idx="214">
                  <c:v>45764</c:v>
                </c:pt>
                <c:pt idx="215">
                  <c:v>45765</c:v>
                </c:pt>
                <c:pt idx="216">
                  <c:v>45768</c:v>
                </c:pt>
                <c:pt idx="217">
                  <c:v>45769</c:v>
                </c:pt>
                <c:pt idx="218">
                  <c:v>45770</c:v>
                </c:pt>
                <c:pt idx="219">
                  <c:v>45771</c:v>
                </c:pt>
                <c:pt idx="220">
                  <c:v>45772</c:v>
                </c:pt>
                <c:pt idx="221">
                  <c:v>45775</c:v>
                </c:pt>
                <c:pt idx="222">
                  <c:v>45776</c:v>
                </c:pt>
                <c:pt idx="223">
                  <c:v>45777</c:v>
                </c:pt>
                <c:pt idx="224">
                  <c:v>45783</c:v>
                </c:pt>
                <c:pt idx="225">
                  <c:v>45784</c:v>
                </c:pt>
                <c:pt idx="226">
                  <c:v>45785</c:v>
                </c:pt>
                <c:pt idx="227">
                  <c:v>45786</c:v>
                </c:pt>
                <c:pt idx="228">
                  <c:v>45789</c:v>
                </c:pt>
                <c:pt idx="229">
                  <c:v>45790</c:v>
                </c:pt>
                <c:pt idx="230">
                  <c:v>45791</c:v>
                </c:pt>
                <c:pt idx="231">
                  <c:v>45792</c:v>
                </c:pt>
                <c:pt idx="232">
                  <c:v>45793</c:v>
                </c:pt>
                <c:pt idx="233">
                  <c:v>45796</c:v>
                </c:pt>
                <c:pt idx="234">
                  <c:v>45797</c:v>
                </c:pt>
                <c:pt idx="235">
                  <c:v>45798</c:v>
                </c:pt>
                <c:pt idx="236">
                  <c:v>45799</c:v>
                </c:pt>
                <c:pt idx="237">
                  <c:v>45800</c:v>
                </c:pt>
                <c:pt idx="238">
                  <c:v>45803</c:v>
                </c:pt>
                <c:pt idx="239">
                  <c:v>45804</c:v>
                </c:pt>
                <c:pt idx="240">
                  <c:v>45805</c:v>
                </c:pt>
                <c:pt idx="241">
                  <c:v>45806</c:v>
                </c:pt>
                <c:pt idx="242">
                  <c:v>45807</c:v>
                </c:pt>
                <c:pt idx="243">
                  <c:v>45811</c:v>
                </c:pt>
                <c:pt idx="244">
                  <c:v>45812</c:v>
                </c:pt>
                <c:pt idx="245">
                  <c:v>45813</c:v>
                </c:pt>
                <c:pt idx="246">
                  <c:v>45814</c:v>
                </c:pt>
                <c:pt idx="247">
                  <c:v>45817</c:v>
                </c:pt>
                <c:pt idx="248">
                  <c:v>45818</c:v>
                </c:pt>
                <c:pt idx="249">
                  <c:v>45819</c:v>
                </c:pt>
                <c:pt idx="250">
                  <c:v>45820</c:v>
                </c:pt>
                <c:pt idx="251">
                  <c:v>45821</c:v>
                </c:pt>
                <c:pt idx="252">
                  <c:v>45824</c:v>
                </c:pt>
                <c:pt idx="253">
                  <c:v>45825</c:v>
                </c:pt>
                <c:pt idx="254">
                  <c:v>45826</c:v>
                </c:pt>
                <c:pt idx="255">
                  <c:v>45827</c:v>
                </c:pt>
                <c:pt idx="256">
                  <c:v>45828</c:v>
                </c:pt>
                <c:pt idx="257">
                  <c:v>45831</c:v>
                </c:pt>
                <c:pt idx="258">
                  <c:v>45832</c:v>
                </c:pt>
                <c:pt idx="259">
                  <c:v>45833</c:v>
                </c:pt>
                <c:pt idx="260">
                  <c:v>45834</c:v>
                </c:pt>
                <c:pt idx="261">
                  <c:v>45835</c:v>
                </c:pt>
                <c:pt idx="262">
                  <c:v>45838</c:v>
                </c:pt>
                <c:pt idx="263">
                  <c:v>45839</c:v>
                </c:pt>
                <c:pt idx="264">
                  <c:v>45840</c:v>
                </c:pt>
                <c:pt idx="265">
                  <c:v>45841</c:v>
                </c:pt>
                <c:pt idx="266">
                  <c:v>45842</c:v>
                </c:pt>
                <c:pt idx="267">
                  <c:v>45845</c:v>
                </c:pt>
                <c:pt idx="268">
                  <c:v>45846</c:v>
                </c:pt>
                <c:pt idx="269">
                  <c:v>45847</c:v>
                </c:pt>
                <c:pt idx="270">
                  <c:v>45848</c:v>
                </c:pt>
                <c:pt idx="271">
                  <c:v>45849</c:v>
                </c:pt>
                <c:pt idx="272">
                  <c:v>45852</c:v>
                </c:pt>
                <c:pt idx="273">
                  <c:v>45853</c:v>
                </c:pt>
                <c:pt idx="274">
                  <c:v>45854</c:v>
                </c:pt>
                <c:pt idx="275">
                  <c:v>45855</c:v>
                </c:pt>
                <c:pt idx="276">
                  <c:v>45856</c:v>
                </c:pt>
                <c:pt idx="277">
                  <c:v>45859</c:v>
                </c:pt>
                <c:pt idx="278">
                  <c:v>45860</c:v>
                </c:pt>
                <c:pt idx="279">
                  <c:v>45861</c:v>
                </c:pt>
                <c:pt idx="280">
                  <c:v>45862</c:v>
                </c:pt>
                <c:pt idx="281">
                  <c:v>45863</c:v>
                </c:pt>
                <c:pt idx="282">
                  <c:v>45866</c:v>
                </c:pt>
                <c:pt idx="283">
                  <c:v>45867</c:v>
                </c:pt>
                <c:pt idx="284">
                  <c:v>45868</c:v>
                </c:pt>
                <c:pt idx="285">
                  <c:v>45869</c:v>
                </c:pt>
                <c:pt idx="286">
                  <c:v>45870</c:v>
                </c:pt>
                <c:pt idx="287">
                  <c:v>45873</c:v>
                </c:pt>
                <c:pt idx="288">
                  <c:v>45874</c:v>
                </c:pt>
                <c:pt idx="289">
                  <c:v>45875</c:v>
                </c:pt>
                <c:pt idx="290">
                  <c:v>45876</c:v>
                </c:pt>
                <c:pt idx="291">
                  <c:v>45877</c:v>
                </c:pt>
                <c:pt idx="292">
                  <c:v>45880</c:v>
                </c:pt>
                <c:pt idx="293">
                  <c:v>45881</c:v>
                </c:pt>
                <c:pt idx="294">
                  <c:v>45882</c:v>
                </c:pt>
                <c:pt idx="295">
                  <c:v>45883</c:v>
                </c:pt>
                <c:pt idx="296">
                  <c:v>45884</c:v>
                </c:pt>
                <c:pt idx="297">
                  <c:v>45887</c:v>
                </c:pt>
                <c:pt idx="298">
                  <c:v>45888</c:v>
                </c:pt>
                <c:pt idx="299">
                  <c:v>45889</c:v>
                </c:pt>
                <c:pt idx="300">
                  <c:v>45890</c:v>
                </c:pt>
                <c:pt idx="301">
                  <c:v>45891</c:v>
                </c:pt>
                <c:pt idx="302">
                  <c:v>45894</c:v>
                </c:pt>
                <c:pt idx="303">
                  <c:v>45895</c:v>
                </c:pt>
                <c:pt idx="304">
                  <c:v>45896</c:v>
                </c:pt>
                <c:pt idx="305">
                  <c:v>45897</c:v>
                </c:pt>
                <c:pt idx="306">
                  <c:v>45898</c:v>
                </c:pt>
                <c:pt idx="307">
                  <c:v>45901</c:v>
                </c:pt>
                <c:pt idx="308">
                  <c:v>45902</c:v>
                </c:pt>
                <c:pt idx="309">
                  <c:v>45903</c:v>
                </c:pt>
                <c:pt idx="310">
                  <c:v>45904</c:v>
                </c:pt>
                <c:pt idx="311">
                  <c:v>45905</c:v>
                </c:pt>
                <c:pt idx="312">
                  <c:v>45908</c:v>
                </c:pt>
                <c:pt idx="313">
                  <c:v>45909</c:v>
                </c:pt>
                <c:pt idx="314">
                  <c:v>45910</c:v>
                </c:pt>
                <c:pt idx="315">
                  <c:v>45911</c:v>
                </c:pt>
                <c:pt idx="316">
                  <c:v>45912</c:v>
                </c:pt>
              </c:numCache>
            </c:numRef>
          </c:cat>
          <c:val>
            <c:numRef>
              <c:f>策略组合!$H$3:$H$4000</c:f>
              <c:numCache>
                <c:formatCode>0.00%</c:formatCode>
                <c:ptCount val="3998"/>
                <c:pt idx="0">
                  <c:v>0</c:v>
                </c:pt>
                <c:pt idx="1">
                  <c:v>2.8664000000000001E-4</c:v>
                </c:pt>
                <c:pt idx="2">
                  <c:v>1.28269E-3</c:v>
                </c:pt>
                <c:pt idx="3">
                  <c:v>3.2559199999999998E-3</c:v>
                </c:pt>
                <c:pt idx="4">
                  <c:v>4.0810899999999999E-3</c:v>
                </c:pt>
                <c:pt idx="5">
                  <c:v>4.65432E-3</c:v>
                </c:pt>
                <c:pt idx="6">
                  <c:v>3.6788799999999998E-3</c:v>
                </c:pt>
                <c:pt idx="7">
                  <c:v>2.35674E-3</c:v>
                </c:pt>
                <c:pt idx="8">
                  <c:v>4.3098299999999997E-3</c:v>
                </c:pt>
                <c:pt idx="9">
                  <c:v>4.7996599999999999E-3</c:v>
                </c:pt>
                <c:pt idx="10">
                  <c:v>5.6632799999999997E-3</c:v>
                </c:pt>
                <c:pt idx="11">
                  <c:v>5.8393500000000001E-3</c:v>
                </c:pt>
                <c:pt idx="12">
                  <c:v>6.9796900000000002E-3</c:v>
                </c:pt>
                <c:pt idx="13">
                  <c:v>7.3911699999999999E-3</c:v>
                </c:pt>
                <c:pt idx="14">
                  <c:v>6.2839200000000001E-3</c:v>
                </c:pt>
                <c:pt idx="15">
                  <c:v>5.7892400000000002E-3</c:v>
                </c:pt>
                <c:pt idx="16">
                  <c:v>3.9864200000000001E-3</c:v>
                </c:pt>
                <c:pt idx="17">
                  <c:v>4.3030400000000002E-3</c:v>
                </c:pt>
                <c:pt idx="18">
                  <c:v>5.1918900000000002E-3</c:v>
                </c:pt>
                <c:pt idx="19">
                  <c:v>3.9438199999999998E-3</c:v>
                </c:pt>
                <c:pt idx="20">
                  <c:v>4.1526999999999996E-3</c:v>
                </c:pt>
                <c:pt idx="21">
                  <c:v>4.9743599999999997E-3</c:v>
                </c:pt>
                <c:pt idx="22">
                  <c:v>5.5859999999999998E-3</c:v>
                </c:pt>
                <c:pt idx="23">
                  <c:v>6.9555800000000003E-3</c:v>
                </c:pt>
                <c:pt idx="24">
                  <c:v>6.1106499999999996E-3</c:v>
                </c:pt>
                <c:pt idx="25">
                  <c:v>7.0280999999999998E-3</c:v>
                </c:pt>
                <c:pt idx="26">
                  <c:v>5.7630800000000003E-3</c:v>
                </c:pt>
                <c:pt idx="27">
                  <c:v>7.6110300000000004E-3</c:v>
                </c:pt>
                <c:pt idx="28">
                  <c:v>9.0040399999999996E-3</c:v>
                </c:pt>
                <c:pt idx="29">
                  <c:v>1.069632E-2</c:v>
                </c:pt>
                <c:pt idx="30">
                  <c:v>1.254837E-2</c:v>
                </c:pt>
                <c:pt idx="31">
                  <c:v>1.2376359999999999E-2</c:v>
                </c:pt>
                <c:pt idx="32">
                  <c:v>1.4227139999999999E-2</c:v>
                </c:pt>
                <c:pt idx="33">
                  <c:v>1.262566E-2</c:v>
                </c:pt>
                <c:pt idx="34">
                  <c:v>1.179121E-2</c:v>
                </c:pt>
                <c:pt idx="35">
                  <c:v>9.82097E-3</c:v>
                </c:pt>
                <c:pt idx="36">
                  <c:v>1.1014110000000001E-2</c:v>
                </c:pt>
                <c:pt idx="37">
                  <c:v>7.9696200000000002E-3</c:v>
                </c:pt>
                <c:pt idx="38">
                  <c:v>4.2754300000000002E-3</c:v>
                </c:pt>
                <c:pt idx="39">
                  <c:v>2.31591E-3</c:v>
                </c:pt>
                <c:pt idx="40">
                  <c:v>4.4672699999999997E-3</c:v>
                </c:pt>
                <c:pt idx="41">
                  <c:v>5.5202999999999997E-3</c:v>
                </c:pt>
                <c:pt idx="42">
                  <c:v>4.41771E-3</c:v>
                </c:pt>
                <c:pt idx="43">
                  <c:v>1.1108109999999999E-2</c:v>
                </c:pt>
                <c:pt idx="44">
                  <c:v>9.6193600000000004E-3</c:v>
                </c:pt>
                <c:pt idx="45">
                  <c:v>7.9818900000000002E-3</c:v>
                </c:pt>
                <c:pt idx="46">
                  <c:v>2.6819000000000001E-3</c:v>
                </c:pt>
                <c:pt idx="47">
                  <c:v>2.4638799999999999E-3</c:v>
                </c:pt>
                <c:pt idx="48">
                  <c:v>1.6625699999999999E-3</c:v>
                </c:pt>
                <c:pt idx="49">
                  <c:v>4.7148399999999997E-3</c:v>
                </c:pt>
                <c:pt idx="50">
                  <c:v>5.3163000000000004E-3</c:v>
                </c:pt>
                <c:pt idx="51">
                  <c:v>5.1832299999999996E-3</c:v>
                </c:pt>
                <c:pt idx="52">
                  <c:v>8.9209900000000002E-3</c:v>
                </c:pt>
                <c:pt idx="53">
                  <c:v>8.75102E-3</c:v>
                </c:pt>
                <c:pt idx="54">
                  <c:v>1.128529E-2</c:v>
                </c:pt>
                <c:pt idx="55">
                  <c:v>1.251387E-2</c:v>
                </c:pt>
                <c:pt idx="56">
                  <c:v>1.498697E-2</c:v>
                </c:pt>
                <c:pt idx="57">
                  <c:v>1.336625E-2</c:v>
                </c:pt>
                <c:pt idx="58">
                  <c:v>1.3459550000000001E-2</c:v>
                </c:pt>
                <c:pt idx="59">
                  <c:v>1.146294E-2</c:v>
                </c:pt>
                <c:pt idx="60">
                  <c:v>1.4358930000000001E-2</c:v>
                </c:pt>
                <c:pt idx="61">
                  <c:v>1.328786E-2</c:v>
                </c:pt>
                <c:pt idx="62">
                  <c:v>1.3025709999999999E-2</c:v>
                </c:pt>
                <c:pt idx="63">
                  <c:v>1.1557889999999999E-2</c:v>
                </c:pt>
                <c:pt idx="64">
                  <c:v>1.2149429999999999E-2</c:v>
                </c:pt>
                <c:pt idx="65">
                  <c:v>1.3882149999999999E-2</c:v>
                </c:pt>
                <c:pt idx="66">
                  <c:v>1.141464E-2</c:v>
                </c:pt>
                <c:pt idx="67">
                  <c:v>9.6802999999999993E-3</c:v>
                </c:pt>
                <c:pt idx="68">
                  <c:v>9.4685399999999992E-3</c:v>
                </c:pt>
                <c:pt idx="69">
                  <c:v>9.3101499999999997E-3</c:v>
                </c:pt>
                <c:pt idx="70">
                  <c:v>6.1805799999999998E-3</c:v>
                </c:pt>
                <c:pt idx="71">
                  <c:v>6.0626600000000001E-3</c:v>
                </c:pt>
                <c:pt idx="72">
                  <c:v>8.2366899999999996E-3</c:v>
                </c:pt>
                <c:pt idx="73">
                  <c:v>9.6553699999999999E-3</c:v>
                </c:pt>
                <c:pt idx="74">
                  <c:v>1.0201719999999999E-2</c:v>
                </c:pt>
                <c:pt idx="75">
                  <c:v>1.054839E-2</c:v>
                </c:pt>
                <c:pt idx="76">
                  <c:v>1.104728E-2</c:v>
                </c:pt>
                <c:pt idx="77">
                  <c:v>1.518749E-2</c:v>
                </c:pt>
                <c:pt idx="78">
                  <c:v>1.343228E-2</c:v>
                </c:pt>
                <c:pt idx="79">
                  <c:v>1.3802999999999999E-2</c:v>
                </c:pt>
                <c:pt idx="80">
                  <c:v>1.9742619999999999E-2</c:v>
                </c:pt>
                <c:pt idx="81">
                  <c:v>1.9656429999999999E-2</c:v>
                </c:pt>
                <c:pt idx="82">
                  <c:v>2.701286E-2</c:v>
                </c:pt>
                <c:pt idx="83">
                  <c:v>3.041988E-2</c:v>
                </c:pt>
                <c:pt idx="84">
                  <c:v>4.1101440000000003E-2</c:v>
                </c:pt>
                <c:pt idx="85">
                  <c:v>4.835134E-2</c:v>
                </c:pt>
                <c:pt idx="86">
                  <c:v>3.617894E-2</c:v>
                </c:pt>
                <c:pt idx="87">
                  <c:v>4.0280150000000001E-2</c:v>
                </c:pt>
                <c:pt idx="88">
                  <c:v>3.8036540000000001E-2</c:v>
                </c:pt>
                <c:pt idx="89">
                  <c:v>4.2404310000000001E-2</c:v>
                </c:pt>
                <c:pt idx="90">
                  <c:v>3.8360760000000001E-2</c:v>
                </c:pt>
                <c:pt idx="91">
                  <c:v>4.0634799999999999E-2</c:v>
                </c:pt>
                <c:pt idx="92">
                  <c:v>3.9010839999999998E-2</c:v>
                </c:pt>
                <c:pt idx="93">
                  <c:v>4.5281460000000003E-2</c:v>
                </c:pt>
                <c:pt idx="94">
                  <c:v>4.2675490000000003E-2</c:v>
                </c:pt>
                <c:pt idx="95">
                  <c:v>4.4368289999999998E-2</c:v>
                </c:pt>
                <c:pt idx="96">
                  <c:v>4.3887580000000002E-2</c:v>
                </c:pt>
                <c:pt idx="97">
                  <c:v>4.2442929999999997E-2</c:v>
                </c:pt>
                <c:pt idx="98">
                  <c:v>4.189259E-2</c:v>
                </c:pt>
                <c:pt idx="99">
                  <c:v>4.3741149999999999E-2</c:v>
                </c:pt>
                <c:pt idx="100">
                  <c:v>4.349049E-2</c:v>
                </c:pt>
                <c:pt idx="101">
                  <c:v>4.2162060000000001E-2</c:v>
                </c:pt>
                <c:pt idx="102">
                  <c:v>3.8669769999999999E-2</c:v>
                </c:pt>
                <c:pt idx="103">
                  <c:v>3.8459029999999998E-2</c:v>
                </c:pt>
                <c:pt idx="104">
                  <c:v>4.0407850000000002E-2</c:v>
                </c:pt>
                <c:pt idx="105">
                  <c:v>4.5232649999999999E-2</c:v>
                </c:pt>
                <c:pt idx="106">
                  <c:v>4.6826590000000001E-2</c:v>
                </c:pt>
                <c:pt idx="107">
                  <c:v>5.5855950000000001E-2</c:v>
                </c:pt>
                <c:pt idx="108">
                  <c:v>5.4076440000000003E-2</c:v>
                </c:pt>
                <c:pt idx="109">
                  <c:v>5.6378589999999999E-2</c:v>
                </c:pt>
                <c:pt idx="110">
                  <c:v>5.2971650000000002E-2</c:v>
                </c:pt>
                <c:pt idx="111">
                  <c:v>5.3767879999999997E-2</c:v>
                </c:pt>
                <c:pt idx="112">
                  <c:v>4.9085230000000001E-2</c:v>
                </c:pt>
                <c:pt idx="113">
                  <c:v>4.558802E-2</c:v>
                </c:pt>
                <c:pt idx="114">
                  <c:v>4.6212379999999997E-2</c:v>
                </c:pt>
                <c:pt idx="115">
                  <c:v>4.8248729999999997E-2</c:v>
                </c:pt>
                <c:pt idx="116">
                  <c:v>4.9053739999999998E-2</c:v>
                </c:pt>
                <c:pt idx="117">
                  <c:v>4.9935960000000001E-2</c:v>
                </c:pt>
                <c:pt idx="118">
                  <c:v>4.6245219999999997E-2</c:v>
                </c:pt>
                <c:pt idx="119">
                  <c:v>4.6920249999999997E-2</c:v>
                </c:pt>
                <c:pt idx="120">
                  <c:v>4.7080610000000002E-2</c:v>
                </c:pt>
                <c:pt idx="121">
                  <c:v>5.067928E-2</c:v>
                </c:pt>
                <c:pt idx="122">
                  <c:v>4.8988419999999998E-2</c:v>
                </c:pt>
                <c:pt idx="123">
                  <c:v>5.207034E-2</c:v>
                </c:pt>
                <c:pt idx="124">
                  <c:v>5.4839980000000003E-2</c:v>
                </c:pt>
                <c:pt idx="125">
                  <c:v>5.6706300000000001E-2</c:v>
                </c:pt>
                <c:pt idx="126">
                  <c:v>5.7006670000000002E-2</c:v>
                </c:pt>
                <c:pt idx="127">
                  <c:v>5.6022589999999997E-2</c:v>
                </c:pt>
                <c:pt idx="128">
                  <c:v>5.896407E-2</c:v>
                </c:pt>
                <c:pt idx="129">
                  <c:v>5.9577039999999998E-2</c:v>
                </c:pt>
                <c:pt idx="130">
                  <c:v>6.0501270000000003E-2</c:v>
                </c:pt>
                <c:pt idx="131">
                  <c:v>6.1811749999999999E-2</c:v>
                </c:pt>
                <c:pt idx="132">
                  <c:v>6.271504E-2</c:v>
                </c:pt>
                <c:pt idx="133">
                  <c:v>5.9038019999999997E-2</c:v>
                </c:pt>
                <c:pt idx="134">
                  <c:v>5.911715E-2</c:v>
                </c:pt>
                <c:pt idx="135">
                  <c:v>5.7848139999999999E-2</c:v>
                </c:pt>
                <c:pt idx="136">
                  <c:v>5.325651E-2</c:v>
                </c:pt>
                <c:pt idx="137">
                  <c:v>5.2527320000000002E-2</c:v>
                </c:pt>
                <c:pt idx="138">
                  <c:v>5.4144209999999998E-2</c:v>
                </c:pt>
                <c:pt idx="139">
                  <c:v>5.5013140000000002E-2</c:v>
                </c:pt>
                <c:pt idx="140">
                  <c:v>5.8391819999999997E-2</c:v>
                </c:pt>
                <c:pt idx="141">
                  <c:v>5.7912360000000003E-2</c:v>
                </c:pt>
                <c:pt idx="142">
                  <c:v>5.838132E-2</c:v>
                </c:pt>
                <c:pt idx="143">
                  <c:v>5.7237799999999998E-2</c:v>
                </c:pt>
                <c:pt idx="144">
                  <c:v>5.6767049999999999E-2</c:v>
                </c:pt>
                <c:pt idx="145">
                  <c:v>5.4640540000000001E-2</c:v>
                </c:pt>
                <c:pt idx="146">
                  <c:v>5.0820480000000001E-2</c:v>
                </c:pt>
                <c:pt idx="147">
                  <c:v>5.1588990000000001E-2</c:v>
                </c:pt>
                <c:pt idx="148">
                  <c:v>5.2022899999999997E-2</c:v>
                </c:pt>
                <c:pt idx="149">
                  <c:v>4.9986929999999999E-2</c:v>
                </c:pt>
                <c:pt idx="150">
                  <c:v>4.984893E-2</c:v>
                </c:pt>
                <c:pt idx="151">
                  <c:v>4.9133549999999998E-2</c:v>
                </c:pt>
                <c:pt idx="152">
                  <c:v>4.4079019999999997E-2</c:v>
                </c:pt>
                <c:pt idx="153">
                  <c:v>4.3084169999999998E-2</c:v>
                </c:pt>
                <c:pt idx="154">
                  <c:v>4.7141559999999999E-2</c:v>
                </c:pt>
                <c:pt idx="155">
                  <c:v>5.0593920000000001E-2</c:v>
                </c:pt>
                <c:pt idx="156">
                  <c:v>5.1521030000000002E-2</c:v>
                </c:pt>
                <c:pt idx="157">
                  <c:v>5.3307960000000001E-2</c:v>
                </c:pt>
                <c:pt idx="158">
                  <c:v>5.4309009999999998E-2</c:v>
                </c:pt>
                <c:pt idx="159">
                  <c:v>5.5243809999999997E-2</c:v>
                </c:pt>
                <c:pt idx="160">
                  <c:v>5.4351780000000002E-2</c:v>
                </c:pt>
                <c:pt idx="161">
                  <c:v>5.5235239999999998E-2</c:v>
                </c:pt>
                <c:pt idx="162">
                  <c:v>5.686368E-2</c:v>
                </c:pt>
                <c:pt idx="163">
                  <c:v>5.6015490000000001E-2</c:v>
                </c:pt>
                <c:pt idx="164">
                  <c:v>5.9977200000000001E-2</c:v>
                </c:pt>
                <c:pt idx="165">
                  <c:v>6.2938270000000004E-2</c:v>
                </c:pt>
                <c:pt idx="166">
                  <c:v>6.3368270000000004E-2</c:v>
                </c:pt>
                <c:pt idx="167">
                  <c:v>6.6323179999999995E-2</c:v>
                </c:pt>
                <c:pt idx="168">
                  <c:v>6.5324850000000004E-2</c:v>
                </c:pt>
                <c:pt idx="169">
                  <c:v>6.6360970000000005E-2</c:v>
                </c:pt>
                <c:pt idx="170">
                  <c:v>6.8069459999999998E-2</c:v>
                </c:pt>
                <c:pt idx="171">
                  <c:v>7.1318640000000003E-2</c:v>
                </c:pt>
                <c:pt idx="172">
                  <c:v>7.0673769999999997E-2</c:v>
                </c:pt>
                <c:pt idx="173">
                  <c:v>7.0149669999999997E-2</c:v>
                </c:pt>
                <c:pt idx="174">
                  <c:v>7.1813219999999997E-2</c:v>
                </c:pt>
                <c:pt idx="175">
                  <c:v>6.9865049999999998E-2</c:v>
                </c:pt>
                <c:pt idx="176">
                  <c:v>7.033085E-2</c:v>
                </c:pt>
                <c:pt idx="177">
                  <c:v>6.9094219999999998E-2</c:v>
                </c:pt>
                <c:pt idx="178">
                  <c:v>6.7030809999999996E-2</c:v>
                </c:pt>
                <c:pt idx="179">
                  <c:v>7.00321E-2</c:v>
                </c:pt>
                <c:pt idx="180">
                  <c:v>6.7093089999999994E-2</c:v>
                </c:pt>
                <c:pt idx="181">
                  <c:v>6.5213670000000001E-2</c:v>
                </c:pt>
                <c:pt idx="182">
                  <c:v>6.3825939999999998E-2</c:v>
                </c:pt>
                <c:pt idx="183">
                  <c:v>6.234133E-2</c:v>
                </c:pt>
                <c:pt idx="184">
                  <c:v>6.5771049999999998E-2</c:v>
                </c:pt>
                <c:pt idx="185">
                  <c:v>6.6278980000000001E-2</c:v>
                </c:pt>
                <c:pt idx="186">
                  <c:v>6.5568749999999995E-2</c:v>
                </c:pt>
                <c:pt idx="187">
                  <c:v>6.1215829999999999E-2</c:v>
                </c:pt>
                <c:pt idx="188">
                  <c:v>5.9291219999999999E-2</c:v>
                </c:pt>
                <c:pt idx="189">
                  <c:v>5.9150800000000003E-2</c:v>
                </c:pt>
                <c:pt idx="190">
                  <c:v>5.736111E-2</c:v>
                </c:pt>
                <c:pt idx="191">
                  <c:v>6.4437519999999998E-2</c:v>
                </c:pt>
                <c:pt idx="192">
                  <c:v>6.5427089999999993E-2</c:v>
                </c:pt>
                <c:pt idx="193">
                  <c:v>6.6545499999999994E-2</c:v>
                </c:pt>
                <c:pt idx="194">
                  <c:v>6.8776580000000004E-2</c:v>
                </c:pt>
                <c:pt idx="195">
                  <c:v>6.7282519999999998E-2</c:v>
                </c:pt>
                <c:pt idx="196">
                  <c:v>6.4668600000000007E-2</c:v>
                </c:pt>
                <c:pt idx="197">
                  <c:v>6.7681900000000003E-2</c:v>
                </c:pt>
                <c:pt idx="198">
                  <c:v>6.6937269999999993E-2</c:v>
                </c:pt>
                <c:pt idx="199">
                  <c:v>6.5312990000000001E-2</c:v>
                </c:pt>
                <c:pt idx="200">
                  <c:v>6.5653160000000002E-2</c:v>
                </c:pt>
                <c:pt idx="201">
                  <c:v>6.3272419999999996E-2</c:v>
                </c:pt>
                <c:pt idx="202">
                  <c:v>6.3578899999999994E-2</c:v>
                </c:pt>
                <c:pt idx="203">
                  <c:v>6.5455879999999994E-2</c:v>
                </c:pt>
                <c:pt idx="204">
                  <c:v>6.6745090000000007E-2</c:v>
                </c:pt>
                <c:pt idx="205">
                  <c:v>6.0969250000000003E-2</c:v>
                </c:pt>
                <c:pt idx="206">
                  <c:v>3.5317019999999998E-2</c:v>
                </c:pt>
                <c:pt idx="207">
                  <c:v>3.5254340000000002E-2</c:v>
                </c:pt>
                <c:pt idx="208">
                  <c:v>4.855922E-2</c:v>
                </c:pt>
                <c:pt idx="209">
                  <c:v>4.7244960000000003E-2</c:v>
                </c:pt>
                <c:pt idx="210">
                  <c:v>5.0416999999999997E-2</c:v>
                </c:pt>
                <c:pt idx="211">
                  <c:v>5.4917479999999998E-2</c:v>
                </c:pt>
                <c:pt idx="212">
                  <c:v>5.5233160000000003E-2</c:v>
                </c:pt>
                <c:pt idx="213">
                  <c:v>5.2810709999999997E-2</c:v>
                </c:pt>
                <c:pt idx="214">
                  <c:v>5.3475439999999999E-2</c:v>
                </c:pt>
                <c:pt idx="215">
                  <c:v>5.3739469999999998E-2</c:v>
                </c:pt>
                <c:pt idx="216">
                  <c:v>5.1712670000000002E-2</c:v>
                </c:pt>
                <c:pt idx="217">
                  <c:v>5.6711749999999998E-2</c:v>
                </c:pt>
                <c:pt idx="218">
                  <c:v>5.8902700000000002E-2</c:v>
                </c:pt>
                <c:pt idx="219">
                  <c:v>6.1795940000000001E-2</c:v>
                </c:pt>
                <c:pt idx="220">
                  <c:v>6.3189670000000003E-2</c:v>
                </c:pt>
                <c:pt idx="221">
                  <c:v>6.3046169999999999E-2</c:v>
                </c:pt>
                <c:pt idx="222">
                  <c:v>6.4401169999999994E-2</c:v>
                </c:pt>
                <c:pt idx="223">
                  <c:v>6.5236589999999997E-2</c:v>
                </c:pt>
                <c:pt idx="224">
                  <c:v>6.8607979999999999E-2</c:v>
                </c:pt>
                <c:pt idx="225">
                  <c:v>7.0559979999999994E-2</c:v>
                </c:pt>
                <c:pt idx="226">
                  <c:v>7.196023E-2</c:v>
                </c:pt>
                <c:pt idx="227">
                  <c:v>7.1940920000000005E-2</c:v>
                </c:pt>
                <c:pt idx="228">
                  <c:v>7.7012839999999999E-2</c:v>
                </c:pt>
                <c:pt idx="229">
                  <c:v>7.7130050000000006E-2</c:v>
                </c:pt>
                <c:pt idx="230">
                  <c:v>7.900219E-2</c:v>
                </c:pt>
                <c:pt idx="231">
                  <c:v>7.7814060000000004E-2</c:v>
                </c:pt>
                <c:pt idx="232">
                  <c:v>7.8363150000000006E-2</c:v>
                </c:pt>
                <c:pt idx="233">
                  <c:v>7.8953579999999995E-2</c:v>
                </c:pt>
                <c:pt idx="234">
                  <c:v>7.9999180000000003E-2</c:v>
                </c:pt>
                <c:pt idx="235">
                  <c:v>7.8677280000000002E-2</c:v>
                </c:pt>
                <c:pt idx="236">
                  <c:v>7.8204159999999995E-2</c:v>
                </c:pt>
                <c:pt idx="237">
                  <c:v>7.6429629999999998E-2</c:v>
                </c:pt>
                <c:pt idx="238">
                  <c:v>7.4983610000000006E-2</c:v>
                </c:pt>
                <c:pt idx="239">
                  <c:v>7.8396859999999999E-2</c:v>
                </c:pt>
                <c:pt idx="240">
                  <c:v>7.7142230000000006E-2</c:v>
                </c:pt>
                <c:pt idx="241">
                  <c:v>7.9398280000000002E-2</c:v>
                </c:pt>
                <c:pt idx="242">
                  <c:v>7.8681769999999998E-2</c:v>
                </c:pt>
                <c:pt idx="243">
                  <c:v>8.1386979999999998E-2</c:v>
                </c:pt>
                <c:pt idx="244">
                  <c:v>8.3267400000000005E-2</c:v>
                </c:pt>
                <c:pt idx="245">
                  <c:v>8.2911780000000004E-2</c:v>
                </c:pt>
                <c:pt idx="246">
                  <c:v>8.3533300000000005E-2</c:v>
                </c:pt>
                <c:pt idx="247">
                  <c:v>8.5368230000000003E-2</c:v>
                </c:pt>
                <c:pt idx="248">
                  <c:v>8.5510660000000002E-2</c:v>
                </c:pt>
                <c:pt idx="249">
                  <c:v>8.7060799999999994E-2</c:v>
                </c:pt>
                <c:pt idx="250">
                  <c:v>8.7855299999999997E-2</c:v>
                </c:pt>
                <c:pt idx="251">
                  <c:v>8.4856819999999999E-2</c:v>
                </c:pt>
                <c:pt idx="252">
                  <c:v>8.6922949999999999E-2</c:v>
                </c:pt>
                <c:pt idx="253">
                  <c:v>8.5508669999999995E-2</c:v>
                </c:pt>
                <c:pt idx="254">
                  <c:v>8.4965970000000002E-2</c:v>
                </c:pt>
                <c:pt idx="255">
                  <c:v>8.2432729999999996E-2</c:v>
                </c:pt>
                <c:pt idx="256">
                  <c:v>8.3201869999999997E-2</c:v>
                </c:pt>
                <c:pt idx="257">
                  <c:v>8.6159399999999997E-2</c:v>
                </c:pt>
                <c:pt idx="258">
                  <c:v>9.0274099999999996E-2</c:v>
                </c:pt>
                <c:pt idx="259">
                  <c:v>9.2618889999999995E-2</c:v>
                </c:pt>
                <c:pt idx="260">
                  <c:v>9.3605129999999995E-2</c:v>
                </c:pt>
                <c:pt idx="261">
                  <c:v>9.3336849999999999E-2</c:v>
                </c:pt>
                <c:pt idx="262">
                  <c:v>9.4282959999999999E-2</c:v>
                </c:pt>
                <c:pt idx="263">
                  <c:v>9.4927449999999997E-2</c:v>
                </c:pt>
                <c:pt idx="264">
                  <c:v>9.6230490000000002E-2</c:v>
                </c:pt>
                <c:pt idx="265">
                  <c:v>9.7483269999999997E-2</c:v>
                </c:pt>
                <c:pt idx="266">
                  <c:v>9.7552410000000006E-2</c:v>
                </c:pt>
                <c:pt idx="267">
                  <c:v>9.5859459999999994E-2</c:v>
                </c:pt>
                <c:pt idx="268">
                  <c:v>9.7383029999999995E-2</c:v>
                </c:pt>
                <c:pt idx="269">
                  <c:v>9.7545820000000005E-2</c:v>
                </c:pt>
                <c:pt idx="270">
                  <c:v>9.9046540000000002E-2</c:v>
                </c:pt>
                <c:pt idx="271">
                  <c:v>9.8318409999999995E-2</c:v>
                </c:pt>
                <c:pt idx="272">
                  <c:v>9.9398009999999995E-2</c:v>
                </c:pt>
                <c:pt idx="273">
                  <c:v>9.9334770000000003E-2</c:v>
                </c:pt>
                <c:pt idx="274">
                  <c:v>9.9727179999999999E-2</c:v>
                </c:pt>
                <c:pt idx="275">
                  <c:v>0.10104868</c:v>
                </c:pt>
                <c:pt idx="276">
                  <c:v>0.10329963</c:v>
                </c:pt>
                <c:pt idx="277">
                  <c:v>0.10574351</c:v>
                </c:pt>
                <c:pt idx="278">
                  <c:v>0.10714447000000001</c:v>
                </c:pt>
                <c:pt idx="279">
                  <c:v>0.10857058999999999</c:v>
                </c:pt>
                <c:pt idx="280">
                  <c:v>0.10855373</c:v>
                </c:pt>
                <c:pt idx="281">
                  <c:v>0.10801189999999999</c:v>
                </c:pt>
                <c:pt idx="282">
                  <c:v>0.10914142</c:v>
                </c:pt>
                <c:pt idx="283">
                  <c:v>0.10905988</c:v>
                </c:pt>
                <c:pt idx="284">
                  <c:v>0.10785061999999999</c:v>
                </c:pt>
                <c:pt idx="285">
                  <c:v>0.1045817</c:v>
                </c:pt>
                <c:pt idx="286">
                  <c:v>0.1027028</c:v>
                </c:pt>
                <c:pt idx="287">
                  <c:v>0.10634577000000001</c:v>
                </c:pt>
                <c:pt idx="288">
                  <c:v>0.1072142</c:v>
                </c:pt>
                <c:pt idx="289">
                  <c:v>0.10918232</c:v>
                </c:pt>
                <c:pt idx="290">
                  <c:v>0.10914210000000001</c:v>
                </c:pt>
                <c:pt idx="291">
                  <c:v>0.10998518</c:v>
                </c:pt>
                <c:pt idx="292">
                  <c:v>0.10973027</c:v>
                </c:pt>
                <c:pt idx="293">
                  <c:v>0.11195731</c:v>
                </c:pt>
                <c:pt idx="294">
                  <c:v>0.11502556</c:v>
                </c:pt>
                <c:pt idx="295">
                  <c:v>0.11363579</c:v>
                </c:pt>
                <c:pt idx="296">
                  <c:v>0.11365146</c:v>
                </c:pt>
                <c:pt idx="297">
                  <c:v>0.11298919</c:v>
                </c:pt>
                <c:pt idx="298">
                  <c:v>0.11182523</c:v>
                </c:pt>
                <c:pt idx="299">
                  <c:v>0.11353417</c:v>
                </c:pt>
                <c:pt idx="300">
                  <c:v>0.11208724</c:v>
                </c:pt>
                <c:pt idx="301">
                  <c:v>0.11387054000000001</c:v>
                </c:pt>
                <c:pt idx="302">
                  <c:v>0.11565378</c:v>
                </c:pt>
                <c:pt idx="303">
                  <c:v>0.11636823</c:v>
                </c:pt>
                <c:pt idx="304">
                  <c:v>0.11339392</c:v>
                </c:pt>
                <c:pt idx="305">
                  <c:v>0.11555456</c:v>
                </c:pt>
                <c:pt idx="306">
                  <c:v>0.11538925</c:v>
                </c:pt>
                <c:pt idx="307">
                  <c:v>0.11624224</c:v>
                </c:pt>
                <c:pt idx="308">
                  <c:v>0.11329691</c:v>
                </c:pt>
                <c:pt idx="309">
                  <c:v>0.11413079</c:v>
                </c:pt>
                <c:pt idx="310">
                  <c:v>0.11261417</c:v>
                </c:pt>
                <c:pt idx="311">
                  <c:v>0.11615455</c:v>
                </c:pt>
                <c:pt idx="312">
                  <c:v>0.11664267</c:v>
                </c:pt>
                <c:pt idx="313">
                  <c:v>0.11507091</c:v>
                </c:pt>
                <c:pt idx="314">
                  <c:v>0.11462530999999999</c:v>
                </c:pt>
                <c:pt idx="315">
                  <c:v>0.11861368999999999</c:v>
                </c:pt>
                <c:pt idx="316">
                  <c:v>0.11880151999999999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BC-4422-80F7-36522358DF25}"/>
            </c:ext>
          </c:extLst>
        </c:ser>
        <c:ser>
          <c:idx val="1"/>
          <c:order val="1"/>
          <c:tx>
            <c:strRef>
              <c:f>策略组合!$I$2</c:f>
              <c:strCache>
                <c:ptCount val="1"/>
                <c:pt idx="0">
                  <c:v>业绩基准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策略组合!$G$3:$G$4000</c:f>
              <c:numCache>
                <c:formatCode>yyyy\-mm\-dd</c:formatCode>
                <c:ptCount val="3998"/>
                <c:pt idx="0">
                  <c:v>45442</c:v>
                </c:pt>
                <c:pt idx="1">
                  <c:v>45443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45454</c:v>
                </c:pt>
                <c:pt idx="8">
                  <c:v>45455</c:v>
                </c:pt>
                <c:pt idx="9">
                  <c:v>45456</c:v>
                </c:pt>
                <c:pt idx="10">
                  <c:v>45457</c:v>
                </c:pt>
                <c:pt idx="11">
                  <c:v>45460</c:v>
                </c:pt>
                <c:pt idx="12">
                  <c:v>45461</c:v>
                </c:pt>
                <c:pt idx="13">
                  <c:v>45462</c:v>
                </c:pt>
                <c:pt idx="14">
                  <c:v>45463</c:v>
                </c:pt>
                <c:pt idx="15">
                  <c:v>45464</c:v>
                </c:pt>
                <c:pt idx="16">
                  <c:v>45467</c:v>
                </c:pt>
                <c:pt idx="17">
                  <c:v>45468</c:v>
                </c:pt>
                <c:pt idx="18">
                  <c:v>45469</c:v>
                </c:pt>
                <c:pt idx="19">
                  <c:v>45470</c:v>
                </c:pt>
                <c:pt idx="20">
                  <c:v>45471</c:v>
                </c:pt>
                <c:pt idx="21">
                  <c:v>45474</c:v>
                </c:pt>
                <c:pt idx="22">
                  <c:v>45475</c:v>
                </c:pt>
                <c:pt idx="23">
                  <c:v>45476</c:v>
                </c:pt>
                <c:pt idx="24">
                  <c:v>45477</c:v>
                </c:pt>
                <c:pt idx="25">
                  <c:v>45478</c:v>
                </c:pt>
                <c:pt idx="26">
                  <c:v>45481</c:v>
                </c:pt>
                <c:pt idx="27">
                  <c:v>45482</c:v>
                </c:pt>
                <c:pt idx="28">
                  <c:v>45483</c:v>
                </c:pt>
                <c:pt idx="29">
                  <c:v>45484</c:v>
                </c:pt>
                <c:pt idx="30">
                  <c:v>45485</c:v>
                </c:pt>
                <c:pt idx="31">
                  <c:v>45488</c:v>
                </c:pt>
                <c:pt idx="32">
                  <c:v>45489</c:v>
                </c:pt>
                <c:pt idx="33">
                  <c:v>45490</c:v>
                </c:pt>
                <c:pt idx="34">
                  <c:v>45491</c:v>
                </c:pt>
                <c:pt idx="35">
                  <c:v>45492</c:v>
                </c:pt>
                <c:pt idx="36">
                  <c:v>45495</c:v>
                </c:pt>
                <c:pt idx="37">
                  <c:v>45496</c:v>
                </c:pt>
                <c:pt idx="38">
                  <c:v>45497</c:v>
                </c:pt>
                <c:pt idx="39">
                  <c:v>45498</c:v>
                </c:pt>
                <c:pt idx="40">
                  <c:v>45499</c:v>
                </c:pt>
                <c:pt idx="41">
                  <c:v>45502</c:v>
                </c:pt>
                <c:pt idx="42">
                  <c:v>45503</c:v>
                </c:pt>
                <c:pt idx="43">
                  <c:v>45504</c:v>
                </c:pt>
                <c:pt idx="44">
                  <c:v>45505</c:v>
                </c:pt>
                <c:pt idx="45">
                  <c:v>45506</c:v>
                </c:pt>
                <c:pt idx="46">
                  <c:v>45509</c:v>
                </c:pt>
                <c:pt idx="47">
                  <c:v>45510</c:v>
                </c:pt>
                <c:pt idx="48">
                  <c:v>45511</c:v>
                </c:pt>
                <c:pt idx="49">
                  <c:v>45512</c:v>
                </c:pt>
                <c:pt idx="50">
                  <c:v>45513</c:v>
                </c:pt>
                <c:pt idx="51">
                  <c:v>45516</c:v>
                </c:pt>
                <c:pt idx="52">
                  <c:v>45517</c:v>
                </c:pt>
                <c:pt idx="53">
                  <c:v>45518</c:v>
                </c:pt>
                <c:pt idx="54">
                  <c:v>45519</c:v>
                </c:pt>
                <c:pt idx="55">
                  <c:v>45520</c:v>
                </c:pt>
                <c:pt idx="56">
                  <c:v>45523</c:v>
                </c:pt>
                <c:pt idx="57">
                  <c:v>45524</c:v>
                </c:pt>
                <c:pt idx="58">
                  <c:v>45525</c:v>
                </c:pt>
                <c:pt idx="59">
                  <c:v>45526</c:v>
                </c:pt>
                <c:pt idx="60">
                  <c:v>45527</c:v>
                </c:pt>
                <c:pt idx="61">
                  <c:v>45530</c:v>
                </c:pt>
                <c:pt idx="62">
                  <c:v>45531</c:v>
                </c:pt>
                <c:pt idx="63">
                  <c:v>45532</c:v>
                </c:pt>
                <c:pt idx="64">
                  <c:v>45533</c:v>
                </c:pt>
                <c:pt idx="65">
                  <c:v>45534</c:v>
                </c:pt>
                <c:pt idx="66">
                  <c:v>45537</c:v>
                </c:pt>
                <c:pt idx="67">
                  <c:v>45538</c:v>
                </c:pt>
                <c:pt idx="68">
                  <c:v>45539</c:v>
                </c:pt>
                <c:pt idx="69">
                  <c:v>45540</c:v>
                </c:pt>
                <c:pt idx="70">
                  <c:v>45541</c:v>
                </c:pt>
                <c:pt idx="71">
                  <c:v>45544</c:v>
                </c:pt>
                <c:pt idx="72">
                  <c:v>45545</c:v>
                </c:pt>
                <c:pt idx="73">
                  <c:v>45546</c:v>
                </c:pt>
                <c:pt idx="74">
                  <c:v>45547</c:v>
                </c:pt>
                <c:pt idx="75">
                  <c:v>45548</c:v>
                </c:pt>
                <c:pt idx="76">
                  <c:v>45553</c:v>
                </c:pt>
                <c:pt idx="77">
                  <c:v>45554</c:v>
                </c:pt>
                <c:pt idx="78">
                  <c:v>45555</c:v>
                </c:pt>
                <c:pt idx="79">
                  <c:v>45558</c:v>
                </c:pt>
                <c:pt idx="80">
                  <c:v>45559</c:v>
                </c:pt>
                <c:pt idx="81">
                  <c:v>45560</c:v>
                </c:pt>
                <c:pt idx="82">
                  <c:v>45561</c:v>
                </c:pt>
                <c:pt idx="83">
                  <c:v>45562</c:v>
                </c:pt>
                <c:pt idx="84">
                  <c:v>45565</c:v>
                </c:pt>
                <c:pt idx="85">
                  <c:v>45573</c:v>
                </c:pt>
                <c:pt idx="86">
                  <c:v>45574</c:v>
                </c:pt>
                <c:pt idx="87">
                  <c:v>45575</c:v>
                </c:pt>
                <c:pt idx="88">
                  <c:v>45576</c:v>
                </c:pt>
                <c:pt idx="89">
                  <c:v>45579</c:v>
                </c:pt>
                <c:pt idx="90">
                  <c:v>45580</c:v>
                </c:pt>
                <c:pt idx="91">
                  <c:v>45581</c:v>
                </c:pt>
                <c:pt idx="92">
                  <c:v>45582</c:v>
                </c:pt>
                <c:pt idx="93">
                  <c:v>45583</c:v>
                </c:pt>
                <c:pt idx="94">
                  <c:v>45586</c:v>
                </c:pt>
                <c:pt idx="95">
                  <c:v>45587</c:v>
                </c:pt>
                <c:pt idx="96">
                  <c:v>45588</c:v>
                </c:pt>
                <c:pt idx="97">
                  <c:v>45589</c:v>
                </c:pt>
                <c:pt idx="98">
                  <c:v>45590</c:v>
                </c:pt>
                <c:pt idx="99">
                  <c:v>45593</c:v>
                </c:pt>
                <c:pt idx="100">
                  <c:v>45594</c:v>
                </c:pt>
                <c:pt idx="101">
                  <c:v>45595</c:v>
                </c:pt>
                <c:pt idx="102">
                  <c:v>45596</c:v>
                </c:pt>
                <c:pt idx="103">
                  <c:v>45597</c:v>
                </c:pt>
                <c:pt idx="104">
                  <c:v>45600</c:v>
                </c:pt>
                <c:pt idx="105">
                  <c:v>45601</c:v>
                </c:pt>
                <c:pt idx="106">
                  <c:v>45602</c:v>
                </c:pt>
                <c:pt idx="107">
                  <c:v>45603</c:v>
                </c:pt>
                <c:pt idx="108">
                  <c:v>45604</c:v>
                </c:pt>
                <c:pt idx="109">
                  <c:v>45607</c:v>
                </c:pt>
                <c:pt idx="110">
                  <c:v>45608</c:v>
                </c:pt>
                <c:pt idx="111">
                  <c:v>45609</c:v>
                </c:pt>
                <c:pt idx="112">
                  <c:v>45610</c:v>
                </c:pt>
                <c:pt idx="113">
                  <c:v>45611</c:v>
                </c:pt>
                <c:pt idx="114">
                  <c:v>45614</c:v>
                </c:pt>
                <c:pt idx="115">
                  <c:v>45615</c:v>
                </c:pt>
                <c:pt idx="116">
                  <c:v>45616</c:v>
                </c:pt>
                <c:pt idx="117">
                  <c:v>45617</c:v>
                </c:pt>
                <c:pt idx="118">
                  <c:v>45618</c:v>
                </c:pt>
                <c:pt idx="119">
                  <c:v>45621</c:v>
                </c:pt>
                <c:pt idx="120">
                  <c:v>45622</c:v>
                </c:pt>
                <c:pt idx="121">
                  <c:v>45623</c:v>
                </c:pt>
                <c:pt idx="122">
                  <c:v>45624</c:v>
                </c:pt>
                <c:pt idx="123">
                  <c:v>45625</c:v>
                </c:pt>
                <c:pt idx="124">
                  <c:v>45628</c:v>
                </c:pt>
                <c:pt idx="125">
                  <c:v>45629</c:v>
                </c:pt>
                <c:pt idx="126">
                  <c:v>45630</c:v>
                </c:pt>
                <c:pt idx="127">
                  <c:v>45631</c:v>
                </c:pt>
                <c:pt idx="128">
                  <c:v>45632</c:v>
                </c:pt>
                <c:pt idx="129">
                  <c:v>45635</c:v>
                </c:pt>
                <c:pt idx="130">
                  <c:v>45636</c:v>
                </c:pt>
                <c:pt idx="131">
                  <c:v>45637</c:v>
                </c:pt>
                <c:pt idx="132">
                  <c:v>45638</c:v>
                </c:pt>
                <c:pt idx="133">
                  <c:v>45639</c:v>
                </c:pt>
                <c:pt idx="134">
                  <c:v>45642</c:v>
                </c:pt>
                <c:pt idx="135">
                  <c:v>45643</c:v>
                </c:pt>
                <c:pt idx="136">
                  <c:v>45644</c:v>
                </c:pt>
                <c:pt idx="137">
                  <c:v>45645</c:v>
                </c:pt>
                <c:pt idx="138">
                  <c:v>45646</c:v>
                </c:pt>
                <c:pt idx="139">
                  <c:v>45649</c:v>
                </c:pt>
                <c:pt idx="140">
                  <c:v>45650</c:v>
                </c:pt>
                <c:pt idx="141">
                  <c:v>45651</c:v>
                </c:pt>
                <c:pt idx="142">
                  <c:v>45652</c:v>
                </c:pt>
                <c:pt idx="143">
                  <c:v>45653</c:v>
                </c:pt>
                <c:pt idx="144">
                  <c:v>45656</c:v>
                </c:pt>
                <c:pt idx="145">
                  <c:v>45657</c:v>
                </c:pt>
                <c:pt idx="146">
                  <c:v>45659</c:v>
                </c:pt>
                <c:pt idx="147">
                  <c:v>45660</c:v>
                </c:pt>
                <c:pt idx="148">
                  <c:v>45663</c:v>
                </c:pt>
                <c:pt idx="149">
                  <c:v>45664</c:v>
                </c:pt>
                <c:pt idx="150">
                  <c:v>45665</c:v>
                </c:pt>
                <c:pt idx="151">
                  <c:v>45666</c:v>
                </c:pt>
                <c:pt idx="152">
                  <c:v>45667</c:v>
                </c:pt>
                <c:pt idx="153">
                  <c:v>45670</c:v>
                </c:pt>
                <c:pt idx="154">
                  <c:v>45671</c:v>
                </c:pt>
                <c:pt idx="155">
                  <c:v>45672</c:v>
                </c:pt>
                <c:pt idx="156">
                  <c:v>45673</c:v>
                </c:pt>
                <c:pt idx="157">
                  <c:v>45674</c:v>
                </c:pt>
                <c:pt idx="158">
                  <c:v>45677</c:v>
                </c:pt>
                <c:pt idx="159">
                  <c:v>45678</c:v>
                </c:pt>
                <c:pt idx="160">
                  <c:v>45679</c:v>
                </c:pt>
                <c:pt idx="161">
                  <c:v>45680</c:v>
                </c:pt>
                <c:pt idx="162">
                  <c:v>45681</c:v>
                </c:pt>
                <c:pt idx="163">
                  <c:v>45684</c:v>
                </c:pt>
                <c:pt idx="164">
                  <c:v>45693</c:v>
                </c:pt>
                <c:pt idx="165">
                  <c:v>45694</c:v>
                </c:pt>
                <c:pt idx="166">
                  <c:v>45695</c:v>
                </c:pt>
                <c:pt idx="167">
                  <c:v>45698</c:v>
                </c:pt>
                <c:pt idx="168">
                  <c:v>45699</c:v>
                </c:pt>
                <c:pt idx="169">
                  <c:v>45700</c:v>
                </c:pt>
                <c:pt idx="170">
                  <c:v>45701</c:v>
                </c:pt>
                <c:pt idx="171">
                  <c:v>45702</c:v>
                </c:pt>
                <c:pt idx="172">
                  <c:v>45705</c:v>
                </c:pt>
                <c:pt idx="173">
                  <c:v>45706</c:v>
                </c:pt>
                <c:pt idx="174">
                  <c:v>45707</c:v>
                </c:pt>
                <c:pt idx="175">
                  <c:v>45708</c:v>
                </c:pt>
                <c:pt idx="176">
                  <c:v>45709</c:v>
                </c:pt>
                <c:pt idx="177">
                  <c:v>45712</c:v>
                </c:pt>
                <c:pt idx="178">
                  <c:v>45713</c:v>
                </c:pt>
                <c:pt idx="179">
                  <c:v>45714</c:v>
                </c:pt>
                <c:pt idx="180">
                  <c:v>45715</c:v>
                </c:pt>
                <c:pt idx="181">
                  <c:v>45716</c:v>
                </c:pt>
                <c:pt idx="182">
                  <c:v>45719</c:v>
                </c:pt>
                <c:pt idx="183">
                  <c:v>45720</c:v>
                </c:pt>
                <c:pt idx="184">
                  <c:v>45721</c:v>
                </c:pt>
                <c:pt idx="185">
                  <c:v>45722</c:v>
                </c:pt>
                <c:pt idx="186">
                  <c:v>45723</c:v>
                </c:pt>
                <c:pt idx="187">
                  <c:v>45726</c:v>
                </c:pt>
                <c:pt idx="188">
                  <c:v>45727</c:v>
                </c:pt>
                <c:pt idx="189">
                  <c:v>45728</c:v>
                </c:pt>
                <c:pt idx="190">
                  <c:v>45729</c:v>
                </c:pt>
                <c:pt idx="191">
                  <c:v>45730</c:v>
                </c:pt>
                <c:pt idx="192">
                  <c:v>45733</c:v>
                </c:pt>
                <c:pt idx="193">
                  <c:v>45734</c:v>
                </c:pt>
                <c:pt idx="194">
                  <c:v>45735</c:v>
                </c:pt>
                <c:pt idx="195">
                  <c:v>45736</c:v>
                </c:pt>
                <c:pt idx="196">
                  <c:v>45737</c:v>
                </c:pt>
                <c:pt idx="197">
                  <c:v>45740</c:v>
                </c:pt>
                <c:pt idx="198">
                  <c:v>45741</c:v>
                </c:pt>
                <c:pt idx="199">
                  <c:v>45742</c:v>
                </c:pt>
                <c:pt idx="200">
                  <c:v>45743</c:v>
                </c:pt>
                <c:pt idx="201">
                  <c:v>45744</c:v>
                </c:pt>
                <c:pt idx="202">
                  <c:v>45747</c:v>
                </c:pt>
                <c:pt idx="203">
                  <c:v>45748</c:v>
                </c:pt>
                <c:pt idx="204">
                  <c:v>45749</c:v>
                </c:pt>
                <c:pt idx="205">
                  <c:v>45750</c:v>
                </c:pt>
                <c:pt idx="206">
                  <c:v>45754</c:v>
                </c:pt>
                <c:pt idx="207">
                  <c:v>45755</c:v>
                </c:pt>
                <c:pt idx="208">
                  <c:v>45756</c:v>
                </c:pt>
                <c:pt idx="209">
                  <c:v>45757</c:v>
                </c:pt>
                <c:pt idx="210">
                  <c:v>45758</c:v>
                </c:pt>
                <c:pt idx="211">
                  <c:v>45761</c:v>
                </c:pt>
                <c:pt idx="212">
                  <c:v>45762</c:v>
                </c:pt>
                <c:pt idx="213">
                  <c:v>45763</c:v>
                </c:pt>
                <c:pt idx="214">
                  <c:v>45764</c:v>
                </c:pt>
                <c:pt idx="215">
                  <c:v>45765</c:v>
                </c:pt>
                <c:pt idx="216">
                  <c:v>45768</c:v>
                </c:pt>
                <c:pt idx="217">
                  <c:v>45769</c:v>
                </c:pt>
                <c:pt idx="218">
                  <c:v>45770</c:v>
                </c:pt>
                <c:pt idx="219">
                  <c:v>45771</c:v>
                </c:pt>
                <c:pt idx="220">
                  <c:v>45772</c:v>
                </c:pt>
                <c:pt idx="221">
                  <c:v>45775</c:v>
                </c:pt>
                <c:pt idx="222">
                  <c:v>45776</c:v>
                </c:pt>
                <c:pt idx="223">
                  <c:v>45777</c:v>
                </c:pt>
                <c:pt idx="224">
                  <c:v>45783</c:v>
                </c:pt>
                <c:pt idx="225">
                  <c:v>45784</c:v>
                </c:pt>
                <c:pt idx="226">
                  <c:v>45785</c:v>
                </c:pt>
                <c:pt idx="227">
                  <c:v>45786</c:v>
                </c:pt>
                <c:pt idx="228">
                  <c:v>45789</c:v>
                </c:pt>
                <c:pt idx="229">
                  <c:v>45790</c:v>
                </c:pt>
                <c:pt idx="230">
                  <c:v>45791</c:v>
                </c:pt>
                <c:pt idx="231">
                  <c:v>45792</c:v>
                </c:pt>
                <c:pt idx="232">
                  <c:v>45793</c:v>
                </c:pt>
                <c:pt idx="233">
                  <c:v>45796</c:v>
                </c:pt>
                <c:pt idx="234">
                  <c:v>45797</c:v>
                </c:pt>
                <c:pt idx="235">
                  <c:v>45798</c:v>
                </c:pt>
                <c:pt idx="236">
                  <c:v>45799</c:v>
                </c:pt>
                <c:pt idx="237">
                  <c:v>45800</c:v>
                </c:pt>
                <c:pt idx="238">
                  <c:v>45803</c:v>
                </c:pt>
                <c:pt idx="239">
                  <c:v>45804</c:v>
                </c:pt>
                <c:pt idx="240">
                  <c:v>45805</c:v>
                </c:pt>
                <c:pt idx="241">
                  <c:v>45806</c:v>
                </c:pt>
                <c:pt idx="242">
                  <c:v>45807</c:v>
                </c:pt>
                <c:pt idx="243">
                  <c:v>45811</c:v>
                </c:pt>
                <c:pt idx="244">
                  <c:v>45812</c:v>
                </c:pt>
                <c:pt idx="245">
                  <c:v>45813</c:v>
                </c:pt>
                <c:pt idx="246">
                  <c:v>45814</c:v>
                </c:pt>
                <c:pt idx="247">
                  <c:v>45817</c:v>
                </c:pt>
                <c:pt idx="248">
                  <c:v>45818</c:v>
                </c:pt>
                <c:pt idx="249">
                  <c:v>45819</c:v>
                </c:pt>
                <c:pt idx="250">
                  <c:v>45820</c:v>
                </c:pt>
                <c:pt idx="251">
                  <c:v>45821</c:v>
                </c:pt>
                <c:pt idx="252">
                  <c:v>45824</c:v>
                </c:pt>
                <c:pt idx="253">
                  <c:v>45825</c:v>
                </c:pt>
                <c:pt idx="254">
                  <c:v>45826</c:v>
                </c:pt>
                <c:pt idx="255">
                  <c:v>45827</c:v>
                </c:pt>
                <c:pt idx="256">
                  <c:v>45828</c:v>
                </c:pt>
                <c:pt idx="257">
                  <c:v>45831</c:v>
                </c:pt>
                <c:pt idx="258">
                  <c:v>45832</c:v>
                </c:pt>
                <c:pt idx="259">
                  <c:v>45833</c:v>
                </c:pt>
                <c:pt idx="260">
                  <c:v>45834</c:v>
                </c:pt>
                <c:pt idx="261">
                  <c:v>45835</c:v>
                </c:pt>
                <c:pt idx="262">
                  <c:v>45838</c:v>
                </c:pt>
                <c:pt idx="263">
                  <c:v>45839</c:v>
                </c:pt>
                <c:pt idx="264">
                  <c:v>45840</c:v>
                </c:pt>
                <c:pt idx="265">
                  <c:v>45841</c:v>
                </c:pt>
                <c:pt idx="266">
                  <c:v>45842</c:v>
                </c:pt>
                <c:pt idx="267">
                  <c:v>45845</c:v>
                </c:pt>
                <c:pt idx="268">
                  <c:v>45846</c:v>
                </c:pt>
                <c:pt idx="269">
                  <c:v>45847</c:v>
                </c:pt>
                <c:pt idx="270">
                  <c:v>45848</c:v>
                </c:pt>
                <c:pt idx="271">
                  <c:v>45849</c:v>
                </c:pt>
                <c:pt idx="272">
                  <c:v>45852</c:v>
                </c:pt>
                <c:pt idx="273">
                  <c:v>45853</c:v>
                </c:pt>
                <c:pt idx="274">
                  <c:v>45854</c:v>
                </c:pt>
                <c:pt idx="275">
                  <c:v>45855</c:v>
                </c:pt>
                <c:pt idx="276">
                  <c:v>45856</c:v>
                </c:pt>
                <c:pt idx="277">
                  <c:v>45859</c:v>
                </c:pt>
                <c:pt idx="278">
                  <c:v>45860</c:v>
                </c:pt>
                <c:pt idx="279">
                  <c:v>45861</c:v>
                </c:pt>
                <c:pt idx="280">
                  <c:v>45862</c:v>
                </c:pt>
                <c:pt idx="281">
                  <c:v>45863</c:v>
                </c:pt>
                <c:pt idx="282">
                  <c:v>45866</c:v>
                </c:pt>
                <c:pt idx="283">
                  <c:v>45867</c:v>
                </c:pt>
                <c:pt idx="284">
                  <c:v>45868</c:v>
                </c:pt>
                <c:pt idx="285">
                  <c:v>45869</c:v>
                </c:pt>
                <c:pt idx="286">
                  <c:v>45870</c:v>
                </c:pt>
                <c:pt idx="287">
                  <c:v>45873</c:v>
                </c:pt>
                <c:pt idx="288">
                  <c:v>45874</c:v>
                </c:pt>
                <c:pt idx="289">
                  <c:v>45875</c:v>
                </c:pt>
                <c:pt idx="290">
                  <c:v>45876</c:v>
                </c:pt>
                <c:pt idx="291">
                  <c:v>45877</c:v>
                </c:pt>
                <c:pt idx="292">
                  <c:v>45880</c:v>
                </c:pt>
                <c:pt idx="293">
                  <c:v>45881</c:v>
                </c:pt>
                <c:pt idx="294">
                  <c:v>45882</c:v>
                </c:pt>
                <c:pt idx="295">
                  <c:v>45883</c:v>
                </c:pt>
                <c:pt idx="296">
                  <c:v>45884</c:v>
                </c:pt>
                <c:pt idx="297">
                  <c:v>45887</c:v>
                </c:pt>
                <c:pt idx="298">
                  <c:v>45888</c:v>
                </c:pt>
                <c:pt idx="299">
                  <c:v>45889</c:v>
                </c:pt>
                <c:pt idx="300">
                  <c:v>45890</c:v>
                </c:pt>
                <c:pt idx="301">
                  <c:v>45891</c:v>
                </c:pt>
                <c:pt idx="302">
                  <c:v>45894</c:v>
                </c:pt>
                <c:pt idx="303">
                  <c:v>45895</c:v>
                </c:pt>
                <c:pt idx="304">
                  <c:v>45896</c:v>
                </c:pt>
                <c:pt idx="305">
                  <c:v>45897</c:v>
                </c:pt>
                <c:pt idx="306">
                  <c:v>45898</c:v>
                </c:pt>
                <c:pt idx="307">
                  <c:v>45901</c:v>
                </c:pt>
                <c:pt idx="308">
                  <c:v>45902</c:v>
                </c:pt>
                <c:pt idx="309">
                  <c:v>45903</c:v>
                </c:pt>
                <c:pt idx="310">
                  <c:v>45904</c:v>
                </c:pt>
                <c:pt idx="311">
                  <c:v>45905</c:v>
                </c:pt>
                <c:pt idx="312">
                  <c:v>45908</c:v>
                </c:pt>
                <c:pt idx="313">
                  <c:v>45909</c:v>
                </c:pt>
                <c:pt idx="314">
                  <c:v>45910</c:v>
                </c:pt>
                <c:pt idx="315">
                  <c:v>45911</c:v>
                </c:pt>
                <c:pt idx="316">
                  <c:v>45912</c:v>
                </c:pt>
              </c:numCache>
            </c:numRef>
          </c:cat>
          <c:val>
            <c:numRef>
              <c:f>策略组合!$I$3:$I$4000</c:f>
              <c:numCache>
                <c:formatCode>0.00%</c:formatCode>
                <c:ptCount val="3998"/>
                <c:pt idx="0">
                  <c:v>0</c:v>
                </c:pt>
                <c:pt idx="1">
                  <c:v>4.8989999999999997E-5</c:v>
                </c:pt>
                <c:pt idx="2">
                  <c:v>1.3469999999999999E-4</c:v>
                </c:pt>
                <c:pt idx="3">
                  <c:v>4.9516999999999996E-4</c:v>
                </c:pt>
                <c:pt idx="4">
                  <c:v>5.5422999999999996E-4</c:v>
                </c:pt>
                <c:pt idx="5">
                  <c:v>7.3738999999999999E-4</c:v>
                </c:pt>
                <c:pt idx="6">
                  <c:v>8.3991000000000003E-4</c:v>
                </c:pt>
                <c:pt idx="7">
                  <c:v>9.0963999999999997E-4</c:v>
                </c:pt>
                <c:pt idx="8">
                  <c:v>1.00168E-3</c:v>
                </c:pt>
                <c:pt idx="9">
                  <c:v>1.11243E-3</c:v>
                </c:pt>
                <c:pt idx="10">
                  <c:v>1.32295E-3</c:v>
                </c:pt>
                <c:pt idx="11">
                  <c:v>1.4359100000000001E-3</c:v>
                </c:pt>
                <c:pt idx="12">
                  <c:v>1.5373100000000001E-3</c:v>
                </c:pt>
                <c:pt idx="13">
                  <c:v>1.64623E-3</c:v>
                </c:pt>
                <c:pt idx="14">
                  <c:v>1.7080299999999999E-3</c:v>
                </c:pt>
                <c:pt idx="15">
                  <c:v>1.90395E-3</c:v>
                </c:pt>
                <c:pt idx="16">
                  <c:v>1.97371E-3</c:v>
                </c:pt>
                <c:pt idx="17">
                  <c:v>2.0208600000000002E-3</c:v>
                </c:pt>
                <c:pt idx="18">
                  <c:v>2.09326E-3</c:v>
                </c:pt>
                <c:pt idx="19">
                  <c:v>2.16621E-3</c:v>
                </c:pt>
                <c:pt idx="20">
                  <c:v>2.3126499999999999E-3</c:v>
                </c:pt>
                <c:pt idx="21">
                  <c:v>2.3689599999999998E-3</c:v>
                </c:pt>
                <c:pt idx="22">
                  <c:v>2.3955299999999999E-3</c:v>
                </c:pt>
                <c:pt idx="23">
                  <c:v>2.44539E-3</c:v>
                </c:pt>
                <c:pt idx="24">
                  <c:v>2.6103300000000001E-3</c:v>
                </c:pt>
                <c:pt idx="25">
                  <c:v>2.5917499999999999E-3</c:v>
                </c:pt>
                <c:pt idx="26">
                  <c:v>2.61357E-3</c:v>
                </c:pt>
                <c:pt idx="27">
                  <c:v>2.66533E-3</c:v>
                </c:pt>
                <c:pt idx="28">
                  <c:v>2.73807E-3</c:v>
                </c:pt>
                <c:pt idx="29">
                  <c:v>2.89559E-3</c:v>
                </c:pt>
                <c:pt idx="30">
                  <c:v>2.928E-3</c:v>
                </c:pt>
                <c:pt idx="31">
                  <c:v>2.9799800000000001E-3</c:v>
                </c:pt>
                <c:pt idx="32">
                  <c:v>3.0379500000000002E-3</c:v>
                </c:pt>
                <c:pt idx="33">
                  <c:v>3.13197E-3</c:v>
                </c:pt>
                <c:pt idx="34">
                  <c:v>3.30365E-3</c:v>
                </c:pt>
                <c:pt idx="35">
                  <c:v>3.3615899999999998E-3</c:v>
                </c:pt>
                <c:pt idx="36">
                  <c:v>3.4198900000000001E-3</c:v>
                </c:pt>
                <c:pt idx="37">
                  <c:v>3.50454E-3</c:v>
                </c:pt>
                <c:pt idx="38">
                  <c:v>3.5898100000000001E-3</c:v>
                </c:pt>
                <c:pt idx="39">
                  <c:v>3.71982E-3</c:v>
                </c:pt>
                <c:pt idx="40">
                  <c:v>3.7493700000000001E-3</c:v>
                </c:pt>
                <c:pt idx="41">
                  <c:v>3.8111400000000002E-3</c:v>
                </c:pt>
                <c:pt idx="42">
                  <c:v>3.9078400000000001E-3</c:v>
                </c:pt>
                <c:pt idx="43">
                  <c:v>3.9985400000000001E-3</c:v>
                </c:pt>
                <c:pt idx="44">
                  <c:v>4.1333000000000003E-3</c:v>
                </c:pt>
                <c:pt idx="45">
                  <c:v>4.1567799999999997E-3</c:v>
                </c:pt>
                <c:pt idx="46">
                  <c:v>4.2204199999999999E-3</c:v>
                </c:pt>
                <c:pt idx="47">
                  <c:v>4.3042799999999997E-3</c:v>
                </c:pt>
                <c:pt idx="48">
                  <c:v>4.3950100000000004E-3</c:v>
                </c:pt>
                <c:pt idx="49">
                  <c:v>4.5796500000000002E-3</c:v>
                </c:pt>
                <c:pt idx="50">
                  <c:v>4.6688700000000003E-3</c:v>
                </c:pt>
                <c:pt idx="51">
                  <c:v>4.7530899999999997E-3</c:v>
                </c:pt>
                <c:pt idx="52">
                  <c:v>4.8378900000000001E-3</c:v>
                </c:pt>
                <c:pt idx="53">
                  <c:v>4.9364099999999996E-3</c:v>
                </c:pt>
                <c:pt idx="54">
                  <c:v>5.1581600000000002E-3</c:v>
                </c:pt>
                <c:pt idx="55">
                  <c:v>5.2506000000000002E-3</c:v>
                </c:pt>
                <c:pt idx="56">
                  <c:v>5.3178599999999998E-3</c:v>
                </c:pt>
                <c:pt idx="57">
                  <c:v>5.3833700000000002E-3</c:v>
                </c:pt>
                <c:pt idx="58">
                  <c:v>5.44649E-3</c:v>
                </c:pt>
                <c:pt idx="59">
                  <c:v>5.6270000000000001E-3</c:v>
                </c:pt>
                <c:pt idx="60">
                  <c:v>5.7101299999999999E-3</c:v>
                </c:pt>
                <c:pt idx="61">
                  <c:v>5.7884399999999997E-3</c:v>
                </c:pt>
                <c:pt idx="62">
                  <c:v>5.8603600000000002E-3</c:v>
                </c:pt>
                <c:pt idx="63">
                  <c:v>5.9521699999999997E-3</c:v>
                </c:pt>
                <c:pt idx="64">
                  <c:v>6.2095300000000004E-3</c:v>
                </c:pt>
                <c:pt idx="65">
                  <c:v>6.3647599999999997E-3</c:v>
                </c:pt>
                <c:pt idx="66">
                  <c:v>6.4383699999999997E-3</c:v>
                </c:pt>
                <c:pt idx="67">
                  <c:v>6.5294000000000003E-3</c:v>
                </c:pt>
                <c:pt idx="68">
                  <c:v>6.5943199999999999E-3</c:v>
                </c:pt>
                <c:pt idx="69">
                  <c:v>6.7146699999999998E-3</c:v>
                </c:pt>
                <c:pt idx="70">
                  <c:v>6.7046700000000002E-3</c:v>
                </c:pt>
                <c:pt idx="71">
                  <c:v>6.7273599999999999E-3</c:v>
                </c:pt>
                <c:pt idx="72">
                  <c:v>6.7297800000000003E-3</c:v>
                </c:pt>
                <c:pt idx="73">
                  <c:v>6.7741099999999999E-3</c:v>
                </c:pt>
                <c:pt idx="74">
                  <c:v>7.0389299999999997E-3</c:v>
                </c:pt>
                <c:pt idx="75">
                  <c:v>7.1456100000000002E-3</c:v>
                </c:pt>
                <c:pt idx="76">
                  <c:v>7.1691699999999999E-3</c:v>
                </c:pt>
                <c:pt idx="77">
                  <c:v>7.2107100000000004E-3</c:v>
                </c:pt>
                <c:pt idx="78">
                  <c:v>7.2537499999999998E-3</c:v>
                </c:pt>
                <c:pt idx="79">
                  <c:v>7.3822000000000002E-3</c:v>
                </c:pt>
                <c:pt idx="80">
                  <c:v>7.4023200000000004E-3</c:v>
                </c:pt>
                <c:pt idx="81">
                  <c:v>7.4248700000000001E-3</c:v>
                </c:pt>
                <c:pt idx="82">
                  <c:v>7.4463100000000003E-3</c:v>
                </c:pt>
                <c:pt idx="83">
                  <c:v>7.4493099999999998E-3</c:v>
                </c:pt>
                <c:pt idx="84">
                  <c:v>7.5850700000000002E-3</c:v>
                </c:pt>
                <c:pt idx="85">
                  <c:v>7.6541600000000001E-3</c:v>
                </c:pt>
                <c:pt idx="86">
                  <c:v>7.7067200000000002E-3</c:v>
                </c:pt>
                <c:pt idx="87">
                  <c:v>7.7582900000000002E-3</c:v>
                </c:pt>
                <c:pt idx="88">
                  <c:v>7.8299000000000007E-3</c:v>
                </c:pt>
                <c:pt idx="89">
                  <c:v>8.0018899999999994E-3</c:v>
                </c:pt>
                <c:pt idx="90">
                  <c:v>8.06312E-3</c:v>
                </c:pt>
                <c:pt idx="91">
                  <c:v>8.1225199999999994E-3</c:v>
                </c:pt>
                <c:pt idx="92">
                  <c:v>8.1618200000000002E-3</c:v>
                </c:pt>
                <c:pt idx="93">
                  <c:v>8.2047100000000005E-3</c:v>
                </c:pt>
                <c:pt idx="94">
                  <c:v>8.3985899999999992E-3</c:v>
                </c:pt>
                <c:pt idx="95">
                  <c:v>8.4124600000000001E-3</c:v>
                </c:pt>
                <c:pt idx="96">
                  <c:v>8.4431699999999998E-3</c:v>
                </c:pt>
                <c:pt idx="97">
                  <c:v>8.4626200000000006E-3</c:v>
                </c:pt>
                <c:pt idx="98">
                  <c:v>8.5784899999999994E-3</c:v>
                </c:pt>
                <c:pt idx="99">
                  <c:v>8.6195899999999999E-3</c:v>
                </c:pt>
                <c:pt idx="100">
                  <c:v>8.65638E-3</c:v>
                </c:pt>
                <c:pt idx="101">
                  <c:v>8.7099800000000008E-3</c:v>
                </c:pt>
                <c:pt idx="102">
                  <c:v>8.7626200000000005E-3</c:v>
                </c:pt>
                <c:pt idx="103">
                  <c:v>8.8524399999999996E-3</c:v>
                </c:pt>
                <c:pt idx="104">
                  <c:v>8.8651700000000003E-3</c:v>
                </c:pt>
                <c:pt idx="105">
                  <c:v>8.8729900000000007E-3</c:v>
                </c:pt>
                <c:pt idx="106">
                  <c:v>8.8928700000000006E-3</c:v>
                </c:pt>
                <c:pt idx="107">
                  <c:v>8.94088E-3</c:v>
                </c:pt>
                <c:pt idx="108">
                  <c:v>9.6434099999999998E-3</c:v>
                </c:pt>
                <c:pt idx="109">
                  <c:v>9.7090100000000006E-3</c:v>
                </c:pt>
                <c:pt idx="110">
                  <c:v>9.7468999999999993E-3</c:v>
                </c:pt>
                <c:pt idx="111">
                  <c:v>9.8080400000000005E-3</c:v>
                </c:pt>
                <c:pt idx="112">
                  <c:v>9.8730799999999994E-3</c:v>
                </c:pt>
                <c:pt idx="113">
                  <c:v>1.00284E-2</c:v>
                </c:pt>
                <c:pt idx="114">
                  <c:v>1.0077829999999999E-2</c:v>
                </c:pt>
                <c:pt idx="115">
                  <c:v>1.01347E-2</c:v>
                </c:pt>
                <c:pt idx="116">
                  <c:v>1.018063E-2</c:v>
                </c:pt>
                <c:pt idx="117">
                  <c:v>1.022027E-2</c:v>
                </c:pt>
                <c:pt idx="118">
                  <c:v>1.034478E-2</c:v>
                </c:pt>
                <c:pt idx="119">
                  <c:v>1.0352119999999999E-2</c:v>
                </c:pt>
                <c:pt idx="120">
                  <c:v>1.039436E-2</c:v>
                </c:pt>
                <c:pt idx="121">
                  <c:v>1.0476340000000001E-2</c:v>
                </c:pt>
                <c:pt idx="122">
                  <c:v>1.054807E-2</c:v>
                </c:pt>
                <c:pt idx="123">
                  <c:v>1.071677E-2</c:v>
                </c:pt>
                <c:pt idx="124">
                  <c:v>1.0747140000000001E-2</c:v>
                </c:pt>
                <c:pt idx="125">
                  <c:v>1.074407E-2</c:v>
                </c:pt>
                <c:pt idx="126">
                  <c:v>1.078279E-2</c:v>
                </c:pt>
                <c:pt idx="127">
                  <c:v>1.0826199999999999E-2</c:v>
                </c:pt>
                <c:pt idx="128">
                  <c:v>1.092369E-2</c:v>
                </c:pt>
                <c:pt idx="129">
                  <c:v>1.090053E-2</c:v>
                </c:pt>
                <c:pt idx="130">
                  <c:v>1.090927E-2</c:v>
                </c:pt>
                <c:pt idx="131">
                  <c:v>1.0888490000000001E-2</c:v>
                </c:pt>
                <c:pt idx="132">
                  <c:v>1.083107E-2</c:v>
                </c:pt>
                <c:pt idx="133">
                  <c:v>1.075923E-2</c:v>
                </c:pt>
                <c:pt idx="134">
                  <c:v>1.054544E-2</c:v>
                </c:pt>
                <c:pt idx="135">
                  <c:v>1.038853E-2</c:v>
                </c:pt>
                <c:pt idx="136">
                  <c:v>1.030491E-2</c:v>
                </c:pt>
                <c:pt idx="137">
                  <c:v>1.0379859999999999E-2</c:v>
                </c:pt>
                <c:pt idx="138">
                  <c:v>1.060525E-2</c:v>
                </c:pt>
                <c:pt idx="139">
                  <c:v>1.066346E-2</c:v>
                </c:pt>
                <c:pt idx="140">
                  <c:v>1.0765790000000001E-2</c:v>
                </c:pt>
                <c:pt idx="141">
                  <c:v>1.096254E-2</c:v>
                </c:pt>
                <c:pt idx="142">
                  <c:v>1.102977E-2</c:v>
                </c:pt>
                <c:pt idx="143">
                  <c:v>1.118214E-2</c:v>
                </c:pt>
                <c:pt idx="144">
                  <c:v>1.118423E-2</c:v>
                </c:pt>
                <c:pt idx="145">
                  <c:v>1.1244179999999999E-2</c:v>
                </c:pt>
                <c:pt idx="146">
                  <c:v>1.128578E-2</c:v>
                </c:pt>
                <c:pt idx="147">
                  <c:v>1.137266E-2</c:v>
                </c:pt>
                <c:pt idx="148">
                  <c:v>1.152564E-2</c:v>
                </c:pt>
                <c:pt idx="149">
                  <c:v>1.156665E-2</c:v>
                </c:pt>
                <c:pt idx="150">
                  <c:v>1.153237E-2</c:v>
                </c:pt>
                <c:pt idx="151">
                  <c:v>1.1527580000000001E-2</c:v>
                </c:pt>
                <c:pt idx="152">
                  <c:v>1.152822E-2</c:v>
                </c:pt>
                <c:pt idx="153">
                  <c:v>1.164887E-2</c:v>
                </c:pt>
                <c:pt idx="154">
                  <c:v>1.150339E-2</c:v>
                </c:pt>
                <c:pt idx="155">
                  <c:v>1.150288E-2</c:v>
                </c:pt>
                <c:pt idx="156">
                  <c:v>1.16317E-2</c:v>
                </c:pt>
                <c:pt idx="157">
                  <c:v>1.165302E-2</c:v>
                </c:pt>
                <c:pt idx="158">
                  <c:v>1.18587E-2</c:v>
                </c:pt>
                <c:pt idx="159">
                  <c:v>1.1895630000000001E-2</c:v>
                </c:pt>
                <c:pt idx="160">
                  <c:v>1.194432E-2</c:v>
                </c:pt>
                <c:pt idx="161">
                  <c:v>1.206468E-2</c:v>
                </c:pt>
                <c:pt idx="162">
                  <c:v>1.220828E-2</c:v>
                </c:pt>
                <c:pt idx="163">
                  <c:v>1.2423429999999999E-2</c:v>
                </c:pt>
                <c:pt idx="164">
                  <c:v>1.2507890000000001E-2</c:v>
                </c:pt>
                <c:pt idx="165">
                  <c:v>1.2569230000000001E-2</c:v>
                </c:pt>
                <c:pt idx="166">
                  <c:v>1.275797E-2</c:v>
                </c:pt>
                <c:pt idx="167">
                  <c:v>1.299143E-2</c:v>
                </c:pt>
                <c:pt idx="168">
                  <c:v>1.3373940000000001E-2</c:v>
                </c:pt>
                <c:pt idx="169">
                  <c:v>1.3502790000000001E-2</c:v>
                </c:pt>
                <c:pt idx="170">
                  <c:v>1.362212E-2</c:v>
                </c:pt>
                <c:pt idx="171">
                  <c:v>1.3659589999999999E-2</c:v>
                </c:pt>
                <c:pt idx="172">
                  <c:v>1.380493E-2</c:v>
                </c:pt>
                <c:pt idx="173">
                  <c:v>1.379676E-2</c:v>
                </c:pt>
                <c:pt idx="174">
                  <c:v>1.3826979999999999E-2</c:v>
                </c:pt>
                <c:pt idx="175">
                  <c:v>1.39287E-2</c:v>
                </c:pt>
                <c:pt idx="176">
                  <c:v>1.4017740000000001E-2</c:v>
                </c:pt>
                <c:pt idx="177">
                  <c:v>1.4149709999999999E-2</c:v>
                </c:pt>
                <c:pt idx="178">
                  <c:v>1.4200910000000001E-2</c:v>
                </c:pt>
                <c:pt idx="179">
                  <c:v>1.4258659999999999E-2</c:v>
                </c:pt>
                <c:pt idx="180">
                  <c:v>1.4350069999999999E-2</c:v>
                </c:pt>
                <c:pt idx="181">
                  <c:v>1.445341E-2</c:v>
                </c:pt>
                <c:pt idx="182">
                  <c:v>1.5203940000000001E-2</c:v>
                </c:pt>
                <c:pt idx="183">
                  <c:v>1.526359E-2</c:v>
                </c:pt>
                <c:pt idx="184">
                  <c:v>1.5318170000000001E-2</c:v>
                </c:pt>
                <c:pt idx="185">
                  <c:v>1.5377969999999999E-2</c:v>
                </c:pt>
                <c:pt idx="186">
                  <c:v>1.546078E-2</c:v>
                </c:pt>
                <c:pt idx="187">
                  <c:v>1.563078E-2</c:v>
                </c:pt>
                <c:pt idx="188">
                  <c:v>1.56788E-2</c:v>
                </c:pt>
                <c:pt idx="189">
                  <c:v>1.5712090000000001E-2</c:v>
                </c:pt>
                <c:pt idx="190">
                  <c:v>1.5757750000000001E-2</c:v>
                </c:pt>
                <c:pt idx="191">
                  <c:v>1.5833989999999999E-2</c:v>
                </c:pt>
                <c:pt idx="192">
                  <c:v>1.603688E-2</c:v>
                </c:pt>
                <c:pt idx="193">
                  <c:v>1.6086610000000001E-2</c:v>
                </c:pt>
                <c:pt idx="194">
                  <c:v>1.6132549999999999E-2</c:v>
                </c:pt>
                <c:pt idx="195">
                  <c:v>1.619514E-2</c:v>
                </c:pt>
                <c:pt idx="196">
                  <c:v>1.6243029999999999E-2</c:v>
                </c:pt>
                <c:pt idx="197">
                  <c:v>1.638825E-2</c:v>
                </c:pt>
                <c:pt idx="198">
                  <c:v>1.6380749999999999E-2</c:v>
                </c:pt>
                <c:pt idx="199">
                  <c:v>1.6419469999999999E-2</c:v>
                </c:pt>
                <c:pt idx="200">
                  <c:v>1.6497000000000001E-2</c:v>
                </c:pt>
                <c:pt idx="201">
                  <c:v>1.653377E-2</c:v>
                </c:pt>
                <c:pt idx="202">
                  <c:v>1.6721900000000001E-2</c:v>
                </c:pt>
                <c:pt idx="203">
                  <c:v>1.677493E-2</c:v>
                </c:pt>
                <c:pt idx="204">
                  <c:v>1.6865740000000001E-2</c:v>
                </c:pt>
                <c:pt idx="205">
                  <c:v>1.6943110000000001E-2</c:v>
                </c:pt>
                <c:pt idx="206">
                  <c:v>1.6984969999999999E-2</c:v>
                </c:pt>
                <c:pt idx="207">
                  <c:v>1.720737E-2</c:v>
                </c:pt>
                <c:pt idx="208">
                  <c:v>1.7292499999999999E-2</c:v>
                </c:pt>
                <c:pt idx="209">
                  <c:v>1.7372909999999998E-2</c:v>
                </c:pt>
                <c:pt idx="210">
                  <c:v>1.7434700000000001E-2</c:v>
                </c:pt>
                <c:pt idx="211">
                  <c:v>1.7493740000000001E-2</c:v>
                </c:pt>
                <c:pt idx="212">
                  <c:v>1.7684600000000002E-2</c:v>
                </c:pt>
                <c:pt idx="213">
                  <c:v>1.77305E-2</c:v>
                </c:pt>
                <c:pt idx="214">
                  <c:v>1.7788579999999998E-2</c:v>
                </c:pt>
                <c:pt idx="215">
                  <c:v>1.7863810000000001E-2</c:v>
                </c:pt>
                <c:pt idx="216">
                  <c:v>1.7950440000000002E-2</c:v>
                </c:pt>
                <c:pt idx="217">
                  <c:v>1.8197459999999999E-2</c:v>
                </c:pt>
                <c:pt idx="218">
                  <c:v>1.827529E-2</c:v>
                </c:pt>
                <c:pt idx="219">
                  <c:v>1.8327550000000001E-2</c:v>
                </c:pt>
                <c:pt idx="220">
                  <c:v>1.8429850000000001E-2</c:v>
                </c:pt>
                <c:pt idx="221">
                  <c:v>1.850477E-2</c:v>
                </c:pt>
                <c:pt idx="222">
                  <c:v>1.8720750000000001E-2</c:v>
                </c:pt>
                <c:pt idx="223">
                  <c:v>1.877384E-2</c:v>
                </c:pt>
                <c:pt idx="224">
                  <c:v>1.8813659999999999E-2</c:v>
                </c:pt>
                <c:pt idx="225">
                  <c:v>1.8896059999999999E-2</c:v>
                </c:pt>
                <c:pt idx="226">
                  <c:v>1.8998310000000001E-2</c:v>
                </c:pt>
                <c:pt idx="227">
                  <c:v>1.926576E-2</c:v>
                </c:pt>
                <c:pt idx="228">
                  <c:v>1.934338E-2</c:v>
                </c:pt>
                <c:pt idx="229">
                  <c:v>1.9481660000000001E-2</c:v>
                </c:pt>
                <c:pt idx="230">
                  <c:v>1.9533829999999999E-2</c:v>
                </c:pt>
                <c:pt idx="231">
                  <c:v>1.9734109999999999E-2</c:v>
                </c:pt>
                <c:pt idx="232">
                  <c:v>1.9826340000000001E-2</c:v>
                </c:pt>
                <c:pt idx="233">
                  <c:v>1.9899139999999999E-2</c:v>
                </c:pt>
                <c:pt idx="234">
                  <c:v>1.9966879999999999E-2</c:v>
                </c:pt>
                <c:pt idx="235">
                  <c:v>2.0030599999999999E-2</c:v>
                </c:pt>
                <c:pt idx="236">
                  <c:v>2.021324E-2</c:v>
                </c:pt>
                <c:pt idx="237">
                  <c:v>2.0285210000000001E-2</c:v>
                </c:pt>
                <c:pt idx="238">
                  <c:v>2.036787E-2</c:v>
                </c:pt>
                <c:pt idx="239">
                  <c:v>2.0439590000000001E-2</c:v>
                </c:pt>
                <c:pt idx="240">
                  <c:v>2.0514810000000001E-2</c:v>
                </c:pt>
                <c:pt idx="241">
                  <c:v>2.0692479999999999E-2</c:v>
                </c:pt>
                <c:pt idx="242">
                  <c:v>2.0760009999999999E-2</c:v>
                </c:pt>
                <c:pt idx="243">
                  <c:v>2.0831949999999998E-2</c:v>
                </c:pt>
                <c:pt idx="244">
                  <c:v>2.0926509999999999E-2</c:v>
                </c:pt>
                <c:pt idx="245">
                  <c:v>2.1000810000000002E-2</c:v>
                </c:pt>
                <c:pt idx="246">
                  <c:v>2.1455709999999999E-2</c:v>
                </c:pt>
                <c:pt idx="247">
                  <c:v>2.1580479999999999E-2</c:v>
                </c:pt>
                <c:pt idx="248">
                  <c:v>2.177515E-2</c:v>
                </c:pt>
                <c:pt idx="249">
                  <c:v>2.185428E-2</c:v>
                </c:pt>
                <c:pt idx="250">
                  <c:v>2.196936E-2</c:v>
                </c:pt>
                <c:pt idx="251">
                  <c:v>2.2094720000000002E-2</c:v>
                </c:pt>
                <c:pt idx="252">
                  <c:v>2.2176950000000001E-2</c:v>
                </c:pt>
                <c:pt idx="253">
                  <c:v>2.237565E-2</c:v>
                </c:pt>
                <c:pt idx="254">
                  <c:v>2.2435469999999999E-2</c:v>
                </c:pt>
                <c:pt idx="255">
                  <c:v>2.2485100000000001E-2</c:v>
                </c:pt>
                <c:pt idx="256">
                  <c:v>2.2542619999999999E-2</c:v>
                </c:pt>
                <c:pt idx="257">
                  <c:v>2.261991E-2</c:v>
                </c:pt>
                <c:pt idx="258">
                  <c:v>2.2873879999999999E-2</c:v>
                </c:pt>
                <c:pt idx="259">
                  <c:v>2.3023890000000002E-2</c:v>
                </c:pt>
                <c:pt idx="260">
                  <c:v>2.3099729999999999E-2</c:v>
                </c:pt>
                <c:pt idx="261">
                  <c:v>2.315043E-2</c:v>
                </c:pt>
                <c:pt idx="262">
                  <c:v>2.3222360000000001E-2</c:v>
                </c:pt>
                <c:pt idx="263">
                  <c:v>2.340513E-2</c:v>
                </c:pt>
                <c:pt idx="264">
                  <c:v>2.3488350000000002E-2</c:v>
                </c:pt>
                <c:pt idx="265">
                  <c:v>2.3552119999999999E-2</c:v>
                </c:pt>
                <c:pt idx="266">
                  <c:v>2.364809E-2</c:v>
                </c:pt>
                <c:pt idx="267">
                  <c:v>2.3724789999999999E-2</c:v>
                </c:pt>
                <c:pt idx="268">
                  <c:v>2.3916010000000001E-2</c:v>
                </c:pt>
                <c:pt idx="269">
                  <c:v>2.4005970000000001E-2</c:v>
                </c:pt>
                <c:pt idx="270">
                  <c:v>2.4091999999999999E-2</c:v>
                </c:pt>
                <c:pt idx="271">
                  <c:v>2.416946E-2</c:v>
                </c:pt>
                <c:pt idx="272">
                  <c:v>2.423024E-2</c:v>
                </c:pt>
                <c:pt idx="273">
                  <c:v>2.4419759999999999E-2</c:v>
                </c:pt>
                <c:pt idx="274">
                  <c:v>2.4490609999999999E-2</c:v>
                </c:pt>
                <c:pt idx="275">
                  <c:v>2.4568E-2</c:v>
                </c:pt>
                <c:pt idx="276">
                  <c:v>2.459182E-2</c:v>
                </c:pt>
                <c:pt idx="277">
                  <c:v>2.459921E-2</c:v>
                </c:pt>
                <c:pt idx="278">
                  <c:v>2.470994E-2</c:v>
                </c:pt>
                <c:pt idx="279">
                  <c:v>2.4749609999999998E-2</c:v>
                </c:pt>
                <c:pt idx="280">
                  <c:v>2.4799700000000001E-2</c:v>
                </c:pt>
                <c:pt idx="281">
                  <c:v>2.508312E-2</c:v>
                </c:pt>
                <c:pt idx="282">
                  <c:v>2.511064E-2</c:v>
                </c:pt>
                <c:pt idx="283">
                  <c:v>2.5166150000000002E-2</c:v>
                </c:pt>
                <c:pt idx="284">
                  <c:v>2.5232999999999998E-2</c:v>
                </c:pt>
                <c:pt idx="285">
                  <c:v>2.539259E-2</c:v>
                </c:pt>
                <c:pt idx="286">
                  <c:v>2.5644110000000001E-2</c:v>
                </c:pt>
                <c:pt idx="287">
                  <c:v>2.5753089999999999E-2</c:v>
                </c:pt>
                <c:pt idx="288">
                  <c:v>2.5833700000000001E-2</c:v>
                </c:pt>
                <c:pt idx="289">
                  <c:v>2.5911900000000002E-2</c:v>
                </c:pt>
                <c:pt idx="290">
                  <c:v>2.5994070000000001E-2</c:v>
                </c:pt>
                <c:pt idx="291">
                  <c:v>2.6157320000000001E-2</c:v>
                </c:pt>
                <c:pt idx="292">
                  <c:v>2.6220139999999999E-2</c:v>
                </c:pt>
                <c:pt idx="293">
                  <c:v>2.627212E-2</c:v>
                </c:pt>
                <c:pt idx="294">
                  <c:v>2.631418E-2</c:v>
                </c:pt>
                <c:pt idx="295">
                  <c:v>2.6370169999999998E-2</c:v>
                </c:pt>
                <c:pt idx="296">
                  <c:v>2.6555450000000001E-2</c:v>
                </c:pt>
                <c:pt idx="297">
                  <c:v>2.6640359999999998E-2</c:v>
                </c:pt>
                <c:pt idx="298">
                  <c:v>2.670691E-2</c:v>
                </c:pt>
                <c:pt idx="299">
                  <c:v>2.6761150000000001E-2</c:v>
                </c:pt>
                <c:pt idx="300">
                  <c:v>2.683058E-2</c:v>
                </c:pt>
                <c:pt idx="301">
                  <c:v>2.7005709999999999E-2</c:v>
                </c:pt>
                <c:pt idx="302">
                  <c:v>2.698789E-2</c:v>
                </c:pt>
                <c:pt idx="303">
                  <c:v>2.7031260000000001E-2</c:v>
                </c:pt>
                <c:pt idx="304">
                  <c:v>2.713115E-2</c:v>
                </c:pt>
                <c:pt idx="305">
                  <c:v>2.7201289999999999E-2</c:v>
                </c:pt>
                <c:pt idx="306">
                  <c:v>2.7375300000000002E-2</c:v>
                </c:pt>
                <c:pt idx="307">
                  <c:v>2.7445520000000001E-2</c:v>
                </c:pt>
                <c:pt idx="308">
                  <c:v>2.7532549999999999E-2</c:v>
                </c:pt>
                <c:pt idx="309">
                  <c:v>2.7613749999999999E-2</c:v>
                </c:pt>
                <c:pt idx="310">
                  <c:v>2.7693949999999998E-2</c:v>
                </c:pt>
                <c:pt idx="311">
                  <c:v>2.7875049999999998E-2</c:v>
                </c:pt>
                <c:pt idx="312">
                  <c:v>2.7944770000000001E-2</c:v>
                </c:pt>
                <c:pt idx="313">
                  <c:v>2.800161E-2</c:v>
                </c:pt>
                <c:pt idx="314">
                  <c:v>2.8044369999999999E-2</c:v>
                </c:pt>
                <c:pt idx="315">
                  <c:v>2.80953E-2</c:v>
                </c:pt>
                <c:pt idx="316">
                  <c:v>2.8280429999999999E-2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BC-4422-80F7-36522358D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6822432"/>
        <c:axId val="2036823680"/>
      </c:lineChart>
      <c:lineChart>
        <c:grouping val="standard"/>
        <c:varyColors val="0"/>
        <c:ser>
          <c:idx val="2"/>
          <c:order val="2"/>
          <c:tx>
            <c:strRef>
              <c:f>策略组合!$L$2</c:f>
              <c:strCache>
                <c:ptCount val="1"/>
                <c:pt idx="0">
                  <c:v>超额收益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策略组合!$G$3:$G$4000</c:f>
              <c:numCache>
                <c:formatCode>yyyy\-mm\-dd</c:formatCode>
                <c:ptCount val="3998"/>
                <c:pt idx="0">
                  <c:v>45442</c:v>
                </c:pt>
                <c:pt idx="1">
                  <c:v>45443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45454</c:v>
                </c:pt>
                <c:pt idx="8">
                  <c:v>45455</c:v>
                </c:pt>
                <c:pt idx="9">
                  <c:v>45456</c:v>
                </c:pt>
                <c:pt idx="10">
                  <c:v>45457</c:v>
                </c:pt>
                <c:pt idx="11">
                  <c:v>45460</c:v>
                </c:pt>
                <c:pt idx="12">
                  <c:v>45461</c:v>
                </c:pt>
                <c:pt idx="13">
                  <c:v>45462</c:v>
                </c:pt>
                <c:pt idx="14">
                  <c:v>45463</c:v>
                </c:pt>
                <c:pt idx="15">
                  <c:v>45464</c:v>
                </c:pt>
                <c:pt idx="16">
                  <c:v>45467</c:v>
                </c:pt>
                <c:pt idx="17">
                  <c:v>45468</c:v>
                </c:pt>
                <c:pt idx="18">
                  <c:v>45469</c:v>
                </c:pt>
                <c:pt idx="19">
                  <c:v>45470</c:v>
                </c:pt>
                <c:pt idx="20">
                  <c:v>45471</c:v>
                </c:pt>
                <c:pt idx="21">
                  <c:v>45474</c:v>
                </c:pt>
                <c:pt idx="22">
                  <c:v>45475</c:v>
                </c:pt>
                <c:pt idx="23">
                  <c:v>45476</c:v>
                </c:pt>
                <c:pt idx="24">
                  <c:v>45477</c:v>
                </c:pt>
                <c:pt idx="25">
                  <c:v>45478</c:v>
                </c:pt>
                <c:pt idx="26">
                  <c:v>45481</c:v>
                </c:pt>
                <c:pt idx="27">
                  <c:v>45482</c:v>
                </c:pt>
                <c:pt idx="28">
                  <c:v>45483</c:v>
                </c:pt>
                <c:pt idx="29">
                  <c:v>45484</c:v>
                </c:pt>
                <c:pt idx="30">
                  <c:v>45485</c:v>
                </c:pt>
                <c:pt idx="31">
                  <c:v>45488</c:v>
                </c:pt>
                <c:pt idx="32">
                  <c:v>45489</c:v>
                </c:pt>
                <c:pt idx="33">
                  <c:v>45490</c:v>
                </c:pt>
                <c:pt idx="34">
                  <c:v>45491</c:v>
                </c:pt>
                <c:pt idx="35">
                  <c:v>45492</c:v>
                </c:pt>
                <c:pt idx="36">
                  <c:v>45495</c:v>
                </c:pt>
                <c:pt idx="37">
                  <c:v>45496</c:v>
                </c:pt>
                <c:pt idx="38">
                  <c:v>45497</c:v>
                </c:pt>
                <c:pt idx="39">
                  <c:v>45498</c:v>
                </c:pt>
                <c:pt idx="40">
                  <c:v>45499</c:v>
                </c:pt>
                <c:pt idx="41">
                  <c:v>45502</c:v>
                </c:pt>
                <c:pt idx="42">
                  <c:v>45503</c:v>
                </c:pt>
                <c:pt idx="43">
                  <c:v>45504</c:v>
                </c:pt>
                <c:pt idx="44">
                  <c:v>45505</c:v>
                </c:pt>
                <c:pt idx="45">
                  <c:v>45506</c:v>
                </c:pt>
                <c:pt idx="46">
                  <c:v>45509</c:v>
                </c:pt>
                <c:pt idx="47">
                  <c:v>45510</c:v>
                </c:pt>
                <c:pt idx="48">
                  <c:v>45511</c:v>
                </c:pt>
                <c:pt idx="49">
                  <c:v>45512</c:v>
                </c:pt>
                <c:pt idx="50">
                  <c:v>45513</c:v>
                </c:pt>
                <c:pt idx="51">
                  <c:v>45516</c:v>
                </c:pt>
                <c:pt idx="52">
                  <c:v>45517</c:v>
                </c:pt>
                <c:pt idx="53">
                  <c:v>45518</c:v>
                </c:pt>
                <c:pt idx="54">
                  <c:v>45519</c:v>
                </c:pt>
                <c:pt idx="55">
                  <c:v>45520</c:v>
                </c:pt>
                <c:pt idx="56">
                  <c:v>45523</c:v>
                </c:pt>
                <c:pt idx="57">
                  <c:v>45524</c:v>
                </c:pt>
                <c:pt idx="58">
                  <c:v>45525</c:v>
                </c:pt>
                <c:pt idx="59">
                  <c:v>45526</c:v>
                </c:pt>
                <c:pt idx="60">
                  <c:v>45527</c:v>
                </c:pt>
                <c:pt idx="61">
                  <c:v>45530</c:v>
                </c:pt>
                <c:pt idx="62">
                  <c:v>45531</c:v>
                </c:pt>
                <c:pt idx="63">
                  <c:v>45532</c:v>
                </c:pt>
                <c:pt idx="64">
                  <c:v>45533</c:v>
                </c:pt>
                <c:pt idx="65">
                  <c:v>45534</c:v>
                </c:pt>
                <c:pt idx="66">
                  <c:v>45537</c:v>
                </c:pt>
                <c:pt idx="67">
                  <c:v>45538</c:v>
                </c:pt>
                <c:pt idx="68">
                  <c:v>45539</c:v>
                </c:pt>
                <c:pt idx="69">
                  <c:v>45540</c:v>
                </c:pt>
                <c:pt idx="70">
                  <c:v>45541</c:v>
                </c:pt>
                <c:pt idx="71">
                  <c:v>45544</c:v>
                </c:pt>
                <c:pt idx="72">
                  <c:v>45545</c:v>
                </c:pt>
                <c:pt idx="73">
                  <c:v>45546</c:v>
                </c:pt>
                <c:pt idx="74">
                  <c:v>45547</c:v>
                </c:pt>
                <c:pt idx="75">
                  <c:v>45548</c:v>
                </c:pt>
                <c:pt idx="76">
                  <c:v>45553</c:v>
                </c:pt>
                <c:pt idx="77">
                  <c:v>45554</c:v>
                </c:pt>
                <c:pt idx="78">
                  <c:v>45555</c:v>
                </c:pt>
                <c:pt idx="79">
                  <c:v>45558</c:v>
                </c:pt>
                <c:pt idx="80">
                  <c:v>45559</c:v>
                </c:pt>
                <c:pt idx="81">
                  <c:v>45560</c:v>
                </c:pt>
                <c:pt idx="82">
                  <c:v>45561</c:v>
                </c:pt>
                <c:pt idx="83">
                  <c:v>45562</c:v>
                </c:pt>
                <c:pt idx="84">
                  <c:v>45565</c:v>
                </c:pt>
                <c:pt idx="85">
                  <c:v>45573</c:v>
                </c:pt>
                <c:pt idx="86">
                  <c:v>45574</c:v>
                </c:pt>
                <c:pt idx="87">
                  <c:v>45575</c:v>
                </c:pt>
                <c:pt idx="88">
                  <c:v>45576</c:v>
                </c:pt>
                <c:pt idx="89">
                  <c:v>45579</c:v>
                </c:pt>
                <c:pt idx="90">
                  <c:v>45580</c:v>
                </c:pt>
                <c:pt idx="91">
                  <c:v>45581</c:v>
                </c:pt>
                <c:pt idx="92">
                  <c:v>45582</c:v>
                </c:pt>
                <c:pt idx="93">
                  <c:v>45583</c:v>
                </c:pt>
                <c:pt idx="94">
                  <c:v>45586</c:v>
                </c:pt>
                <c:pt idx="95">
                  <c:v>45587</c:v>
                </c:pt>
                <c:pt idx="96">
                  <c:v>45588</c:v>
                </c:pt>
                <c:pt idx="97">
                  <c:v>45589</c:v>
                </c:pt>
                <c:pt idx="98">
                  <c:v>45590</c:v>
                </c:pt>
                <c:pt idx="99">
                  <c:v>45593</c:v>
                </c:pt>
                <c:pt idx="100">
                  <c:v>45594</c:v>
                </c:pt>
                <c:pt idx="101">
                  <c:v>45595</c:v>
                </c:pt>
                <c:pt idx="102">
                  <c:v>45596</c:v>
                </c:pt>
                <c:pt idx="103">
                  <c:v>45597</c:v>
                </c:pt>
                <c:pt idx="104">
                  <c:v>45600</c:v>
                </c:pt>
                <c:pt idx="105">
                  <c:v>45601</c:v>
                </c:pt>
                <c:pt idx="106">
                  <c:v>45602</c:v>
                </c:pt>
                <c:pt idx="107">
                  <c:v>45603</c:v>
                </c:pt>
                <c:pt idx="108">
                  <c:v>45604</c:v>
                </c:pt>
                <c:pt idx="109">
                  <c:v>45607</c:v>
                </c:pt>
                <c:pt idx="110">
                  <c:v>45608</c:v>
                </c:pt>
                <c:pt idx="111">
                  <c:v>45609</c:v>
                </c:pt>
                <c:pt idx="112">
                  <c:v>45610</c:v>
                </c:pt>
                <c:pt idx="113">
                  <c:v>45611</c:v>
                </c:pt>
                <c:pt idx="114">
                  <c:v>45614</c:v>
                </c:pt>
                <c:pt idx="115">
                  <c:v>45615</c:v>
                </c:pt>
                <c:pt idx="116">
                  <c:v>45616</c:v>
                </c:pt>
                <c:pt idx="117">
                  <c:v>45617</c:v>
                </c:pt>
                <c:pt idx="118">
                  <c:v>45618</c:v>
                </c:pt>
                <c:pt idx="119">
                  <c:v>45621</c:v>
                </c:pt>
                <c:pt idx="120">
                  <c:v>45622</c:v>
                </c:pt>
                <c:pt idx="121">
                  <c:v>45623</c:v>
                </c:pt>
                <c:pt idx="122">
                  <c:v>45624</c:v>
                </c:pt>
                <c:pt idx="123">
                  <c:v>45625</c:v>
                </c:pt>
                <c:pt idx="124">
                  <c:v>45628</c:v>
                </c:pt>
                <c:pt idx="125">
                  <c:v>45629</c:v>
                </c:pt>
                <c:pt idx="126">
                  <c:v>45630</c:v>
                </c:pt>
                <c:pt idx="127">
                  <c:v>45631</c:v>
                </c:pt>
                <c:pt idx="128">
                  <c:v>45632</c:v>
                </c:pt>
                <c:pt idx="129">
                  <c:v>45635</c:v>
                </c:pt>
                <c:pt idx="130">
                  <c:v>45636</c:v>
                </c:pt>
                <c:pt idx="131">
                  <c:v>45637</c:v>
                </c:pt>
                <c:pt idx="132">
                  <c:v>45638</c:v>
                </c:pt>
                <c:pt idx="133">
                  <c:v>45639</c:v>
                </c:pt>
                <c:pt idx="134">
                  <c:v>45642</c:v>
                </c:pt>
                <c:pt idx="135">
                  <c:v>45643</c:v>
                </c:pt>
                <c:pt idx="136">
                  <c:v>45644</c:v>
                </c:pt>
                <c:pt idx="137">
                  <c:v>45645</c:v>
                </c:pt>
                <c:pt idx="138">
                  <c:v>45646</c:v>
                </c:pt>
                <c:pt idx="139">
                  <c:v>45649</c:v>
                </c:pt>
                <c:pt idx="140">
                  <c:v>45650</c:v>
                </c:pt>
                <c:pt idx="141">
                  <c:v>45651</c:v>
                </c:pt>
                <c:pt idx="142">
                  <c:v>45652</c:v>
                </c:pt>
                <c:pt idx="143">
                  <c:v>45653</c:v>
                </c:pt>
                <c:pt idx="144">
                  <c:v>45656</c:v>
                </c:pt>
                <c:pt idx="145">
                  <c:v>45657</c:v>
                </c:pt>
                <c:pt idx="146">
                  <c:v>45659</c:v>
                </c:pt>
                <c:pt idx="147">
                  <c:v>45660</c:v>
                </c:pt>
                <c:pt idx="148">
                  <c:v>45663</c:v>
                </c:pt>
                <c:pt idx="149">
                  <c:v>45664</c:v>
                </c:pt>
                <c:pt idx="150">
                  <c:v>45665</c:v>
                </c:pt>
                <c:pt idx="151">
                  <c:v>45666</c:v>
                </c:pt>
                <c:pt idx="152">
                  <c:v>45667</c:v>
                </c:pt>
                <c:pt idx="153">
                  <c:v>45670</c:v>
                </c:pt>
                <c:pt idx="154">
                  <c:v>45671</c:v>
                </c:pt>
                <c:pt idx="155">
                  <c:v>45672</c:v>
                </c:pt>
                <c:pt idx="156">
                  <c:v>45673</c:v>
                </c:pt>
                <c:pt idx="157">
                  <c:v>45674</c:v>
                </c:pt>
                <c:pt idx="158">
                  <c:v>45677</c:v>
                </c:pt>
                <c:pt idx="159">
                  <c:v>45678</c:v>
                </c:pt>
                <c:pt idx="160">
                  <c:v>45679</c:v>
                </c:pt>
                <c:pt idx="161">
                  <c:v>45680</c:v>
                </c:pt>
                <c:pt idx="162">
                  <c:v>45681</c:v>
                </c:pt>
                <c:pt idx="163">
                  <c:v>45684</c:v>
                </c:pt>
                <c:pt idx="164">
                  <c:v>45693</c:v>
                </c:pt>
                <c:pt idx="165">
                  <c:v>45694</c:v>
                </c:pt>
                <c:pt idx="166">
                  <c:v>45695</c:v>
                </c:pt>
                <c:pt idx="167">
                  <c:v>45698</c:v>
                </c:pt>
                <c:pt idx="168">
                  <c:v>45699</c:v>
                </c:pt>
                <c:pt idx="169">
                  <c:v>45700</c:v>
                </c:pt>
                <c:pt idx="170">
                  <c:v>45701</c:v>
                </c:pt>
                <c:pt idx="171">
                  <c:v>45702</c:v>
                </c:pt>
                <c:pt idx="172">
                  <c:v>45705</c:v>
                </c:pt>
                <c:pt idx="173">
                  <c:v>45706</c:v>
                </c:pt>
                <c:pt idx="174">
                  <c:v>45707</c:v>
                </c:pt>
                <c:pt idx="175">
                  <c:v>45708</c:v>
                </c:pt>
                <c:pt idx="176">
                  <c:v>45709</c:v>
                </c:pt>
                <c:pt idx="177">
                  <c:v>45712</c:v>
                </c:pt>
                <c:pt idx="178">
                  <c:v>45713</c:v>
                </c:pt>
                <c:pt idx="179">
                  <c:v>45714</c:v>
                </c:pt>
                <c:pt idx="180">
                  <c:v>45715</c:v>
                </c:pt>
                <c:pt idx="181">
                  <c:v>45716</c:v>
                </c:pt>
                <c:pt idx="182">
                  <c:v>45719</c:v>
                </c:pt>
                <c:pt idx="183">
                  <c:v>45720</c:v>
                </c:pt>
                <c:pt idx="184">
                  <c:v>45721</c:v>
                </c:pt>
                <c:pt idx="185">
                  <c:v>45722</c:v>
                </c:pt>
                <c:pt idx="186">
                  <c:v>45723</c:v>
                </c:pt>
                <c:pt idx="187">
                  <c:v>45726</c:v>
                </c:pt>
                <c:pt idx="188">
                  <c:v>45727</c:v>
                </c:pt>
                <c:pt idx="189">
                  <c:v>45728</c:v>
                </c:pt>
                <c:pt idx="190">
                  <c:v>45729</c:v>
                </c:pt>
                <c:pt idx="191">
                  <c:v>45730</c:v>
                </c:pt>
                <c:pt idx="192">
                  <c:v>45733</c:v>
                </c:pt>
                <c:pt idx="193">
                  <c:v>45734</c:v>
                </c:pt>
                <c:pt idx="194">
                  <c:v>45735</c:v>
                </c:pt>
                <c:pt idx="195">
                  <c:v>45736</c:v>
                </c:pt>
                <c:pt idx="196">
                  <c:v>45737</c:v>
                </c:pt>
                <c:pt idx="197">
                  <c:v>45740</c:v>
                </c:pt>
                <c:pt idx="198">
                  <c:v>45741</c:v>
                </c:pt>
                <c:pt idx="199">
                  <c:v>45742</c:v>
                </c:pt>
                <c:pt idx="200">
                  <c:v>45743</c:v>
                </c:pt>
                <c:pt idx="201">
                  <c:v>45744</c:v>
                </c:pt>
                <c:pt idx="202">
                  <c:v>45747</c:v>
                </c:pt>
                <c:pt idx="203">
                  <c:v>45748</c:v>
                </c:pt>
                <c:pt idx="204">
                  <c:v>45749</c:v>
                </c:pt>
                <c:pt idx="205">
                  <c:v>45750</c:v>
                </c:pt>
                <c:pt idx="206">
                  <c:v>45754</c:v>
                </c:pt>
                <c:pt idx="207">
                  <c:v>45755</c:v>
                </c:pt>
                <c:pt idx="208">
                  <c:v>45756</c:v>
                </c:pt>
                <c:pt idx="209">
                  <c:v>45757</c:v>
                </c:pt>
                <c:pt idx="210">
                  <c:v>45758</c:v>
                </c:pt>
                <c:pt idx="211">
                  <c:v>45761</c:v>
                </c:pt>
                <c:pt idx="212">
                  <c:v>45762</c:v>
                </c:pt>
                <c:pt idx="213">
                  <c:v>45763</c:v>
                </c:pt>
                <c:pt idx="214">
                  <c:v>45764</c:v>
                </c:pt>
                <c:pt idx="215">
                  <c:v>45765</c:v>
                </c:pt>
                <c:pt idx="216">
                  <c:v>45768</c:v>
                </c:pt>
                <c:pt idx="217">
                  <c:v>45769</c:v>
                </c:pt>
                <c:pt idx="218">
                  <c:v>45770</c:v>
                </c:pt>
                <c:pt idx="219">
                  <c:v>45771</c:v>
                </c:pt>
                <c:pt idx="220">
                  <c:v>45772</c:v>
                </c:pt>
                <c:pt idx="221">
                  <c:v>45775</c:v>
                </c:pt>
                <c:pt idx="222">
                  <c:v>45776</c:v>
                </c:pt>
                <c:pt idx="223">
                  <c:v>45777</c:v>
                </c:pt>
                <c:pt idx="224">
                  <c:v>45783</c:v>
                </c:pt>
                <c:pt idx="225">
                  <c:v>45784</c:v>
                </c:pt>
                <c:pt idx="226">
                  <c:v>45785</c:v>
                </c:pt>
                <c:pt idx="227">
                  <c:v>45786</c:v>
                </c:pt>
                <c:pt idx="228">
                  <c:v>45789</c:v>
                </c:pt>
                <c:pt idx="229">
                  <c:v>45790</c:v>
                </c:pt>
                <c:pt idx="230">
                  <c:v>45791</c:v>
                </c:pt>
                <c:pt idx="231">
                  <c:v>45792</c:v>
                </c:pt>
                <c:pt idx="232">
                  <c:v>45793</c:v>
                </c:pt>
                <c:pt idx="233">
                  <c:v>45796</c:v>
                </c:pt>
                <c:pt idx="234">
                  <c:v>45797</c:v>
                </c:pt>
                <c:pt idx="235">
                  <c:v>45798</c:v>
                </c:pt>
                <c:pt idx="236">
                  <c:v>45799</c:v>
                </c:pt>
                <c:pt idx="237">
                  <c:v>45800</c:v>
                </c:pt>
                <c:pt idx="238">
                  <c:v>45803</c:v>
                </c:pt>
                <c:pt idx="239">
                  <c:v>45804</c:v>
                </c:pt>
                <c:pt idx="240">
                  <c:v>45805</c:v>
                </c:pt>
                <c:pt idx="241">
                  <c:v>45806</c:v>
                </c:pt>
                <c:pt idx="242">
                  <c:v>45807</c:v>
                </c:pt>
                <c:pt idx="243">
                  <c:v>45811</c:v>
                </c:pt>
                <c:pt idx="244">
                  <c:v>45812</c:v>
                </c:pt>
                <c:pt idx="245">
                  <c:v>45813</c:v>
                </c:pt>
                <c:pt idx="246">
                  <c:v>45814</c:v>
                </c:pt>
                <c:pt idx="247">
                  <c:v>45817</c:v>
                </c:pt>
                <c:pt idx="248">
                  <c:v>45818</c:v>
                </c:pt>
                <c:pt idx="249">
                  <c:v>45819</c:v>
                </c:pt>
                <c:pt idx="250">
                  <c:v>45820</c:v>
                </c:pt>
                <c:pt idx="251">
                  <c:v>45821</c:v>
                </c:pt>
                <c:pt idx="252">
                  <c:v>45824</c:v>
                </c:pt>
                <c:pt idx="253">
                  <c:v>45825</c:v>
                </c:pt>
                <c:pt idx="254">
                  <c:v>45826</c:v>
                </c:pt>
                <c:pt idx="255">
                  <c:v>45827</c:v>
                </c:pt>
                <c:pt idx="256">
                  <c:v>45828</c:v>
                </c:pt>
                <c:pt idx="257">
                  <c:v>45831</c:v>
                </c:pt>
                <c:pt idx="258">
                  <c:v>45832</c:v>
                </c:pt>
                <c:pt idx="259">
                  <c:v>45833</c:v>
                </c:pt>
                <c:pt idx="260">
                  <c:v>45834</c:v>
                </c:pt>
                <c:pt idx="261">
                  <c:v>45835</c:v>
                </c:pt>
                <c:pt idx="262">
                  <c:v>45838</c:v>
                </c:pt>
                <c:pt idx="263">
                  <c:v>45839</c:v>
                </c:pt>
                <c:pt idx="264">
                  <c:v>45840</c:v>
                </c:pt>
                <c:pt idx="265">
                  <c:v>45841</c:v>
                </c:pt>
                <c:pt idx="266">
                  <c:v>45842</c:v>
                </c:pt>
                <c:pt idx="267">
                  <c:v>45845</c:v>
                </c:pt>
                <c:pt idx="268">
                  <c:v>45846</c:v>
                </c:pt>
                <c:pt idx="269">
                  <c:v>45847</c:v>
                </c:pt>
                <c:pt idx="270">
                  <c:v>45848</c:v>
                </c:pt>
                <c:pt idx="271">
                  <c:v>45849</c:v>
                </c:pt>
                <c:pt idx="272">
                  <c:v>45852</c:v>
                </c:pt>
                <c:pt idx="273">
                  <c:v>45853</c:v>
                </c:pt>
                <c:pt idx="274">
                  <c:v>45854</c:v>
                </c:pt>
                <c:pt idx="275">
                  <c:v>45855</c:v>
                </c:pt>
                <c:pt idx="276">
                  <c:v>45856</c:v>
                </c:pt>
                <c:pt idx="277">
                  <c:v>45859</c:v>
                </c:pt>
                <c:pt idx="278">
                  <c:v>45860</c:v>
                </c:pt>
                <c:pt idx="279">
                  <c:v>45861</c:v>
                </c:pt>
                <c:pt idx="280">
                  <c:v>45862</c:v>
                </c:pt>
                <c:pt idx="281">
                  <c:v>45863</c:v>
                </c:pt>
                <c:pt idx="282">
                  <c:v>45866</c:v>
                </c:pt>
                <c:pt idx="283">
                  <c:v>45867</c:v>
                </c:pt>
                <c:pt idx="284">
                  <c:v>45868</c:v>
                </c:pt>
                <c:pt idx="285">
                  <c:v>45869</c:v>
                </c:pt>
                <c:pt idx="286">
                  <c:v>45870</c:v>
                </c:pt>
                <c:pt idx="287">
                  <c:v>45873</c:v>
                </c:pt>
                <c:pt idx="288">
                  <c:v>45874</c:v>
                </c:pt>
                <c:pt idx="289">
                  <c:v>45875</c:v>
                </c:pt>
                <c:pt idx="290">
                  <c:v>45876</c:v>
                </c:pt>
                <c:pt idx="291">
                  <c:v>45877</c:v>
                </c:pt>
                <c:pt idx="292">
                  <c:v>45880</c:v>
                </c:pt>
                <c:pt idx="293">
                  <c:v>45881</c:v>
                </c:pt>
                <c:pt idx="294">
                  <c:v>45882</c:v>
                </c:pt>
                <c:pt idx="295">
                  <c:v>45883</c:v>
                </c:pt>
                <c:pt idx="296">
                  <c:v>45884</c:v>
                </c:pt>
                <c:pt idx="297">
                  <c:v>45887</c:v>
                </c:pt>
                <c:pt idx="298">
                  <c:v>45888</c:v>
                </c:pt>
                <c:pt idx="299">
                  <c:v>45889</c:v>
                </c:pt>
                <c:pt idx="300">
                  <c:v>45890</c:v>
                </c:pt>
                <c:pt idx="301">
                  <c:v>45891</c:v>
                </c:pt>
                <c:pt idx="302">
                  <c:v>45894</c:v>
                </c:pt>
                <c:pt idx="303">
                  <c:v>45895</c:v>
                </c:pt>
                <c:pt idx="304">
                  <c:v>45896</c:v>
                </c:pt>
                <c:pt idx="305">
                  <c:v>45897</c:v>
                </c:pt>
                <c:pt idx="306">
                  <c:v>45898</c:v>
                </c:pt>
                <c:pt idx="307">
                  <c:v>45901</c:v>
                </c:pt>
                <c:pt idx="308">
                  <c:v>45902</c:v>
                </c:pt>
                <c:pt idx="309">
                  <c:v>45903</c:v>
                </c:pt>
                <c:pt idx="310">
                  <c:v>45904</c:v>
                </c:pt>
                <c:pt idx="311">
                  <c:v>45905</c:v>
                </c:pt>
                <c:pt idx="312">
                  <c:v>45908</c:v>
                </c:pt>
                <c:pt idx="313">
                  <c:v>45909</c:v>
                </c:pt>
                <c:pt idx="314">
                  <c:v>45910</c:v>
                </c:pt>
                <c:pt idx="315">
                  <c:v>45911</c:v>
                </c:pt>
                <c:pt idx="316">
                  <c:v>45912</c:v>
                </c:pt>
              </c:numCache>
            </c:numRef>
          </c:cat>
          <c:val>
            <c:numRef>
              <c:f>策略组合!$L$3:$L$4000</c:f>
              <c:numCache>
                <c:formatCode>0.00_);[Red]\(0.00\)</c:formatCode>
                <c:ptCount val="3998"/>
                <c:pt idx="0">
                  <c:v>1</c:v>
                </c:pt>
                <c:pt idx="1">
                  <c:v>1.0002376383580966</c:v>
                </c:pt>
                <c:pt idx="2">
                  <c:v>1.0011478353865735</c:v>
                </c:pt>
                <c:pt idx="3">
                  <c:v>1.0027593836360049</c:v>
                </c:pt>
                <c:pt idx="4">
                  <c:v>1.0035249063911307</c:v>
                </c:pt>
                <c:pt idx="5">
                  <c:v>1.003914043823225</c:v>
                </c:pt>
                <c:pt idx="6">
                  <c:v>1.0028365875217746</c:v>
                </c:pt>
                <c:pt idx="7">
                  <c:v>1.0014457848562635</c:v>
                </c:pt>
                <c:pt idx="8">
                  <c:v>1.0033048396082613</c:v>
                </c:pt>
                <c:pt idx="9">
                  <c:v>1.0036831327726097</c:v>
                </c:pt>
                <c:pt idx="10">
                  <c:v>1.0043345955468213</c:v>
                </c:pt>
                <c:pt idx="11">
                  <c:v>1.0043971261226292</c:v>
                </c:pt>
                <c:pt idx="12">
                  <c:v>1.0054340262171562</c:v>
                </c:pt>
                <c:pt idx="13">
                  <c:v>1.0057354980510436</c:v>
                </c:pt>
                <c:pt idx="14">
                  <c:v>1.0045680875693888</c:v>
                </c:pt>
                <c:pt idx="15">
                  <c:v>1.0038779066596153</c:v>
                </c:pt>
                <c:pt idx="16">
                  <c:v>1.0020087453192759</c:v>
                </c:pt>
                <c:pt idx="17">
                  <c:v>1.0022775773350665</c:v>
                </c:pt>
                <c:pt idx="18">
                  <c:v>1.0030921573107876</c:v>
                </c:pt>
                <c:pt idx="19">
                  <c:v>1.0017737676467859</c:v>
                </c:pt>
                <c:pt idx="20">
                  <c:v>1.0018358044268922</c:v>
                </c:pt>
                <c:pt idx="21">
                  <c:v>1.0025992424984909</c:v>
                </c:pt>
                <c:pt idx="22">
                  <c:v>1.0031828453983629</c:v>
                </c:pt>
                <c:pt idx="23">
                  <c:v>1.0044991877313136</c:v>
                </c:pt>
                <c:pt idx="24">
                  <c:v>1.0034912067981587</c:v>
                </c:pt>
                <c:pt idx="25">
                  <c:v>1.0044248818125625</c:v>
                </c:pt>
                <c:pt idx="26">
                  <c:v>1.0031412999925782</c:v>
                </c:pt>
                <c:pt idx="27">
                  <c:v>1.0049325531181976</c:v>
                </c:pt>
                <c:pt idx="28">
                  <c:v>1.0062488601833977</c:v>
                </c:pt>
                <c:pt idx="29">
                  <c:v>1.0077782075001447</c:v>
                </c:pt>
                <c:pt idx="30">
                  <c:v>1.0095922837930538</c:v>
                </c:pt>
                <c:pt idx="31">
                  <c:v>1.0093684621701022</c:v>
                </c:pt>
                <c:pt idx="32">
                  <c:v>1.0111553007540743</c:v>
                </c:pt>
                <c:pt idx="33">
                  <c:v>1.0094640488828204</c:v>
                </c:pt>
                <c:pt idx="34">
                  <c:v>1.0084596124014897</c:v>
                </c:pt>
                <c:pt idx="35">
                  <c:v>1.0064377389610859</c:v>
                </c:pt>
                <c:pt idx="36">
                  <c:v>1.0075683371195683</c:v>
                </c:pt>
                <c:pt idx="37">
                  <c:v>1.0044494865962439</c:v>
                </c:pt>
                <c:pt idx="38">
                  <c:v>1.0006831675582677</c:v>
                </c:pt>
                <c:pt idx="39">
                  <c:v>0.99860129293850164</c:v>
                </c:pt>
                <c:pt idx="40">
                  <c:v>1.0007152183816563</c:v>
                </c:pt>
                <c:pt idx="41">
                  <c:v>1.0017026708828913</c:v>
                </c:pt>
                <c:pt idx="42">
                  <c:v>1.0005078852656435</c:v>
                </c:pt>
                <c:pt idx="43">
                  <c:v>1.0070812553173631</c:v>
                </c:pt>
                <c:pt idx="44">
                  <c:v>1.0054634778071798</c:v>
                </c:pt>
                <c:pt idx="45">
                  <c:v>1.0038092756790429</c:v>
                </c:pt>
                <c:pt idx="46">
                  <c:v>0.99846794591171528</c:v>
                </c:pt>
                <c:pt idx="47">
                  <c:v>0.99816748764627405</c:v>
                </c:pt>
                <c:pt idx="48">
                  <c:v>0.99727951655195879</c:v>
                </c:pt>
                <c:pt idx="49">
                  <c:v>1.0001345736995571</c:v>
                </c:pt>
                <c:pt idx="50">
                  <c:v>1.0006444212808148</c:v>
                </c:pt>
                <c:pt idx="51">
                  <c:v>1.0004281051775619</c:v>
                </c:pt>
                <c:pt idx="52">
                  <c:v>1.0040634415169198</c:v>
                </c:pt>
                <c:pt idx="53">
                  <c:v>1.0037958720194047</c:v>
                </c:pt>
                <c:pt idx="54">
                  <c:v>1.0060956874687264</c:v>
                </c:pt>
                <c:pt idx="55">
                  <c:v>1.0072253326682918</c:v>
                </c:pt>
                <c:pt idx="56">
                  <c:v>1.0096179630191791</c:v>
                </c:pt>
                <c:pt idx="57">
                  <c:v>1.0079401353137558</c:v>
                </c:pt>
                <c:pt idx="58">
                  <c:v>1.007969653362657</c:v>
                </c:pt>
                <c:pt idx="59">
                  <c:v>1.0058032849157788</c:v>
                </c:pt>
                <c:pt idx="60">
                  <c:v>1.0085996946257267</c:v>
                </c:pt>
                <c:pt idx="61">
                  <c:v>1.0074562598870196</c:v>
                </c:pt>
                <c:pt idx="62">
                  <c:v>1.0071236031212125</c:v>
                </c:pt>
                <c:pt idx="63">
                  <c:v>1.0055725512277587</c:v>
                </c:pt>
                <c:pt idx="64">
                  <c:v>1.0059032436315725</c:v>
                </c:pt>
                <c:pt idx="65">
                  <c:v>1.0074698462215628</c:v>
                </c:pt>
                <c:pt idx="66">
                  <c:v>1.0049444358922841</c:v>
                </c:pt>
                <c:pt idx="67">
                  <c:v>1.0031304599746416</c:v>
                </c:pt>
                <c:pt idx="68">
                  <c:v>1.0028553906403923</c:v>
                </c:pt>
                <c:pt idx="69">
                  <c:v>1.002578168449656</c:v>
                </c:pt>
                <c:pt idx="70">
                  <c:v>0.99947940044819716</c:v>
                </c:pt>
                <c:pt idx="71">
                  <c:v>0.99933974179464047</c:v>
                </c:pt>
                <c:pt idx="72">
                  <c:v>1.0014968366188592</c:v>
                </c:pt>
                <c:pt idx="73">
                  <c:v>1.0028618733550865</c:v>
                </c:pt>
                <c:pt idx="74">
                  <c:v>1.0031406829525449</c:v>
                </c:pt>
                <c:pt idx="75">
                  <c:v>1.003378637573568</c:v>
                </c:pt>
                <c:pt idx="76">
                  <c:v>1.0038505050745348</c:v>
                </c:pt>
                <c:pt idx="77">
                  <c:v>1.0079196735308742</c:v>
                </c:pt>
                <c:pt idx="78">
                  <c:v>1.0061340352418642</c:v>
                </c:pt>
                <c:pt idx="79">
                  <c:v>1.0063737477195847</c:v>
                </c:pt>
                <c:pt idx="80">
                  <c:v>1.012249624360603</c:v>
                </c:pt>
                <c:pt idx="81">
                  <c:v>1.0121414115972738</c:v>
                </c:pt>
                <c:pt idx="82">
                  <c:v>1.0194219283010724</c:v>
                </c:pt>
                <c:pt idx="83">
                  <c:v>1.0228007203657721</c:v>
                </c:pt>
                <c:pt idx="84">
                  <c:v>1.0332640597780991</c:v>
                </c:pt>
                <c:pt idx="85">
                  <c:v>1.0403880434533213</c:v>
                </c:pt>
                <c:pt idx="86">
                  <c:v>1.0282544707055243</c:v>
                </c:pt>
                <c:pt idx="87">
                  <c:v>1.0322714884339976</c:v>
                </c:pt>
                <c:pt idx="88">
                  <c:v>1.0299719625305819</c:v>
                </c:pt>
                <c:pt idx="89">
                  <c:v>1.0341293209281581</c:v>
                </c:pt>
                <c:pt idx="90">
                  <c:v>1.030055300505389</c:v>
                </c:pt>
                <c:pt idx="91">
                  <c:v>1.0322503260813976</c:v>
                </c:pt>
                <c:pt idx="92">
                  <c:v>1.030599274231591</c:v>
                </c:pt>
                <c:pt idx="93">
                  <c:v>1.0367750216124263</c:v>
                </c:pt>
                <c:pt idx="94">
                  <c:v>1.0339914199999027</c:v>
                </c:pt>
                <c:pt idx="95">
                  <c:v>1.0356558763663035</c:v>
                </c:pt>
                <c:pt idx="96">
                  <c:v>1.0351476523957219</c:v>
                </c:pt>
                <c:pt idx="97">
                  <c:v>1.0336951606594997</c:v>
                </c:pt>
                <c:pt idx="98">
                  <c:v>1.033030746075102</c:v>
                </c:pt>
                <c:pt idx="99">
                  <c:v>1.0348214136907654</c:v>
                </c:pt>
                <c:pt idx="100">
                  <c:v>1.0345351605271162</c:v>
                </c:pt>
                <c:pt idx="101">
                  <c:v>1.0331632289392041</c:v>
                </c:pt>
                <c:pt idx="102">
                  <c:v>1.0296473614377186</c:v>
                </c:pt>
                <c:pt idx="103">
                  <c:v>1.0293467992207066</c:v>
                </c:pt>
                <c:pt idx="104">
                  <c:v>1.0312655059744009</c:v>
                </c:pt>
                <c:pt idx="105">
                  <c:v>1.0360398785183058</c:v>
                </c:pt>
                <c:pt idx="106">
                  <c:v>1.0375993538342678</c:v>
                </c:pt>
                <c:pt idx="107">
                  <c:v>1.0464993251140742</c:v>
                </c:pt>
                <c:pt idx="108">
                  <c:v>1.044008636673021</c:v>
                </c:pt>
                <c:pt idx="109">
                  <c:v>1.0462208215810613</c:v>
                </c:pt>
                <c:pt idx="110">
                  <c:v>1.0428075094857929</c:v>
                </c:pt>
                <c:pt idx="111">
                  <c:v>1.0435328678904161</c:v>
                </c:pt>
                <c:pt idx="112">
                  <c:v>1.0388287902475823</c:v>
                </c:pt>
                <c:pt idx="113">
                  <c:v>1.0352065545879701</c:v>
                </c:pt>
                <c:pt idx="114">
                  <c:v>1.0357740254530685</c:v>
                </c:pt>
                <c:pt idx="115">
                  <c:v>1.0377316312369034</c:v>
                </c:pt>
                <c:pt idx="116">
                  <c:v>1.0384813456579542</c:v>
                </c:pt>
                <c:pt idx="117">
                  <c:v>1.0393138914149882</c:v>
                </c:pt>
                <c:pt idx="118">
                  <c:v>1.0355328603766329</c:v>
                </c:pt>
                <c:pt idx="119">
                  <c:v>1.0361934510515005</c:v>
                </c:pt>
                <c:pt idx="120">
                  <c:v>1.036308842816581</c:v>
                </c:pt>
                <c:pt idx="121">
                  <c:v>1.0397861270061999</c:v>
                </c:pt>
                <c:pt idx="122">
                  <c:v>1.0380391107965798</c:v>
                </c:pt>
                <c:pt idx="123">
                  <c:v>1.0409150923655892</c:v>
                </c:pt>
                <c:pt idx="124">
                  <c:v>1.0436240066927123</c:v>
                </c:pt>
                <c:pt idx="125">
                  <c:v>1.0454736578370427</c:v>
                </c:pt>
                <c:pt idx="126">
                  <c:v>1.0457307746603008</c:v>
                </c:pt>
                <c:pt idx="127">
                  <c:v>1.0447123254225108</c:v>
                </c:pt>
                <c:pt idx="128">
                  <c:v>1.0475212723524165</c:v>
                </c:pt>
                <c:pt idx="129">
                  <c:v>1.0481516316941688</c:v>
                </c:pt>
                <c:pt idx="130">
                  <c:v>1.0490568258415516</c:v>
                </c:pt>
                <c:pt idx="131">
                  <c:v>1.0503747549841032</c:v>
                </c:pt>
                <c:pt idx="132">
                  <c:v>1.0513280324871692</c:v>
                </c:pt>
                <c:pt idx="133">
                  <c:v>1.0477648767056029</c:v>
                </c:pt>
                <c:pt idx="134">
                  <c:v>1.0480648450603072</c:v>
                </c:pt>
                <c:pt idx="135">
                  <c:v>1.0469716436705789</c:v>
                </c:pt>
                <c:pt idx="136">
                  <c:v>1.0425135021861867</c:v>
                </c:pt>
                <c:pt idx="137">
                  <c:v>1.0417144696451095</c:v>
                </c:pt>
                <c:pt idx="138">
                  <c:v>1.0430820639413856</c:v>
                </c:pt>
                <c:pt idx="139">
                  <c:v>1.0438817487277121</c:v>
                </c:pt>
                <c:pt idx="140">
                  <c:v>1.0471187593319715</c:v>
                </c:pt>
                <c:pt idx="141">
                  <c:v>1.0464407118388384</c:v>
                </c:pt>
                <c:pt idx="142">
                  <c:v>1.0468349710414562</c:v>
                </c:pt>
                <c:pt idx="143">
                  <c:v>1.0455463542898413</c:v>
                </c:pt>
                <c:pt idx="144">
                  <c:v>1.0450786500101963</c:v>
                </c:pt>
                <c:pt idx="145">
                  <c:v>1.0429138291802085</c:v>
                </c:pt>
                <c:pt idx="146">
                  <c:v>1.0390934993667171</c:v>
                </c:pt>
                <c:pt idx="147">
                  <c:v>1.0397641063384095</c:v>
                </c:pt>
                <c:pt idx="148">
                  <c:v>1.0400358215338963</c:v>
                </c:pt>
                <c:pt idx="149">
                  <c:v>1.0379809674429263</c:v>
                </c:pt>
                <c:pt idx="150">
                  <c:v>1.0378797170870566</c:v>
                </c:pt>
                <c:pt idx="151">
                  <c:v>1.037177404495486</c:v>
                </c:pt>
                <c:pt idx="152">
                  <c:v>1.0321798239103999</c:v>
                </c:pt>
                <c:pt idx="153">
                  <c:v>1.0310733308089397</c:v>
                </c:pt>
                <c:pt idx="154">
                  <c:v>1.0352328725265074</c:v>
                </c:pt>
                <c:pt idx="155">
                  <c:v>1.0386464940169029</c:v>
                </c:pt>
                <c:pt idx="156">
                  <c:v>1.039430684111619</c:v>
                </c:pt>
                <c:pt idx="157">
                  <c:v>1.0411751254397481</c:v>
                </c:pt>
                <c:pt idx="158">
                  <c:v>1.0419528042798862</c:v>
                </c:pt>
                <c:pt idx="159">
                  <c:v>1.0428385880073421</c:v>
                </c:pt>
                <c:pt idx="160">
                  <c:v>1.0419069104513576</c:v>
                </c:pt>
                <c:pt idx="161">
                  <c:v>1.0426559298561828</c:v>
                </c:pt>
                <c:pt idx="162">
                  <c:v>1.0441168096352658</c:v>
                </c:pt>
                <c:pt idx="163">
                  <c:v>1.0430571426028734</c:v>
                </c:pt>
                <c:pt idx="164">
                  <c:v>1.0468829037964338</c:v>
                </c:pt>
                <c:pt idx="165">
                  <c:v>1.0497437987524074</c:v>
                </c:pt>
                <c:pt idx="166">
                  <c:v>1.0499727491653312</c:v>
                </c:pt>
                <c:pt idx="167">
                  <c:v>1.0526477800508143</c:v>
                </c:pt>
                <c:pt idx="168">
                  <c:v>1.051265291073106</c:v>
                </c:pt>
                <c:pt idx="169">
                  <c:v>1.0521539560833375</c:v>
                </c:pt>
                <c:pt idx="170">
                  <c:v>1.0537156193868382</c:v>
                </c:pt>
                <c:pt idx="171">
                  <c:v>1.0568820643229944</c:v>
                </c:pt>
                <c:pt idx="172">
                  <c:v>1.0560944599075879</c:v>
                </c:pt>
                <c:pt idx="173">
                  <c:v>1.0555860032537487</c:v>
                </c:pt>
                <c:pt idx="174">
                  <c:v>1.0571954003433603</c:v>
                </c:pt>
                <c:pt idx="175">
                  <c:v>1.0551679324197056</c:v>
                </c:pt>
                <c:pt idx="176">
                  <c:v>1.0555346398574843</c:v>
                </c:pt>
                <c:pt idx="177">
                  <c:v>1.0541779083090206</c:v>
                </c:pt>
                <c:pt idx="178">
                  <c:v>1.0520901721533655</c:v>
                </c:pt>
                <c:pt idx="179">
                  <c:v>1.0549893653360571</c:v>
                </c:pt>
                <c:pt idx="180">
                  <c:v>1.0519968613991419</c:v>
                </c:pt>
                <c:pt idx="181">
                  <c:v>1.050037053944153</c:v>
                </c:pt>
                <c:pt idx="182">
                  <c:v>1.0478938251559584</c:v>
                </c:pt>
                <c:pt idx="183">
                  <c:v>1.0463699678228389</c:v>
                </c:pt>
                <c:pt idx="184">
                  <c:v>1.0496916941809482</c:v>
                </c:pt>
                <c:pt idx="185">
                  <c:v>1.050130110662141</c:v>
                </c:pt>
                <c:pt idx="186">
                  <c:v>1.0493450569307068</c:v>
                </c:pt>
                <c:pt idx="187">
                  <c:v>1.0448834861030898</c:v>
                </c:pt>
                <c:pt idx="188">
                  <c:v>1.0429391851045822</c:v>
                </c:pt>
                <c:pt idx="189">
                  <c:v>1.0427667548980342</c:v>
                </c:pt>
                <c:pt idx="190">
                  <c:v>1.0409579547879404</c:v>
                </c:pt>
                <c:pt idx="191">
                  <c:v>1.0478459378977858</c:v>
                </c:pt>
                <c:pt idx="192">
                  <c:v>1.048610646889117</c:v>
                </c:pt>
                <c:pt idx="193">
                  <c:v>1.0496600284891069</c:v>
                </c:pt>
                <c:pt idx="194">
                  <c:v>1.0518082311210284</c:v>
                </c:pt>
                <c:pt idx="195">
                  <c:v>1.0502731985118527</c:v>
                </c:pt>
                <c:pt idx="196">
                  <c:v>1.0476515642129423</c:v>
                </c:pt>
                <c:pt idx="197">
                  <c:v>1.0504665908918169</c:v>
                </c:pt>
                <c:pt idx="198">
                  <c:v>1.049741713427768</c:v>
                </c:pt>
                <c:pt idx="199">
                  <c:v>1.0481036830197674</c:v>
                </c:pt>
                <c:pt idx="200">
                  <c:v>1.0483583916135513</c:v>
                </c:pt>
                <c:pt idx="201">
                  <c:v>1.0459784528358562</c:v>
                </c:pt>
                <c:pt idx="202">
                  <c:v>1.0460863486859091</c:v>
                </c:pt>
                <c:pt idx="203">
                  <c:v>1.0478778032027207</c:v>
                </c:pt>
                <c:pt idx="204">
                  <c:v>1.0490520508636665</c:v>
                </c:pt>
                <c:pt idx="205">
                  <c:v>1.0432926282375816</c:v>
                </c:pt>
                <c:pt idx="206">
                  <c:v>1.0180258809527931</c:v>
                </c:pt>
                <c:pt idx="207">
                  <c:v>1.0177416823081022</c:v>
                </c:pt>
                <c:pt idx="208">
                  <c:v>1.0307352310176277</c:v>
                </c:pt>
                <c:pt idx="209">
                  <c:v>1.0293619475281683</c:v>
                </c:pt>
                <c:pt idx="210">
                  <c:v>1.0324171172852665</c:v>
                </c:pt>
                <c:pt idx="211">
                  <c:v>1.036780314736875</c:v>
                </c:pt>
                <c:pt idx="212">
                  <c:v>1.0368960677993948</c:v>
                </c:pt>
                <c:pt idx="213">
                  <c:v>1.0344690563955781</c:v>
                </c:pt>
                <c:pt idx="214">
                  <c:v>1.0350631365897227</c:v>
                </c:pt>
                <c:pt idx="215">
                  <c:v>1.03524603158845</c:v>
                </c:pt>
                <c:pt idx="216">
                  <c:v>1.0331668700884888</c:v>
                </c:pt>
                <c:pt idx="217">
                  <c:v>1.0378259537202146</c:v>
                </c:pt>
                <c:pt idx="218">
                  <c:v>1.0398982577687808</c:v>
                </c:pt>
                <c:pt idx="219">
                  <c:v>1.0426860591172262</c:v>
                </c:pt>
                <c:pt idx="220">
                  <c:v>1.0439498312033961</c:v>
                </c:pt>
                <c:pt idx="221">
                  <c:v>1.0437321466840062</c:v>
                </c:pt>
                <c:pt idx="222">
                  <c:v>1.0448409635319591</c:v>
                </c:pt>
                <c:pt idx="223">
                  <c:v>1.0456065401129657</c:v>
                </c:pt>
                <c:pt idx="224">
                  <c:v>1.0488748060170296</c:v>
                </c:pt>
                <c:pt idx="225">
                  <c:v>1.0507057805287814</c:v>
                </c:pt>
                <c:pt idx="226">
                  <c:v>1.0519744924797765</c:v>
                </c:pt>
                <c:pt idx="227">
                  <c:v>1.0516795148696059</c:v>
                </c:pt>
                <c:pt idx="228">
                  <c:v>1.0565751062218112</c:v>
                </c:pt>
                <c:pt idx="229">
                  <c:v>1.0565467651473004</c:v>
                </c:pt>
                <c:pt idx="230">
                  <c:v>1.0583289717811522</c:v>
                </c:pt>
                <c:pt idx="231">
                  <c:v>1.0569559745334007</c:v>
                </c:pt>
                <c:pt idx="232">
                  <c:v>1.0573988018391445</c:v>
                </c:pt>
                <c:pt idx="233">
                  <c:v>1.0579022353131899</c:v>
                </c:pt>
                <c:pt idx="234">
                  <c:v>1.0588571072033242</c:v>
                </c:pt>
                <c:pt idx="235">
                  <c:v>1.0574950202474318</c:v>
                </c:pt>
                <c:pt idx="236">
                  <c:v>1.0568419598240071</c:v>
                </c:pt>
                <c:pt idx="237">
                  <c:v>1.0550281621743787</c:v>
                </c:pt>
                <c:pt idx="238">
                  <c:v>1.0535255387843603</c:v>
                </c:pt>
                <c:pt idx="239">
                  <c:v>1.0567963753738718</c:v>
                </c:pt>
                <c:pt idx="240">
                  <c:v>1.0554890722262031</c:v>
                </c:pt>
                <c:pt idx="241">
                  <c:v>1.0575156583890968</c:v>
                </c:pt>
                <c:pt idx="242">
                  <c:v>1.0567437589958093</c:v>
                </c:pt>
                <c:pt idx="243">
                  <c:v>1.05931929344492</c:v>
                </c:pt>
                <c:pt idx="244">
                  <c:v>1.0610630534023453</c:v>
                </c:pt>
                <c:pt idx="245">
                  <c:v>1.0606375326969624</c:v>
                </c:pt>
                <c:pt idx="246">
                  <c:v>1.0607736482279786</c:v>
                </c:pt>
                <c:pt idx="247">
                  <c:v>1.0624402592343973</c:v>
                </c:pt>
                <c:pt idx="248">
                  <c:v>1.0623772363224921</c:v>
                </c:pt>
                <c:pt idx="249">
                  <c:v>1.0638119556537944</c:v>
                </c:pt>
                <c:pt idx="250">
                  <c:v>1.0644695844893042</c:v>
                </c:pt>
                <c:pt idx="251">
                  <c:v>1.0614053656396933</c:v>
                </c:pt>
                <c:pt idx="252">
                  <c:v>1.0633412835223881</c:v>
                </c:pt>
                <c:pt idx="253">
                  <c:v>1.0617512946439991</c:v>
                </c:pt>
                <c:pt idx="254">
                  <c:v>1.0611583829344262</c:v>
                </c:pt>
                <c:pt idx="255">
                  <c:v>1.0586293433518006</c:v>
                </c:pt>
                <c:pt idx="256">
                  <c:v>1.0593219772101039</c:v>
                </c:pt>
                <c:pt idx="257">
                  <c:v>1.062134023969864</c:v>
                </c:pt>
                <c:pt idx="258">
                  <c:v>1.0658929916169138</c:v>
                </c:pt>
                <c:pt idx="259">
                  <c:v>1.06802871436365</c:v>
                </c:pt>
                <c:pt idx="260">
                  <c:v>1.0689135163783106</c:v>
                </c:pt>
                <c:pt idx="261">
                  <c:v>1.0685983389558855</c:v>
                </c:pt>
                <c:pt idx="262">
                  <c:v>1.0694478568666148</c:v>
                </c:pt>
                <c:pt idx="263">
                  <c:v>1.0698866146977395</c:v>
                </c:pt>
                <c:pt idx="264">
                  <c:v>1.0710727581803934</c:v>
                </c:pt>
                <c:pt idx="265">
                  <c:v>1.0722299808240345</c:v>
                </c:pt>
                <c:pt idx="266">
                  <c:v>1.0721969988729232</c:v>
                </c:pt>
                <c:pt idx="267">
                  <c:v>1.0704629512781458</c:v>
                </c:pt>
                <c:pt idx="268">
                  <c:v>1.0717510218440671</c:v>
                </c:pt>
                <c:pt idx="269">
                  <c:v>1.0718158410736611</c:v>
                </c:pt>
                <c:pt idx="270">
                  <c:v>1.0731912171953302</c:v>
                </c:pt>
                <c:pt idx="271">
                  <c:v>1.0723991027812918</c:v>
                </c:pt>
                <c:pt idx="272">
                  <c:v>1.0733895242147897</c:v>
                </c:pt>
                <c:pt idx="273">
                  <c:v>1.073129212189347</c:v>
                </c:pt>
                <c:pt idx="274">
                  <c:v>1.073438027899543</c:v>
                </c:pt>
                <c:pt idx="275">
                  <c:v>1.0746467584386785</c:v>
                </c:pt>
                <c:pt idx="276">
                  <c:v>1.0768186983964014</c:v>
                </c:pt>
                <c:pt idx="277">
                  <c:v>1.0791961375804691</c:v>
                </c:pt>
                <c:pt idx="278">
                  <c:v>1.0804466969452839</c:v>
                </c:pt>
                <c:pt idx="279">
                  <c:v>1.0817965473536506</c:v>
                </c:pt>
                <c:pt idx="280">
                  <c:v>1.0817272194751812</c:v>
                </c:pt>
                <c:pt idx="281">
                  <c:v>1.0808995664663759</c:v>
                </c:pt>
                <c:pt idx="282">
                  <c:v>1.0819724005596119</c:v>
                </c:pt>
                <c:pt idx="283">
                  <c:v>1.0818342763268178</c:v>
                </c:pt>
                <c:pt idx="284">
                  <c:v>1.0805842379244521</c:v>
                </c:pt>
                <c:pt idx="285">
                  <c:v>1.0772280888045036</c:v>
                </c:pt>
                <c:pt idx="286">
                  <c:v>1.0751319968093027</c:v>
                </c:pt>
                <c:pt idx="287">
                  <c:v>1.0785692783045868</c:v>
                </c:pt>
                <c:pt idx="288">
                  <c:v>1.0793310845607822</c:v>
                </c:pt>
                <c:pt idx="289">
                  <c:v>1.0811672230334786</c:v>
                </c:pt>
                <c:pt idx="290">
                  <c:v>1.0810414333096485</c:v>
                </c:pt>
                <c:pt idx="291">
                  <c:v>1.0816910412917973</c:v>
                </c:pt>
                <c:pt idx="292">
                  <c:v>1.0813764286481458</c:v>
                </c:pt>
                <c:pt idx="293">
                  <c:v>1.0834916863960018</c:v>
                </c:pt>
                <c:pt idx="294">
                  <c:v>1.0864368647815039</c:v>
                </c:pt>
                <c:pt idx="295">
                  <c:v>1.0850235349298976</c:v>
                </c:pt>
                <c:pt idx="296">
                  <c:v>1.0848429668363262</c:v>
                </c:pt>
                <c:pt idx="297">
                  <c:v>1.0841081583817724</c:v>
                </c:pt>
                <c:pt idx="298">
                  <c:v>1.0829042048621258</c:v>
                </c:pt>
                <c:pt idx="299">
                  <c:v>1.0845113978065883</c:v>
                </c:pt>
                <c:pt idx="300">
                  <c:v>1.0830289452423592</c:v>
                </c:pt>
                <c:pt idx="301">
                  <c:v>1.0845806689818696</c:v>
                </c:pt>
                <c:pt idx="302">
                  <c:v>1.0863358671152392</c:v>
                </c:pt>
                <c:pt idx="303">
                  <c:v>1.0869856385870864</c:v>
                </c:pt>
                <c:pt idx="304">
                  <c:v>1.0839841825457246</c:v>
                </c:pt>
                <c:pt idx="305">
                  <c:v>1.0860135894105041</c:v>
                </c:pt>
                <c:pt idx="306">
                  <c:v>1.0856687424741474</c:v>
                </c:pt>
                <c:pt idx="307">
                  <c:v>1.0864247478542706</c:v>
                </c:pt>
                <c:pt idx="308">
                  <c:v>1.0834663193881302</c:v>
                </c:pt>
                <c:pt idx="309">
                  <c:v>1.0841921782381756</c:v>
                </c:pt>
                <c:pt idx="310">
                  <c:v>1.0826318185487032</c:v>
                </c:pt>
                <c:pt idx="311">
                  <c:v>1.0858854390910646</c:v>
                </c:pt>
                <c:pt idx="312">
                  <c:v>1.0862866396995241</c:v>
                </c:pt>
                <c:pt idx="313">
                  <c:v>1.0846976299969024</c:v>
                </c:pt>
                <c:pt idx="314">
                  <c:v>1.0842190692606002</c:v>
                </c:pt>
                <c:pt idx="315">
                  <c:v>1.0880447464354717</c:v>
                </c:pt>
                <c:pt idx="316">
                  <c:v>1.0880315207399212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BC-4422-80F7-36522358D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5329248"/>
        <c:axId val="1455306784"/>
      </c:lineChart>
      <c:dateAx>
        <c:axId val="2036822432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Segoe UI" panose="020B0502040204020203" pitchFamily="34" charset="0"/>
              </a:defRPr>
            </a:pPr>
            <a:endParaRPr lang="zh-CN"/>
          </a:p>
        </c:txPr>
        <c:crossAx val="2036823680"/>
        <c:crosses val="autoZero"/>
        <c:auto val="1"/>
        <c:lblOffset val="100"/>
        <c:baseTimeUnit val="days"/>
      </c:dateAx>
      <c:valAx>
        <c:axId val="203682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Segoe UI" panose="020B0502040204020203" pitchFamily="34" charset="0"/>
              </a:defRPr>
            </a:pPr>
            <a:endParaRPr lang="zh-CN"/>
          </a:p>
        </c:txPr>
        <c:crossAx val="2036822432"/>
        <c:crosses val="autoZero"/>
        <c:crossBetween val="between"/>
      </c:valAx>
      <c:valAx>
        <c:axId val="1455306784"/>
        <c:scaling>
          <c:orientation val="minMax"/>
          <c:min val="0.98"/>
        </c:scaling>
        <c:delete val="0"/>
        <c:axPos val="r"/>
        <c:numFmt formatCode="#,##0.00_ " sourceLinked="0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Segoe UI" panose="020B0502040204020203" pitchFamily="34" charset="0"/>
              </a:defRPr>
            </a:pPr>
            <a:endParaRPr lang="zh-CN"/>
          </a:p>
        </c:txPr>
        <c:crossAx val="1455329248"/>
        <c:crosses val="max"/>
        <c:crossBetween val="between"/>
      </c:valAx>
      <c:dateAx>
        <c:axId val="145532924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455306784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97809076682316"/>
          <c:y val="2.6121801000040558E-2"/>
          <c:w val="0.48732394366197185"/>
          <c:h val="5.560493827160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Segoe UI" panose="020B0502040204020203" pitchFamily="34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楷体" panose="02010609060101010101" pitchFamily="49" charset="-122"/>
          <a:ea typeface="楷体" panose="02010609060101010101" pitchFamily="49" charset="-122"/>
          <a:cs typeface="Segoe UI" panose="020B0502040204020203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r>
              <a:rPr lang="zh-CN"/>
              <a:t>策略组合：滚动半年跟踪误差</a:t>
            </a:r>
          </a:p>
        </c:rich>
      </c:tx>
      <c:layout>
        <c:manualLayout>
          <c:xMode val="edge"/>
          <c:yMode val="edge"/>
          <c:x val="6.7525370804059334E-2"/>
          <c:y val="1.7130527499148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2969505860947711E-2"/>
          <c:y val="0.11915911311153336"/>
          <c:w val="0.90829027519101091"/>
          <c:h val="0.73431570533101909"/>
        </c:manualLayout>
      </c:layout>
      <c:lineChart>
        <c:grouping val="standard"/>
        <c:varyColors val="0"/>
        <c:ser>
          <c:idx val="0"/>
          <c:order val="0"/>
          <c:tx>
            <c:strRef>
              <c:f>策略组合!$R$2</c:f>
              <c:strCache>
                <c:ptCount val="1"/>
                <c:pt idx="0">
                  <c:v>滚动半年跟踪误差</c:v>
                </c:pt>
              </c:strCache>
            </c:strRef>
          </c:tx>
          <c:spPr>
            <a:ln w="381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策略组合!$G$124:$G$4000</c:f>
              <c:numCache>
                <c:formatCode>yyyy\-mm\-dd</c:formatCode>
                <c:ptCount val="3877"/>
                <c:pt idx="0">
                  <c:v>45623</c:v>
                </c:pt>
                <c:pt idx="1">
                  <c:v>45624</c:v>
                </c:pt>
                <c:pt idx="2">
                  <c:v>45625</c:v>
                </c:pt>
                <c:pt idx="3">
                  <c:v>45628</c:v>
                </c:pt>
                <c:pt idx="4">
                  <c:v>45629</c:v>
                </c:pt>
                <c:pt idx="5">
                  <c:v>45630</c:v>
                </c:pt>
                <c:pt idx="6">
                  <c:v>45631</c:v>
                </c:pt>
                <c:pt idx="7">
                  <c:v>45632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45642</c:v>
                </c:pt>
                <c:pt idx="14">
                  <c:v>45643</c:v>
                </c:pt>
                <c:pt idx="15">
                  <c:v>45644</c:v>
                </c:pt>
                <c:pt idx="16">
                  <c:v>45645</c:v>
                </c:pt>
                <c:pt idx="17">
                  <c:v>45646</c:v>
                </c:pt>
                <c:pt idx="18">
                  <c:v>45649</c:v>
                </c:pt>
                <c:pt idx="19">
                  <c:v>45650</c:v>
                </c:pt>
                <c:pt idx="20">
                  <c:v>45651</c:v>
                </c:pt>
                <c:pt idx="21">
                  <c:v>45652</c:v>
                </c:pt>
                <c:pt idx="22">
                  <c:v>45653</c:v>
                </c:pt>
                <c:pt idx="23">
                  <c:v>45656</c:v>
                </c:pt>
                <c:pt idx="24">
                  <c:v>45657</c:v>
                </c:pt>
                <c:pt idx="25">
                  <c:v>45659</c:v>
                </c:pt>
                <c:pt idx="26">
                  <c:v>45660</c:v>
                </c:pt>
                <c:pt idx="27">
                  <c:v>45663</c:v>
                </c:pt>
                <c:pt idx="28">
                  <c:v>45664</c:v>
                </c:pt>
                <c:pt idx="29">
                  <c:v>45665</c:v>
                </c:pt>
                <c:pt idx="30">
                  <c:v>45666</c:v>
                </c:pt>
                <c:pt idx="31">
                  <c:v>45667</c:v>
                </c:pt>
                <c:pt idx="32">
                  <c:v>45670</c:v>
                </c:pt>
                <c:pt idx="33">
                  <c:v>45671</c:v>
                </c:pt>
                <c:pt idx="34">
                  <c:v>45672</c:v>
                </c:pt>
                <c:pt idx="35">
                  <c:v>45673</c:v>
                </c:pt>
                <c:pt idx="36">
                  <c:v>45674</c:v>
                </c:pt>
                <c:pt idx="37">
                  <c:v>45677</c:v>
                </c:pt>
                <c:pt idx="38">
                  <c:v>45678</c:v>
                </c:pt>
                <c:pt idx="39">
                  <c:v>45679</c:v>
                </c:pt>
                <c:pt idx="40">
                  <c:v>45680</c:v>
                </c:pt>
                <c:pt idx="41">
                  <c:v>45681</c:v>
                </c:pt>
                <c:pt idx="42">
                  <c:v>45684</c:v>
                </c:pt>
                <c:pt idx="43">
                  <c:v>45693</c:v>
                </c:pt>
                <c:pt idx="44">
                  <c:v>45694</c:v>
                </c:pt>
                <c:pt idx="45">
                  <c:v>45695</c:v>
                </c:pt>
                <c:pt idx="46">
                  <c:v>45698</c:v>
                </c:pt>
                <c:pt idx="47">
                  <c:v>45699</c:v>
                </c:pt>
                <c:pt idx="48">
                  <c:v>45700</c:v>
                </c:pt>
                <c:pt idx="49">
                  <c:v>45701</c:v>
                </c:pt>
                <c:pt idx="50">
                  <c:v>45702</c:v>
                </c:pt>
                <c:pt idx="51">
                  <c:v>45705</c:v>
                </c:pt>
                <c:pt idx="52">
                  <c:v>45706</c:v>
                </c:pt>
                <c:pt idx="53">
                  <c:v>45707</c:v>
                </c:pt>
                <c:pt idx="54">
                  <c:v>45708</c:v>
                </c:pt>
                <c:pt idx="55">
                  <c:v>45709</c:v>
                </c:pt>
                <c:pt idx="56">
                  <c:v>45712</c:v>
                </c:pt>
                <c:pt idx="57">
                  <c:v>45713</c:v>
                </c:pt>
                <c:pt idx="58">
                  <c:v>45714</c:v>
                </c:pt>
                <c:pt idx="59">
                  <c:v>45715</c:v>
                </c:pt>
                <c:pt idx="60">
                  <c:v>45716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45726</c:v>
                </c:pt>
                <c:pt idx="67">
                  <c:v>45727</c:v>
                </c:pt>
                <c:pt idx="68">
                  <c:v>45728</c:v>
                </c:pt>
                <c:pt idx="69">
                  <c:v>45729</c:v>
                </c:pt>
                <c:pt idx="70">
                  <c:v>45730</c:v>
                </c:pt>
                <c:pt idx="71">
                  <c:v>45733</c:v>
                </c:pt>
                <c:pt idx="72">
                  <c:v>45734</c:v>
                </c:pt>
                <c:pt idx="73">
                  <c:v>45735</c:v>
                </c:pt>
                <c:pt idx="74">
                  <c:v>45736</c:v>
                </c:pt>
                <c:pt idx="75">
                  <c:v>45737</c:v>
                </c:pt>
                <c:pt idx="76">
                  <c:v>45740</c:v>
                </c:pt>
                <c:pt idx="77">
                  <c:v>45741</c:v>
                </c:pt>
                <c:pt idx="78">
                  <c:v>45742</c:v>
                </c:pt>
                <c:pt idx="79">
                  <c:v>45743</c:v>
                </c:pt>
                <c:pt idx="80">
                  <c:v>45744</c:v>
                </c:pt>
                <c:pt idx="81">
                  <c:v>45747</c:v>
                </c:pt>
                <c:pt idx="82">
                  <c:v>45748</c:v>
                </c:pt>
                <c:pt idx="83">
                  <c:v>45749</c:v>
                </c:pt>
                <c:pt idx="84">
                  <c:v>45750</c:v>
                </c:pt>
                <c:pt idx="85">
                  <c:v>45754</c:v>
                </c:pt>
                <c:pt idx="86">
                  <c:v>45755</c:v>
                </c:pt>
                <c:pt idx="87">
                  <c:v>45756</c:v>
                </c:pt>
                <c:pt idx="88">
                  <c:v>45757</c:v>
                </c:pt>
                <c:pt idx="89">
                  <c:v>45758</c:v>
                </c:pt>
                <c:pt idx="90">
                  <c:v>45761</c:v>
                </c:pt>
                <c:pt idx="91">
                  <c:v>45762</c:v>
                </c:pt>
                <c:pt idx="92">
                  <c:v>45763</c:v>
                </c:pt>
                <c:pt idx="93">
                  <c:v>45764</c:v>
                </c:pt>
                <c:pt idx="94">
                  <c:v>45765</c:v>
                </c:pt>
                <c:pt idx="95">
                  <c:v>45768</c:v>
                </c:pt>
                <c:pt idx="96">
                  <c:v>45769</c:v>
                </c:pt>
                <c:pt idx="97">
                  <c:v>45770</c:v>
                </c:pt>
                <c:pt idx="98">
                  <c:v>45771</c:v>
                </c:pt>
                <c:pt idx="99">
                  <c:v>45772</c:v>
                </c:pt>
                <c:pt idx="100">
                  <c:v>45775</c:v>
                </c:pt>
                <c:pt idx="101">
                  <c:v>45776</c:v>
                </c:pt>
                <c:pt idx="102">
                  <c:v>45777</c:v>
                </c:pt>
                <c:pt idx="103">
                  <c:v>45783</c:v>
                </c:pt>
                <c:pt idx="104">
                  <c:v>45784</c:v>
                </c:pt>
                <c:pt idx="105">
                  <c:v>45785</c:v>
                </c:pt>
                <c:pt idx="106">
                  <c:v>45786</c:v>
                </c:pt>
                <c:pt idx="107">
                  <c:v>45789</c:v>
                </c:pt>
                <c:pt idx="108">
                  <c:v>45790</c:v>
                </c:pt>
                <c:pt idx="109">
                  <c:v>45791</c:v>
                </c:pt>
                <c:pt idx="110">
                  <c:v>45792</c:v>
                </c:pt>
                <c:pt idx="111">
                  <c:v>45793</c:v>
                </c:pt>
                <c:pt idx="112">
                  <c:v>45796</c:v>
                </c:pt>
                <c:pt idx="113">
                  <c:v>45797</c:v>
                </c:pt>
                <c:pt idx="114">
                  <c:v>45798</c:v>
                </c:pt>
                <c:pt idx="115">
                  <c:v>45799</c:v>
                </c:pt>
                <c:pt idx="116">
                  <c:v>45800</c:v>
                </c:pt>
                <c:pt idx="117">
                  <c:v>45803</c:v>
                </c:pt>
                <c:pt idx="118">
                  <c:v>45804</c:v>
                </c:pt>
                <c:pt idx="119">
                  <c:v>45805</c:v>
                </c:pt>
                <c:pt idx="120">
                  <c:v>45806</c:v>
                </c:pt>
                <c:pt idx="121">
                  <c:v>45807</c:v>
                </c:pt>
                <c:pt idx="122">
                  <c:v>45811</c:v>
                </c:pt>
                <c:pt idx="123">
                  <c:v>45812</c:v>
                </c:pt>
                <c:pt idx="124">
                  <c:v>45813</c:v>
                </c:pt>
                <c:pt idx="125">
                  <c:v>45814</c:v>
                </c:pt>
                <c:pt idx="126">
                  <c:v>45817</c:v>
                </c:pt>
                <c:pt idx="127">
                  <c:v>45818</c:v>
                </c:pt>
                <c:pt idx="128">
                  <c:v>45819</c:v>
                </c:pt>
                <c:pt idx="129">
                  <c:v>45820</c:v>
                </c:pt>
                <c:pt idx="130">
                  <c:v>45821</c:v>
                </c:pt>
                <c:pt idx="131">
                  <c:v>45824</c:v>
                </c:pt>
                <c:pt idx="132">
                  <c:v>45825</c:v>
                </c:pt>
                <c:pt idx="133">
                  <c:v>45826</c:v>
                </c:pt>
                <c:pt idx="134">
                  <c:v>45827</c:v>
                </c:pt>
                <c:pt idx="135">
                  <c:v>45828</c:v>
                </c:pt>
                <c:pt idx="136">
                  <c:v>45831</c:v>
                </c:pt>
                <c:pt idx="137">
                  <c:v>45832</c:v>
                </c:pt>
                <c:pt idx="138">
                  <c:v>45833</c:v>
                </c:pt>
                <c:pt idx="139">
                  <c:v>45834</c:v>
                </c:pt>
                <c:pt idx="140">
                  <c:v>45835</c:v>
                </c:pt>
                <c:pt idx="141">
                  <c:v>45838</c:v>
                </c:pt>
                <c:pt idx="142">
                  <c:v>45839</c:v>
                </c:pt>
                <c:pt idx="143">
                  <c:v>45840</c:v>
                </c:pt>
                <c:pt idx="144">
                  <c:v>45841</c:v>
                </c:pt>
                <c:pt idx="145">
                  <c:v>45842</c:v>
                </c:pt>
                <c:pt idx="146">
                  <c:v>45845</c:v>
                </c:pt>
                <c:pt idx="147">
                  <c:v>45846</c:v>
                </c:pt>
                <c:pt idx="148">
                  <c:v>45847</c:v>
                </c:pt>
                <c:pt idx="149">
                  <c:v>45848</c:v>
                </c:pt>
                <c:pt idx="150">
                  <c:v>45849</c:v>
                </c:pt>
                <c:pt idx="151">
                  <c:v>45852</c:v>
                </c:pt>
                <c:pt idx="152">
                  <c:v>45853</c:v>
                </c:pt>
                <c:pt idx="153">
                  <c:v>45854</c:v>
                </c:pt>
                <c:pt idx="154">
                  <c:v>45855</c:v>
                </c:pt>
                <c:pt idx="155">
                  <c:v>45856</c:v>
                </c:pt>
                <c:pt idx="156">
                  <c:v>45859</c:v>
                </c:pt>
                <c:pt idx="157">
                  <c:v>45860</c:v>
                </c:pt>
                <c:pt idx="158">
                  <c:v>45861</c:v>
                </c:pt>
                <c:pt idx="159">
                  <c:v>45862</c:v>
                </c:pt>
                <c:pt idx="160">
                  <c:v>45863</c:v>
                </c:pt>
                <c:pt idx="161">
                  <c:v>45866</c:v>
                </c:pt>
                <c:pt idx="162">
                  <c:v>45867</c:v>
                </c:pt>
                <c:pt idx="163">
                  <c:v>45868</c:v>
                </c:pt>
                <c:pt idx="164">
                  <c:v>45869</c:v>
                </c:pt>
                <c:pt idx="165">
                  <c:v>45870</c:v>
                </c:pt>
                <c:pt idx="166">
                  <c:v>45873</c:v>
                </c:pt>
                <c:pt idx="167">
                  <c:v>45874</c:v>
                </c:pt>
                <c:pt idx="168">
                  <c:v>45875</c:v>
                </c:pt>
                <c:pt idx="169">
                  <c:v>45876</c:v>
                </c:pt>
                <c:pt idx="170">
                  <c:v>45877</c:v>
                </c:pt>
                <c:pt idx="171">
                  <c:v>45880</c:v>
                </c:pt>
                <c:pt idx="172">
                  <c:v>45881</c:v>
                </c:pt>
                <c:pt idx="173">
                  <c:v>45882</c:v>
                </c:pt>
                <c:pt idx="174">
                  <c:v>45883</c:v>
                </c:pt>
                <c:pt idx="175">
                  <c:v>45884</c:v>
                </c:pt>
                <c:pt idx="176">
                  <c:v>45887</c:v>
                </c:pt>
                <c:pt idx="177">
                  <c:v>45888</c:v>
                </c:pt>
                <c:pt idx="178">
                  <c:v>45889</c:v>
                </c:pt>
                <c:pt idx="179">
                  <c:v>45890</c:v>
                </c:pt>
                <c:pt idx="180">
                  <c:v>45891</c:v>
                </c:pt>
                <c:pt idx="181">
                  <c:v>45894</c:v>
                </c:pt>
                <c:pt idx="182">
                  <c:v>45895</c:v>
                </c:pt>
                <c:pt idx="183">
                  <c:v>45896</c:v>
                </c:pt>
                <c:pt idx="184">
                  <c:v>45897</c:v>
                </c:pt>
                <c:pt idx="185">
                  <c:v>45898</c:v>
                </c:pt>
                <c:pt idx="186">
                  <c:v>45901</c:v>
                </c:pt>
                <c:pt idx="187">
                  <c:v>45902</c:v>
                </c:pt>
                <c:pt idx="188">
                  <c:v>45903</c:v>
                </c:pt>
                <c:pt idx="189">
                  <c:v>45904</c:v>
                </c:pt>
                <c:pt idx="190">
                  <c:v>45905</c:v>
                </c:pt>
                <c:pt idx="191">
                  <c:v>45908</c:v>
                </c:pt>
                <c:pt idx="192">
                  <c:v>45909</c:v>
                </c:pt>
                <c:pt idx="193">
                  <c:v>45910</c:v>
                </c:pt>
                <c:pt idx="194">
                  <c:v>45911</c:v>
                </c:pt>
                <c:pt idx="195">
                  <c:v>45912</c:v>
                </c:pt>
              </c:numCache>
            </c:numRef>
          </c:cat>
          <c:val>
            <c:numRef>
              <c:f>策略组合!$R$124:$R$4000</c:f>
              <c:numCache>
                <c:formatCode>0.00%</c:formatCode>
                <c:ptCount val="3877"/>
                <c:pt idx="0">
                  <c:v>4.3883598930518387E-2</c:v>
                </c:pt>
                <c:pt idx="1">
                  <c:v>4.379429553899155E-2</c:v>
                </c:pt>
                <c:pt idx="2">
                  <c:v>4.3932709850342769E-2</c:v>
                </c:pt>
                <c:pt idx="3">
                  <c:v>4.4043223289346484E-2</c:v>
                </c:pt>
                <c:pt idx="4">
                  <c:v>4.4053284203680071E-2</c:v>
                </c:pt>
                <c:pt idx="5">
                  <c:v>4.4049457320132566E-2</c:v>
                </c:pt>
                <c:pt idx="6">
                  <c:v>4.4088819480916447E-2</c:v>
                </c:pt>
                <c:pt idx="7">
                  <c:v>4.4168535349904774E-2</c:v>
                </c:pt>
                <c:pt idx="8">
                  <c:v>4.4099010048298484E-2</c:v>
                </c:pt>
                <c:pt idx="9">
                  <c:v>4.4054023783254667E-2</c:v>
                </c:pt>
                <c:pt idx="10">
                  <c:v>4.4071945523682786E-2</c:v>
                </c:pt>
                <c:pt idx="11">
                  <c:v>4.4076702033213969E-2</c:v>
                </c:pt>
                <c:pt idx="12">
                  <c:v>4.4397106265955374E-2</c:v>
                </c:pt>
                <c:pt idx="13">
                  <c:v>4.4386494232267183E-2</c:v>
                </c:pt>
                <c:pt idx="14">
                  <c:v>4.442999992127853E-2</c:v>
                </c:pt>
                <c:pt idx="15">
                  <c:v>4.4855685308608839E-2</c:v>
                </c:pt>
                <c:pt idx="16">
                  <c:v>4.4859393009341303E-2</c:v>
                </c:pt>
                <c:pt idx="17">
                  <c:v>4.4774057973011983E-2</c:v>
                </c:pt>
                <c:pt idx="18">
                  <c:v>4.4778160324718111E-2</c:v>
                </c:pt>
                <c:pt idx="19">
                  <c:v>4.4944433640918331E-2</c:v>
                </c:pt>
                <c:pt idx="20">
                  <c:v>4.4904165552158898E-2</c:v>
                </c:pt>
                <c:pt idx="21">
                  <c:v>4.490212620182913E-2</c:v>
                </c:pt>
                <c:pt idx="22">
                  <c:v>4.4955171096386803E-2</c:v>
                </c:pt>
                <c:pt idx="23">
                  <c:v>4.496798231654104E-2</c:v>
                </c:pt>
                <c:pt idx="24">
                  <c:v>4.5075307639480013E-2</c:v>
                </c:pt>
                <c:pt idx="25">
                  <c:v>4.5388928671906033E-2</c:v>
                </c:pt>
                <c:pt idx="26">
                  <c:v>4.5382581727895367E-2</c:v>
                </c:pt>
                <c:pt idx="27">
                  <c:v>4.5327453497679415E-2</c:v>
                </c:pt>
                <c:pt idx="28">
                  <c:v>4.5391239680994837E-2</c:v>
                </c:pt>
                <c:pt idx="29">
                  <c:v>4.5369732720884598E-2</c:v>
                </c:pt>
                <c:pt idx="30">
                  <c:v>4.5352800226563343E-2</c:v>
                </c:pt>
                <c:pt idx="31">
                  <c:v>4.5858788401597579E-2</c:v>
                </c:pt>
                <c:pt idx="32">
                  <c:v>4.5889900959181863E-2</c:v>
                </c:pt>
                <c:pt idx="33">
                  <c:v>4.616023693613247E-2</c:v>
                </c:pt>
                <c:pt idx="34">
                  <c:v>4.6289733900813736E-2</c:v>
                </c:pt>
                <c:pt idx="35">
                  <c:v>4.626177454181115E-2</c:v>
                </c:pt>
                <c:pt idx="36">
                  <c:v>4.6192287357218795E-2</c:v>
                </c:pt>
                <c:pt idx="37">
                  <c:v>4.6181491260202476E-2</c:v>
                </c:pt>
                <c:pt idx="38">
                  <c:v>4.5935497226501538E-2</c:v>
                </c:pt>
                <c:pt idx="39">
                  <c:v>4.5601279265997018E-2</c:v>
                </c:pt>
                <c:pt idx="40">
                  <c:v>4.5473395637144108E-2</c:v>
                </c:pt>
                <c:pt idx="41">
                  <c:v>4.5428631947486545E-2</c:v>
                </c:pt>
                <c:pt idx="42">
                  <c:v>4.5460569330824638E-2</c:v>
                </c:pt>
                <c:pt idx="43">
                  <c:v>4.5651067016459879E-2</c:v>
                </c:pt>
                <c:pt idx="44">
                  <c:v>4.4914737280737929E-2</c:v>
                </c:pt>
                <c:pt idx="45">
                  <c:v>4.4828633626875815E-2</c:v>
                </c:pt>
                <c:pt idx="46">
                  <c:v>4.4842814590915256E-2</c:v>
                </c:pt>
                <c:pt idx="47">
                  <c:v>4.4163192291742308E-2</c:v>
                </c:pt>
                <c:pt idx="48">
                  <c:v>4.4154841522655031E-2</c:v>
                </c:pt>
                <c:pt idx="49">
                  <c:v>4.413870686953935E-2</c:v>
                </c:pt>
                <c:pt idx="50">
                  <c:v>4.4154867114615144E-2</c:v>
                </c:pt>
                <c:pt idx="51">
                  <c:v>4.4187600053804461E-2</c:v>
                </c:pt>
                <c:pt idx="52">
                  <c:v>4.4197248680625009E-2</c:v>
                </c:pt>
                <c:pt idx="53">
                  <c:v>4.3989605924505112E-2</c:v>
                </c:pt>
                <c:pt idx="54">
                  <c:v>4.4104381268789621E-2</c:v>
                </c:pt>
                <c:pt idx="55">
                  <c:v>4.4022736425739402E-2</c:v>
                </c:pt>
                <c:pt idx="56">
                  <c:v>4.4074608739186012E-2</c:v>
                </c:pt>
                <c:pt idx="57">
                  <c:v>4.4107033266887107E-2</c:v>
                </c:pt>
                <c:pt idx="58">
                  <c:v>4.4144948077362418E-2</c:v>
                </c:pt>
                <c:pt idx="59">
                  <c:v>4.4376976253738959E-2</c:v>
                </c:pt>
                <c:pt idx="60">
                  <c:v>4.4346114135758431E-2</c:v>
                </c:pt>
                <c:pt idx="61">
                  <c:v>4.4338952675255942E-2</c:v>
                </c:pt>
                <c:pt idx="62">
                  <c:v>4.4362511238783903E-2</c:v>
                </c:pt>
                <c:pt idx="63">
                  <c:v>4.4537027369230028E-2</c:v>
                </c:pt>
                <c:pt idx="64">
                  <c:v>4.4455724151505005E-2</c:v>
                </c:pt>
                <c:pt idx="65">
                  <c:v>4.4483386499536967E-2</c:v>
                </c:pt>
                <c:pt idx="66">
                  <c:v>4.4923846633468684E-2</c:v>
                </c:pt>
                <c:pt idx="67">
                  <c:v>4.4851317144851244E-2</c:v>
                </c:pt>
                <c:pt idx="68">
                  <c:v>4.4754966125354928E-2</c:v>
                </c:pt>
                <c:pt idx="69">
                  <c:v>4.4842106653150533E-2</c:v>
                </c:pt>
                <c:pt idx="70">
                  <c:v>4.5715181109302054E-2</c:v>
                </c:pt>
                <c:pt idx="71">
                  <c:v>4.5450017090003243E-2</c:v>
                </c:pt>
                <c:pt idx="72">
                  <c:v>4.5451451722230862E-2</c:v>
                </c:pt>
                <c:pt idx="73">
                  <c:v>4.5442992308409778E-2</c:v>
                </c:pt>
                <c:pt idx="74">
                  <c:v>4.5498627131061599E-2</c:v>
                </c:pt>
                <c:pt idx="75">
                  <c:v>4.5681048929570228E-2</c:v>
                </c:pt>
                <c:pt idx="76">
                  <c:v>4.5799461001970319E-2</c:v>
                </c:pt>
                <c:pt idx="77">
                  <c:v>4.5824352326740113E-2</c:v>
                </c:pt>
                <c:pt idx="78">
                  <c:v>4.5600835853119602E-2</c:v>
                </c:pt>
                <c:pt idx="79">
                  <c:v>4.550257580423786E-2</c:v>
                </c:pt>
                <c:pt idx="80">
                  <c:v>4.565266814314671E-2</c:v>
                </c:pt>
                <c:pt idx="81">
                  <c:v>4.4967367743134937E-2</c:v>
                </c:pt>
                <c:pt idx="82">
                  <c:v>4.5010089306285125E-2</c:v>
                </c:pt>
                <c:pt idx="83">
                  <c:v>4.3933678705647732E-2</c:v>
                </c:pt>
                <c:pt idx="84">
                  <c:v>4.4454270967615901E-2</c:v>
                </c:pt>
                <c:pt idx="85">
                  <c:v>5.4363748079679988E-2</c:v>
                </c:pt>
                <c:pt idx="86">
                  <c:v>5.3433204589342809E-2</c:v>
                </c:pt>
                <c:pt idx="87">
                  <c:v>5.4010227627151033E-2</c:v>
                </c:pt>
                <c:pt idx="88">
                  <c:v>5.3757663263172911E-2</c:v>
                </c:pt>
                <c:pt idx="89">
                  <c:v>5.3829270244061506E-2</c:v>
                </c:pt>
                <c:pt idx="90">
                  <c:v>5.3858573049282203E-2</c:v>
                </c:pt>
                <c:pt idx="91">
                  <c:v>5.3559615896232982E-2</c:v>
                </c:pt>
                <c:pt idx="92">
                  <c:v>5.358439343294133E-2</c:v>
                </c:pt>
                <c:pt idx="93">
                  <c:v>5.3539613284239805E-2</c:v>
                </c:pt>
                <c:pt idx="94">
                  <c:v>5.2860724138666312E-2</c:v>
                </c:pt>
                <c:pt idx="95">
                  <c:v>5.2799976602145776E-2</c:v>
                </c:pt>
                <c:pt idx="96">
                  <c:v>5.3137905811959103E-2</c:v>
                </c:pt>
                <c:pt idx="97">
                  <c:v>5.3206100079986232E-2</c:v>
                </c:pt>
                <c:pt idx="98">
                  <c:v>5.3295981455033337E-2</c:v>
                </c:pt>
                <c:pt idx="99">
                  <c:v>5.3310091736765049E-2</c:v>
                </c:pt>
                <c:pt idx="100">
                  <c:v>5.326002889684401E-2</c:v>
                </c:pt>
                <c:pt idx="101">
                  <c:v>5.3275874295032701E-2</c:v>
                </c:pt>
                <c:pt idx="102">
                  <c:v>5.3245178393780387E-2</c:v>
                </c:pt>
                <c:pt idx="103">
                  <c:v>5.3178273266094249E-2</c:v>
                </c:pt>
                <c:pt idx="104">
                  <c:v>5.3221786621567936E-2</c:v>
                </c:pt>
                <c:pt idx="105">
                  <c:v>5.3187699389835939E-2</c:v>
                </c:pt>
                <c:pt idx="106">
                  <c:v>5.2807644837645162E-2</c:v>
                </c:pt>
                <c:pt idx="107">
                  <c:v>5.3161375306492439E-2</c:v>
                </c:pt>
                <c:pt idx="108">
                  <c:v>5.1781381715366018E-2</c:v>
                </c:pt>
                <c:pt idx="109">
                  <c:v>5.1710240707694546E-2</c:v>
                </c:pt>
                <c:pt idx="110">
                  <c:v>5.1669065663248533E-2</c:v>
                </c:pt>
                <c:pt idx="111">
                  <c:v>5.1448442995189969E-2</c:v>
                </c:pt>
                <c:pt idx="112">
                  <c:v>5.1444405161425628E-2</c:v>
                </c:pt>
                <c:pt idx="113">
                  <c:v>5.1029121435905586E-2</c:v>
                </c:pt>
                <c:pt idx="114">
                  <c:v>5.0805330530612175E-2</c:v>
                </c:pt>
                <c:pt idx="115">
                  <c:v>5.0815076340237519E-2</c:v>
                </c:pt>
                <c:pt idx="116">
                  <c:v>5.0824942910352146E-2</c:v>
                </c:pt>
                <c:pt idx="117">
                  <c:v>5.0866221521685642E-2</c:v>
                </c:pt>
                <c:pt idx="118">
                  <c:v>5.103284437573654E-2</c:v>
                </c:pt>
                <c:pt idx="119">
                  <c:v>5.0785574672554276E-2</c:v>
                </c:pt>
                <c:pt idx="120">
                  <c:v>5.0842385707852336E-2</c:v>
                </c:pt>
                <c:pt idx="121">
                  <c:v>5.0858400227869083E-2</c:v>
                </c:pt>
                <c:pt idx="122">
                  <c:v>5.0758328732687964E-2</c:v>
                </c:pt>
                <c:pt idx="123">
                  <c:v>5.0733314406504491E-2</c:v>
                </c:pt>
                <c:pt idx="124">
                  <c:v>5.0604963330251967E-2</c:v>
                </c:pt>
                <c:pt idx="125">
                  <c:v>5.0484400140318783E-2</c:v>
                </c:pt>
                <c:pt idx="126">
                  <c:v>5.047202142309562E-2</c:v>
                </c:pt>
                <c:pt idx="127">
                  <c:v>5.0472543019261434E-2</c:v>
                </c:pt>
                <c:pt idx="128">
                  <c:v>5.0476655795895435E-2</c:v>
                </c:pt>
                <c:pt idx="129">
                  <c:v>5.0351230584162611E-2</c:v>
                </c:pt>
                <c:pt idx="130">
                  <c:v>5.0527396517117802E-2</c:v>
                </c:pt>
                <c:pt idx="131">
                  <c:v>5.0574770550336545E-2</c:v>
                </c:pt>
                <c:pt idx="132">
                  <c:v>5.059947209238342E-2</c:v>
                </c:pt>
                <c:pt idx="133">
                  <c:v>5.0594365010426565E-2</c:v>
                </c:pt>
                <c:pt idx="134">
                  <c:v>5.0474585496938951E-2</c:v>
                </c:pt>
                <c:pt idx="135">
                  <c:v>5.0480180217170198E-2</c:v>
                </c:pt>
                <c:pt idx="136">
                  <c:v>5.0583573263002619E-2</c:v>
                </c:pt>
                <c:pt idx="137">
                  <c:v>5.042271754134213E-2</c:v>
                </c:pt>
                <c:pt idx="138">
                  <c:v>5.0469447795940772E-2</c:v>
                </c:pt>
                <c:pt idx="139">
                  <c:v>5.0452675517090699E-2</c:v>
                </c:pt>
                <c:pt idx="140">
                  <c:v>5.0451204551849704E-2</c:v>
                </c:pt>
                <c:pt idx="141">
                  <c:v>5.028802286985759E-2</c:v>
                </c:pt>
                <c:pt idx="142">
                  <c:v>5.0275197445413547E-2</c:v>
                </c:pt>
                <c:pt idx="143">
                  <c:v>5.0291493167240624E-2</c:v>
                </c:pt>
                <c:pt idx="144">
                  <c:v>5.0265659968200892E-2</c:v>
                </c:pt>
                <c:pt idx="145">
                  <c:v>5.0258066571917497E-2</c:v>
                </c:pt>
                <c:pt idx="146">
                  <c:v>5.0220335230964731E-2</c:v>
                </c:pt>
                <c:pt idx="147">
                  <c:v>4.9931329499928859E-2</c:v>
                </c:pt>
                <c:pt idx="148">
                  <c:v>4.9929039069209064E-2</c:v>
                </c:pt>
                <c:pt idx="149">
                  <c:v>4.9950340297691409E-2</c:v>
                </c:pt>
                <c:pt idx="150">
                  <c:v>4.986878074238308E-2</c:v>
                </c:pt>
                <c:pt idx="151">
                  <c:v>4.9874432711184122E-2</c:v>
                </c:pt>
                <c:pt idx="152">
                  <c:v>4.986134824414442E-2</c:v>
                </c:pt>
                <c:pt idx="153">
                  <c:v>4.9325423489195094E-2</c:v>
                </c:pt>
                <c:pt idx="154">
                  <c:v>4.9297601962693442E-2</c:v>
                </c:pt>
                <c:pt idx="155">
                  <c:v>4.9074544798889445E-2</c:v>
                </c:pt>
                <c:pt idx="156">
                  <c:v>4.8965208829605603E-2</c:v>
                </c:pt>
                <c:pt idx="157">
                  <c:v>4.8975833379920071E-2</c:v>
                </c:pt>
                <c:pt idx="158">
                  <c:v>4.895555354230794E-2</c:v>
                </c:pt>
                <c:pt idx="159">
                  <c:v>4.8954678231528881E-2</c:v>
                </c:pt>
                <c:pt idx="160">
                  <c:v>4.8972237522036118E-2</c:v>
                </c:pt>
                <c:pt idx="161">
                  <c:v>4.8952199607208612E-2</c:v>
                </c:pt>
                <c:pt idx="162">
                  <c:v>4.8952729509488022E-2</c:v>
                </c:pt>
                <c:pt idx="163">
                  <c:v>4.8971124437929274E-2</c:v>
                </c:pt>
                <c:pt idx="164">
                  <c:v>4.9172851793443467E-2</c:v>
                </c:pt>
                <c:pt idx="165">
                  <c:v>4.9030525893226637E-2</c:v>
                </c:pt>
                <c:pt idx="166">
                  <c:v>4.9083032166023902E-2</c:v>
                </c:pt>
                <c:pt idx="167">
                  <c:v>4.9087729117552534E-2</c:v>
                </c:pt>
                <c:pt idx="168">
                  <c:v>4.9021446756666899E-2</c:v>
                </c:pt>
                <c:pt idx="169">
                  <c:v>4.8974762430384143E-2</c:v>
                </c:pt>
                <c:pt idx="170">
                  <c:v>4.8969807923794163E-2</c:v>
                </c:pt>
                <c:pt idx="171">
                  <c:v>4.894248742329653E-2</c:v>
                </c:pt>
                <c:pt idx="172">
                  <c:v>4.8843985690586872E-2</c:v>
                </c:pt>
                <c:pt idx="173">
                  <c:v>4.8953498198329795E-2</c:v>
                </c:pt>
                <c:pt idx="174">
                  <c:v>4.8991609716514381E-2</c:v>
                </c:pt>
                <c:pt idx="175">
                  <c:v>4.8959752081126823E-2</c:v>
                </c:pt>
                <c:pt idx="176">
                  <c:v>4.8881757346321782E-2</c:v>
                </c:pt>
                <c:pt idx="177">
                  <c:v>4.8918115544888931E-2</c:v>
                </c:pt>
                <c:pt idx="178">
                  <c:v>4.8903591812273377E-2</c:v>
                </c:pt>
                <c:pt idx="179">
                  <c:v>4.8854958436305392E-2</c:v>
                </c:pt>
                <c:pt idx="180">
                  <c:v>4.8753028836506576E-2</c:v>
                </c:pt>
                <c:pt idx="181">
                  <c:v>4.8593844052450513E-2</c:v>
                </c:pt>
                <c:pt idx="182">
                  <c:v>4.8500372625890506E-2</c:v>
                </c:pt>
                <c:pt idx="183">
                  <c:v>4.8581077535968235E-2</c:v>
                </c:pt>
                <c:pt idx="184">
                  <c:v>4.8569007558546262E-2</c:v>
                </c:pt>
                <c:pt idx="185">
                  <c:v>4.8403763174999816E-2</c:v>
                </c:pt>
                <c:pt idx="186">
                  <c:v>4.8406966921575117E-2</c:v>
                </c:pt>
                <c:pt idx="187">
                  <c:v>4.8572820823838583E-2</c:v>
                </c:pt>
                <c:pt idx="188">
                  <c:v>4.8144555549381005E-2</c:v>
                </c:pt>
                <c:pt idx="189">
                  <c:v>4.8109805251451337E-2</c:v>
                </c:pt>
                <c:pt idx="190">
                  <c:v>4.8255842796272631E-2</c:v>
                </c:pt>
                <c:pt idx="191">
                  <c:v>4.8164988565027961E-2</c:v>
                </c:pt>
                <c:pt idx="192">
                  <c:v>4.7392503224324554E-2</c:v>
                </c:pt>
                <c:pt idx="193">
                  <c:v>4.7399448718260385E-2</c:v>
                </c:pt>
                <c:pt idx="194">
                  <c:v>4.7612331983300824E-2</c:v>
                </c:pt>
                <c:pt idx="195">
                  <c:v>4.7548676354054548E-2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D7-4D95-BF17-3A34DD804F36}"/>
            </c:ext>
          </c:extLst>
        </c:ser>
        <c:ser>
          <c:idx val="1"/>
          <c:order val="1"/>
          <c:tx>
            <c:strRef>
              <c:f>策略组合!$S$2</c:f>
              <c:strCache>
                <c:ptCount val="1"/>
                <c:pt idx="0">
                  <c:v>组合年化跟踪误差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策略组合!$G$124:$G$4000</c:f>
              <c:numCache>
                <c:formatCode>yyyy\-mm\-dd</c:formatCode>
                <c:ptCount val="3877"/>
                <c:pt idx="0">
                  <c:v>45623</c:v>
                </c:pt>
                <c:pt idx="1">
                  <c:v>45624</c:v>
                </c:pt>
                <c:pt idx="2">
                  <c:v>45625</c:v>
                </c:pt>
                <c:pt idx="3">
                  <c:v>45628</c:v>
                </c:pt>
                <c:pt idx="4">
                  <c:v>45629</c:v>
                </c:pt>
                <c:pt idx="5">
                  <c:v>45630</c:v>
                </c:pt>
                <c:pt idx="6">
                  <c:v>45631</c:v>
                </c:pt>
                <c:pt idx="7">
                  <c:v>45632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45642</c:v>
                </c:pt>
                <c:pt idx="14">
                  <c:v>45643</c:v>
                </c:pt>
                <c:pt idx="15">
                  <c:v>45644</c:v>
                </c:pt>
                <c:pt idx="16">
                  <c:v>45645</c:v>
                </c:pt>
                <c:pt idx="17">
                  <c:v>45646</c:v>
                </c:pt>
                <c:pt idx="18">
                  <c:v>45649</c:v>
                </c:pt>
                <c:pt idx="19">
                  <c:v>45650</c:v>
                </c:pt>
                <c:pt idx="20">
                  <c:v>45651</c:v>
                </c:pt>
                <c:pt idx="21">
                  <c:v>45652</c:v>
                </c:pt>
                <c:pt idx="22">
                  <c:v>45653</c:v>
                </c:pt>
                <c:pt idx="23">
                  <c:v>45656</c:v>
                </c:pt>
                <c:pt idx="24">
                  <c:v>45657</c:v>
                </c:pt>
                <c:pt idx="25">
                  <c:v>45659</c:v>
                </c:pt>
                <c:pt idx="26">
                  <c:v>45660</c:v>
                </c:pt>
                <c:pt idx="27">
                  <c:v>45663</c:v>
                </c:pt>
                <c:pt idx="28">
                  <c:v>45664</c:v>
                </c:pt>
                <c:pt idx="29">
                  <c:v>45665</c:v>
                </c:pt>
                <c:pt idx="30">
                  <c:v>45666</c:v>
                </c:pt>
                <c:pt idx="31">
                  <c:v>45667</c:v>
                </c:pt>
                <c:pt idx="32">
                  <c:v>45670</c:v>
                </c:pt>
                <c:pt idx="33">
                  <c:v>45671</c:v>
                </c:pt>
                <c:pt idx="34">
                  <c:v>45672</c:v>
                </c:pt>
                <c:pt idx="35">
                  <c:v>45673</c:v>
                </c:pt>
                <c:pt idx="36">
                  <c:v>45674</c:v>
                </c:pt>
                <c:pt idx="37">
                  <c:v>45677</c:v>
                </c:pt>
                <c:pt idx="38">
                  <c:v>45678</c:v>
                </c:pt>
                <c:pt idx="39">
                  <c:v>45679</c:v>
                </c:pt>
                <c:pt idx="40">
                  <c:v>45680</c:v>
                </c:pt>
                <c:pt idx="41">
                  <c:v>45681</c:v>
                </c:pt>
                <c:pt idx="42">
                  <c:v>45684</c:v>
                </c:pt>
                <c:pt idx="43">
                  <c:v>45693</c:v>
                </c:pt>
                <c:pt idx="44">
                  <c:v>45694</c:v>
                </c:pt>
                <c:pt idx="45">
                  <c:v>45695</c:v>
                </c:pt>
                <c:pt idx="46">
                  <c:v>45698</c:v>
                </c:pt>
                <c:pt idx="47">
                  <c:v>45699</c:v>
                </c:pt>
                <c:pt idx="48">
                  <c:v>45700</c:v>
                </c:pt>
                <c:pt idx="49">
                  <c:v>45701</c:v>
                </c:pt>
                <c:pt idx="50">
                  <c:v>45702</c:v>
                </c:pt>
                <c:pt idx="51">
                  <c:v>45705</c:v>
                </c:pt>
                <c:pt idx="52">
                  <c:v>45706</c:v>
                </c:pt>
                <c:pt idx="53">
                  <c:v>45707</c:v>
                </c:pt>
                <c:pt idx="54">
                  <c:v>45708</c:v>
                </c:pt>
                <c:pt idx="55">
                  <c:v>45709</c:v>
                </c:pt>
                <c:pt idx="56">
                  <c:v>45712</c:v>
                </c:pt>
                <c:pt idx="57">
                  <c:v>45713</c:v>
                </c:pt>
                <c:pt idx="58">
                  <c:v>45714</c:v>
                </c:pt>
                <c:pt idx="59">
                  <c:v>45715</c:v>
                </c:pt>
                <c:pt idx="60">
                  <c:v>45716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45726</c:v>
                </c:pt>
                <c:pt idx="67">
                  <c:v>45727</c:v>
                </c:pt>
                <c:pt idx="68">
                  <c:v>45728</c:v>
                </c:pt>
                <c:pt idx="69">
                  <c:v>45729</c:v>
                </c:pt>
                <c:pt idx="70">
                  <c:v>45730</c:v>
                </c:pt>
                <c:pt idx="71">
                  <c:v>45733</c:v>
                </c:pt>
                <c:pt idx="72">
                  <c:v>45734</c:v>
                </c:pt>
                <c:pt idx="73">
                  <c:v>45735</c:v>
                </c:pt>
                <c:pt idx="74">
                  <c:v>45736</c:v>
                </c:pt>
                <c:pt idx="75">
                  <c:v>45737</c:v>
                </c:pt>
                <c:pt idx="76">
                  <c:v>45740</c:v>
                </c:pt>
                <c:pt idx="77">
                  <c:v>45741</c:v>
                </c:pt>
                <c:pt idx="78">
                  <c:v>45742</c:v>
                </c:pt>
                <c:pt idx="79">
                  <c:v>45743</c:v>
                </c:pt>
                <c:pt idx="80">
                  <c:v>45744</c:v>
                </c:pt>
                <c:pt idx="81">
                  <c:v>45747</c:v>
                </c:pt>
                <c:pt idx="82">
                  <c:v>45748</c:v>
                </c:pt>
                <c:pt idx="83">
                  <c:v>45749</c:v>
                </c:pt>
                <c:pt idx="84">
                  <c:v>45750</c:v>
                </c:pt>
                <c:pt idx="85">
                  <c:v>45754</c:v>
                </c:pt>
                <c:pt idx="86">
                  <c:v>45755</c:v>
                </c:pt>
                <c:pt idx="87">
                  <c:v>45756</c:v>
                </c:pt>
                <c:pt idx="88">
                  <c:v>45757</c:v>
                </c:pt>
                <c:pt idx="89">
                  <c:v>45758</c:v>
                </c:pt>
                <c:pt idx="90">
                  <c:v>45761</c:v>
                </c:pt>
                <c:pt idx="91">
                  <c:v>45762</c:v>
                </c:pt>
                <c:pt idx="92">
                  <c:v>45763</c:v>
                </c:pt>
                <c:pt idx="93">
                  <c:v>45764</c:v>
                </c:pt>
                <c:pt idx="94">
                  <c:v>45765</c:v>
                </c:pt>
                <c:pt idx="95">
                  <c:v>45768</c:v>
                </c:pt>
                <c:pt idx="96">
                  <c:v>45769</c:v>
                </c:pt>
                <c:pt idx="97">
                  <c:v>45770</c:v>
                </c:pt>
                <c:pt idx="98">
                  <c:v>45771</c:v>
                </c:pt>
                <c:pt idx="99">
                  <c:v>45772</c:v>
                </c:pt>
                <c:pt idx="100">
                  <c:v>45775</c:v>
                </c:pt>
                <c:pt idx="101">
                  <c:v>45776</c:v>
                </c:pt>
                <c:pt idx="102">
                  <c:v>45777</c:v>
                </c:pt>
                <c:pt idx="103">
                  <c:v>45783</c:v>
                </c:pt>
                <c:pt idx="104">
                  <c:v>45784</c:v>
                </c:pt>
                <c:pt idx="105">
                  <c:v>45785</c:v>
                </c:pt>
                <c:pt idx="106">
                  <c:v>45786</c:v>
                </c:pt>
                <c:pt idx="107">
                  <c:v>45789</c:v>
                </c:pt>
                <c:pt idx="108">
                  <c:v>45790</c:v>
                </c:pt>
                <c:pt idx="109">
                  <c:v>45791</c:v>
                </c:pt>
                <c:pt idx="110">
                  <c:v>45792</c:v>
                </c:pt>
                <c:pt idx="111">
                  <c:v>45793</c:v>
                </c:pt>
                <c:pt idx="112">
                  <c:v>45796</c:v>
                </c:pt>
                <c:pt idx="113">
                  <c:v>45797</c:v>
                </c:pt>
                <c:pt idx="114">
                  <c:v>45798</c:v>
                </c:pt>
                <c:pt idx="115">
                  <c:v>45799</c:v>
                </c:pt>
                <c:pt idx="116">
                  <c:v>45800</c:v>
                </c:pt>
                <c:pt idx="117">
                  <c:v>45803</c:v>
                </c:pt>
                <c:pt idx="118">
                  <c:v>45804</c:v>
                </c:pt>
                <c:pt idx="119">
                  <c:v>45805</c:v>
                </c:pt>
                <c:pt idx="120">
                  <c:v>45806</c:v>
                </c:pt>
                <c:pt idx="121">
                  <c:v>45807</c:v>
                </c:pt>
                <c:pt idx="122">
                  <c:v>45811</c:v>
                </c:pt>
                <c:pt idx="123">
                  <c:v>45812</c:v>
                </c:pt>
                <c:pt idx="124">
                  <c:v>45813</c:v>
                </c:pt>
                <c:pt idx="125">
                  <c:v>45814</c:v>
                </c:pt>
                <c:pt idx="126">
                  <c:v>45817</c:v>
                </c:pt>
                <c:pt idx="127">
                  <c:v>45818</c:v>
                </c:pt>
                <c:pt idx="128">
                  <c:v>45819</c:v>
                </c:pt>
                <c:pt idx="129">
                  <c:v>45820</c:v>
                </c:pt>
                <c:pt idx="130">
                  <c:v>45821</c:v>
                </c:pt>
                <c:pt idx="131">
                  <c:v>45824</c:v>
                </c:pt>
                <c:pt idx="132">
                  <c:v>45825</c:v>
                </c:pt>
                <c:pt idx="133">
                  <c:v>45826</c:v>
                </c:pt>
                <c:pt idx="134">
                  <c:v>45827</c:v>
                </c:pt>
                <c:pt idx="135">
                  <c:v>45828</c:v>
                </c:pt>
                <c:pt idx="136">
                  <c:v>45831</c:v>
                </c:pt>
                <c:pt idx="137">
                  <c:v>45832</c:v>
                </c:pt>
                <c:pt idx="138">
                  <c:v>45833</c:v>
                </c:pt>
                <c:pt idx="139">
                  <c:v>45834</c:v>
                </c:pt>
                <c:pt idx="140">
                  <c:v>45835</c:v>
                </c:pt>
                <c:pt idx="141">
                  <c:v>45838</c:v>
                </c:pt>
                <c:pt idx="142">
                  <c:v>45839</c:v>
                </c:pt>
                <c:pt idx="143">
                  <c:v>45840</c:v>
                </c:pt>
                <c:pt idx="144">
                  <c:v>45841</c:v>
                </c:pt>
                <c:pt idx="145">
                  <c:v>45842</c:v>
                </c:pt>
                <c:pt idx="146">
                  <c:v>45845</c:v>
                </c:pt>
                <c:pt idx="147">
                  <c:v>45846</c:v>
                </c:pt>
                <c:pt idx="148">
                  <c:v>45847</c:v>
                </c:pt>
                <c:pt idx="149">
                  <c:v>45848</c:v>
                </c:pt>
                <c:pt idx="150">
                  <c:v>45849</c:v>
                </c:pt>
                <c:pt idx="151">
                  <c:v>45852</c:v>
                </c:pt>
                <c:pt idx="152">
                  <c:v>45853</c:v>
                </c:pt>
                <c:pt idx="153">
                  <c:v>45854</c:v>
                </c:pt>
                <c:pt idx="154">
                  <c:v>45855</c:v>
                </c:pt>
                <c:pt idx="155">
                  <c:v>45856</c:v>
                </c:pt>
                <c:pt idx="156">
                  <c:v>45859</c:v>
                </c:pt>
                <c:pt idx="157">
                  <c:v>45860</c:v>
                </c:pt>
                <c:pt idx="158">
                  <c:v>45861</c:v>
                </c:pt>
                <c:pt idx="159">
                  <c:v>45862</c:v>
                </c:pt>
                <c:pt idx="160">
                  <c:v>45863</c:v>
                </c:pt>
                <c:pt idx="161">
                  <c:v>45866</c:v>
                </c:pt>
                <c:pt idx="162">
                  <c:v>45867</c:v>
                </c:pt>
                <c:pt idx="163">
                  <c:v>45868</c:v>
                </c:pt>
                <c:pt idx="164">
                  <c:v>45869</c:v>
                </c:pt>
                <c:pt idx="165">
                  <c:v>45870</c:v>
                </c:pt>
                <c:pt idx="166">
                  <c:v>45873</c:v>
                </c:pt>
                <c:pt idx="167">
                  <c:v>45874</c:v>
                </c:pt>
                <c:pt idx="168">
                  <c:v>45875</c:v>
                </c:pt>
                <c:pt idx="169">
                  <c:v>45876</c:v>
                </c:pt>
                <c:pt idx="170">
                  <c:v>45877</c:v>
                </c:pt>
                <c:pt idx="171">
                  <c:v>45880</c:v>
                </c:pt>
                <c:pt idx="172">
                  <c:v>45881</c:v>
                </c:pt>
                <c:pt idx="173">
                  <c:v>45882</c:v>
                </c:pt>
                <c:pt idx="174">
                  <c:v>45883</c:v>
                </c:pt>
                <c:pt idx="175">
                  <c:v>45884</c:v>
                </c:pt>
                <c:pt idx="176">
                  <c:v>45887</c:v>
                </c:pt>
                <c:pt idx="177">
                  <c:v>45888</c:v>
                </c:pt>
                <c:pt idx="178">
                  <c:v>45889</c:v>
                </c:pt>
                <c:pt idx="179">
                  <c:v>45890</c:v>
                </c:pt>
                <c:pt idx="180">
                  <c:v>45891</c:v>
                </c:pt>
                <c:pt idx="181">
                  <c:v>45894</c:v>
                </c:pt>
                <c:pt idx="182">
                  <c:v>45895</c:v>
                </c:pt>
                <c:pt idx="183">
                  <c:v>45896</c:v>
                </c:pt>
                <c:pt idx="184">
                  <c:v>45897</c:v>
                </c:pt>
                <c:pt idx="185">
                  <c:v>45898</c:v>
                </c:pt>
                <c:pt idx="186">
                  <c:v>45901</c:v>
                </c:pt>
                <c:pt idx="187">
                  <c:v>45902</c:v>
                </c:pt>
                <c:pt idx="188">
                  <c:v>45903</c:v>
                </c:pt>
                <c:pt idx="189">
                  <c:v>45904</c:v>
                </c:pt>
                <c:pt idx="190">
                  <c:v>45905</c:v>
                </c:pt>
                <c:pt idx="191">
                  <c:v>45908</c:v>
                </c:pt>
                <c:pt idx="192">
                  <c:v>45909</c:v>
                </c:pt>
                <c:pt idx="193">
                  <c:v>45910</c:v>
                </c:pt>
                <c:pt idx="194">
                  <c:v>45911</c:v>
                </c:pt>
                <c:pt idx="195">
                  <c:v>45912</c:v>
                </c:pt>
              </c:numCache>
            </c:numRef>
          </c:cat>
          <c:val>
            <c:numRef>
              <c:f>策略组合!$S$124:$S$4000</c:f>
              <c:numCache>
                <c:formatCode>0.00%</c:formatCode>
                <c:ptCount val="3877"/>
                <c:pt idx="0">
                  <c:v>4.3060288426645235E-2</c:v>
                </c:pt>
                <c:pt idx="1">
                  <c:v>4.3060288426645235E-2</c:v>
                </c:pt>
                <c:pt idx="2">
                  <c:v>4.3060288426645235E-2</c:v>
                </c:pt>
                <c:pt idx="3">
                  <c:v>4.3060288426645235E-2</c:v>
                </c:pt>
                <c:pt idx="4">
                  <c:v>4.3060288426645235E-2</c:v>
                </c:pt>
                <c:pt idx="5">
                  <c:v>4.3060288426645235E-2</c:v>
                </c:pt>
                <c:pt idx="6">
                  <c:v>4.3060288426645235E-2</c:v>
                </c:pt>
                <c:pt idx="7">
                  <c:v>4.3060288426645235E-2</c:v>
                </c:pt>
                <c:pt idx="8">
                  <c:v>4.3060288426645235E-2</c:v>
                </c:pt>
                <c:pt idx="9">
                  <c:v>4.3060288426645235E-2</c:v>
                </c:pt>
                <c:pt idx="10">
                  <c:v>4.3060288426645235E-2</c:v>
                </c:pt>
                <c:pt idx="11">
                  <c:v>4.3060288426645235E-2</c:v>
                </c:pt>
                <c:pt idx="12">
                  <c:v>4.3060288426645235E-2</c:v>
                </c:pt>
                <c:pt idx="13">
                  <c:v>4.3060288426645235E-2</c:v>
                </c:pt>
                <c:pt idx="14">
                  <c:v>4.3060288426645235E-2</c:v>
                </c:pt>
                <c:pt idx="15">
                  <c:v>4.3060288426645235E-2</c:v>
                </c:pt>
                <c:pt idx="16">
                  <c:v>4.3060288426645235E-2</c:v>
                </c:pt>
                <c:pt idx="17">
                  <c:v>4.3060288426645235E-2</c:v>
                </c:pt>
                <c:pt idx="18">
                  <c:v>4.3060288426645235E-2</c:v>
                </c:pt>
                <c:pt idx="19">
                  <c:v>4.3060288426645235E-2</c:v>
                </c:pt>
                <c:pt idx="20">
                  <c:v>4.3060288426645235E-2</c:v>
                </c:pt>
                <c:pt idx="21">
                  <c:v>4.3060288426645235E-2</c:v>
                </c:pt>
                <c:pt idx="22">
                  <c:v>4.3060288426645235E-2</c:v>
                </c:pt>
                <c:pt idx="23">
                  <c:v>4.3060288426645235E-2</c:v>
                </c:pt>
                <c:pt idx="24">
                  <c:v>4.3060288426645235E-2</c:v>
                </c:pt>
                <c:pt idx="25">
                  <c:v>4.3060288426645235E-2</c:v>
                </c:pt>
                <c:pt idx="26">
                  <c:v>4.3060288426645235E-2</c:v>
                </c:pt>
                <c:pt idx="27">
                  <c:v>4.3060288426645235E-2</c:v>
                </c:pt>
                <c:pt idx="28">
                  <c:v>4.3060288426645235E-2</c:v>
                </c:pt>
                <c:pt idx="29">
                  <c:v>4.3060288426645235E-2</c:v>
                </c:pt>
                <c:pt idx="30">
                  <c:v>4.3060288426645235E-2</c:v>
                </c:pt>
                <c:pt idx="31">
                  <c:v>4.3060288426645235E-2</c:v>
                </c:pt>
                <c:pt idx="32">
                  <c:v>4.3060288426645235E-2</c:v>
                </c:pt>
                <c:pt idx="33">
                  <c:v>4.3060288426645235E-2</c:v>
                </c:pt>
                <c:pt idx="34">
                  <c:v>4.3060288426645235E-2</c:v>
                </c:pt>
                <c:pt idx="35">
                  <c:v>4.3060288426645235E-2</c:v>
                </c:pt>
                <c:pt idx="36">
                  <c:v>4.3060288426645235E-2</c:v>
                </c:pt>
                <c:pt idx="37">
                  <c:v>4.3060288426645235E-2</c:v>
                </c:pt>
                <c:pt idx="38">
                  <c:v>4.3060288426645235E-2</c:v>
                </c:pt>
                <c:pt idx="39">
                  <c:v>4.3060288426645235E-2</c:v>
                </c:pt>
                <c:pt idx="40">
                  <c:v>4.3060288426645235E-2</c:v>
                </c:pt>
                <c:pt idx="41">
                  <c:v>4.3060288426645235E-2</c:v>
                </c:pt>
                <c:pt idx="42">
                  <c:v>4.3060288426645235E-2</c:v>
                </c:pt>
                <c:pt idx="43">
                  <c:v>4.3060288426645235E-2</c:v>
                </c:pt>
                <c:pt idx="44">
                  <c:v>4.3060288426645235E-2</c:v>
                </c:pt>
                <c:pt idx="45">
                  <c:v>4.3060288426645235E-2</c:v>
                </c:pt>
                <c:pt idx="46">
                  <c:v>4.3060288426645235E-2</c:v>
                </c:pt>
                <c:pt idx="47">
                  <c:v>4.3060288426645235E-2</c:v>
                </c:pt>
                <c:pt idx="48">
                  <c:v>4.3060288426645235E-2</c:v>
                </c:pt>
                <c:pt idx="49">
                  <c:v>4.3060288426645235E-2</c:v>
                </c:pt>
                <c:pt idx="50">
                  <c:v>4.3060288426645235E-2</c:v>
                </c:pt>
                <c:pt idx="51">
                  <c:v>4.3060288426645235E-2</c:v>
                </c:pt>
                <c:pt idx="52">
                  <c:v>4.3060288426645235E-2</c:v>
                </c:pt>
                <c:pt idx="53">
                  <c:v>4.3060288426645235E-2</c:v>
                </c:pt>
                <c:pt idx="54">
                  <c:v>4.3060288426645235E-2</c:v>
                </c:pt>
                <c:pt idx="55">
                  <c:v>4.3060288426645235E-2</c:v>
                </c:pt>
                <c:pt idx="56">
                  <c:v>4.3060288426645235E-2</c:v>
                </c:pt>
                <c:pt idx="57">
                  <c:v>4.3060288426645235E-2</c:v>
                </c:pt>
                <c:pt idx="58">
                  <c:v>4.3060288426645235E-2</c:v>
                </c:pt>
                <c:pt idx="59">
                  <c:v>4.3060288426645235E-2</c:v>
                </c:pt>
                <c:pt idx="60">
                  <c:v>4.3060288426645235E-2</c:v>
                </c:pt>
                <c:pt idx="61">
                  <c:v>4.3060288426645235E-2</c:v>
                </c:pt>
                <c:pt idx="62">
                  <c:v>4.3060288426645235E-2</c:v>
                </c:pt>
                <c:pt idx="63">
                  <c:v>4.3060288426645235E-2</c:v>
                </c:pt>
                <c:pt idx="64">
                  <c:v>4.3060288426645235E-2</c:v>
                </c:pt>
                <c:pt idx="65">
                  <c:v>4.3060288426645235E-2</c:v>
                </c:pt>
                <c:pt idx="66">
                  <c:v>4.3060288426645235E-2</c:v>
                </c:pt>
                <c:pt idx="67">
                  <c:v>4.3060288426645235E-2</c:v>
                </c:pt>
                <c:pt idx="68">
                  <c:v>4.3060288426645235E-2</c:v>
                </c:pt>
                <c:pt idx="69">
                  <c:v>4.3060288426645235E-2</c:v>
                </c:pt>
                <c:pt idx="70">
                  <c:v>4.3060288426645235E-2</c:v>
                </c:pt>
                <c:pt idx="71">
                  <c:v>4.3060288426645235E-2</c:v>
                </c:pt>
                <c:pt idx="72">
                  <c:v>4.3060288426645235E-2</c:v>
                </c:pt>
                <c:pt idx="73">
                  <c:v>4.3060288426645235E-2</c:v>
                </c:pt>
                <c:pt idx="74">
                  <c:v>4.3060288426645235E-2</c:v>
                </c:pt>
                <c:pt idx="75">
                  <c:v>4.3060288426645235E-2</c:v>
                </c:pt>
                <c:pt idx="76">
                  <c:v>4.3060288426645235E-2</c:v>
                </c:pt>
                <c:pt idx="77">
                  <c:v>4.3060288426645235E-2</c:v>
                </c:pt>
                <c:pt idx="78">
                  <c:v>4.3060288426645235E-2</c:v>
                </c:pt>
                <c:pt idx="79">
                  <c:v>4.3060288426645235E-2</c:v>
                </c:pt>
                <c:pt idx="80">
                  <c:v>4.3060288426645235E-2</c:v>
                </c:pt>
                <c:pt idx="81">
                  <c:v>4.3060288426645235E-2</c:v>
                </c:pt>
                <c:pt idx="82">
                  <c:v>4.3060288426645235E-2</c:v>
                </c:pt>
                <c:pt idx="83">
                  <c:v>4.3060288426645235E-2</c:v>
                </c:pt>
                <c:pt idx="84">
                  <c:v>4.3060288426645235E-2</c:v>
                </c:pt>
                <c:pt idx="85">
                  <c:v>4.3060288426645235E-2</c:v>
                </c:pt>
                <c:pt idx="86">
                  <c:v>4.3060288426645235E-2</c:v>
                </c:pt>
                <c:pt idx="87">
                  <c:v>4.3060288426645235E-2</c:v>
                </c:pt>
                <c:pt idx="88">
                  <c:v>4.3060288426645235E-2</c:v>
                </c:pt>
                <c:pt idx="89">
                  <c:v>4.3060288426645235E-2</c:v>
                </c:pt>
                <c:pt idx="90">
                  <c:v>4.3060288426645235E-2</c:v>
                </c:pt>
                <c:pt idx="91">
                  <c:v>4.3060288426645235E-2</c:v>
                </c:pt>
                <c:pt idx="92">
                  <c:v>4.3060288426645235E-2</c:v>
                </c:pt>
                <c:pt idx="93">
                  <c:v>4.3060288426645235E-2</c:v>
                </c:pt>
                <c:pt idx="94">
                  <c:v>4.3060288426645235E-2</c:v>
                </c:pt>
                <c:pt idx="95">
                  <c:v>4.3060288426645235E-2</c:v>
                </c:pt>
                <c:pt idx="96">
                  <c:v>4.3060288426645235E-2</c:v>
                </c:pt>
                <c:pt idx="97">
                  <c:v>4.3060288426645235E-2</c:v>
                </c:pt>
                <c:pt idx="98">
                  <c:v>4.3060288426645235E-2</c:v>
                </c:pt>
                <c:pt idx="99">
                  <c:v>4.3060288426645235E-2</c:v>
                </c:pt>
                <c:pt idx="100">
                  <c:v>4.3060288426645235E-2</c:v>
                </c:pt>
                <c:pt idx="101">
                  <c:v>4.3060288426645235E-2</c:v>
                </c:pt>
                <c:pt idx="102">
                  <c:v>4.3060288426645235E-2</c:v>
                </c:pt>
                <c:pt idx="103">
                  <c:v>4.3060288426645235E-2</c:v>
                </c:pt>
                <c:pt idx="104">
                  <c:v>4.3060288426645235E-2</c:v>
                </c:pt>
                <c:pt idx="105">
                  <c:v>4.3060288426645235E-2</c:v>
                </c:pt>
                <c:pt idx="106">
                  <c:v>4.3060288426645235E-2</c:v>
                </c:pt>
                <c:pt idx="107">
                  <c:v>4.3060288426645235E-2</c:v>
                </c:pt>
                <c:pt idx="108">
                  <c:v>4.3060288426645235E-2</c:v>
                </c:pt>
                <c:pt idx="109">
                  <c:v>4.3060288426645235E-2</c:v>
                </c:pt>
                <c:pt idx="110">
                  <c:v>4.3060288426645235E-2</c:v>
                </c:pt>
                <c:pt idx="111">
                  <c:v>4.3060288426645235E-2</c:v>
                </c:pt>
                <c:pt idx="112">
                  <c:v>4.3060288426645235E-2</c:v>
                </c:pt>
                <c:pt idx="113">
                  <c:v>4.3060288426645235E-2</c:v>
                </c:pt>
                <c:pt idx="114">
                  <c:v>4.3060288426645235E-2</c:v>
                </c:pt>
                <c:pt idx="115">
                  <c:v>4.3060288426645235E-2</c:v>
                </c:pt>
                <c:pt idx="116">
                  <c:v>4.3060288426645235E-2</c:v>
                </c:pt>
                <c:pt idx="117">
                  <c:v>4.3060288426645235E-2</c:v>
                </c:pt>
                <c:pt idx="118">
                  <c:v>4.3060288426645235E-2</c:v>
                </c:pt>
                <c:pt idx="119">
                  <c:v>4.3060288426645235E-2</c:v>
                </c:pt>
                <c:pt idx="120">
                  <c:v>4.3060288426645235E-2</c:v>
                </c:pt>
                <c:pt idx="121">
                  <c:v>4.3060288426645235E-2</c:v>
                </c:pt>
                <c:pt idx="122">
                  <c:v>4.3060288426645235E-2</c:v>
                </c:pt>
                <c:pt idx="123">
                  <c:v>4.3060288426645235E-2</c:v>
                </c:pt>
                <c:pt idx="124">
                  <c:v>4.3060288426645235E-2</c:v>
                </c:pt>
                <c:pt idx="125">
                  <c:v>4.3060288426645235E-2</c:v>
                </c:pt>
                <c:pt idx="126">
                  <c:v>4.3060288426645235E-2</c:v>
                </c:pt>
                <c:pt idx="127">
                  <c:v>4.3060288426645235E-2</c:v>
                </c:pt>
                <c:pt idx="128">
                  <c:v>4.3060288426645235E-2</c:v>
                </c:pt>
                <c:pt idx="129">
                  <c:v>4.3060288426645235E-2</c:v>
                </c:pt>
                <c:pt idx="130">
                  <c:v>4.3060288426645235E-2</c:v>
                </c:pt>
                <c:pt idx="131">
                  <c:v>4.3060288426645235E-2</c:v>
                </c:pt>
                <c:pt idx="132">
                  <c:v>4.3060288426645235E-2</c:v>
                </c:pt>
                <c:pt idx="133">
                  <c:v>4.3060288426645235E-2</c:v>
                </c:pt>
                <c:pt idx="134">
                  <c:v>4.3060288426645235E-2</c:v>
                </c:pt>
                <c:pt idx="135">
                  <c:v>4.3060288426645235E-2</c:v>
                </c:pt>
                <c:pt idx="136">
                  <c:v>4.3060288426645235E-2</c:v>
                </c:pt>
                <c:pt idx="137">
                  <c:v>4.3060288426645235E-2</c:v>
                </c:pt>
                <c:pt idx="138">
                  <c:v>4.3060288426645235E-2</c:v>
                </c:pt>
                <c:pt idx="139">
                  <c:v>4.3060288426645235E-2</c:v>
                </c:pt>
                <c:pt idx="140">
                  <c:v>4.3060288426645235E-2</c:v>
                </c:pt>
                <c:pt idx="141">
                  <c:v>4.3060288426645235E-2</c:v>
                </c:pt>
                <c:pt idx="142">
                  <c:v>4.3060288426645235E-2</c:v>
                </c:pt>
                <c:pt idx="143">
                  <c:v>4.3060288426645235E-2</c:v>
                </c:pt>
                <c:pt idx="144">
                  <c:v>4.3060288426645235E-2</c:v>
                </c:pt>
                <c:pt idx="145">
                  <c:v>4.3060288426645235E-2</c:v>
                </c:pt>
                <c:pt idx="146">
                  <c:v>4.3060288426645235E-2</c:v>
                </c:pt>
                <c:pt idx="147">
                  <c:v>4.3060288426645235E-2</c:v>
                </c:pt>
                <c:pt idx="148">
                  <c:v>4.3060288426645235E-2</c:v>
                </c:pt>
                <c:pt idx="149">
                  <c:v>4.3060288426645235E-2</c:v>
                </c:pt>
                <c:pt idx="150">
                  <c:v>4.3060288426645235E-2</c:v>
                </c:pt>
                <c:pt idx="151">
                  <c:v>4.3060288426645235E-2</c:v>
                </c:pt>
                <c:pt idx="152">
                  <c:v>4.3060288426645235E-2</c:v>
                </c:pt>
                <c:pt idx="153">
                  <c:v>4.3060288426645235E-2</c:v>
                </c:pt>
                <c:pt idx="154">
                  <c:v>4.3060288426645235E-2</c:v>
                </c:pt>
                <c:pt idx="155">
                  <c:v>4.3060288426645235E-2</c:v>
                </c:pt>
                <c:pt idx="156">
                  <c:v>4.3060288426645235E-2</c:v>
                </c:pt>
                <c:pt idx="157">
                  <c:v>4.3060288426645235E-2</c:v>
                </c:pt>
                <c:pt idx="158">
                  <c:v>4.3060288426645235E-2</c:v>
                </c:pt>
                <c:pt idx="159">
                  <c:v>4.3060288426645235E-2</c:v>
                </c:pt>
                <c:pt idx="160">
                  <c:v>4.3060288426645235E-2</c:v>
                </c:pt>
                <c:pt idx="161">
                  <c:v>4.3060288426645235E-2</c:v>
                </c:pt>
                <c:pt idx="162">
                  <c:v>4.3060288426645235E-2</c:v>
                </c:pt>
                <c:pt idx="163">
                  <c:v>4.3060288426645235E-2</c:v>
                </c:pt>
                <c:pt idx="164">
                  <c:v>4.3060288426645235E-2</c:v>
                </c:pt>
                <c:pt idx="165">
                  <c:v>4.3060288426645235E-2</c:v>
                </c:pt>
                <c:pt idx="166">
                  <c:v>4.3060288426645235E-2</c:v>
                </c:pt>
                <c:pt idx="167">
                  <c:v>4.3060288426645235E-2</c:v>
                </c:pt>
                <c:pt idx="168">
                  <c:v>4.3060288426645235E-2</c:v>
                </c:pt>
                <c:pt idx="169">
                  <c:v>4.3060288426645235E-2</c:v>
                </c:pt>
                <c:pt idx="170">
                  <c:v>4.3060288426645235E-2</c:v>
                </c:pt>
                <c:pt idx="171">
                  <c:v>4.3060288426645235E-2</c:v>
                </c:pt>
                <c:pt idx="172">
                  <c:v>4.3060288426645235E-2</c:v>
                </c:pt>
                <c:pt idx="173">
                  <c:v>4.3060288426645235E-2</c:v>
                </c:pt>
                <c:pt idx="174">
                  <c:v>4.3060288426645235E-2</c:v>
                </c:pt>
                <c:pt idx="175">
                  <c:v>4.3060288426645235E-2</c:v>
                </c:pt>
                <c:pt idx="176">
                  <c:v>4.3060288426645235E-2</c:v>
                </c:pt>
                <c:pt idx="177">
                  <c:v>4.3060288426645235E-2</c:v>
                </c:pt>
                <c:pt idx="178">
                  <c:v>4.3060288426645235E-2</c:v>
                </c:pt>
                <c:pt idx="179">
                  <c:v>4.3060288426645235E-2</c:v>
                </c:pt>
                <c:pt idx="180">
                  <c:v>4.3060288426645235E-2</c:v>
                </c:pt>
                <c:pt idx="181">
                  <c:v>4.3060288426645235E-2</c:v>
                </c:pt>
                <c:pt idx="182">
                  <c:v>4.3060288426645235E-2</c:v>
                </c:pt>
                <c:pt idx="183">
                  <c:v>4.3060288426645235E-2</c:v>
                </c:pt>
                <c:pt idx="184">
                  <c:v>4.3060288426645235E-2</c:v>
                </c:pt>
                <c:pt idx="185">
                  <c:v>4.3060288426645235E-2</c:v>
                </c:pt>
                <c:pt idx="186">
                  <c:v>4.3060288426645235E-2</c:v>
                </c:pt>
                <c:pt idx="187">
                  <c:v>4.3060288426645235E-2</c:v>
                </c:pt>
                <c:pt idx="188">
                  <c:v>4.3060288426645235E-2</c:v>
                </c:pt>
                <c:pt idx="189">
                  <c:v>4.3060288426645235E-2</c:v>
                </c:pt>
                <c:pt idx="190">
                  <c:v>4.3060288426645235E-2</c:v>
                </c:pt>
                <c:pt idx="191">
                  <c:v>4.3060288426645235E-2</c:v>
                </c:pt>
                <c:pt idx="192">
                  <c:v>4.3060288426645235E-2</c:v>
                </c:pt>
                <c:pt idx="193">
                  <c:v>4.3060288426645235E-2</c:v>
                </c:pt>
                <c:pt idx="194">
                  <c:v>4.3060288426645235E-2</c:v>
                </c:pt>
                <c:pt idx="195">
                  <c:v>4.3060288426645235E-2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D7-4D95-BF17-3A34DD804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5321344"/>
        <c:axId val="1455328832"/>
      </c:lineChart>
      <c:dateAx>
        <c:axId val="1455321344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455328832"/>
        <c:crosses val="autoZero"/>
        <c:auto val="1"/>
        <c:lblOffset val="100"/>
        <c:baseTimeUnit val="days"/>
      </c:dateAx>
      <c:valAx>
        <c:axId val="1455328832"/>
        <c:scaling>
          <c:orientation val="minMax"/>
          <c:min val="2.0000000000000005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45532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747072599531616"/>
          <c:y val="3.6222022239021275E-2"/>
          <c:w val="0.4565183450429352"/>
          <c:h val="4.81802087372911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r>
              <a:rPr lang="zh-CN"/>
              <a:t>策略组合：波动率对比</a:t>
            </a:r>
          </a:p>
        </c:rich>
      </c:tx>
      <c:layout>
        <c:manualLayout>
          <c:xMode val="edge"/>
          <c:yMode val="edge"/>
          <c:x val="6.6471673496953237E-2"/>
          <c:y val="2.1909233176838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8064987490598761E-2"/>
          <c:y val="0.12195630475767993"/>
          <c:w val="0.91337600343816672"/>
          <c:h val="0.75237711483247693"/>
        </c:manualLayout>
      </c:layout>
      <c:lineChart>
        <c:grouping val="standard"/>
        <c:varyColors val="0"/>
        <c:ser>
          <c:idx val="0"/>
          <c:order val="0"/>
          <c:tx>
            <c:strRef>
              <c:f>策略组合!$T$2</c:f>
              <c:strCache>
                <c:ptCount val="1"/>
                <c:pt idx="0">
                  <c:v>策略组合：滚动1年波动率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策略组合!$G$247:$G$4000</c:f>
              <c:numCache>
                <c:formatCode>yyyy\-mm\-dd</c:formatCode>
                <c:ptCount val="3754"/>
                <c:pt idx="0">
                  <c:v>45812</c:v>
                </c:pt>
                <c:pt idx="1">
                  <c:v>45813</c:v>
                </c:pt>
                <c:pt idx="2">
                  <c:v>45814</c:v>
                </c:pt>
                <c:pt idx="3">
                  <c:v>45817</c:v>
                </c:pt>
                <c:pt idx="4">
                  <c:v>45818</c:v>
                </c:pt>
                <c:pt idx="5">
                  <c:v>45819</c:v>
                </c:pt>
                <c:pt idx="6">
                  <c:v>45820</c:v>
                </c:pt>
                <c:pt idx="7">
                  <c:v>45821</c:v>
                </c:pt>
                <c:pt idx="8">
                  <c:v>45824</c:v>
                </c:pt>
                <c:pt idx="9">
                  <c:v>45825</c:v>
                </c:pt>
                <c:pt idx="10">
                  <c:v>45826</c:v>
                </c:pt>
                <c:pt idx="11">
                  <c:v>45827</c:v>
                </c:pt>
                <c:pt idx="12">
                  <c:v>45828</c:v>
                </c:pt>
                <c:pt idx="13">
                  <c:v>45831</c:v>
                </c:pt>
                <c:pt idx="14">
                  <c:v>45832</c:v>
                </c:pt>
                <c:pt idx="15">
                  <c:v>45833</c:v>
                </c:pt>
                <c:pt idx="16">
                  <c:v>45834</c:v>
                </c:pt>
                <c:pt idx="17">
                  <c:v>45835</c:v>
                </c:pt>
                <c:pt idx="18">
                  <c:v>45838</c:v>
                </c:pt>
                <c:pt idx="19">
                  <c:v>45839</c:v>
                </c:pt>
                <c:pt idx="20">
                  <c:v>45840</c:v>
                </c:pt>
                <c:pt idx="21">
                  <c:v>45841</c:v>
                </c:pt>
                <c:pt idx="22">
                  <c:v>45842</c:v>
                </c:pt>
                <c:pt idx="23">
                  <c:v>45845</c:v>
                </c:pt>
                <c:pt idx="24">
                  <c:v>45846</c:v>
                </c:pt>
                <c:pt idx="25">
                  <c:v>45847</c:v>
                </c:pt>
                <c:pt idx="26">
                  <c:v>45848</c:v>
                </c:pt>
                <c:pt idx="27">
                  <c:v>45849</c:v>
                </c:pt>
                <c:pt idx="28">
                  <c:v>45852</c:v>
                </c:pt>
                <c:pt idx="29">
                  <c:v>45853</c:v>
                </c:pt>
                <c:pt idx="30">
                  <c:v>45854</c:v>
                </c:pt>
                <c:pt idx="31">
                  <c:v>45855</c:v>
                </c:pt>
                <c:pt idx="32">
                  <c:v>45856</c:v>
                </c:pt>
                <c:pt idx="33">
                  <c:v>45859</c:v>
                </c:pt>
                <c:pt idx="34">
                  <c:v>45860</c:v>
                </c:pt>
                <c:pt idx="35">
                  <c:v>45861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45870</c:v>
                </c:pt>
                <c:pt idx="43">
                  <c:v>45873</c:v>
                </c:pt>
                <c:pt idx="44">
                  <c:v>45874</c:v>
                </c:pt>
                <c:pt idx="45">
                  <c:v>45875</c:v>
                </c:pt>
                <c:pt idx="46">
                  <c:v>45876</c:v>
                </c:pt>
                <c:pt idx="47">
                  <c:v>45877</c:v>
                </c:pt>
                <c:pt idx="48">
                  <c:v>45880</c:v>
                </c:pt>
                <c:pt idx="49">
                  <c:v>45881</c:v>
                </c:pt>
                <c:pt idx="50">
                  <c:v>45882</c:v>
                </c:pt>
                <c:pt idx="51">
                  <c:v>45883</c:v>
                </c:pt>
                <c:pt idx="52">
                  <c:v>45884</c:v>
                </c:pt>
                <c:pt idx="53">
                  <c:v>45887</c:v>
                </c:pt>
                <c:pt idx="54">
                  <c:v>45888</c:v>
                </c:pt>
                <c:pt idx="55">
                  <c:v>45889</c:v>
                </c:pt>
                <c:pt idx="56">
                  <c:v>45890</c:v>
                </c:pt>
                <c:pt idx="57">
                  <c:v>45891</c:v>
                </c:pt>
                <c:pt idx="58">
                  <c:v>45894</c:v>
                </c:pt>
                <c:pt idx="59">
                  <c:v>45895</c:v>
                </c:pt>
                <c:pt idx="60">
                  <c:v>45896</c:v>
                </c:pt>
                <c:pt idx="61">
                  <c:v>45897</c:v>
                </c:pt>
                <c:pt idx="62">
                  <c:v>45898</c:v>
                </c:pt>
                <c:pt idx="63">
                  <c:v>45901</c:v>
                </c:pt>
                <c:pt idx="64">
                  <c:v>45902</c:v>
                </c:pt>
                <c:pt idx="65">
                  <c:v>45903</c:v>
                </c:pt>
                <c:pt idx="66">
                  <c:v>45904</c:v>
                </c:pt>
                <c:pt idx="67">
                  <c:v>45905</c:v>
                </c:pt>
                <c:pt idx="68">
                  <c:v>45908</c:v>
                </c:pt>
                <c:pt idx="69">
                  <c:v>45909</c:v>
                </c:pt>
                <c:pt idx="70">
                  <c:v>45910</c:v>
                </c:pt>
                <c:pt idx="71">
                  <c:v>45911</c:v>
                </c:pt>
                <c:pt idx="72">
                  <c:v>45912</c:v>
                </c:pt>
              </c:numCache>
            </c:numRef>
          </c:cat>
          <c:val>
            <c:numRef>
              <c:f>策略组合!$T$247:$T$4000</c:f>
              <c:numCache>
                <c:formatCode>0.00%</c:formatCode>
                <c:ptCount val="3754"/>
                <c:pt idx="0">
                  <c:v>3.020919911817447E-3</c:v>
                </c:pt>
                <c:pt idx="1">
                  <c:v>3.0150186304739026E-3</c:v>
                </c:pt>
                <c:pt idx="2">
                  <c:v>3.015057678465158E-3</c:v>
                </c:pt>
                <c:pt idx="3">
                  <c:v>3.0160175873088857E-3</c:v>
                </c:pt>
                <c:pt idx="4">
                  <c:v>3.014214870383271E-3</c:v>
                </c:pt>
                <c:pt idx="5">
                  <c:v>3.0148716555883693E-3</c:v>
                </c:pt>
                <c:pt idx="6">
                  <c:v>3.0149416471803932E-3</c:v>
                </c:pt>
                <c:pt idx="7">
                  <c:v>3.0202504355010431E-3</c:v>
                </c:pt>
                <c:pt idx="8">
                  <c:v>3.0200973136643612E-3</c:v>
                </c:pt>
                <c:pt idx="9">
                  <c:v>3.020119005452542E-3</c:v>
                </c:pt>
                <c:pt idx="10">
                  <c:v>3.0205559677446989E-3</c:v>
                </c:pt>
                <c:pt idx="11">
                  <c:v>3.0250994311704794E-3</c:v>
                </c:pt>
                <c:pt idx="12">
                  <c:v>3.0251987116781242E-3</c:v>
                </c:pt>
                <c:pt idx="13">
                  <c:v>3.0287045088325175E-3</c:v>
                </c:pt>
                <c:pt idx="14">
                  <c:v>3.0368248646812108E-3</c:v>
                </c:pt>
                <c:pt idx="15">
                  <c:v>3.0376657203825788E-3</c:v>
                </c:pt>
                <c:pt idx="16">
                  <c:v>3.0374061963060104E-3</c:v>
                </c:pt>
                <c:pt idx="17">
                  <c:v>3.0345483425026714E-3</c:v>
                </c:pt>
                <c:pt idx="18">
                  <c:v>3.0347240690867436E-3</c:v>
                </c:pt>
                <c:pt idx="19">
                  <c:v>3.0345710347771952E-3</c:v>
                </c:pt>
                <c:pt idx="20">
                  <c:v>3.033308281579035E-3</c:v>
                </c:pt>
                <c:pt idx="21">
                  <c:v>3.0336996708807133E-3</c:v>
                </c:pt>
                <c:pt idx="22">
                  <c:v>3.0336234007622052E-3</c:v>
                </c:pt>
                <c:pt idx="23">
                  <c:v>3.036025430311731E-3</c:v>
                </c:pt>
                <c:pt idx="24">
                  <c:v>3.0360644506013936E-3</c:v>
                </c:pt>
                <c:pt idx="25">
                  <c:v>3.0351271671829223E-3</c:v>
                </c:pt>
                <c:pt idx="26">
                  <c:v>3.0356062124802076E-3</c:v>
                </c:pt>
                <c:pt idx="27">
                  <c:v>3.0345463086117121E-3</c:v>
                </c:pt>
                <c:pt idx="28">
                  <c:v>3.0333368454481904E-3</c:v>
                </c:pt>
                <c:pt idx="29">
                  <c:v>3.0327435291091684E-3</c:v>
                </c:pt>
                <c:pt idx="30">
                  <c:v>3.0315566143704546E-3</c:v>
                </c:pt>
                <c:pt idx="31">
                  <c:v>3.0305594781494896E-3</c:v>
                </c:pt>
                <c:pt idx="32">
                  <c:v>3.0323139071401035E-3</c:v>
                </c:pt>
                <c:pt idx="33">
                  <c:v>3.0331845311679685E-3</c:v>
                </c:pt>
                <c:pt idx="34">
                  <c:v>3.0311877089819346E-3</c:v>
                </c:pt>
                <c:pt idx="35">
                  <c:v>3.0307845276259134E-3</c:v>
                </c:pt>
                <c:pt idx="36">
                  <c:v>3.0272222019682173E-3</c:v>
                </c:pt>
                <c:pt idx="37">
                  <c:v>3.0273027222355959E-3</c:v>
                </c:pt>
                <c:pt idx="38">
                  <c:v>3.019747825332081E-3</c:v>
                </c:pt>
                <c:pt idx="39">
                  <c:v>3.0086549615781742E-3</c:v>
                </c:pt>
                <c:pt idx="40">
                  <c:v>3.0063883663122687E-3</c:v>
                </c:pt>
                <c:pt idx="41">
                  <c:v>3.0119763229589989E-3</c:v>
                </c:pt>
                <c:pt idx="42">
                  <c:v>3.0146429337916301E-3</c:v>
                </c:pt>
                <c:pt idx="43">
                  <c:v>3.0189075403706253E-3</c:v>
                </c:pt>
                <c:pt idx="44">
                  <c:v>2.9921791682243053E-3</c:v>
                </c:pt>
                <c:pt idx="45">
                  <c:v>2.9911586659102461E-3</c:v>
                </c:pt>
                <c:pt idx="46">
                  <c:v>2.988505430155703E-3</c:v>
                </c:pt>
                <c:pt idx="47">
                  <c:v>2.9665030973750699E-3</c:v>
                </c:pt>
                <c:pt idx="48">
                  <c:v>2.9665139478284646E-3</c:v>
                </c:pt>
                <c:pt idx="49">
                  <c:v>2.9672063129441025E-3</c:v>
                </c:pt>
                <c:pt idx="50">
                  <c:v>2.966222825695853E-3</c:v>
                </c:pt>
                <c:pt idx="51">
                  <c:v>2.9681336425804328E-3</c:v>
                </c:pt>
                <c:pt idx="52">
                  <c:v>2.9680362617722201E-3</c:v>
                </c:pt>
                <c:pt idx="53">
                  <c:v>2.9611914421534165E-3</c:v>
                </c:pt>
                <c:pt idx="54">
                  <c:v>2.9624181692378846E-3</c:v>
                </c:pt>
                <c:pt idx="55">
                  <c:v>2.9602248139833265E-3</c:v>
                </c:pt>
                <c:pt idx="56">
                  <c:v>2.9617376732972976E-3</c:v>
                </c:pt>
                <c:pt idx="57">
                  <c:v>2.9598360896008285E-3</c:v>
                </c:pt>
                <c:pt idx="58">
                  <c:v>2.9581160684890423E-3</c:v>
                </c:pt>
                <c:pt idx="59">
                  <c:v>2.9580918784697739E-3</c:v>
                </c:pt>
                <c:pt idx="60">
                  <c:v>2.9607018861223422E-3</c:v>
                </c:pt>
                <c:pt idx="61">
                  <c:v>2.958137147110464E-3</c:v>
                </c:pt>
                <c:pt idx="62">
                  <c:v>2.9568836889414573E-3</c:v>
                </c:pt>
                <c:pt idx="63">
                  <c:v>2.956677470346173E-3</c:v>
                </c:pt>
                <c:pt idx="64">
                  <c:v>2.9607013967347202E-3</c:v>
                </c:pt>
                <c:pt idx="65">
                  <c:v>2.9607629949388267E-3</c:v>
                </c:pt>
                <c:pt idx="66">
                  <c:v>2.9616761154669558E-3</c:v>
                </c:pt>
                <c:pt idx="67">
                  <c:v>2.9615125428882573E-3</c:v>
                </c:pt>
                <c:pt idx="68">
                  <c:v>2.9583844160921782E-3</c:v>
                </c:pt>
                <c:pt idx="69">
                  <c:v>2.9604109681592491E-3</c:v>
                </c:pt>
                <c:pt idx="70">
                  <c:v>2.9606422412760103E-3</c:v>
                </c:pt>
                <c:pt idx="71">
                  <c:v>2.958936519878606E-3</c:v>
                </c:pt>
                <c:pt idx="72">
                  <c:v>2.9587737961161605E-3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25-4EC5-880D-A4254268FDB6}"/>
            </c:ext>
          </c:extLst>
        </c:ser>
        <c:ser>
          <c:idx val="1"/>
          <c:order val="1"/>
          <c:tx>
            <c:strRef>
              <c:f>策略组合!$U$2</c:f>
              <c:strCache>
                <c:ptCount val="1"/>
                <c:pt idx="0">
                  <c:v>业绩基准：滚动1年波动率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策略组合!$G$247:$G$4000</c:f>
              <c:numCache>
                <c:formatCode>yyyy\-mm\-dd</c:formatCode>
                <c:ptCount val="3754"/>
                <c:pt idx="0">
                  <c:v>45812</c:v>
                </c:pt>
                <c:pt idx="1">
                  <c:v>45813</c:v>
                </c:pt>
                <c:pt idx="2">
                  <c:v>45814</c:v>
                </c:pt>
                <c:pt idx="3">
                  <c:v>45817</c:v>
                </c:pt>
                <c:pt idx="4">
                  <c:v>45818</c:v>
                </c:pt>
                <c:pt idx="5">
                  <c:v>45819</c:v>
                </c:pt>
                <c:pt idx="6">
                  <c:v>45820</c:v>
                </c:pt>
                <c:pt idx="7">
                  <c:v>45821</c:v>
                </c:pt>
                <c:pt idx="8">
                  <c:v>45824</c:v>
                </c:pt>
                <c:pt idx="9">
                  <c:v>45825</c:v>
                </c:pt>
                <c:pt idx="10">
                  <c:v>45826</c:v>
                </c:pt>
                <c:pt idx="11">
                  <c:v>45827</c:v>
                </c:pt>
                <c:pt idx="12">
                  <c:v>45828</c:v>
                </c:pt>
                <c:pt idx="13">
                  <c:v>45831</c:v>
                </c:pt>
                <c:pt idx="14">
                  <c:v>45832</c:v>
                </c:pt>
                <c:pt idx="15">
                  <c:v>45833</c:v>
                </c:pt>
                <c:pt idx="16">
                  <c:v>45834</c:v>
                </c:pt>
                <c:pt idx="17">
                  <c:v>45835</c:v>
                </c:pt>
                <c:pt idx="18">
                  <c:v>45838</c:v>
                </c:pt>
                <c:pt idx="19">
                  <c:v>45839</c:v>
                </c:pt>
                <c:pt idx="20">
                  <c:v>45840</c:v>
                </c:pt>
                <c:pt idx="21">
                  <c:v>45841</c:v>
                </c:pt>
                <c:pt idx="22">
                  <c:v>45842</c:v>
                </c:pt>
                <c:pt idx="23">
                  <c:v>45845</c:v>
                </c:pt>
                <c:pt idx="24">
                  <c:v>45846</c:v>
                </c:pt>
                <c:pt idx="25">
                  <c:v>45847</c:v>
                </c:pt>
                <c:pt idx="26">
                  <c:v>45848</c:v>
                </c:pt>
                <c:pt idx="27">
                  <c:v>45849</c:v>
                </c:pt>
                <c:pt idx="28">
                  <c:v>45852</c:v>
                </c:pt>
                <c:pt idx="29">
                  <c:v>45853</c:v>
                </c:pt>
                <c:pt idx="30">
                  <c:v>45854</c:v>
                </c:pt>
                <c:pt idx="31">
                  <c:v>45855</c:v>
                </c:pt>
                <c:pt idx="32">
                  <c:v>45856</c:v>
                </c:pt>
                <c:pt idx="33">
                  <c:v>45859</c:v>
                </c:pt>
                <c:pt idx="34">
                  <c:v>45860</c:v>
                </c:pt>
                <c:pt idx="35">
                  <c:v>45861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45870</c:v>
                </c:pt>
                <c:pt idx="43">
                  <c:v>45873</c:v>
                </c:pt>
                <c:pt idx="44">
                  <c:v>45874</c:v>
                </c:pt>
                <c:pt idx="45">
                  <c:v>45875</c:v>
                </c:pt>
                <c:pt idx="46">
                  <c:v>45876</c:v>
                </c:pt>
                <c:pt idx="47">
                  <c:v>45877</c:v>
                </c:pt>
                <c:pt idx="48">
                  <c:v>45880</c:v>
                </c:pt>
                <c:pt idx="49">
                  <c:v>45881</c:v>
                </c:pt>
                <c:pt idx="50">
                  <c:v>45882</c:v>
                </c:pt>
                <c:pt idx="51">
                  <c:v>45883</c:v>
                </c:pt>
                <c:pt idx="52">
                  <c:v>45884</c:v>
                </c:pt>
                <c:pt idx="53">
                  <c:v>45887</c:v>
                </c:pt>
                <c:pt idx="54">
                  <c:v>45888</c:v>
                </c:pt>
                <c:pt idx="55">
                  <c:v>45889</c:v>
                </c:pt>
                <c:pt idx="56">
                  <c:v>45890</c:v>
                </c:pt>
                <c:pt idx="57">
                  <c:v>45891</c:v>
                </c:pt>
                <c:pt idx="58">
                  <c:v>45894</c:v>
                </c:pt>
                <c:pt idx="59">
                  <c:v>45895</c:v>
                </c:pt>
                <c:pt idx="60">
                  <c:v>45896</c:v>
                </c:pt>
                <c:pt idx="61">
                  <c:v>45897</c:v>
                </c:pt>
                <c:pt idx="62">
                  <c:v>45898</c:v>
                </c:pt>
                <c:pt idx="63">
                  <c:v>45901</c:v>
                </c:pt>
                <c:pt idx="64">
                  <c:v>45902</c:v>
                </c:pt>
                <c:pt idx="65">
                  <c:v>45903</c:v>
                </c:pt>
                <c:pt idx="66">
                  <c:v>45904</c:v>
                </c:pt>
                <c:pt idx="67">
                  <c:v>45905</c:v>
                </c:pt>
                <c:pt idx="68">
                  <c:v>45908</c:v>
                </c:pt>
                <c:pt idx="69">
                  <c:v>45909</c:v>
                </c:pt>
                <c:pt idx="70">
                  <c:v>45910</c:v>
                </c:pt>
                <c:pt idx="71">
                  <c:v>45911</c:v>
                </c:pt>
                <c:pt idx="72">
                  <c:v>45912</c:v>
                </c:pt>
              </c:numCache>
            </c:numRef>
          </c:cat>
          <c:val>
            <c:numRef>
              <c:f>策略组合!$U$247:$U$4000</c:f>
              <c:numCache>
                <c:formatCode>0.00%</c:formatCode>
                <c:ptCount val="3754"/>
                <c:pt idx="0">
                  <c:v>9.1573917496929477E-5</c:v>
                </c:pt>
                <c:pt idx="1">
                  <c:v>9.1389348358615949E-5</c:v>
                </c:pt>
                <c:pt idx="2">
                  <c:v>9.4219675954950529E-5</c:v>
                </c:pt>
                <c:pt idx="3">
                  <c:v>9.4247249635662166E-5</c:v>
                </c:pt>
                <c:pt idx="4">
                  <c:v>9.2838960185402211E-5</c:v>
                </c:pt>
                <c:pt idx="5">
                  <c:v>9.2824562107690178E-5</c:v>
                </c:pt>
                <c:pt idx="6">
                  <c:v>9.2631553144170253E-5</c:v>
                </c:pt>
                <c:pt idx="7">
                  <c:v>9.2655538991451311E-5</c:v>
                </c:pt>
                <c:pt idx="8">
                  <c:v>9.2650416401296259E-5</c:v>
                </c:pt>
                <c:pt idx="9">
                  <c:v>9.2908951301325473E-5</c:v>
                </c:pt>
                <c:pt idx="10">
                  <c:v>9.2912544395575664E-5</c:v>
                </c:pt>
                <c:pt idx="11">
                  <c:v>9.2600150597982775E-5</c:v>
                </c:pt>
                <c:pt idx="12">
                  <c:v>9.2601959483101074E-5</c:v>
                </c:pt>
                <c:pt idx="13">
                  <c:v>9.2598173514808096E-5</c:v>
                </c:pt>
                <c:pt idx="14">
                  <c:v>9.3172439518117981E-5</c:v>
                </c:pt>
                <c:pt idx="15">
                  <c:v>9.324116856776036E-5</c:v>
                </c:pt>
                <c:pt idx="16">
                  <c:v>9.2978387582896309E-5</c:v>
                </c:pt>
                <c:pt idx="17">
                  <c:v>9.300123256208931E-5</c:v>
                </c:pt>
                <c:pt idx="18">
                  <c:v>9.2973834828268274E-5</c:v>
                </c:pt>
                <c:pt idx="19">
                  <c:v>9.3160035624945765E-5</c:v>
                </c:pt>
                <c:pt idx="20">
                  <c:v>9.3156713683013011E-5</c:v>
                </c:pt>
                <c:pt idx="21">
                  <c:v>9.3088662745965055E-5</c:v>
                </c:pt>
                <c:pt idx="22">
                  <c:v>9.3070954001730032E-5</c:v>
                </c:pt>
                <c:pt idx="23">
                  <c:v>9.2996018285130085E-5</c:v>
                </c:pt>
                <c:pt idx="24">
                  <c:v>9.3189317792643971E-5</c:v>
                </c:pt>
                <c:pt idx="25">
                  <c:v>9.30548424268892E-5</c:v>
                </c:pt>
                <c:pt idx="26">
                  <c:v>9.2812171412886969E-5</c:v>
                </c:pt>
                <c:pt idx="27">
                  <c:v>9.2721676519433974E-5</c:v>
                </c:pt>
                <c:pt idx="28">
                  <c:v>9.271097337939137E-5</c:v>
                </c:pt>
                <c:pt idx="29">
                  <c:v>9.2918096791700584E-5</c:v>
                </c:pt>
                <c:pt idx="30">
                  <c:v>9.2817274698066434E-5</c:v>
                </c:pt>
                <c:pt idx="31">
                  <c:v>9.2754035241195135E-5</c:v>
                </c:pt>
                <c:pt idx="32">
                  <c:v>9.2816576786651752E-5</c:v>
                </c:pt>
                <c:pt idx="33">
                  <c:v>9.2938039236871236E-5</c:v>
                </c:pt>
                <c:pt idx="34">
                  <c:v>9.2946925733429354E-5</c:v>
                </c:pt>
                <c:pt idx="35">
                  <c:v>9.2839867085257161E-5</c:v>
                </c:pt>
                <c:pt idx="36">
                  <c:v>9.2852787040270912E-5</c:v>
                </c:pt>
                <c:pt idx="37">
                  <c:v>9.3626620403251682E-5</c:v>
                </c:pt>
                <c:pt idx="38">
                  <c:v>9.370581398853433E-5</c:v>
                </c:pt>
                <c:pt idx="39">
                  <c:v>9.3729174699555722E-5</c:v>
                </c:pt>
                <c:pt idx="40">
                  <c:v>9.3699130141998657E-5</c:v>
                </c:pt>
                <c:pt idx="41">
                  <c:v>9.3730740127107482E-5</c:v>
                </c:pt>
                <c:pt idx="42">
                  <c:v>9.425919129717605E-5</c:v>
                </c:pt>
                <c:pt idx="43">
                  <c:v>9.4264989969498715E-5</c:v>
                </c:pt>
                <c:pt idx="44">
                  <c:v>9.4266719447115213E-5</c:v>
                </c:pt>
                <c:pt idx="45">
                  <c:v>9.4222534887696981E-5</c:v>
                </c:pt>
                <c:pt idx="46">
                  <c:v>9.4133776541799167E-5</c:v>
                </c:pt>
                <c:pt idx="47">
                  <c:v>9.4230554357690243E-5</c:v>
                </c:pt>
                <c:pt idx="48">
                  <c:v>9.4245871564873485E-5</c:v>
                </c:pt>
                <c:pt idx="49">
                  <c:v>9.4276142749434306E-5</c:v>
                </c:pt>
                <c:pt idx="50">
                  <c:v>9.4122373774996757E-5</c:v>
                </c:pt>
                <c:pt idx="51">
                  <c:v>9.4145672688549219E-5</c:v>
                </c:pt>
                <c:pt idx="52">
                  <c:v>9.433381206784406E-5</c:v>
                </c:pt>
                <c:pt idx="53">
                  <c:v>9.4334110047641757E-5</c:v>
                </c:pt>
                <c:pt idx="54">
                  <c:v>9.4342943302016968E-5</c:v>
                </c:pt>
                <c:pt idx="55">
                  <c:v>9.3980619722321208E-5</c:v>
                </c:pt>
                <c:pt idx="56">
                  <c:v>9.3988007593796044E-5</c:v>
                </c:pt>
                <c:pt idx="57">
                  <c:v>9.4131695427503802E-5</c:v>
                </c:pt>
                <c:pt idx="58">
                  <c:v>9.4357939396043285E-5</c:v>
                </c:pt>
                <c:pt idx="59">
                  <c:v>9.4388499183071186E-5</c:v>
                </c:pt>
                <c:pt idx="60">
                  <c:v>9.4203062332764837E-5</c:v>
                </c:pt>
                <c:pt idx="61">
                  <c:v>9.4209857280757293E-5</c:v>
                </c:pt>
                <c:pt idx="62">
                  <c:v>9.4357622087994946E-5</c:v>
                </c:pt>
                <c:pt idx="63">
                  <c:v>9.4359918966993399E-5</c:v>
                </c:pt>
                <c:pt idx="64">
                  <c:v>9.4359538717235571E-5</c:v>
                </c:pt>
                <c:pt idx="65">
                  <c:v>9.3734287875545824E-5</c:v>
                </c:pt>
                <c:pt idx="66">
                  <c:v>9.3632941357352272E-5</c:v>
                </c:pt>
                <c:pt idx="67">
                  <c:v>9.3808102326014233E-5</c:v>
                </c:pt>
                <c:pt idx="68">
                  <c:v>9.3814868543307025E-5</c:v>
                </c:pt>
                <c:pt idx="69">
                  <c:v>9.3825331883555933E-5</c:v>
                </c:pt>
                <c:pt idx="70">
                  <c:v>9.3842919146491666E-5</c:v>
                </c:pt>
                <c:pt idx="71">
                  <c:v>9.3671591070143166E-5</c:v>
                </c:pt>
                <c:pt idx="72">
                  <c:v>9.3775998758823979E-5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25-4EC5-880D-A4254268F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168624"/>
        <c:axId val="1561169456"/>
      </c:lineChart>
      <c:dateAx>
        <c:axId val="1561168624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561169456"/>
        <c:crosses val="autoZero"/>
        <c:auto val="1"/>
        <c:lblOffset val="100"/>
        <c:baseTimeUnit val="days"/>
      </c:dateAx>
      <c:valAx>
        <c:axId val="1561169456"/>
        <c:scaling>
          <c:orientation val="minMax"/>
          <c:min val="6.0000000000000016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in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56116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191499746742184"/>
          <c:y val="3.0124825946052515E-2"/>
          <c:w val="0.53199834231247412"/>
          <c:h val="5.28172710805515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314325</xdr:colOff>
      <xdr:row>1</xdr:row>
      <xdr:rowOff>152399</xdr:rowOff>
    </xdr:from>
    <xdr:to>
      <xdr:col>33</xdr:col>
      <xdr:colOff>200025</xdr:colOff>
      <xdr:row>25</xdr:row>
      <xdr:rowOff>123824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304800</xdr:colOff>
      <xdr:row>26</xdr:row>
      <xdr:rowOff>123824</xdr:rowOff>
    </xdr:from>
    <xdr:to>
      <xdr:col>33</xdr:col>
      <xdr:colOff>209550</xdr:colOff>
      <xdr:row>47</xdr:row>
      <xdr:rowOff>171450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304799</xdr:colOff>
      <xdr:row>49</xdr:row>
      <xdr:rowOff>0</xdr:rowOff>
    </xdr:from>
    <xdr:to>
      <xdr:col>33</xdr:col>
      <xdr:colOff>219074</xdr:colOff>
      <xdr:row>71</xdr:row>
      <xdr:rowOff>76200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TDays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000"/>
  <sheetViews>
    <sheetView tabSelected="1" workbookViewId="0">
      <selection activeCell="F20" sqref="F20"/>
    </sheetView>
  </sheetViews>
  <sheetFormatPr defaultRowHeight="12.75" x14ac:dyDescent="0.2"/>
  <cols>
    <col min="1" max="1" width="13" style="1" bestFit="1" customWidth="1"/>
    <col min="2" max="2" width="10" style="1" bestFit="1" customWidth="1"/>
    <col min="3" max="3" width="10.5" style="1" customWidth="1"/>
    <col min="4" max="4" width="11.5" style="1" customWidth="1"/>
    <col min="5" max="5" width="12.125" style="1" customWidth="1"/>
    <col min="6" max="6" width="10.75" style="1" customWidth="1"/>
    <col min="7" max="7" width="11.625" style="3" bestFit="1" customWidth="1"/>
    <col min="8" max="8" width="12.25" style="3" customWidth="1"/>
    <col min="9" max="9" width="8" style="3" bestFit="1" customWidth="1"/>
    <col min="10" max="10" width="8" style="4" bestFit="1" customWidth="1"/>
    <col min="11" max="11" width="11.375" style="4" bestFit="1" customWidth="1"/>
    <col min="12" max="12" width="8" style="4" bestFit="1" customWidth="1"/>
    <col min="13" max="14" width="11.375" style="4" bestFit="1" customWidth="1"/>
    <col min="15" max="17" width="9.625" style="4" bestFit="1" customWidth="1"/>
    <col min="18" max="18" width="15" style="4" bestFit="1" customWidth="1"/>
    <col min="19" max="19" width="15" style="5" bestFit="1" customWidth="1"/>
    <col min="20" max="21" width="21.375" style="4" bestFit="1" customWidth="1"/>
    <col min="22" max="34" width="9" style="6"/>
    <col min="35" max="16384" width="9" style="1"/>
  </cols>
  <sheetData>
    <row r="1" spans="1:22" x14ac:dyDescent="0.2">
      <c r="A1" s="1" t="s">
        <v>0</v>
      </c>
      <c r="B1" s="2">
        <v>45442</v>
      </c>
      <c r="C1" s="2"/>
      <c r="E1" s="1" t="s">
        <v>1</v>
      </c>
      <c r="F1" s="1" t="s">
        <v>1</v>
      </c>
      <c r="G1" s="3" t="s">
        <v>2</v>
      </c>
      <c r="H1" s="3" t="s">
        <v>34</v>
      </c>
      <c r="V1" s="6" t="s">
        <v>3</v>
      </c>
    </row>
    <row r="2" spans="1:22" x14ac:dyDescent="0.2">
      <c r="A2" s="1" t="s">
        <v>4</v>
      </c>
      <c r="B2" s="2">
        <v>45912</v>
      </c>
      <c r="C2" s="2"/>
      <c r="G2" s="3" t="s">
        <v>5</v>
      </c>
      <c r="H2" s="3" t="s">
        <v>34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5" t="s">
        <v>16</v>
      </c>
      <c r="T2" s="3" t="s">
        <v>17</v>
      </c>
      <c r="U2" s="3" t="s">
        <v>18</v>
      </c>
    </row>
    <row r="3" spans="1:22" x14ac:dyDescent="0.2">
      <c r="A3" s="7" t="s">
        <v>19</v>
      </c>
      <c r="G3" s="8">
        <f>[1]!TDays(B1,B2,"cols=1;rows=317")</f>
        <v>45442</v>
      </c>
      <c r="H3" s="5">
        <v>0</v>
      </c>
      <c r="I3" s="9">
        <v>0</v>
      </c>
      <c r="J3" s="10">
        <f>IF(G3&lt;&gt;"",1+H3,"")</f>
        <v>1</v>
      </c>
      <c r="K3" s="10">
        <f>IF(G3&lt;&gt;"",1+I3,"")</f>
        <v>1</v>
      </c>
      <c r="L3" s="11">
        <f>IF(G3&lt;&gt;"",J3/K3,"")</f>
        <v>1</v>
      </c>
      <c r="M3" s="12" t="s">
        <v>20</v>
      </c>
      <c r="N3" s="12" t="s">
        <v>20</v>
      </c>
      <c r="O3" s="12" t="s">
        <v>20</v>
      </c>
      <c r="P3" s="12" t="s">
        <v>20</v>
      </c>
      <c r="Q3" s="12" t="s">
        <v>20</v>
      </c>
      <c r="S3" s="5" t="str">
        <f>IF(R3&lt;&gt;"",B$12,"")</f>
        <v/>
      </c>
    </row>
    <row r="4" spans="1:22" x14ac:dyDescent="0.2">
      <c r="A4" s="13" t="s">
        <v>21</v>
      </c>
      <c r="B4" s="14">
        <f>COUNT(G:G)</f>
        <v>317</v>
      </c>
      <c r="C4" s="14"/>
      <c r="D4" s="15"/>
      <c r="E4" s="15"/>
      <c r="F4" s="15"/>
      <c r="G4" s="8">
        <v>45443</v>
      </c>
      <c r="H4" s="5">
        <v>2.8664000000000001E-4</v>
      </c>
      <c r="I4" s="9">
        <v>4.8989999999999997E-5</v>
      </c>
      <c r="J4" s="10">
        <f t="shared" ref="J4:J67" si="0">IF(G4&lt;&gt;"",1+H4,"")</f>
        <v>1.0002866399999999</v>
      </c>
      <c r="K4" s="10">
        <f t="shared" ref="K4:K67" si="1">IF(G4&lt;&gt;"",1+I4,"")</f>
        <v>1.00004899</v>
      </c>
      <c r="L4" s="11">
        <f>IF(G4&lt;&gt;"",J4/K4,"")</f>
        <v>1.0002376383580966</v>
      </c>
      <c r="M4" s="9">
        <f>IF(G4&lt;&gt;"",J4/MAX(J$3:J4)-1,"")</f>
        <v>0</v>
      </c>
      <c r="N4" s="9">
        <f>IF(G4&lt;&gt;"",K4/MAX(K$3:K4)-1,"")</f>
        <v>0</v>
      </c>
      <c r="O4" s="16">
        <f>IF($G4&lt;&gt;"",J4/J3-1,"")</f>
        <v>2.8663999999989365E-4</v>
      </c>
      <c r="P4" s="16">
        <f>IF($G4&lt;&gt;"",K4/K3-1,"")</f>
        <v>4.8990000000026512E-5</v>
      </c>
      <c r="Q4" s="16">
        <f>IF($G4&lt;&gt;"",L4/L3-1,"")</f>
        <v>2.3763835809664791E-4</v>
      </c>
      <c r="S4" s="5" t="str">
        <f t="shared" ref="S4:S67" si="2">IF(R4&lt;&gt;"",B$12,"")</f>
        <v/>
      </c>
    </row>
    <row r="5" spans="1:22" x14ac:dyDescent="0.2">
      <c r="A5" s="13" t="s">
        <v>22</v>
      </c>
      <c r="B5" s="14">
        <v>245</v>
      </c>
      <c r="C5" s="14"/>
      <c r="D5" s="15"/>
      <c r="E5" s="15"/>
      <c r="F5" s="15"/>
      <c r="G5" s="8">
        <v>45446</v>
      </c>
      <c r="H5" s="5">
        <v>1.28269E-3</v>
      </c>
      <c r="I5" s="9">
        <v>1.3469999999999999E-4</v>
      </c>
      <c r="J5" s="10">
        <f t="shared" si="0"/>
        <v>1.00128269</v>
      </c>
      <c r="K5" s="10">
        <f t="shared" si="1"/>
        <v>1.0001347</v>
      </c>
      <c r="L5" s="11">
        <f t="shared" ref="L5:L68" si="3">IF(G5&lt;&gt;"",J5/K5,"")</f>
        <v>1.0011478353865735</v>
      </c>
      <c r="M5" s="9">
        <f>IF(G5&lt;&gt;"",J5/MAX(J$3:J5)-1,"")</f>
        <v>0</v>
      </c>
      <c r="N5" s="9">
        <f>IF(G5&lt;&gt;"",K5/MAX(K$3:K5)-1,"")</f>
        <v>0</v>
      </c>
      <c r="O5" s="16">
        <f t="shared" ref="O5:Q68" si="4">IF($G5&lt;&gt;"",J5/J4-1,"")</f>
        <v>9.9576457404260132E-4</v>
      </c>
      <c r="P5" s="16">
        <f t="shared" si="4"/>
        <v>8.5705801272872861E-5</v>
      </c>
      <c r="Q5" s="16">
        <f t="shared" si="4"/>
        <v>9.0998078213777589E-4</v>
      </c>
      <c r="S5" s="5" t="str">
        <f t="shared" si="2"/>
        <v/>
      </c>
    </row>
    <row r="6" spans="1:22" x14ac:dyDescent="0.2">
      <c r="A6" s="13" t="s">
        <v>23</v>
      </c>
      <c r="B6" s="17">
        <f>B4/B5</f>
        <v>1.2938775510204081</v>
      </c>
      <c r="C6" s="17"/>
      <c r="D6" s="15"/>
      <c r="E6" s="15"/>
      <c r="F6" s="15"/>
      <c r="G6" s="8">
        <v>45447</v>
      </c>
      <c r="H6" s="5">
        <v>3.2559199999999998E-3</v>
      </c>
      <c r="I6" s="9">
        <v>4.9516999999999996E-4</v>
      </c>
      <c r="J6" s="10">
        <f t="shared" si="0"/>
        <v>1.00325592</v>
      </c>
      <c r="K6" s="10">
        <f t="shared" si="1"/>
        <v>1.00049517</v>
      </c>
      <c r="L6" s="11">
        <f t="shared" si="3"/>
        <v>1.0027593836360049</v>
      </c>
      <c r="M6" s="9">
        <f>IF(G6&lt;&gt;"",J6/MAX(J$3:J6)-1,"")</f>
        <v>0</v>
      </c>
      <c r="N6" s="9">
        <f>IF(G6&lt;&gt;"",K6/MAX(K$3:K6)-1,"")</f>
        <v>0</v>
      </c>
      <c r="O6" s="16">
        <f t="shared" si="4"/>
        <v>1.9707021999950669E-3</v>
      </c>
      <c r="P6" s="16">
        <f t="shared" si="4"/>
        <v>3.6042145123049707E-4</v>
      </c>
      <c r="Q6" s="16">
        <f t="shared" si="4"/>
        <v>1.6097005781461338E-3</v>
      </c>
      <c r="S6" s="5" t="str">
        <f t="shared" si="2"/>
        <v/>
      </c>
    </row>
    <row r="7" spans="1:22" x14ac:dyDescent="0.2">
      <c r="A7" s="18"/>
      <c r="B7" s="19" t="s">
        <v>24</v>
      </c>
      <c r="C7" s="19" t="s">
        <v>25</v>
      </c>
      <c r="D7" s="20" t="s">
        <v>26</v>
      </c>
      <c r="E7" s="21"/>
      <c r="F7" s="21"/>
      <c r="G7" s="8">
        <v>45448</v>
      </c>
      <c r="H7" s="5">
        <v>4.0810899999999999E-3</v>
      </c>
      <c r="I7" s="9">
        <v>5.5422999999999996E-4</v>
      </c>
      <c r="J7" s="10">
        <f t="shared" si="0"/>
        <v>1.0040810899999999</v>
      </c>
      <c r="K7" s="10">
        <f t="shared" si="1"/>
        <v>1.0005542300000001</v>
      </c>
      <c r="L7" s="11">
        <f t="shared" si="3"/>
        <v>1.0035249063911307</v>
      </c>
      <c r="M7" s="9">
        <f>IF(G7&lt;&gt;"",J7/MAX(J$3:J7)-1,"")</f>
        <v>0</v>
      </c>
      <c r="N7" s="9">
        <f>IF(G7&lt;&gt;"",K7/MAX(K$3:K7)-1,"")</f>
        <v>0</v>
      </c>
      <c r="O7" s="16">
        <f t="shared" si="4"/>
        <v>8.2249203174389329E-4</v>
      </c>
      <c r="P7" s="16">
        <f t="shared" si="4"/>
        <v>5.9030769733903199E-5</v>
      </c>
      <c r="Q7" s="16">
        <f t="shared" si="4"/>
        <v>7.6341619696429497E-4</v>
      </c>
      <c r="S7" s="5" t="str">
        <f t="shared" si="2"/>
        <v/>
      </c>
    </row>
    <row r="8" spans="1:22" x14ac:dyDescent="0.2">
      <c r="A8" s="22" t="s">
        <v>27</v>
      </c>
      <c r="B8" s="23">
        <f>LOOKUP(2, 1/(H:H&lt;&gt;""), H:H)</f>
        <v>0.11880151999999999</v>
      </c>
      <c r="C8" s="23">
        <f>LOOKUP(2, 1/(I:I&lt;&gt;""), I:I)</f>
        <v>2.8280429999999999E-2</v>
      </c>
      <c r="D8" s="24">
        <f>B8-C8</f>
        <v>9.0521089999999998E-2</v>
      </c>
      <c r="E8" s="25"/>
      <c r="F8" s="25"/>
      <c r="G8" s="8">
        <v>45449</v>
      </c>
      <c r="H8" s="5">
        <v>4.65432E-3</v>
      </c>
      <c r="I8" s="9">
        <v>7.3738999999999999E-4</v>
      </c>
      <c r="J8" s="10">
        <f t="shared" si="0"/>
        <v>1.00465432</v>
      </c>
      <c r="K8" s="10">
        <f t="shared" si="1"/>
        <v>1.0007373900000001</v>
      </c>
      <c r="L8" s="11">
        <f t="shared" si="3"/>
        <v>1.003914043823225</v>
      </c>
      <c r="M8" s="9">
        <f>IF(G8&lt;&gt;"",J8/MAX(J$3:J8)-1,"")</f>
        <v>0</v>
      </c>
      <c r="N8" s="9">
        <f>IF(G8&lt;&gt;"",K8/MAX(K$3:K8)-1,"")</f>
        <v>0</v>
      </c>
      <c r="O8" s="16">
        <f t="shared" si="4"/>
        <v>5.7090010528937363E-4</v>
      </c>
      <c r="P8" s="16">
        <f t="shared" si="4"/>
        <v>1.8305854346345463E-4</v>
      </c>
      <c r="Q8" s="16">
        <f t="shared" si="4"/>
        <v>3.8777057710870366E-4</v>
      </c>
      <c r="S8" s="5" t="str">
        <f t="shared" si="2"/>
        <v/>
      </c>
    </row>
    <row r="9" spans="1:22" x14ac:dyDescent="0.2">
      <c r="A9" s="22" t="s">
        <v>28</v>
      </c>
      <c r="B9" s="23">
        <f>(1+B8)^($B5/$B4)-1</f>
        <v>9.0635928184514603E-2</v>
      </c>
      <c r="C9" s="23">
        <f>(1+C8)^($B5/$B4)-1</f>
        <v>2.1787716580849992E-2</v>
      </c>
      <c r="D9" s="26"/>
      <c r="E9" s="21"/>
      <c r="F9" s="21"/>
      <c r="G9" s="8">
        <v>45450</v>
      </c>
      <c r="H9" s="5">
        <v>3.6788799999999998E-3</v>
      </c>
      <c r="I9" s="9">
        <v>8.3991000000000003E-4</v>
      </c>
      <c r="J9" s="10">
        <f t="shared" si="0"/>
        <v>1.0036788800000001</v>
      </c>
      <c r="K9" s="10">
        <f t="shared" si="1"/>
        <v>1.0008399100000001</v>
      </c>
      <c r="L9" s="11">
        <f t="shared" si="3"/>
        <v>1.0028365875217746</v>
      </c>
      <c r="M9" s="9">
        <f>IF(G9&lt;&gt;"",J9/MAX(J$3:J9)-1,"")</f>
        <v>-9.709210228647791E-4</v>
      </c>
      <c r="N9" s="9">
        <f>IF(G9&lt;&gt;"",K9/MAX(K$3:K9)-1,"")</f>
        <v>0</v>
      </c>
      <c r="O9" s="16">
        <f t="shared" si="4"/>
        <v>-9.709210228647791E-4</v>
      </c>
      <c r="P9" s="16">
        <f t="shared" si="4"/>
        <v>1.0244445848073269E-4</v>
      </c>
      <c r="Q9" s="16">
        <f t="shared" si="4"/>
        <v>-1.0732555322635617E-3</v>
      </c>
      <c r="S9" s="5" t="str">
        <f t="shared" si="2"/>
        <v/>
      </c>
    </row>
    <row r="10" spans="1:22" x14ac:dyDescent="0.2">
      <c r="A10" s="22" t="s">
        <v>29</v>
      </c>
      <c r="B10" s="23">
        <f>MIN(M:M)</f>
        <v>-3.4109375885473692E-2</v>
      </c>
      <c r="C10" s="23">
        <f>MIN(N:N)</f>
        <v>-6.1209367840631135E-4</v>
      </c>
      <c r="D10" s="26"/>
      <c r="E10" s="21"/>
      <c r="F10" s="21"/>
      <c r="G10" s="8">
        <v>45454</v>
      </c>
      <c r="H10" s="5">
        <v>2.35674E-3</v>
      </c>
      <c r="I10" s="9">
        <v>9.0963999999999997E-4</v>
      </c>
      <c r="J10" s="10">
        <f t="shared" si="0"/>
        <v>1.00235674</v>
      </c>
      <c r="K10" s="10">
        <f t="shared" si="1"/>
        <v>1.0009096399999999</v>
      </c>
      <c r="L10" s="11">
        <f t="shared" si="3"/>
        <v>1.0014457848562635</v>
      </c>
      <c r="M10" s="9">
        <f>IF(G10&lt;&gt;"",J10/MAX(J$3:J10)-1,"")</f>
        <v>-2.2869358686478103E-3</v>
      </c>
      <c r="N10" s="9">
        <f>IF(G10&lt;&gt;"",K10/MAX(K$3:K10)-1,"")</f>
        <v>0</v>
      </c>
      <c r="O10" s="16">
        <f t="shared" si="4"/>
        <v>-1.3172938340598739E-3</v>
      </c>
      <c r="P10" s="16">
        <f t="shared" si="4"/>
        <v>6.9671482225253101E-5</v>
      </c>
      <c r="Q10" s="16">
        <f t="shared" si="4"/>
        <v>-1.3868686910877281E-3</v>
      </c>
      <c r="S10" s="5" t="str">
        <f t="shared" si="2"/>
        <v/>
      </c>
    </row>
    <row r="11" spans="1:22" x14ac:dyDescent="0.2">
      <c r="A11" s="22" t="s">
        <v>30</v>
      </c>
      <c r="B11" s="23">
        <f>STDEV(O:O)*SQRT($B5)</f>
        <v>4.3036041972118411E-2</v>
      </c>
      <c r="C11" s="23">
        <f>STDEV(P:P)*SQRT($B5)</f>
        <v>1.370231365146065E-3</v>
      </c>
      <c r="D11" s="26"/>
      <c r="E11" s="21"/>
      <c r="F11" s="21"/>
      <c r="G11" s="8">
        <v>45455</v>
      </c>
      <c r="H11" s="5">
        <v>4.3098299999999997E-3</v>
      </c>
      <c r="I11" s="9">
        <v>1.00168E-3</v>
      </c>
      <c r="J11" s="10">
        <f t="shared" si="0"/>
        <v>1.00430983</v>
      </c>
      <c r="K11" s="10">
        <f t="shared" si="1"/>
        <v>1.0010016799999999</v>
      </c>
      <c r="L11" s="11">
        <f t="shared" si="3"/>
        <v>1.0033048396082613</v>
      </c>
      <c r="M11" s="9">
        <f>IF(G11&lt;&gt;"",J11/MAX(J$3:J11)-1,"")</f>
        <v>-3.4289406131260414E-4</v>
      </c>
      <c r="N11" s="9">
        <f>IF(G11&lt;&gt;"",K11/MAX(K$3:K11)-1,"")</f>
        <v>0</v>
      </c>
      <c r="O11" s="16">
        <f t="shared" si="4"/>
        <v>1.9484978970660816E-3</v>
      </c>
      <c r="P11" s="16">
        <f t="shared" si="4"/>
        <v>9.1956352823219234E-5</v>
      </c>
      <c r="Q11" s="16">
        <f t="shared" si="4"/>
        <v>1.8563708391510225E-3</v>
      </c>
      <c r="S11" s="5" t="str">
        <f t="shared" si="2"/>
        <v/>
      </c>
    </row>
    <row r="12" spans="1:22" x14ac:dyDescent="0.2">
      <c r="A12" s="22" t="s">
        <v>31</v>
      </c>
      <c r="B12" s="23">
        <f>STDEV(Q:Q)*SQRT($B5)</f>
        <v>4.3060288426645235E-2</v>
      </c>
      <c r="C12" s="23"/>
      <c r="D12" s="27"/>
      <c r="E12" s="15"/>
      <c r="F12" s="15"/>
      <c r="G12" s="8">
        <v>45456</v>
      </c>
      <c r="H12" s="5">
        <v>4.7996599999999999E-3</v>
      </c>
      <c r="I12" s="9">
        <v>1.11243E-3</v>
      </c>
      <c r="J12" s="10">
        <f t="shared" si="0"/>
        <v>1.00479966</v>
      </c>
      <c r="K12" s="10">
        <f t="shared" si="1"/>
        <v>1.0011124300000001</v>
      </c>
      <c r="L12" s="11">
        <f t="shared" si="3"/>
        <v>1.0036831327726097</v>
      </c>
      <c r="M12" s="9">
        <f>IF(G12&lt;&gt;"",J12/MAX(J$3:J12)-1,"")</f>
        <v>0</v>
      </c>
      <c r="N12" s="9">
        <f>IF(G12&lt;&gt;"",K12/MAX(K$3:K12)-1,"")</f>
        <v>0</v>
      </c>
      <c r="O12" s="16">
        <f t="shared" si="4"/>
        <v>4.8772797534013534E-4</v>
      </c>
      <c r="P12" s="16">
        <f t="shared" si="4"/>
        <v>1.1063917495146569E-4</v>
      </c>
      <c r="Q12" s="16">
        <f t="shared" si="4"/>
        <v>3.7704708421015809E-4</v>
      </c>
      <c r="S12" s="5" t="str">
        <f t="shared" si="2"/>
        <v/>
      </c>
    </row>
    <row r="13" spans="1:22" x14ac:dyDescent="0.2">
      <c r="A13" s="28" t="s">
        <v>32</v>
      </c>
      <c r="B13" s="29">
        <f>PERCENTILE(M:M,0.05)</f>
        <v>-1.2955943016429966E-2</v>
      </c>
      <c r="C13" s="29"/>
      <c r="D13" s="30"/>
      <c r="G13" s="8">
        <v>45457</v>
      </c>
      <c r="H13" s="5">
        <v>5.6632799999999997E-3</v>
      </c>
      <c r="I13" s="9">
        <v>1.32295E-3</v>
      </c>
      <c r="J13" s="10">
        <f t="shared" si="0"/>
        <v>1.00566328</v>
      </c>
      <c r="K13" s="10">
        <f t="shared" si="1"/>
        <v>1.00132295</v>
      </c>
      <c r="L13" s="11">
        <f t="shared" si="3"/>
        <v>1.0043345955468213</v>
      </c>
      <c r="M13" s="9">
        <f>IF(G13&lt;&gt;"",J13/MAX(J$3:J13)-1,"")</f>
        <v>0</v>
      </c>
      <c r="N13" s="9">
        <f>IF(G13&lt;&gt;"",K13/MAX(K$3:K13)-1,"")</f>
        <v>0</v>
      </c>
      <c r="O13" s="16">
        <f t="shared" si="4"/>
        <v>8.5949471758395291E-4</v>
      </c>
      <c r="P13" s="16">
        <f t="shared" si="4"/>
        <v>2.1028607146544864E-4</v>
      </c>
      <c r="Q13" s="16">
        <f t="shared" si="4"/>
        <v>6.4907215528475781E-4</v>
      </c>
      <c r="S13" s="5" t="str">
        <f t="shared" si="2"/>
        <v/>
      </c>
    </row>
    <row r="14" spans="1:22" x14ac:dyDescent="0.2">
      <c r="E14" s="1">
        <f>MATCH(B2,G:G,0)</f>
        <v>319</v>
      </c>
      <c r="G14" s="8">
        <v>45460</v>
      </c>
      <c r="H14" s="5">
        <v>5.8393500000000001E-3</v>
      </c>
      <c r="I14" s="9">
        <v>1.4359100000000001E-3</v>
      </c>
      <c r="J14" s="10">
        <f t="shared" si="0"/>
        <v>1.00583935</v>
      </c>
      <c r="K14" s="10">
        <f t="shared" si="1"/>
        <v>1.0014359100000001</v>
      </c>
      <c r="L14" s="11">
        <f t="shared" si="3"/>
        <v>1.0043971261226292</v>
      </c>
      <c r="M14" s="9">
        <f>IF(G14&lt;&gt;"",J14/MAX(J$3:J14)-1,"")</f>
        <v>0</v>
      </c>
      <c r="N14" s="9">
        <f>IF(G14&lt;&gt;"",K14/MAX(K$3:K14)-1,"")</f>
        <v>0</v>
      </c>
      <c r="O14" s="16">
        <f t="shared" si="4"/>
        <v>1.7507848153708316E-4</v>
      </c>
      <c r="P14" s="16">
        <f t="shared" si="4"/>
        <v>1.1281075700897425E-4</v>
      </c>
      <c r="Q14" s="16">
        <f t="shared" si="4"/>
        <v>6.2260700851357598E-5</v>
      </c>
      <c r="S14" s="5" t="str">
        <f t="shared" si="2"/>
        <v/>
      </c>
    </row>
    <row r="15" spans="1:22" x14ac:dyDescent="0.2">
      <c r="A15" s="31" t="s">
        <v>43</v>
      </c>
      <c r="B15" s="32" t="s">
        <v>24</v>
      </c>
      <c r="E15" s="1">
        <f>MATCH("单位净值",G$2:K$2,0)</f>
        <v>4</v>
      </c>
      <c r="F15" s="1">
        <f>E15+1</f>
        <v>5</v>
      </c>
      <c r="G15" s="8">
        <v>45461</v>
      </c>
      <c r="H15" s="5">
        <v>6.9796900000000002E-3</v>
      </c>
      <c r="I15" s="9">
        <v>1.5373100000000001E-3</v>
      </c>
      <c r="J15" s="10">
        <f t="shared" si="0"/>
        <v>1.0069796900000001</v>
      </c>
      <c r="K15" s="10">
        <f t="shared" si="1"/>
        <v>1.00153731</v>
      </c>
      <c r="L15" s="11">
        <f t="shared" si="3"/>
        <v>1.0054340262171562</v>
      </c>
      <c r="M15" s="9">
        <f>IF(G15&lt;&gt;"",J15/MAX(J$3:J15)-1,"")</f>
        <v>0</v>
      </c>
      <c r="N15" s="9">
        <f>IF(G15&lt;&gt;"",K15/MAX(K$3:K15)-1,"")</f>
        <v>0</v>
      </c>
      <c r="O15" s="16">
        <f t="shared" si="4"/>
        <v>1.1337198132088666E-3</v>
      </c>
      <c r="P15" s="16">
        <f t="shared" si="4"/>
        <v>1.0125460749654813E-4</v>
      </c>
      <c r="Q15" s="16">
        <f t="shared" si="4"/>
        <v>1.0323606744373492E-3</v>
      </c>
      <c r="S15" s="5" t="str">
        <f t="shared" si="2"/>
        <v/>
      </c>
    </row>
    <row r="16" spans="1:22" x14ac:dyDescent="0.2">
      <c r="A16" s="1" t="s">
        <v>42</v>
      </c>
      <c r="B16" s="33">
        <f>VLOOKUP($F16,$G:$K,E$15,FALSE)/VLOOKUP($E16,$G:$K,E$15,FALSE)-1</f>
        <v>6.4693295661690797E-2</v>
      </c>
      <c r="E16" s="2">
        <v>45659</v>
      </c>
      <c r="F16" s="2">
        <f>B2</f>
        <v>45912</v>
      </c>
      <c r="G16" s="8">
        <v>45462</v>
      </c>
      <c r="H16" s="5">
        <v>7.3911699999999999E-3</v>
      </c>
      <c r="I16" s="9">
        <v>1.64623E-3</v>
      </c>
      <c r="J16" s="10">
        <f t="shared" si="0"/>
        <v>1.00739117</v>
      </c>
      <c r="K16" s="10">
        <f t="shared" si="1"/>
        <v>1.00164623</v>
      </c>
      <c r="L16" s="11">
        <f t="shared" si="3"/>
        <v>1.0057354980510436</v>
      </c>
      <c r="M16" s="9">
        <f>IF(G16&lt;&gt;"",J16/MAX(J$3:J16)-1,"")</f>
        <v>0</v>
      </c>
      <c r="N16" s="9">
        <f>IF(G16&lt;&gt;"",K16/MAX(K$3:K16)-1,"")</f>
        <v>0</v>
      </c>
      <c r="O16" s="16">
        <f t="shared" si="4"/>
        <v>4.086279039052787E-4</v>
      </c>
      <c r="P16" s="16">
        <f t="shared" si="4"/>
        <v>1.0875281321265362E-4</v>
      </c>
      <c r="Q16" s="16">
        <f t="shared" si="4"/>
        <v>2.9984248197933994E-4</v>
      </c>
      <c r="S16" s="5" t="str">
        <f t="shared" si="2"/>
        <v/>
      </c>
    </row>
    <row r="17" spans="1:19" x14ac:dyDescent="0.2">
      <c r="A17" s="1" t="s">
        <v>36</v>
      </c>
      <c r="B17" s="33">
        <f>VLOOKUP($F17,$G:$K,E$15,FALSE)/VLOOKUP($E17,$G:$K,E$15,FALSE)-1</f>
        <v>3.386433580948367E-3</v>
      </c>
      <c r="E17" s="2">
        <f>F17-30</f>
        <v>45882</v>
      </c>
      <c r="F17" s="2">
        <f>B2</f>
        <v>45912</v>
      </c>
      <c r="G17" s="8">
        <v>45463</v>
      </c>
      <c r="H17" s="5">
        <v>6.2839200000000001E-3</v>
      </c>
      <c r="I17" s="9">
        <v>1.7080299999999999E-3</v>
      </c>
      <c r="J17" s="10">
        <f t="shared" si="0"/>
        <v>1.00628392</v>
      </c>
      <c r="K17" s="10">
        <f t="shared" si="1"/>
        <v>1.0017080300000001</v>
      </c>
      <c r="L17" s="11">
        <f t="shared" si="3"/>
        <v>1.0045680875693888</v>
      </c>
      <c r="M17" s="9">
        <f>IF(G17&lt;&gt;"",J17/MAX(J$3:J17)-1,"")</f>
        <v>-1.0991261716141176E-3</v>
      </c>
      <c r="N17" s="9">
        <f>IF(G17&lt;&gt;"",K17/MAX(K$3:K17)-1,"")</f>
        <v>0</v>
      </c>
      <c r="O17" s="16">
        <f t="shared" si="4"/>
        <v>-1.0991261716141176E-3</v>
      </c>
      <c r="P17" s="16">
        <f t="shared" si="4"/>
        <v>6.1698430193324327E-5</v>
      </c>
      <c r="Q17" s="16">
        <f t="shared" si="4"/>
        <v>-1.1607529851705989E-3</v>
      </c>
      <c r="S17" s="5" t="str">
        <f t="shared" si="2"/>
        <v/>
      </c>
    </row>
    <row r="18" spans="1:19" x14ac:dyDescent="0.2">
      <c r="A18" s="1" t="s">
        <v>38</v>
      </c>
      <c r="B18" s="33">
        <f>VLOOKUP($F18,$G:$K,E$15,FALSE)/VLOOKUP($E18,$G:$K,E$15,FALSE)-1</f>
        <v>3.1289566857311213E-2</v>
      </c>
      <c r="E18" s="2">
        <f>F18-91</f>
        <v>45821</v>
      </c>
      <c r="F18" s="2">
        <f>B2</f>
        <v>45912</v>
      </c>
      <c r="G18" s="8">
        <v>45464</v>
      </c>
      <c r="H18" s="5">
        <v>5.7892400000000002E-3</v>
      </c>
      <c r="I18" s="9">
        <v>1.90395E-3</v>
      </c>
      <c r="J18" s="10">
        <f t="shared" si="0"/>
        <v>1.0057892399999999</v>
      </c>
      <c r="K18" s="10">
        <f t="shared" si="1"/>
        <v>1.00190395</v>
      </c>
      <c r="L18" s="11">
        <f t="shared" si="3"/>
        <v>1.0038779066596153</v>
      </c>
      <c r="M18" s="9">
        <f>IF(G18&lt;&gt;"",J18/MAX(J$3:J18)-1,"")</f>
        <v>-1.5901767334332018E-3</v>
      </c>
      <c r="N18" s="9">
        <f>IF(G18&lt;&gt;"",K18/MAX(K$3:K18)-1,"")</f>
        <v>0</v>
      </c>
      <c r="O18" s="16">
        <f t="shared" si="4"/>
        <v>-4.9159088222350267E-4</v>
      </c>
      <c r="P18" s="16">
        <f t="shared" si="4"/>
        <v>1.9558593335822216E-4</v>
      </c>
      <c r="Q18" s="16">
        <f t="shared" si="4"/>
        <v>-6.8704243974482271E-4</v>
      </c>
      <c r="S18" s="5" t="str">
        <f t="shared" si="2"/>
        <v/>
      </c>
    </row>
    <row r="19" spans="1:19" x14ac:dyDescent="0.2">
      <c r="A19" s="1" t="s">
        <v>40</v>
      </c>
      <c r="B19" s="33">
        <f>VLOOKUP($F19,$G:$K,E$15,FALSE)/VLOOKUP($E19,$G:$K,E$15,FALSE)-1</f>
        <v>5.8107310188474592E-2</v>
      </c>
      <c r="C19" s="17"/>
      <c r="E19" s="2">
        <f>F19-183</f>
        <v>45729</v>
      </c>
      <c r="F19" s="2">
        <f>B2</f>
        <v>45912</v>
      </c>
      <c r="G19" s="8">
        <v>45467</v>
      </c>
      <c r="H19" s="5">
        <v>3.9864200000000001E-3</v>
      </c>
      <c r="I19" s="9">
        <v>1.97371E-3</v>
      </c>
      <c r="J19" s="10">
        <f t="shared" si="0"/>
        <v>1.0039864199999999</v>
      </c>
      <c r="K19" s="10">
        <f t="shared" si="1"/>
        <v>1.0019737099999999</v>
      </c>
      <c r="L19" s="11">
        <f t="shared" si="3"/>
        <v>1.0020087453192759</v>
      </c>
      <c r="M19" s="9">
        <f>IF(G19&lt;&gt;"",J19/MAX(J$3:J19)-1,"")</f>
        <v>-3.3797695487047807E-3</v>
      </c>
      <c r="N19" s="9">
        <f>IF(G19&lt;&gt;"",K19/MAX(K$3:K19)-1,"")</f>
        <v>0</v>
      </c>
      <c r="O19" s="16">
        <f t="shared" si="4"/>
        <v>-1.7924431166115307E-3</v>
      </c>
      <c r="P19" s="16">
        <f t="shared" si="4"/>
        <v>6.9627432849106441E-5</v>
      </c>
      <c r="Q19" s="16">
        <f t="shared" si="4"/>
        <v>-1.8619409072951898E-3</v>
      </c>
      <c r="S19" s="5" t="str">
        <f t="shared" si="2"/>
        <v/>
      </c>
    </row>
    <row r="20" spans="1:19" x14ac:dyDescent="0.2">
      <c r="A20" s="1" t="s">
        <v>45</v>
      </c>
      <c r="B20" s="33">
        <f>VLOOKUP($F20,$G:$K,E$15,FALSE)/VLOOKUP($E20,$G:$K,E$15,FALSE)-1</f>
        <v>0.10750308364155226</v>
      </c>
      <c r="C20" s="17"/>
      <c r="E20" s="2">
        <f>F20-365</f>
        <v>45547</v>
      </c>
      <c r="F20" s="2">
        <f>B2</f>
        <v>45912</v>
      </c>
      <c r="G20" s="8">
        <v>45468</v>
      </c>
      <c r="H20" s="5">
        <v>4.3030400000000002E-3</v>
      </c>
      <c r="I20" s="9">
        <v>2.0208600000000002E-3</v>
      </c>
      <c r="J20" s="10">
        <f t="shared" si="0"/>
        <v>1.0043030399999999</v>
      </c>
      <c r="K20" s="10">
        <f t="shared" si="1"/>
        <v>1.00202086</v>
      </c>
      <c r="L20" s="11">
        <f t="shared" si="3"/>
        <v>1.0022775773350665</v>
      </c>
      <c r="M20" s="9">
        <f>IF(G20&lt;&gt;"",J20/MAX(J$3:J20)-1,"")</f>
        <v>-3.0654725710967945E-3</v>
      </c>
      <c r="N20" s="9">
        <f>IF(G20&lt;&gt;"",K20/MAX(K$3:K20)-1,"")</f>
        <v>0</v>
      </c>
      <c r="O20" s="16">
        <f t="shared" si="4"/>
        <v>3.1536283130195741E-4</v>
      </c>
      <c r="P20" s="16">
        <f t="shared" si="4"/>
        <v>4.7057122886107194E-5</v>
      </c>
      <c r="Q20" s="16">
        <f t="shared" si="4"/>
        <v>2.6829308331532964E-4</v>
      </c>
      <c r="S20" s="5" t="str">
        <f t="shared" si="2"/>
        <v/>
      </c>
    </row>
    <row r="21" spans="1:19" x14ac:dyDescent="0.2">
      <c r="B21" s="17"/>
      <c r="C21" s="17"/>
      <c r="G21" s="8">
        <v>45469</v>
      </c>
      <c r="H21" s="5">
        <v>5.1918900000000002E-3</v>
      </c>
      <c r="I21" s="9">
        <v>2.09326E-3</v>
      </c>
      <c r="J21" s="10">
        <f t="shared" si="0"/>
        <v>1.0051918900000001</v>
      </c>
      <c r="K21" s="10">
        <f t="shared" si="1"/>
        <v>1.0020932600000001</v>
      </c>
      <c r="L21" s="11">
        <f t="shared" si="3"/>
        <v>1.0030921573107876</v>
      </c>
      <c r="M21" s="9">
        <f>IF(G21&lt;&gt;"",J21/MAX(J$3:J21)-1,"")</f>
        <v>-2.1831440114765677E-3</v>
      </c>
      <c r="N21" s="9">
        <f>IF(G21&lt;&gt;"",K21/MAX(K$3:K21)-1,"")</f>
        <v>0</v>
      </c>
      <c r="O21" s="16">
        <f t="shared" si="4"/>
        <v>8.8504163046265738E-4</v>
      </c>
      <c r="P21" s="16">
        <f t="shared" si="4"/>
        <v>7.2253984812364891E-5</v>
      </c>
      <c r="Q21" s="16">
        <f t="shared" si="4"/>
        <v>8.1272892274708575E-4</v>
      </c>
      <c r="S21" s="5" t="str">
        <f t="shared" si="2"/>
        <v/>
      </c>
    </row>
    <row r="22" spans="1:19" x14ac:dyDescent="0.2">
      <c r="A22" s="31" t="s">
        <v>33</v>
      </c>
      <c r="B22" s="32" t="s">
        <v>24</v>
      </c>
      <c r="C22" s="32" t="s">
        <v>25</v>
      </c>
      <c r="E22" s="1">
        <f>MATCH("单位净值",G$2:K$2,0)</f>
        <v>4</v>
      </c>
      <c r="F22" s="1">
        <f>E22+1</f>
        <v>5</v>
      </c>
      <c r="G22" s="8">
        <v>45470</v>
      </c>
      <c r="H22" s="5">
        <v>3.9438199999999998E-3</v>
      </c>
      <c r="I22" s="9">
        <v>2.16621E-3</v>
      </c>
      <c r="J22" s="10">
        <f t="shared" si="0"/>
        <v>1.0039438199999999</v>
      </c>
      <c r="K22" s="10">
        <f t="shared" si="1"/>
        <v>1.0021662099999999</v>
      </c>
      <c r="L22" s="11">
        <f t="shared" si="3"/>
        <v>1.0017737676467859</v>
      </c>
      <c r="M22" s="9">
        <f>IF(G22&lt;&gt;"",J22/MAX(J$3:J22)-1,"")</f>
        <v>-3.422056995000311E-3</v>
      </c>
      <c r="N22" s="9">
        <f>IF(G22&lt;&gt;"",K22/MAX(K$3:K22)-1,"")</f>
        <v>0</v>
      </c>
      <c r="O22" s="16">
        <f t="shared" si="4"/>
        <v>-1.2416236267088765E-3</v>
      </c>
      <c r="P22" s="16">
        <f t="shared" si="4"/>
        <v>7.2797615662922865E-5</v>
      </c>
      <c r="Q22" s="16">
        <f t="shared" si="4"/>
        <v>-1.3143255626044681E-3</v>
      </c>
      <c r="S22" s="5" t="str">
        <f t="shared" si="2"/>
        <v/>
      </c>
    </row>
    <row r="23" spans="1:19" x14ac:dyDescent="0.2">
      <c r="A23" s="1">
        <v>2022</v>
      </c>
      <c r="B23" s="33" t="e">
        <f t="shared" ref="B23:C26" si="5">VLOOKUP($F23,$G:$K,E$22,FALSE)/VLOOKUP($E23,$G:$K,E$22,FALSE)-1</f>
        <v>#N/A</v>
      </c>
      <c r="C23" s="33" t="e">
        <f t="shared" si="5"/>
        <v>#N/A</v>
      </c>
      <c r="E23" s="2" t="str">
        <f>IF(YEAR(B1)=A23,B1,"")</f>
        <v/>
      </c>
      <c r="F23" s="2">
        <v>44925</v>
      </c>
      <c r="G23" s="8">
        <v>45471</v>
      </c>
      <c r="H23" s="5">
        <v>4.1526999999999996E-3</v>
      </c>
      <c r="I23" s="9">
        <v>2.3126499999999999E-3</v>
      </c>
      <c r="J23" s="10">
        <f t="shared" si="0"/>
        <v>1.0041526999999999</v>
      </c>
      <c r="K23" s="10">
        <f t="shared" si="1"/>
        <v>1.0023126499999999</v>
      </c>
      <c r="L23" s="11">
        <f t="shared" si="3"/>
        <v>1.0018358044268922</v>
      </c>
      <c r="M23" s="9">
        <f>IF(G23&lt;&gt;"",J23/MAX(J$3:J23)-1,"")</f>
        <v>-3.2147095353238786E-3</v>
      </c>
      <c r="N23" s="9">
        <f>IF(G23&lt;&gt;"",K23/MAX(K$3:K23)-1,"")</f>
        <v>0</v>
      </c>
      <c r="O23" s="16">
        <f t="shared" si="4"/>
        <v>2.0805945097612799E-4</v>
      </c>
      <c r="P23" s="16">
        <f t="shared" si="4"/>
        <v>1.4612346588682712E-4</v>
      </c>
      <c r="Q23" s="16">
        <f t="shared" si="4"/>
        <v>6.1926936110623387E-5</v>
      </c>
      <c r="S23" s="5" t="str">
        <f t="shared" si="2"/>
        <v/>
      </c>
    </row>
    <row r="24" spans="1:19" x14ac:dyDescent="0.2">
      <c r="A24" s="1">
        <v>2023</v>
      </c>
      <c r="B24" s="33" t="e">
        <f t="shared" si="5"/>
        <v>#N/A</v>
      </c>
      <c r="C24" s="33" t="e">
        <f t="shared" si="5"/>
        <v>#N/A</v>
      </c>
      <c r="E24" s="2">
        <v>44925</v>
      </c>
      <c r="F24" s="2">
        <v>45289</v>
      </c>
      <c r="G24" s="8">
        <v>45474</v>
      </c>
      <c r="H24" s="5">
        <v>4.9743599999999997E-3</v>
      </c>
      <c r="I24" s="9">
        <v>2.3689599999999998E-3</v>
      </c>
      <c r="J24" s="10">
        <f t="shared" si="0"/>
        <v>1.0049743600000001</v>
      </c>
      <c r="K24" s="10">
        <f t="shared" si="1"/>
        <v>1.0023689600000001</v>
      </c>
      <c r="L24" s="11">
        <f t="shared" si="3"/>
        <v>1.0025992424984909</v>
      </c>
      <c r="M24" s="9">
        <f>IF(G24&lt;&gt;"",J24/MAX(J$3:J24)-1,"")</f>
        <v>-2.3990780066097672E-3</v>
      </c>
      <c r="N24" s="9">
        <f>IF(G24&lt;&gt;"",K24/MAX(K$3:K24)-1,"")</f>
        <v>0</v>
      </c>
      <c r="O24" s="16">
        <f t="shared" si="4"/>
        <v>8.1826200337875576E-4</v>
      </c>
      <c r="P24" s="16">
        <f t="shared" si="4"/>
        <v>5.6180075149292463E-5</v>
      </c>
      <c r="Q24" s="16">
        <f t="shared" si="4"/>
        <v>7.6203911681460568E-4</v>
      </c>
      <c r="S24" s="5" t="str">
        <f t="shared" si="2"/>
        <v/>
      </c>
    </row>
    <row r="25" spans="1:19" x14ac:dyDescent="0.2">
      <c r="A25" s="1">
        <v>2024</v>
      </c>
      <c r="B25" s="33" t="e">
        <f t="shared" si="5"/>
        <v>#N/A</v>
      </c>
      <c r="C25" s="33" t="e">
        <f t="shared" si="5"/>
        <v>#N/A</v>
      </c>
      <c r="E25" s="2">
        <v>45289</v>
      </c>
      <c r="F25" s="2">
        <v>45657</v>
      </c>
      <c r="G25" s="8">
        <v>45475</v>
      </c>
      <c r="H25" s="5">
        <v>5.5859999999999998E-3</v>
      </c>
      <c r="I25" s="9">
        <v>2.3955299999999999E-3</v>
      </c>
      <c r="J25" s="10">
        <f t="shared" si="0"/>
        <v>1.0055860000000001</v>
      </c>
      <c r="K25" s="10">
        <f t="shared" si="1"/>
        <v>1.00239553</v>
      </c>
      <c r="L25" s="11">
        <f t="shared" si="3"/>
        <v>1.0031828453983629</v>
      </c>
      <c r="M25" s="9">
        <f>IF(G25&lt;&gt;"",J25/MAX(J$3:J25)-1,"")</f>
        <v>-1.7919255734590855E-3</v>
      </c>
      <c r="N25" s="9">
        <f>IF(G25&lt;&gt;"",K25/MAX(K$3:K25)-1,"")</f>
        <v>0</v>
      </c>
      <c r="O25" s="16">
        <f t="shared" si="4"/>
        <v>6.086125421149724E-4</v>
      </c>
      <c r="P25" s="16">
        <f t="shared" si="4"/>
        <v>2.6507205490355901E-5</v>
      </c>
      <c r="Q25" s="16">
        <f t="shared" si="4"/>
        <v>5.8208990704766705E-4</v>
      </c>
      <c r="S25" s="5" t="str">
        <f t="shared" si="2"/>
        <v/>
      </c>
    </row>
    <row r="26" spans="1:19" x14ac:dyDescent="0.2">
      <c r="A26" s="1">
        <v>2025</v>
      </c>
      <c r="B26" s="33">
        <f t="shared" si="5"/>
        <v>6.0836823132173423E-2</v>
      </c>
      <c r="C26" s="33">
        <f t="shared" si="5"/>
        <v>1.6846821308776239E-2</v>
      </c>
      <c r="E26" s="2">
        <v>45657</v>
      </c>
      <c r="F26" s="2">
        <f>B2</f>
        <v>45912</v>
      </c>
      <c r="G26" s="8">
        <v>45476</v>
      </c>
      <c r="H26" s="5">
        <v>6.9555800000000003E-3</v>
      </c>
      <c r="I26" s="9">
        <v>2.44539E-3</v>
      </c>
      <c r="J26" s="10">
        <f t="shared" si="0"/>
        <v>1.0069555800000001</v>
      </c>
      <c r="K26" s="10">
        <f t="shared" si="1"/>
        <v>1.0024453900000001</v>
      </c>
      <c r="L26" s="11">
        <f t="shared" si="3"/>
        <v>1.0044991877313136</v>
      </c>
      <c r="M26" s="9">
        <f>IF(G26&lt;&gt;"",J26/MAX(J$3:J26)-1,"")</f>
        <v>-4.3239410168738335E-4</v>
      </c>
      <c r="N26" s="9">
        <f>IF(G26&lt;&gt;"",K26/MAX(K$3:K26)-1,"")</f>
        <v>0</v>
      </c>
      <c r="O26" s="16">
        <f t="shared" si="4"/>
        <v>1.361972024272351E-3</v>
      </c>
      <c r="P26" s="16">
        <f t="shared" si="4"/>
        <v>4.9740844315193655E-5</v>
      </c>
      <c r="Q26" s="16">
        <f t="shared" si="4"/>
        <v>1.3121659117167894E-3</v>
      </c>
      <c r="S26" s="5" t="str">
        <f t="shared" si="2"/>
        <v/>
      </c>
    </row>
    <row r="27" spans="1:19" x14ac:dyDescent="0.2">
      <c r="G27" s="8">
        <v>45477</v>
      </c>
      <c r="H27" s="5">
        <v>6.1106499999999996E-3</v>
      </c>
      <c r="I27" s="9">
        <v>2.6103300000000001E-3</v>
      </c>
      <c r="J27" s="10">
        <f t="shared" si="0"/>
        <v>1.0061106500000001</v>
      </c>
      <c r="K27" s="10">
        <f t="shared" si="1"/>
        <v>1.00261033</v>
      </c>
      <c r="L27" s="11">
        <f t="shared" si="3"/>
        <v>1.0034912067981587</v>
      </c>
      <c r="M27" s="9">
        <f>IF(G27&lt;&gt;"",J27/MAX(J$3:J27)-1,"")</f>
        <v>-1.271124899774434E-3</v>
      </c>
      <c r="N27" s="9">
        <f>IF(G27&lt;&gt;"",K27/MAX(K$3:K27)-1,"")</f>
        <v>0</v>
      </c>
      <c r="O27" s="16">
        <f t="shared" si="4"/>
        <v>-8.3909361721790088E-4</v>
      </c>
      <c r="P27" s="16">
        <f t="shared" si="4"/>
        <v>1.6453764129731319E-4</v>
      </c>
      <c r="Q27" s="16">
        <f t="shared" si="4"/>
        <v>-1.0034661505614606E-3</v>
      </c>
      <c r="S27" s="5" t="str">
        <f t="shared" si="2"/>
        <v/>
      </c>
    </row>
    <row r="28" spans="1:19" x14ac:dyDescent="0.2">
      <c r="G28" s="8">
        <v>45478</v>
      </c>
      <c r="H28" s="5">
        <v>7.0280999999999998E-3</v>
      </c>
      <c r="I28" s="9">
        <v>2.5917499999999999E-3</v>
      </c>
      <c r="J28" s="10">
        <f t="shared" si="0"/>
        <v>1.0070281000000001</v>
      </c>
      <c r="K28" s="10">
        <f t="shared" si="1"/>
        <v>1.0025917499999999</v>
      </c>
      <c r="L28" s="11">
        <f t="shared" si="3"/>
        <v>1.0044248818125625</v>
      </c>
      <c r="M28" s="9">
        <f>IF(G28&lt;&gt;"",J28/MAX(J$3:J28)-1,"")</f>
        <v>-3.6040617667898456E-4</v>
      </c>
      <c r="N28" s="9">
        <f>IF(G28&lt;&gt;"",K28/MAX(K$3:K28)-1,"")</f>
        <v>-1.8531626339912677E-5</v>
      </c>
      <c r="O28" s="16">
        <f t="shared" si="4"/>
        <v>9.1187783371537989E-4</v>
      </c>
      <c r="P28" s="16">
        <f t="shared" si="4"/>
        <v>-1.8531626339912677E-5</v>
      </c>
      <c r="Q28" s="16">
        <f t="shared" si="4"/>
        <v>9.3042670237530878E-4</v>
      </c>
      <c r="S28" s="5" t="str">
        <f t="shared" si="2"/>
        <v/>
      </c>
    </row>
    <row r="29" spans="1:19" x14ac:dyDescent="0.2">
      <c r="G29" s="8">
        <v>45481</v>
      </c>
      <c r="H29" s="5">
        <v>5.7630800000000003E-3</v>
      </c>
      <c r="I29" s="9">
        <v>2.61357E-3</v>
      </c>
      <c r="J29" s="10">
        <f t="shared" si="0"/>
        <v>1.0057630799999999</v>
      </c>
      <c r="K29" s="10">
        <f t="shared" si="1"/>
        <v>1.0026135700000001</v>
      </c>
      <c r="L29" s="11">
        <f t="shared" si="3"/>
        <v>1.0031412999925782</v>
      </c>
      <c r="M29" s="9">
        <f>IF(G29&lt;&gt;"",J29/MAX(J$3:J29)-1,"")</f>
        <v>-1.6161447990457045E-3</v>
      </c>
      <c r="N29" s="9">
        <f>IF(G29&lt;&gt;"",K29/MAX(K$3:K29)-1,"")</f>
        <v>0</v>
      </c>
      <c r="O29" s="16">
        <f t="shared" si="4"/>
        <v>-1.2561913614924647E-3</v>
      </c>
      <c r="P29" s="16">
        <f t="shared" si="4"/>
        <v>2.1763594204804448E-5</v>
      </c>
      <c r="Q29" s="16">
        <f t="shared" si="4"/>
        <v>-1.2779271434096851E-3</v>
      </c>
      <c r="S29" s="5" t="str">
        <f t="shared" si="2"/>
        <v/>
      </c>
    </row>
    <row r="30" spans="1:19" x14ac:dyDescent="0.2">
      <c r="G30" s="8">
        <v>45482</v>
      </c>
      <c r="H30" s="5">
        <v>7.6110300000000004E-3</v>
      </c>
      <c r="I30" s="9">
        <v>2.66533E-3</v>
      </c>
      <c r="J30" s="10">
        <f t="shared" si="0"/>
        <v>1.0076110300000001</v>
      </c>
      <c r="K30" s="10">
        <f t="shared" si="1"/>
        <v>1.0026653299999999</v>
      </c>
      <c r="L30" s="11">
        <f t="shared" si="3"/>
        <v>1.0049325531181976</v>
      </c>
      <c r="M30" s="9">
        <f>IF(G30&lt;&gt;"",J30/MAX(J$3:J30)-1,"")</f>
        <v>0</v>
      </c>
      <c r="N30" s="9">
        <f>IF(G30&lt;&gt;"",K30/MAX(K$3:K30)-1,"")</f>
        <v>0</v>
      </c>
      <c r="O30" s="16">
        <f t="shared" si="4"/>
        <v>1.8373611407571655E-3</v>
      </c>
      <c r="P30" s="16">
        <f t="shared" si="4"/>
        <v>5.1625074254602055E-5</v>
      </c>
      <c r="Q30" s="16">
        <f t="shared" si="4"/>
        <v>1.7856438825045728E-3</v>
      </c>
      <c r="S30" s="5" t="str">
        <f t="shared" si="2"/>
        <v/>
      </c>
    </row>
    <row r="31" spans="1:19" x14ac:dyDescent="0.2">
      <c r="G31" s="8">
        <v>45483</v>
      </c>
      <c r="H31" s="5">
        <v>9.0040399999999996E-3</v>
      </c>
      <c r="I31" s="9">
        <v>2.73807E-3</v>
      </c>
      <c r="J31" s="10">
        <f t="shared" si="0"/>
        <v>1.00900404</v>
      </c>
      <c r="K31" s="10">
        <f t="shared" si="1"/>
        <v>1.0027380699999999</v>
      </c>
      <c r="L31" s="11">
        <f t="shared" si="3"/>
        <v>1.0062488601833977</v>
      </c>
      <c r="M31" s="9">
        <f>IF(G31&lt;&gt;"",J31/MAX(J$3:J31)-1,"")</f>
        <v>0</v>
      </c>
      <c r="N31" s="9">
        <f>IF(G31&lt;&gt;"",K31/MAX(K$3:K31)-1,"")</f>
        <v>0</v>
      </c>
      <c r="O31" s="16">
        <f t="shared" si="4"/>
        <v>1.382487843547997E-3</v>
      </c>
      <c r="P31" s="16">
        <f t="shared" si="4"/>
        <v>7.254663926592464E-5</v>
      </c>
      <c r="Q31" s="16">
        <f t="shared" si="4"/>
        <v>1.3098461793437099E-3</v>
      </c>
      <c r="S31" s="5" t="str">
        <f t="shared" si="2"/>
        <v/>
      </c>
    </row>
    <row r="32" spans="1:19" x14ac:dyDescent="0.2">
      <c r="G32" s="8">
        <v>45484</v>
      </c>
      <c r="H32" s="5">
        <v>1.069632E-2</v>
      </c>
      <c r="I32" s="9">
        <v>2.89559E-3</v>
      </c>
      <c r="J32" s="10">
        <f t="shared" si="0"/>
        <v>1.0106963200000001</v>
      </c>
      <c r="K32" s="10">
        <f t="shared" si="1"/>
        <v>1.0028955900000001</v>
      </c>
      <c r="L32" s="11">
        <f t="shared" si="3"/>
        <v>1.0077782075001447</v>
      </c>
      <c r="M32" s="9">
        <f>IF(G32&lt;&gt;"",J32/MAX(J$3:J32)-1,"")</f>
        <v>0</v>
      </c>
      <c r="N32" s="9">
        <f>IF(G32&lt;&gt;"",K32/MAX(K$3:K32)-1,"")</f>
        <v>0</v>
      </c>
      <c r="O32" s="16">
        <f t="shared" si="4"/>
        <v>1.6771786166487335E-3</v>
      </c>
      <c r="P32" s="16">
        <f t="shared" si="4"/>
        <v>1.5708987692075738E-4</v>
      </c>
      <c r="Q32" s="16">
        <f t="shared" si="4"/>
        <v>1.5198499866804216E-3</v>
      </c>
      <c r="S32" s="5" t="str">
        <f t="shared" si="2"/>
        <v/>
      </c>
    </row>
    <row r="33" spans="7:19" x14ac:dyDescent="0.2">
      <c r="G33" s="8">
        <v>45485</v>
      </c>
      <c r="H33" s="5">
        <v>1.254837E-2</v>
      </c>
      <c r="I33" s="9">
        <v>2.928E-3</v>
      </c>
      <c r="J33" s="10">
        <f t="shared" si="0"/>
        <v>1.01254837</v>
      </c>
      <c r="K33" s="10">
        <f t="shared" si="1"/>
        <v>1.002928</v>
      </c>
      <c r="L33" s="11">
        <f t="shared" si="3"/>
        <v>1.0095922837930538</v>
      </c>
      <c r="M33" s="9">
        <f>IF(G33&lt;&gt;"",J33/MAX(J$3:J33)-1,"")</f>
        <v>0</v>
      </c>
      <c r="N33" s="9">
        <f>IF(G33&lt;&gt;"",K33/MAX(K$3:K33)-1,"")</f>
        <v>0</v>
      </c>
      <c r="O33" s="16">
        <f t="shared" si="4"/>
        <v>1.832449533406777E-3</v>
      </c>
      <c r="P33" s="16">
        <f t="shared" si="4"/>
        <v>3.2316424883216399E-5</v>
      </c>
      <c r="Q33" s="16">
        <f t="shared" si="4"/>
        <v>1.8000749365369995E-3</v>
      </c>
      <c r="S33" s="5" t="str">
        <f t="shared" si="2"/>
        <v/>
      </c>
    </row>
    <row r="34" spans="7:19" x14ac:dyDescent="0.2">
      <c r="G34" s="8">
        <v>45488</v>
      </c>
      <c r="H34" s="5">
        <v>1.2376359999999999E-2</v>
      </c>
      <c r="I34" s="9">
        <v>2.9799800000000001E-3</v>
      </c>
      <c r="J34" s="10">
        <f t="shared" si="0"/>
        <v>1.01237636</v>
      </c>
      <c r="K34" s="10">
        <f t="shared" si="1"/>
        <v>1.0029799800000001</v>
      </c>
      <c r="L34" s="11">
        <f t="shared" si="3"/>
        <v>1.0093684621701022</v>
      </c>
      <c r="M34" s="9">
        <f>IF(G34&lt;&gt;"",J34/MAX(J$3:J34)-1,"")</f>
        <v>-1.6987830418413452E-4</v>
      </c>
      <c r="N34" s="9">
        <f>IF(G34&lt;&gt;"",K34/MAX(K$3:K34)-1,"")</f>
        <v>0</v>
      </c>
      <c r="O34" s="16">
        <f t="shared" si="4"/>
        <v>-1.6987830418413452E-4</v>
      </c>
      <c r="P34" s="16">
        <f t="shared" si="4"/>
        <v>5.1828246893093066E-5</v>
      </c>
      <c r="Q34" s="16">
        <f t="shared" si="4"/>
        <v>-2.2169506101077374E-4</v>
      </c>
      <c r="S34" s="5" t="str">
        <f t="shared" si="2"/>
        <v/>
      </c>
    </row>
    <row r="35" spans="7:19" x14ac:dyDescent="0.2">
      <c r="G35" s="8">
        <v>45489</v>
      </c>
      <c r="H35" s="5">
        <v>1.4227139999999999E-2</v>
      </c>
      <c r="I35" s="9">
        <v>3.0379500000000002E-3</v>
      </c>
      <c r="J35" s="10">
        <f t="shared" si="0"/>
        <v>1.01422714</v>
      </c>
      <c r="K35" s="10">
        <f t="shared" si="1"/>
        <v>1.00303795</v>
      </c>
      <c r="L35" s="11">
        <f t="shared" si="3"/>
        <v>1.0111553007540743</v>
      </c>
      <c r="M35" s="9">
        <f>IF(G35&lt;&gt;"",J35/MAX(J$3:J35)-1,"")</f>
        <v>0</v>
      </c>
      <c r="N35" s="9">
        <f>IF(G35&lt;&gt;"",K35/MAX(K$3:K35)-1,"")</f>
        <v>0</v>
      </c>
      <c r="O35" s="16">
        <f t="shared" si="4"/>
        <v>1.8281541066407225E-3</v>
      </c>
      <c r="P35" s="16">
        <f t="shared" si="4"/>
        <v>5.7797763819644743E-5</v>
      </c>
      <c r="Q35" s="16">
        <f t="shared" si="4"/>
        <v>1.7702540260970956E-3</v>
      </c>
      <c r="S35" s="5" t="str">
        <f t="shared" si="2"/>
        <v/>
      </c>
    </row>
    <row r="36" spans="7:19" x14ac:dyDescent="0.2">
      <c r="G36" s="8">
        <v>45490</v>
      </c>
      <c r="H36" s="5">
        <v>1.262566E-2</v>
      </c>
      <c r="I36" s="9">
        <v>3.13197E-3</v>
      </c>
      <c r="J36" s="10">
        <f t="shared" si="0"/>
        <v>1.0126256600000001</v>
      </c>
      <c r="K36" s="10">
        <f t="shared" si="1"/>
        <v>1.0031319700000001</v>
      </c>
      <c r="L36" s="11">
        <f t="shared" si="3"/>
        <v>1.0094640488828204</v>
      </c>
      <c r="M36" s="9">
        <f>IF(G36&lt;&gt;"",J36/MAX(J$3:J36)-1,"")</f>
        <v>-1.579015130673711E-3</v>
      </c>
      <c r="N36" s="9">
        <f>IF(G36&lt;&gt;"",K36/MAX(K$3:K36)-1,"")</f>
        <v>0</v>
      </c>
      <c r="O36" s="16">
        <f t="shared" si="4"/>
        <v>-1.579015130673711E-3</v>
      </c>
      <c r="P36" s="16">
        <f t="shared" si="4"/>
        <v>9.3735237036707275E-5</v>
      </c>
      <c r="Q36" s="16">
        <f t="shared" si="4"/>
        <v>-1.6725935867544228E-3</v>
      </c>
      <c r="S36" s="5" t="str">
        <f t="shared" si="2"/>
        <v/>
      </c>
    </row>
    <row r="37" spans="7:19" x14ac:dyDescent="0.2">
      <c r="G37" s="8">
        <v>45491</v>
      </c>
      <c r="H37" s="5">
        <v>1.179121E-2</v>
      </c>
      <c r="I37" s="9">
        <v>3.30365E-3</v>
      </c>
      <c r="J37" s="10">
        <f t="shared" si="0"/>
        <v>1.0117912099999999</v>
      </c>
      <c r="K37" s="10">
        <f t="shared" si="1"/>
        <v>1.0033036500000001</v>
      </c>
      <c r="L37" s="11">
        <f t="shared" si="3"/>
        <v>1.0084596124014897</v>
      </c>
      <c r="M37" s="9">
        <f>IF(G37&lt;&gt;"",J37/MAX(J$3:J37)-1,"")</f>
        <v>-2.4017598266992124E-3</v>
      </c>
      <c r="N37" s="9">
        <f>IF(G37&lt;&gt;"",K37/MAX(K$3:K37)-1,"")</f>
        <v>0</v>
      </c>
      <c r="O37" s="16">
        <f t="shared" si="4"/>
        <v>-8.2404587693363229E-4</v>
      </c>
      <c r="P37" s="16">
        <f t="shared" si="4"/>
        <v>1.7114398218209814E-4</v>
      </c>
      <c r="Q37" s="16">
        <f t="shared" si="4"/>
        <v>-9.9501956750436271E-4</v>
      </c>
      <c r="S37" s="5" t="str">
        <f t="shared" si="2"/>
        <v/>
      </c>
    </row>
    <row r="38" spans="7:19" x14ac:dyDescent="0.2">
      <c r="G38" s="8">
        <v>45492</v>
      </c>
      <c r="H38" s="5">
        <v>9.82097E-3</v>
      </c>
      <c r="I38" s="9">
        <v>3.3615899999999998E-3</v>
      </c>
      <c r="J38" s="10">
        <f t="shared" si="0"/>
        <v>1.00982097</v>
      </c>
      <c r="K38" s="10">
        <f t="shared" si="1"/>
        <v>1.0033615899999999</v>
      </c>
      <c r="L38" s="11">
        <f t="shared" si="3"/>
        <v>1.0064377389610859</v>
      </c>
      <c r="M38" s="9">
        <f>IF(G38&lt;&gt;"",J38/MAX(J$3:J38)-1,"")</f>
        <v>-4.3443621514605013E-3</v>
      </c>
      <c r="N38" s="9">
        <f>IF(G38&lt;&gt;"",K38/MAX(K$3:K38)-1,"")</f>
        <v>0</v>
      </c>
      <c r="O38" s="16">
        <f t="shared" si="4"/>
        <v>-1.9472792217674062E-3</v>
      </c>
      <c r="P38" s="16">
        <f t="shared" si="4"/>
        <v>5.7749216799685144E-5</v>
      </c>
      <c r="Q38" s="16">
        <f t="shared" si="4"/>
        <v>-2.0049126564315456E-3</v>
      </c>
      <c r="S38" s="5" t="str">
        <f t="shared" si="2"/>
        <v/>
      </c>
    </row>
    <row r="39" spans="7:19" x14ac:dyDescent="0.2">
      <c r="G39" s="8">
        <v>45495</v>
      </c>
      <c r="H39" s="5">
        <v>1.1014110000000001E-2</v>
      </c>
      <c r="I39" s="9">
        <v>3.4198900000000001E-3</v>
      </c>
      <c r="J39" s="10">
        <f t="shared" si="0"/>
        <v>1.0110141100000001</v>
      </c>
      <c r="K39" s="10">
        <f t="shared" si="1"/>
        <v>1.00341989</v>
      </c>
      <c r="L39" s="11">
        <f t="shared" si="3"/>
        <v>1.0075683371195683</v>
      </c>
      <c r="M39" s="9">
        <f>IF(G39&lt;&gt;"",J39/MAX(J$3:J39)-1,"")</f>
        <v>-3.1679590037394512E-3</v>
      </c>
      <c r="N39" s="9">
        <f>IF(G39&lt;&gt;"",K39/MAX(K$3:K39)-1,"")</f>
        <v>0</v>
      </c>
      <c r="O39" s="16">
        <f t="shared" si="4"/>
        <v>1.1815361687330661E-3</v>
      </c>
      <c r="P39" s="16">
        <f t="shared" si="4"/>
        <v>5.8104675902503899E-5</v>
      </c>
      <c r="Q39" s="16">
        <f t="shared" si="4"/>
        <v>1.1233662200003103E-3</v>
      </c>
      <c r="S39" s="5" t="str">
        <f t="shared" si="2"/>
        <v/>
      </c>
    </row>
    <row r="40" spans="7:19" x14ac:dyDescent="0.2">
      <c r="G40" s="8">
        <v>45496</v>
      </c>
      <c r="H40" s="5">
        <v>7.9696200000000002E-3</v>
      </c>
      <c r="I40" s="9">
        <v>3.50454E-3</v>
      </c>
      <c r="J40" s="10">
        <f t="shared" si="0"/>
        <v>1.0079696199999999</v>
      </c>
      <c r="K40" s="10">
        <f t="shared" si="1"/>
        <v>1.00350454</v>
      </c>
      <c r="L40" s="11">
        <f t="shared" si="3"/>
        <v>1.0044494865962439</v>
      </c>
      <c r="M40" s="9">
        <f>IF(G40&lt;&gt;"",J40/MAX(J$3:J40)-1,"")</f>
        <v>-6.169742213760987E-3</v>
      </c>
      <c r="N40" s="9">
        <f>IF(G40&lt;&gt;"",K40/MAX(K$3:K40)-1,"")</f>
        <v>0</v>
      </c>
      <c r="O40" s="16">
        <f t="shared" si="4"/>
        <v>-3.0113229576985701E-3</v>
      </c>
      <c r="P40" s="16">
        <f t="shared" si="4"/>
        <v>8.4361492973750174E-5</v>
      </c>
      <c r="Q40" s="16">
        <f t="shared" si="4"/>
        <v>-3.0954233161401001E-3</v>
      </c>
      <c r="S40" s="5" t="str">
        <f t="shared" si="2"/>
        <v/>
      </c>
    </row>
    <row r="41" spans="7:19" x14ac:dyDescent="0.2">
      <c r="G41" s="8">
        <v>45497</v>
      </c>
      <c r="H41" s="5">
        <v>4.2754300000000002E-3</v>
      </c>
      <c r="I41" s="9">
        <v>3.5898100000000001E-3</v>
      </c>
      <c r="J41" s="10">
        <f t="shared" si="0"/>
        <v>1.0042754300000001</v>
      </c>
      <c r="K41" s="10">
        <f t="shared" si="1"/>
        <v>1.00358981</v>
      </c>
      <c r="L41" s="11">
        <f t="shared" si="3"/>
        <v>1.0006831675582677</v>
      </c>
      <c r="M41" s="9">
        <f>IF(G41&lt;&gt;"",J41/MAX(J$3:J41)-1,"")</f>
        <v>-9.8121117129639224E-3</v>
      </c>
      <c r="N41" s="9">
        <f>IF(G41&lt;&gt;"",K41/MAX(K$3:K41)-1,"")</f>
        <v>0</v>
      </c>
      <c r="O41" s="16">
        <f t="shared" si="4"/>
        <v>-3.6649814902157685E-3</v>
      </c>
      <c r="P41" s="16">
        <f t="shared" si="4"/>
        <v>8.497221148595635E-5</v>
      </c>
      <c r="Q41" s="16">
        <f t="shared" si="4"/>
        <v>-3.7496350869161699E-3</v>
      </c>
      <c r="S41" s="5" t="str">
        <f t="shared" si="2"/>
        <v/>
      </c>
    </row>
    <row r="42" spans="7:19" x14ac:dyDescent="0.2">
      <c r="G42" s="8">
        <v>45498</v>
      </c>
      <c r="H42" s="5">
        <v>2.31591E-3</v>
      </c>
      <c r="I42" s="9">
        <v>3.71982E-3</v>
      </c>
      <c r="J42" s="10">
        <f t="shared" si="0"/>
        <v>1.0023159100000001</v>
      </c>
      <c r="K42" s="10">
        <f t="shared" si="1"/>
        <v>1.0037198199999999</v>
      </c>
      <c r="L42" s="11">
        <f t="shared" si="3"/>
        <v>0.99860129293850164</v>
      </c>
      <c r="M42" s="9">
        <f>IF(G42&lt;&gt;"",J42/MAX(J$3:J42)-1,"")</f>
        <v>-1.1744144413252333E-2</v>
      </c>
      <c r="N42" s="9">
        <f>IF(G42&lt;&gt;"",K42/MAX(K$3:K42)-1,"")</f>
        <v>0</v>
      </c>
      <c r="O42" s="16">
        <f t="shared" si="4"/>
        <v>-1.9511778755754161E-3</v>
      </c>
      <c r="P42" s="16">
        <f t="shared" si="4"/>
        <v>1.2954495821348999E-4</v>
      </c>
      <c r="Q42" s="16">
        <f t="shared" si="4"/>
        <v>-2.0804533215502685E-3</v>
      </c>
      <c r="S42" s="5" t="str">
        <f t="shared" si="2"/>
        <v/>
      </c>
    </row>
    <row r="43" spans="7:19" x14ac:dyDescent="0.2">
      <c r="G43" s="8">
        <v>45499</v>
      </c>
      <c r="H43" s="5">
        <v>4.4672699999999997E-3</v>
      </c>
      <c r="I43" s="9">
        <v>3.7493700000000001E-3</v>
      </c>
      <c r="J43" s="10">
        <f t="shared" si="0"/>
        <v>1.0044672699999999</v>
      </c>
      <c r="K43" s="10">
        <f t="shared" si="1"/>
        <v>1.00374937</v>
      </c>
      <c r="L43" s="11">
        <f t="shared" si="3"/>
        <v>1.0007152183816563</v>
      </c>
      <c r="M43" s="9">
        <f>IF(G43&lt;&gt;"",J43/MAX(J$3:J43)-1,"")</f>
        <v>-9.6229627615763702E-3</v>
      </c>
      <c r="N43" s="9">
        <f>IF(G43&lt;&gt;"",K43/MAX(K$3:K43)-1,"")</f>
        <v>0</v>
      </c>
      <c r="O43" s="16">
        <f t="shared" si="4"/>
        <v>2.1463891558897163E-3</v>
      </c>
      <c r="P43" s="16">
        <f t="shared" si="4"/>
        <v>2.94404866889586E-5</v>
      </c>
      <c r="Q43" s="16">
        <f t="shared" si="4"/>
        <v>2.1168863470366617E-3</v>
      </c>
      <c r="S43" s="5" t="str">
        <f t="shared" si="2"/>
        <v/>
      </c>
    </row>
    <row r="44" spans="7:19" x14ac:dyDescent="0.2">
      <c r="G44" s="8">
        <v>45502</v>
      </c>
      <c r="H44" s="5">
        <v>5.5202999999999997E-3</v>
      </c>
      <c r="I44" s="9">
        <v>3.8111400000000002E-3</v>
      </c>
      <c r="J44" s="10">
        <f t="shared" si="0"/>
        <v>1.0055202999999999</v>
      </c>
      <c r="K44" s="10">
        <f t="shared" si="1"/>
        <v>1.00381114</v>
      </c>
      <c r="L44" s="11">
        <f t="shared" si="3"/>
        <v>1.0017026708828913</v>
      </c>
      <c r="M44" s="9">
        <f>IF(G44&lt;&gt;"",J44/MAX(J$3:J44)-1,"")</f>
        <v>-8.5847042113269545E-3</v>
      </c>
      <c r="N44" s="9">
        <f>IF(G44&lt;&gt;"",K44/MAX(K$3:K44)-1,"")</f>
        <v>0</v>
      </c>
      <c r="O44" s="16">
        <f t="shared" si="4"/>
        <v>1.0483467520052692E-3</v>
      </c>
      <c r="P44" s="16">
        <f t="shared" si="4"/>
        <v>6.1539266520416191E-5</v>
      </c>
      <c r="Q44" s="16">
        <f t="shared" si="4"/>
        <v>9.8674676181298437E-4</v>
      </c>
      <c r="S44" s="5" t="str">
        <f t="shared" si="2"/>
        <v/>
      </c>
    </row>
    <row r="45" spans="7:19" x14ac:dyDescent="0.2">
      <c r="G45" s="8">
        <v>45503</v>
      </c>
      <c r="H45" s="5">
        <v>4.41771E-3</v>
      </c>
      <c r="I45" s="9">
        <v>3.9078400000000001E-3</v>
      </c>
      <c r="J45" s="10">
        <f t="shared" si="0"/>
        <v>1.00441771</v>
      </c>
      <c r="K45" s="10">
        <f t="shared" si="1"/>
        <v>1.0039078400000001</v>
      </c>
      <c r="L45" s="11">
        <f t="shared" si="3"/>
        <v>1.0005078852656435</v>
      </c>
      <c r="M45" s="9">
        <f>IF(G45&lt;&gt;"",J45/MAX(J$3:J45)-1,"")</f>
        <v>-9.6718275553147048E-3</v>
      </c>
      <c r="N45" s="9">
        <f>IF(G45&lt;&gt;"",K45/MAX(K$3:K45)-1,"")</f>
        <v>0</v>
      </c>
      <c r="O45" s="16">
        <f t="shared" si="4"/>
        <v>-1.0965367879692822E-3</v>
      </c>
      <c r="P45" s="16">
        <f t="shared" si="4"/>
        <v>9.6332861976522466E-5</v>
      </c>
      <c r="Q45" s="16">
        <f t="shared" si="4"/>
        <v>-1.1927547484671397E-3</v>
      </c>
      <c r="S45" s="5" t="str">
        <f t="shared" si="2"/>
        <v/>
      </c>
    </row>
    <row r="46" spans="7:19" x14ac:dyDescent="0.2">
      <c r="G46" s="8">
        <v>45504</v>
      </c>
      <c r="H46" s="5">
        <v>1.1108109999999999E-2</v>
      </c>
      <c r="I46" s="9">
        <v>3.9985400000000001E-3</v>
      </c>
      <c r="J46" s="10">
        <f t="shared" si="0"/>
        <v>1.0111081099999999</v>
      </c>
      <c r="K46" s="10">
        <f t="shared" si="1"/>
        <v>1.00399854</v>
      </c>
      <c r="L46" s="11">
        <f t="shared" si="3"/>
        <v>1.0070812553173631</v>
      </c>
      <c r="M46" s="9">
        <f>IF(G46&lt;&gt;"",J46/MAX(J$3:J46)-1,"")</f>
        <v>-3.0752775951156108E-3</v>
      </c>
      <c r="N46" s="9">
        <f>IF(G46&lt;&gt;"",K46/MAX(K$3:K46)-1,"")</f>
        <v>0</v>
      </c>
      <c r="O46" s="16">
        <f t="shared" si="4"/>
        <v>6.6609737496563515E-3</v>
      </c>
      <c r="P46" s="16">
        <f t="shared" si="4"/>
        <v>9.0346938619312311E-5</v>
      </c>
      <c r="Q46" s="16">
        <f t="shared" si="4"/>
        <v>6.5700332286480201E-3</v>
      </c>
      <c r="S46" s="5" t="str">
        <f t="shared" si="2"/>
        <v/>
      </c>
    </row>
    <row r="47" spans="7:19" x14ac:dyDescent="0.2">
      <c r="G47" s="8">
        <v>45505</v>
      </c>
      <c r="H47" s="5">
        <v>9.6193600000000004E-3</v>
      </c>
      <c r="I47" s="9">
        <v>4.1333000000000003E-3</v>
      </c>
      <c r="J47" s="10">
        <f t="shared" si="0"/>
        <v>1.0096193600000001</v>
      </c>
      <c r="K47" s="10">
        <f t="shared" si="1"/>
        <v>1.0041332999999999</v>
      </c>
      <c r="L47" s="11">
        <f t="shared" si="3"/>
        <v>1.0054634778071798</v>
      </c>
      <c r="M47" s="9">
        <f>IF(G47&lt;&gt;"",J47/MAX(J$3:J47)-1,"")</f>
        <v>-4.5431440535105283E-3</v>
      </c>
      <c r="N47" s="9">
        <f>IF(G47&lt;&gt;"",K47/MAX(K$3:K47)-1,"")</f>
        <v>0</v>
      </c>
      <c r="O47" s="16">
        <f t="shared" si="4"/>
        <v>-1.472394480150907E-3</v>
      </c>
      <c r="P47" s="16">
        <f t="shared" si="4"/>
        <v>1.3422330275481009E-4</v>
      </c>
      <c r="Q47" s="16">
        <f t="shared" si="4"/>
        <v>-1.6064021663013683E-3</v>
      </c>
      <c r="S47" s="5" t="str">
        <f t="shared" si="2"/>
        <v/>
      </c>
    </row>
    <row r="48" spans="7:19" x14ac:dyDescent="0.2">
      <c r="G48" s="8">
        <v>45506</v>
      </c>
      <c r="H48" s="5">
        <v>7.9818900000000002E-3</v>
      </c>
      <c r="I48" s="9">
        <v>4.1567799999999997E-3</v>
      </c>
      <c r="J48" s="10">
        <f t="shared" si="0"/>
        <v>1.0079818899999999</v>
      </c>
      <c r="K48" s="10">
        <f t="shared" si="1"/>
        <v>1.00415678</v>
      </c>
      <c r="L48" s="11">
        <f t="shared" si="3"/>
        <v>1.0038092756790429</v>
      </c>
      <c r="M48" s="9">
        <f>IF(G48&lt;&gt;"",J48/MAX(J$3:J48)-1,"")</f>
        <v>-6.1576443320182639E-3</v>
      </c>
      <c r="N48" s="9">
        <f>IF(G48&lt;&gt;"",K48/MAX(K$3:K48)-1,"")</f>
        <v>0</v>
      </c>
      <c r="O48" s="16">
        <f t="shared" si="4"/>
        <v>-1.6218686614727362E-3</v>
      </c>
      <c r="P48" s="16">
        <f t="shared" si="4"/>
        <v>2.3383349601058256E-5</v>
      </c>
      <c r="Q48" s="16">
        <f t="shared" si="4"/>
        <v>-1.6452135404705359E-3</v>
      </c>
      <c r="S48" s="5" t="str">
        <f t="shared" si="2"/>
        <v/>
      </c>
    </row>
    <row r="49" spans="7:19" x14ac:dyDescent="0.2">
      <c r="G49" s="8">
        <v>45509</v>
      </c>
      <c r="H49" s="5">
        <v>2.6819000000000001E-3</v>
      </c>
      <c r="I49" s="9">
        <v>4.2204199999999999E-3</v>
      </c>
      <c r="J49" s="10">
        <f t="shared" si="0"/>
        <v>1.0026819</v>
      </c>
      <c r="K49" s="10">
        <f t="shared" si="1"/>
        <v>1.00422042</v>
      </c>
      <c r="L49" s="11">
        <f t="shared" si="3"/>
        <v>0.99846794591171528</v>
      </c>
      <c r="M49" s="9">
        <f>IF(G49&lt;&gt;"",J49/MAX(J$3:J49)-1,"")</f>
        <v>-1.1383288362802002E-2</v>
      </c>
      <c r="N49" s="9">
        <f>IF(G49&lt;&gt;"",K49/MAX(K$3:K49)-1,"")</f>
        <v>0</v>
      </c>
      <c r="O49" s="16">
        <f t="shared" si="4"/>
        <v>-5.2580210543266004E-3</v>
      </c>
      <c r="P49" s="16">
        <f t="shared" si="4"/>
        <v>6.337655759303118E-5</v>
      </c>
      <c r="Q49" s="16">
        <f t="shared" si="4"/>
        <v>-5.3210603814298763E-3</v>
      </c>
      <c r="S49" s="5" t="str">
        <f t="shared" si="2"/>
        <v/>
      </c>
    </row>
    <row r="50" spans="7:19" x14ac:dyDescent="0.2">
      <c r="G50" s="8">
        <v>45510</v>
      </c>
      <c r="H50" s="5">
        <v>2.4638799999999999E-3</v>
      </c>
      <c r="I50" s="9">
        <v>4.3042799999999997E-3</v>
      </c>
      <c r="J50" s="10">
        <f t="shared" si="0"/>
        <v>1.0024638800000001</v>
      </c>
      <c r="K50" s="10">
        <f t="shared" si="1"/>
        <v>1.0043042799999999</v>
      </c>
      <c r="L50" s="11">
        <f t="shared" si="3"/>
        <v>0.99816748764627405</v>
      </c>
      <c r="M50" s="9">
        <f>IF(G50&lt;&gt;"",J50/MAX(J$3:J50)-1,"")</f>
        <v>-1.1598250072463956E-2</v>
      </c>
      <c r="N50" s="9">
        <f>IF(G50&lt;&gt;"",K50/MAX(K$3:K50)-1,"")</f>
        <v>0</v>
      </c>
      <c r="O50" s="16">
        <f t="shared" si="4"/>
        <v>-2.1743685609554309E-4</v>
      </c>
      <c r="P50" s="16">
        <f t="shared" si="4"/>
        <v>8.3507563010787322E-5</v>
      </c>
      <c r="Q50" s="16">
        <f t="shared" si="4"/>
        <v>-3.0091929006981211E-4</v>
      </c>
      <c r="S50" s="5" t="str">
        <f t="shared" si="2"/>
        <v/>
      </c>
    </row>
    <row r="51" spans="7:19" x14ac:dyDescent="0.2">
      <c r="G51" s="8">
        <v>45511</v>
      </c>
      <c r="H51" s="5">
        <v>1.6625699999999999E-3</v>
      </c>
      <c r="I51" s="9">
        <v>4.3950100000000004E-3</v>
      </c>
      <c r="J51" s="10">
        <f t="shared" si="0"/>
        <v>1.0016625699999999</v>
      </c>
      <c r="K51" s="10">
        <f t="shared" si="1"/>
        <v>1.0043950100000001</v>
      </c>
      <c r="L51" s="11">
        <f t="shared" si="3"/>
        <v>0.99727951655195879</v>
      </c>
      <c r="M51" s="9">
        <f>IF(G51&lt;&gt;"",J51/MAX(J$3:J51)-1,"")</f>
        <v>-1.238831964208742E-2</v>
      </c>
      <c r="N51" s="9">
        <f>IF(G51&lt;&gt;"",K51/MAX(K$3:K51)-1,"")</f>
        <v>0</v>
      </c>
      <c r="O51" s="16">
        <f t="shared" si="4"/>
        <v>-7.9934052087760055E-4</v>
      </c>
      <c r="P51" s="16">
        <f t="shared" si="4"/>
        <v>9.0341146410377604E-5</v>
      </c>
      <c r="Q51" s="16">
        <f t="shared" si="4"/>
        <v>-8.8960129968684853E-4</v>
      </c>
      <c r="S51" s="5" t="str">
        <f t="shared" si="2"/>
        <v/>
      </c>
    </row>
    <row r="52" spans="7:19" x14ac:dyDescent="0.2">
      <c r="G52" s="8">
        <v>45512</v>
      </c>
      <c r="H52" s="5">
        <v>4.7148399999999997E-3</v>
      </c>
      <c r="I52" s="9">
        <v>4.5796500000000002E-3</v>
      </c>
      <c r="J52" s="10">
        <f t="shared" si="0"/>
        <v>1.0047148400000001</v>
      </c>
      <c r="K52" s="10">
        <f t="shared" si="1"/>
        <v>1.0045796499999999</v>
      </c>
      <c r="L52" s="11">
        <f t="shared" si="3"/>
        <v>1.0001345736995571</v>
      </c>
      <c r="M52" s="9">
        <f>IF(G52&lt;&gt;"",J52/MAX(J$3:J52)-1,"")</f>
        <v>-9.3788655665435483E-3</v>
      </c>
      <c r="N52" s="9">
        <f>IF(G52&lt;&gt;"",K52/MAX(K$3:K52)-1,"")</f>
        <v>0</v>
      </c>
      <c r="O52" s="16">
        <f t="shared" si="4"/>
        <v>3.0472038103612764E-3</v>
      </c>
      <c r="P52" s="16">
        <f t="shared" si="4"/>
        <v>1.8383205627414689E-4</v>
      </c>
      <c r="Q52" s="16">
        <f t="shared" si="4"/>
        <v>2.8628454713173213E-3</v>
      </c>
      <c r="S52" s="5" t="str">
        <f t="shared" si="2"/>
        <v/>
      </c>
    </row>
    <row r="53" spans="7:19" x14ac:dyDescent="0.2">
      <c r="G53" s="8">
        <v>45513</v>
      </c>
      <c r="H53" s="5">
        <v>5.3163000000000004E-3</v>
      </c>
      <c r="I53" s="9">
        <v>4.6688700000000003E-3</v>
      </c>
      <c r="J53" s="10">
        <f t="shared" si="0"/>
        <v>1.0053163000000001</v>
      </c>
      <c r="K53" s="10">
        <f t="shared" si="1"/>
        <v>1.0046688699999999</v>
      </c>
      <c r="L53" s="11">
        <f t="shared" si="3"/>
        <v>1.0006444212808148</v>
      </c>
      <c r="M53" s="9">
        <f>IF(G53&lt;&gt;"",J53/MAX(J$3:J53)-1,"")</f>
        <v>-8.7858425874898227E-3</v>
      </c>
      <c r="N53" s="9">
        <f>IF(G53&lt;&gt;"",K53/MAX(K$3:K53)-1,"")</f>
        <v>0</v>
      </c>
      <c r="O53" s="16">
        <f t="shared" si="4"/>
        <v>5.986375198756555E-4</v>
      </c>
      <c r="P53" s="16">
        <f t="shared" si="4"/>
        <v>8.8813266324816453E-5</v>
      </c>
      <c r="Q53" s="16">
        <f t="shared" si="4"/>
        <v>5.0977897841453235E-4</v>
      </c>
      <c r="S53" s="5" t="str">
        <f t="shared" si="2"/>
        <v/>
      </c>
    </row>
    <row r="54" spans="7:19" x14ac:dyDescent="0.2">
      <c r="G54" s="8">
        <v>45516</v>
      </c>
      <c r="H54" s="5">
        <v>5.1832299999999996E-3</v>
      </c>
      <c r="I54" s="9">
        <v>4.7530899999999997E-3</v>
      </c>
      <c r="J54" s="10">
        <f t="shared" si="0"/>
        <v>1.0051832300000001</v>
      </c>
      <c r="K54" s="10">
        <f t="shared" si="1"/>
        <v>1.0047530899999999</v>
      </c>
      <c r="L54" s="11">
        <f t="shared" si="3"/>
        <v>1.0004281051775619</v>
      </c>
      <c r="M54" s="9">
        <f>IF(G54&lt;&gt;"",J54/MAX(J$3:J54)-1,"")</f>
        <v>-8.917045939038748E-3</v>
      </c>
      <c r="N54" s="9">
        <f>IF(G54&lt;&gt;"",K54/MAX(K$3:K54)-1,"")</f>
        <v>0</v>
      </c>
      <c r="O54" s="16">
        <f t="shared" si="4"/>
        <v>-1.3236630103374836E-4</v>
      </c>
      <c r="P54" s="16">
        <f t="shared" si="4"/>
        <v>8.3828615093706205E-5</v>
      </c>
      <c r="Q54" s="16">
        <f t="shared" si="4"/>
        <v>-2.1617679432617276E-4</v>
      </c>
      <c r="S54" s="5" t="str">
        <f t="shared" si="2"/>
        <v/>
      </c>
    </row>
    <row r="55" spans="7:19" x14ac:dyDescent="0.2">
      <c r="G55" s="8">
        <v>45517</v>
      </c>
      <c r="H55" s="5">
        <v>8.9209900000000002E-3</v>
      </c>
      <c r="I55" s="9">
        <v>4.8378900000000001E-3</v>
      </c>
      <c r="J55" s="10">
        <f t="shared" si="0"/>
        <v>1.00892099</v>
      </c>
      <c r="K55" s="10">
        <f t="shared" si="1"/>
        <v>1.0048378899999999</v>
      </c>
      <c r="L55" s="11">
        <f t="shared" si="3"/>
        <v>1.0040634415169198</v>
      </c>
      <c r="M55" s="9">
        <f>IF(G55&lt;&gt;"",J55/MAX(J$3:J55)-1,"")</f>
        <v>-5.231717620966081E-3</v>
      </c>
      <c r="N55" s="9">
        <f>IF(G55&lt;&gt;"",K55/MAX(K$3:K55)-1,"")</f>
        <v>0</v>
      </c>
      <c r="O55" s="16">
        <f t="shared" si="4"/>
        <v>3.7184862306147703E-3</v>
      </c>
      <c r="P55" s="16">
        <f t="shared" si="4"/>
        <v>8.4398844695243724E-5</v>
      </c>
      <c r="Q55" s="16">
        <f t="shared" si="4"/>
        <v>3.6337806990265342E-3</v>
      </c>
      <c r="S55" s="5" t="str">
        <f t="shared" si="2"/>
        <v/>
      </c>
    </row>
    <row r="56" spans="7:19" x14ac:dyDescent="0.2">
      <c r="G56" s="8">
        <v>45518</v>
      </c>
      <c r="H56" s="5">
        <v>8.75102E-3</v>
      </c>
      <c r="I56" s="9">
        <v>4.9364099999999996E-3</v>
      </c>
      <c r="J56" s="10">
        <f t="shared" si="0"/>
        <v>1.0087510200000001</v>
      </c>
      <c r="K56" s="10">
        <f t="shared" si="1"/>
        <v>1.00493641</v>
      </c>
      <c r="L56" s="11">
        <f t="shared" si="3"/>
        <v>1.0037958720194047</v>
      </c>
      <c r="M56" s="9">
        <f>IF(G56&lt;&gt;"",J56/MAX(J$3:J56)-1,"")</f>
        <v>-5.399303355262175E-3</v>
      </c>
      <c r="N56" s="9">
        <f>IF(G56&lt;&gt;"",K56/MAX(K$3:K56)-1,"")</f>
        <v>0</v>
      </c>
      <c r="O56" s="16">
        <f t="shared" si="4"/>
        <v>-1.6846710662643538E-4</v>
      </c>
      <c r="P56" s="16">
        <f t="shared" si="4"/>
        <v>9.8045665853696562E-5</v>
      </c>
      <c r="Q56" s="16">
        <f t="shared" si="4"/>
        <v>-2.6648664461970117E-4</v>
      </c>
      <c r="S56" s="5" t="str">
        <f t="shared" si="2"/>
        <v/>
      </c>
    </row>
    <row r="57" spans="7:19" x14ac:dyDescent="0.2">
      <c r="G57" s="8">
        <v>45519</v>
      </c>
      <c r="H57" s="5">
        <v>1.128529E-2</v>
      </c>
      <c r="I57" s="9">
        <v>5.1581600000000002E-3</v>
      </c>
      <c r="J57" s="10">
        <f t="shared" si="0"/>
        <v>1.01128529</v>
      </c>
      <c r="K57" s="10">
        <f t="shared" si="1"/>
        <v>1.0051581599999999</v>
      </c>
      <c r="L57" s="11">
        <f t="shared" si="3"/>
        <v>1.0060956874687264</v>
      </c>
      <c r="M57" s="9">
        <f>IF(G57&lt;&gt;"",J57/MAX(J$3:J57)-1,"")</f>
        <v>-2.9005829995832899E-3</v>
      </c>
      <c r="N57" s="9">
        <f>IF(G57&lt;&gt;"",K57/MAX(K$3:K57)-1,"")</f>
        <v>0</v>
      </c>
      <c r="O57" s="16">
        <f t="shared" si="4"/>
        <v>2.5122849442074102E-3</v>
      </c>
      <c r="P57" s="16">
        <f t="shared" si="4"/>
        <v>2.2066072817472637E-4</v>
      </c>
      <c r="Q57" s="16">
        <f t="shared" si="4"/>
        <v>2.2911186561218599E-3</v>
      </c>
      <c r="S57" s="5" t="str">
        <f t="shared" si="2"/>
        <v/>
      </c>
    </row>
    <row r="58" spans="7:19" x14ac:dyDescent="0.2">
      <c r="G58" s="8">
        <v>45520</v>
      </c>
      <c r="H58" s="5">
        <v>1.251387E-2</v>
      </c>
      <c r="I58" s="9">
        <v>5.2506000000000002E-3</v>
      </c>
      <c r="J58" s="10">
        <f t="shared" si="0"/>
        <v>1.01251387</v>
      </c>
      <c r="K58" s="10">
        <f t="shared" si="1"/>
        <v>1.0052506000000001</v>
      </c>
      <c r="L58" s="11">
        <f t="shared" si="3"/>
        <v>1.0072253326682918</v>
      </c>
      <c r="M58" s="9">
        <f>IF(G58&lt;&gt;"",J58/MAX(J$3:J58)-1,"")</f>
        <v>-1.6892369888662495E-3</v>
      </c>
      <c r="N58" s="9">
        <f>IF(G58&lt;&gt;"",K58/MAX(K$3:K58)-1,"")</f>
        <v>0</v>
      </c>
      <c r="O58" s="16">
        <f t="shared" si="4"/>
        <v>1.2148698415261894E-3</v>
      </c>
      <c r="P58" s="16">
        <f t="shared" si="4"/>
        <v>9.1965626583867532E-5</v>
      </c>
      <c r="Q58" s="16">
        <f t="shared" si="4"/>
        <v>1.1228009558490459E-3</v>
      </c>
      <c r="S58" s="5" t="str">
        <f t="shared" si="2"/>
        <v/>
      </c>
    </row>
    <row r="59" spans="7:19" x14ac:dyDescent="0.2">
      <c r="G59" s="8">
        <v>45523</v>
      </c>
      <c r="H59" s="5">
        <v>1.498697E-2</v>
      </c>
      <c r="I59" s="9">
        <v>5.3178599999999998E-3</v>
      </c>
      <c r="J59" s="10">
        <f t="shared" si="0"/>
        <v>1.01498697</v>
      </c>
      <c r="K59" s="10">
        <f t="shared" si="1"/>
        <v>1.0053178599999999</v>
      </c>
      <c r="L59" s="11">
        <f t="shared" si="3"/>
        <v>1.0096179630191791</v>
      </c>
      <c r="M59" s="9">
        <f>IF(G59&lt;&gt;"",J59/MAX(J$3:J59)-1,"")</f>
        <v>0</v>
      </c>
      <c r="N59" s="9">
        <f>IF(G59&lt;&gt;"",K59/MAX(K$3:K59)-1,"")</f>
        <v>0</v>
      </c>
      <c r="O59" s="16">
        <f t="shared" si="4"/>
        <v>2.4425344415281991E-3</v>
      </c>
      <c r="P59" s="16">
        <f t="shared" si="4"/>
        <v>6.6908689235978258E-5</v>
      </c>
      <c r="Q59" s="16">
        <f t="shared" si="4"/>
        <v>2.3754668129214451E-3</v>
      </c>
      <c r="S59" s="5" t="str">
        <f t="shared" si="2"/>
        <v/>
      </c>
    </row>
    <row r="60" spans="7:19" x14ac:dyDescent="0.2">
      <c r="G60" s="8">
        <v>45524</v>
      </c>
      <c r="H60" s="5">
        <v>1.336625E-2</v>
      </c>
      <c r="I60" s="9">
        <v>5.3833700000000002E-3</v>
      </c>
      <c r="J60" s="10">
        <f t="shared" si="0"/>
        <v>1.01336625</v>
      </c>
      <c r="K60" s="10">
        <f t="shared" si="1"/>
        <v>1.0053833700000001</v>
      </c>
      <c r="L60" s="11">
        <f t="shared" si="3"/>
        <v>1.0079401353137558</v>
      </c>
      <c r="M60" s="9">
        <f>IF(G60&lt;&gt;"",J60/MAX(J$3:J60)-1,"")</f>
        <v>-1.5967889715865491E-3</v>
      </c>
      <c r="N60" s="9">
        <f>IF(G60&lt;&gt;"",K60/MAX(K$3:K60)-1,"")</f>
        <v>0</v>
      </c>
      <c r="O60" s="16">
        <f t="shared" si="4"/>
        <v>-1.5967889715865491E-3</v>
      </c>
      <c r="P60" s="16">
        <f t="shared" si="4"/>
        <v>6.5163469790796569E-5</v>
      </c>
      <c r="Q60" s="16">
        <f t="shared" si="4"/>
        <v>-1.661844149846381E-3</v>
      </c>
      <c r="S60" s="5" t="str">
        <f t="shared" si="2"/>
        <v/>
      </c>
    </row>
    <row r="61" spans="7:19" x14ac:dyDescent="0.2">
      <c r="G61" s="8">
        <v>45525</v>
      </c>
      <c r="H61" s="5">
        <v>1.3459550000000001E-2</v>
      </c>
      <c r="I61" s="9">
        <v>5.44649E-3</v>
      </c>
      <c r="J61" s="10">
        <f t="shared" si="0"/>
        <v>1.0134595500000001</v>
      </c>
      <c r="K61" s="10">
        <f t="shared" si="1"/>
        <v>1.00544649</v>
      </c>
      <c r="L61" s="11">
        <f t="shared" si="3"/>
        <v>1.007969653362657</v>
      </c>
      <c r="M61" s="9">
        <f>IF(G61&lt;&gt;"",J61/MAX(J$3:J61)-1,"")</f>
        <v>-1.504866609272737E-3</v>
      </c>
      <c r="N61" s="9">
        <f>IF(G61&lt;&gt;"",K61/MAX(K$3:K61)-1,"")</f>
        <v>0</v>
      </c>
      <c r="O61" s="16">
        <f t="shared" si="4"/>
        <v>9.2069377680692455E-5</v>
      </c>
      <c r="P61" s="16">
        <f t="shared" si="4"/>
        <v>6.2782021150731282E-5</v>
      </c>
      <c r="Q61" s="16">
        <f t="shared" si="4"/>
        <v>2.9285517926025406E-5</v>
      </c>
      <c r="S61" s="5" t="str">
        <f t="shared" si="2"/>
        <v/>
      </c>
    </row>
    <row r="62" spans="7:19" x14ac:dyDescent="0.2">
      <c r="G62" s="8">
        <v>45526</v>
      </c>
      <c r="H62" s="5">
        <v>1.146294E-2</v>
      </c>
      <c r="I62" s="9">
        <v>5.6270000000000001E-3</v>
      </c>
      <c r="J62" s="10">
        <f t="shared" si="0"/>
        <v>1.0114629399999999</v>
      </c>
      <c r="K62" s="10">
        <f t="shared" si="1"/>
        <v>1.005627</v>
      </c>
      <c r="L62" s="11">
        <f t="shared" si="3"/>
        <v>1.0058032849157788</v>
      </c>
      <c r="M62" s="9">
        <f>IF(G62&lt;&gt;"",J62/MAX(J$3:J62)-1,"")</f>
        <v>-3.4719953104423995E-3</v>
      </c>
      <c r="N62" s="9">
        <f>IF(G62&lt;&gt;"",K62/MAX(K$3:K62)-1,"")</f>
        <v>0</v>
      </c>
      <c r="O62" s="16">
        <f t="shared" si="4"/>
        <v>-1.9700934289880179E-3</v>
      </c>
      <c r="P62" s="16">
        <f t="shared" si="4"/>
        <v>1.7953217977817459E-4</v>
      </c>
      <c r="Q62" s="16">
        <f t="shared" si="4"/>
        <v>-2.1492397510689543E-3</v>
      </c>
      <c r="S62" s="5" t="str">
        <f t="shared" si="2"/>
        <v/>
      </c>
    </row>
    <row r="63" spans="7:19" x14ac:dyDescent="0.2">
      <c r="G63" s="8">
        <v>45527</v>
      </c>
      <c r="H63" s="5">
        <v>1.4358930000000001E-2</v>
      </c>
      <c r="I63" s="9">
        <v>5.7101299999999999E-3</v>
      </c>
      <c r="J63" s="10">
        <f t="shared" si="0"/>
        <v>1.01435893</v>
      </c>
      <c r="K63" s="10">
        <f t="shared" si="1"/>
        <v>1.00571013</v>
      </c>
      <c r="L63" s="11">
        <f t="shared" si="3"/>
        <v>1.0085996946257267</v>
      </c>
      <c r="M63" s="9">
        <f>IF(G63&lt;&gt;"",J63/MAX(J$3:J63)-1,"")</f>
        <v>-6.1876656406734121E-4</v>
      </c>
      <c r="N63" s="9">
        <f>IF(G63&lt;&gt;"",K63/MAX(K$3:K63)-1,"")</f>
        <v>0</v>
      </c>
      <c r="O63" s="16">
        <f t="shared" si="4"/>
        <v>2.8631696580005972E-3</v>
      </c>
      <c r="P63" s="16">
        <f t="shared" si="4"/>
        <v>8.2664844917479385E-5</v>
      </c>
      <c r="Q63" s="16">
        <f t="shared" si="4"/>
        <v>2.7802749820826644E-3</v>
      </c>
      <c r="S63" s="5" t="str">
        <f t="shared" si="2"/>
        <v/>
      </c>
    </row>
    <row r="64" spans="7:19" x14ac:dyDescent="0.2">
      <c r="G64" s="8">
        <v>45530</v>
      </c>
      <c r="H64" s="5">
        <v>1.328786E-2</v>
      </c>
      <c r="I64" s="9">
        <v>5.7884399999999997E-3</v>
      </c>
      <c r="J64" s="10">
        <f t="shared" si="0"/>
        <v>1.0132878599999999</v>
      </c>
      <c r="K64" s="10">
        <f t="shared" si="1"/>
        <v>1.0057884399999999</v>
      </c>
      <c r="L64" s="11">
        <f t="shared" si="3"/>
        <v>1.0074562598870196</v>
      </c>
      <c r="M64" s="9">
        <f>IF(G64&lt;&gt;"",J64/MAX(J$3:J64)-1,"")</f>
        <v>-1.6740214901479478E-3</v>
      </c>
      <c r="N64" s="9">
        <f>IF(G64&lt;&gt;"",K64/MAX(K$3:K64)-1,"")</f>
        <v>0</v>
      </c>
      <c r="O64" s="16">
        <f t="shared" si="4"/>
        <v>-1.0559082868231151E-3</v>
      </c>
      <c r="P64" s="16">
        <f t="shared" si="4"/>
        <v>7.7865378565800114E-5</v>
      </c>
      <c r="Q64" s="16">
        <f t="shared" si="4"/>
        <v>-1.1336853905468125E-3</v>
      </c>
      <c r="S64" s="5" t="str">
        <f t="shared" si="2"/>
        <v/>
      </c>
    </row>
    <row r="65" spans="7:19" x14ac:dyDescent="0.2">
      <c r="G65" s="8">
        <v>45531</v>
      </c>
      <c r="H65" s="5">
        <v>1.3025709999999999E-2</v>
      </c>
      <c r="I65" s="9">
        <v>5.8603600000000002E-3</v>
      </c>
      <c r="J65" s="10">
        <f t="shared" si="0"/>
        <v>1.01302571</v>
      </c>
      <c r="K65" s="10">
        <f t="shared" si="1"/>
        <v>1.00586036</v>
      </c>
      <c r="L65" s="11">
        <f t="shared" si="3"/>
        <v>1.0071236031212125</v>
      </c>
      <c r="M65" s="9">
        <f>IF(G65&lt;&gt;"",J65/MAX(J$3:J65)-1,"")</f>
        <v>-1.9323006678598764E-3</v>
      </c>
      <c r="N65" s="9">
        <f>IF(G65&lt;&gt;"",K65/MAX(K$3:K65)-1,"")</f>
        <v>0</v>
      </c>
      <c r="O65" s="16">
        <f t="shared" si="4"/>
        <v>-2.5871226760765254E-4</v>
      </c>
      <c r="P65" s="16">
        <f t="shared" si="4"/>
        <v>7.1506091281037243E-5</v>
      </c>
      <c r="Q65" s="16">
        <f t="shared" si="4"/>
        <v>-3.3019474795303871E-4</v>
      </c>
      <c r="S65" s="5" t="str">
        <f t="shared" si="2"/>
        <v/>
      </c>
    </row>
    <row r="66" spans="7:19" x14ac:dyDescent="0.2">
      <c r="G66" s="8">
        <v>45532</v>
      </c>
      <c r="H66" s="5">
        <v>1.1557889999999999E-2</v>
      </c>
      <c r="I66" s="9">
        <v>5.9521699999999997E-3</v>
      </c>
      <c r="J66" s="10">
        <f t="shared" si="0"/>
        <v>1.01155789</v>
      </c>
      <c r="K66" s="10">
        <f t="shared" si="1"/>
        <v>1.00595217</v>
      </c>
      <c r="L66" s="11">
        <f t="shared" si="3"/>
        <v>1.0055725512277587</v>
      </c>
      <c r="M66" s="9">
        <f>IF(G66&lt;&gt;"",J66/MAX(J$3:J66)-1,"")</f>
        <v>-3.3784473114960578E-3</v>
      </c>
      <c r="N66" s="9">
        <f>IF(G66&lt;&gt;"",K66/MAX(K$3:K66)-1,"")</f>
        <v>0</v>
      </c>
      <c r="O66" s="16">
        <f t="shared" si="4"/>
        <v>-1.4489464438173227E-3</v>
      </c>
      <c r="P66" s="16">
        <f t="shared" si="4"/>
        <v>9.1275095083886981E-5</v>
      </c>
      <c r="Q66" s="16">
        <f t="shared" si="4"/>
        <v>-1.5400809678642879E-3</v>
      </c>
      <c r="S66" s="5" t="str">
        <f t="shared" si="2"/>
        <v/>
      </c>
    </row>
    <row r="67" spans="7:19" x14ac:dyDescent="0.2">
      <c r="G67" s="8">
        <v>45533</v>
      </c>
      <c r="H67" s="5">
        <v>1.2149429999999999E-2</v>
      </c>
      <c r="I67" s="9">
        <v>6.2095300000000004E-3</v>
      </c>
      <c r="J67" s="10">
        <f t="shared" si="0"/>
        <v>1.01214943</v>
      </c>
      <c r="K67" s="10">
        <f t="shared" si="1"/>
        <v>1.00620953</v>
      </c>
      <c r="L67" s="11">
        <f t="shared" si="3"/>
        <v>1.0059032436315725</v>
      </c>
      <c r="M67" s="9">
        <f>IF(G67&lt;&gt;"",J67/MAX(J$3:J67)-1,"")</f>
        <v>-2.7956418002095251E-3</v>
      </c>
      <c r="N67" s="9">
        <f>IF(G67&lt;&gt;"",K67/MAX(K$3:K67)-1,"")</f>
        <v>0</v>
      </c>
      <c r="O67" s="16">
        <f t="shared" si="4"/>
        <v>5.8478116363658295E-4</v>
      </c>
      <c r="P67" s="16">
        <f t="shared" si="4"/>
        <v>2.5583721341337906E-4</v>
      </c>
      <c r="Q67" s="16">
        <f t="shared" si="4"/>
        <v>3.2885981564434452E-4</v>
      </c>
      <c r="S67" s="5" t="str">
        <f t="shared" si="2"/>
        <v/>
      </c>
    </row>
    <row r="68" spans="7:19" x14ac:dyDescent="0.2">
      <c r="G68" s="8">
        <v>45534</v>
      </c>
      <c r="H68" s="5">
        <v>1.3882149999999999E-2</v>
      </c>
      <c r="I68" s="9">
        <v>6.3647599999999997E-3</v>
      </c>
      <c r="J68" s="10">
        <f t="shared" ref="J68:J131" si="6">IF(G68&lt;&gt;"",1+H68,"")</f>
        <v>1.0138821499999999</v>
      </c>
      <c r="K68" s="10">
        <f t="shared" ref="K68:K131" si="7">IF(G68&lt;&gt;"",1+I68,"")</f>
        <v>1.0063647600000001</v>
      </c>
      <c r="L68" s="11">
        <f t="shared" si="3"/>
        <v>1.0074698462215628</v>
      </c>
      <c r="M68" s="9">
        <f>IF(G68&lt;&gt;"",J68/MAX(J$3:J68)-1,"")</f>
        <v>-1.0885065844737918E-3</v>
      </c>
      <c r="N68" s="9">
        <f>IF(G68&lt;&gt;"",K68/MAX(K$3:K68)-1,"")</f>
        <v>0</v>
      </c>
      <c r="O68" s="16">
        <f t="shared" si="4"/>
        <v>1.7119211340166363E-3</v>
      </c>
      <c r="P68" s="16">
        <f t="shared" si="4"/>
        <v>1.5427204312024045E-4</v>
      </c>
      <c r="Q68" s="16">
        <f t="shared" si="4"/>
        <v>1.5574088262548802E-3</v>
      </c>
      <c r="S68" s="5" t="str">
        <f t="shared" ref="S68:S131" si="8">IF(R68&lt;&gt;"",B$12,"")</f>
        <v/>
      </c>
    </row>
    <row r="69" spans="7:19" x14ac:dyDescent="0.2">
      <c r="G69" s="8">
        <v>45537</v>
      </c>
      <c r="H69" s="5">
        <v>1.141464E-2</v>
      </c>
      <c r="I69" s="9">
        <v>6.4383699999999997E-3</v>
      </c>
      <c r="J69" s="10">
        <f t="shared" si="6"/>
        <v>1.0114146399999999</v>
      </c>
      <c r="K69" s="10">
        <f t="shared" si="7"/>
        <v>1.0064383699999999</v>
      </c>
      <c r="L69" s="11">
        <f t="shared" ref="L69:L132" si="9">IF(G69&lt;&gt;"",J69/K69,"")</f>
        <v>1.0049444358922841</v>
      </c>
      <c r="M69" s="9">
        <f>IF(G69&lt;&gt;"",J69/MAX(J$3:J69)-1,"")</f>
        <v>-3.5195821282317796E-3</v>
      </c>
      <c r="N69" s="9">
        <f>IF(G69&lt;&gt;"",K69/MAX(K$3:K69)-1,"")</f>
        <v>0</v>
      </c>
      <c r="O69" s="16">
        <f t="shared" ref="O69:Q132" si="10">IF($G69&lt;&gt;"",J69/J68-1,"")</f>
        <v>-2.4337246690850911E-3</v>
      </c>
      <c r="P69" s="16">
        <f t="shared" si="10"/>
        <v>7.3144453110352003E-5</v>
      </c>
      <c r="Q69" s="16">
        <f t="shared" si="10"/>
        <v>-2.5066857720358326E-3</v>
      </c>
      <c r="S69" s="5" t="str">
        <f t="shared" si="8"/>
        <v/>
      </c>
    </row>
    <row r="70" spans="7:19" x14ac:dyDescent="0.2">
      <c r="G70" s="8">
        <v>45538</v>
      </c>
      <c r="H70" s="5">
        <v>9.6802999999999993E-3</v>
      </c>
      <c r="I70" s="9">
        <v>6.5294000000000003E-3</v>
      </c>
      <c r="J70" s="10">
        <f t="shared" si="6"/>
        <v>1.0096803000000001</v>
      </c>
      <c r="K70" s="10">
        <f t="shared" si="7"/>
        <v>1.0065294</v>
      </c>
      <c r="L70" s="11">
        <f t="shared" si="9"/>
        <v>1.0031304599746416</v>
      </c>
      <c r="M70" s="9">
        <f>IF(G70&lt;&gt;"",J70/MAX(J$3:J70)-1,"")</f>
        <v>-5.2283134235703299E-3</v>
      </c>
      <c r="N70" s="9">
        <f>IF(G70&lt;&gt;"",K70/MAX(K$3:K70)-1,"")</f>
        <v>0</v>
      </c>
      <c r="O70" s="16">
        <f t="shared" si="10"/>
        <v>-1.7147665570669268E-3</v>
      </c>
      <c r="P70" s="16">
        <f t="shared" si="10"/>
        <v>9.0447664470527656E-5</v>
      </c>
      <c r="Q70" s="16">
        <f t="shared" si="10"/>
        <v>-1.805050958893939E-3</v>
      </c>
      <c r="S70" s="5" t="str">
        <f t="shared" si="8"/>
        <v/>
      </c>
    </row>
    <row r="71" spans="7:19" x14ac:dyDescent="0.2">
      <c r="G71" s="8">
        <v>45539</v>
      </c>
      <c r="H71" s="5">
        <v>9.4685399999999992E-3</v>
      </c>
      <c r="I71" s="9">
        <v>6.5943199999999999E-3</v>
      </c>
      <c r="J71" s="10">
        <f t="shared" si="6"/>
        <v>1.0094685400000001</v>
      </c>
      <c r="K71" s="10">
        <f t="shared" si="7"/>
        <v>1.00659432</v>
      </c>
      <c r="L71" s="11">
        <f t="shared" si="9"/>
        <v>1.0028553906403923</v>
      </c>
      <c r="M71" s="9">
        <f>IF(G71&lt;&gt;"",J71/MAX(J$3:J71)-1,"")</f>
        <v>-5.436946643758378E-3</v>
      </c>
      <c r="N71" s="9">
        <f>IF(G71&lt;&gt;"",K71/MAX(K$3:K71)-1,"")</f>
        <v>0</v>
      </c>
      <c r="O71" s="16">
        <f t="shared" si="10"/>
        <v>-2.0972975307131936E-4</v>
      </c>
      <c r="P71" s="16">
        <f t="shared" si="10"/>
        <v>6.4498861136019769E-5</v>
      </c>
      <c r="Q71" s="16">
        <f t="shared" si="10"/>
        <v>-2.7421092791479751E-4</v>
      </c>
      <c r="S71" s="5" t="str">
        <f t="shared" si="8"/>
        <v/>
      </c>
    </row>
    <row r="72" spans="7:19" x14ac:dyDescent="0.2">
      <c r="G72" s="8">
        <v>45540</v>
      </c>
      <c r="H72" s="5">
        <v>9.3101499999999997E-3</v>
      </c>
      <c r="I72" s="9">
        <v>6.7146699999999998E-3</v>
      </c>
      <c r="J72" s="10">
        <f t="shared" si="6"/>
        <v>1.0093101499999999</v>
      </c>
      <c r="K72" s="10">
        <f t="shared" si="7"/>
        <v>1.00671467</v>
      </c>
      <c r="L72" s="11">
        <f t="shared" si="9"/>
        <v>1.002578168449656</v>
      </c>
      <c r="M72" s="9">
        <f>IF(G72&lt;&gt;"",J72/MAX(J$3:J72)-1,"")</f>
        <v>-5.5929979081407177E-3</v>
      </c>
      <c r="N72" s="9">
        <f>IF(G72&lt;&gt;"",K72/MAX(K$3:K72)-1,"")</f>
        <v>0</v>
      </c>
      <c r="O72" s="16">
        <f t="shared" si="10"/>
        <v>-1.5690434493398353E-4</v>
      </c>
      <c r="P72" s="16">
        <f t="shared" si="10"/>
        <v>1.1956157272963175E-4</v>
      </c>
      <c r="Q72" s="16">
        <f t="shared" si="10"/>
        <v>-2.7643286691547697E-4</v>
      </c>
      <c r="S72" s="5" t="str">
        <f t="shared" si="8"/>
        <v/>
      </c>
    </row>
    <row r="73" spans="7:19" x14ac:dyDescent="0.2">
      <c r="G73" s="8">
        <v>45541</v>
      </c>
      <c r="H73" s="5">
        <v>6.1805799999999998E-3</v>
      </c>
      <c r="I73" s="9">
        <v>6.7046700000000002E-3</v>
      </c>
      <c r="J73" s="10">
        <f t="shared" si="6"/>
        <v>1.0061805800000001</v>
      </c>
      <c r="K73" s="10">
        <f t="shared" si="7"/>
        <v>1.00670467</v>
      </c>
      <c r="L73" s="11">
        <f t="shared" si="9"/>
        <v>0.99947940044819716</v>
      </c>
      <c r="M73" s="9">
        <f>IF(G73&lt;&gt;"",J73/MAX(J$3:J73)-1,"")</f>
        <v>-8.6763576876262016E-3</v>
      </c>
      <c r="N73" s="9">
        <f>IF(G73&lt;&gt;"",K73/MAX(K$3:K73)-1,"")</f>
        <v>-9.9333011607249944E-6</v>
      </c>
      <c r="O73" s="16">
        <f t="shared" si="10"/>
        <v>-3.1007019992811413E-3</v>
      </c>
      <c r="P73" s="16">
        <f t="shared" si="10"/>
        <v>-9.9333011607249944E-6</v>
      </c>
      <c r="Q73" s="16">
        <f t="shared" si="10"/>
        <v>-3.0907993999615968E-3</v>
      </c>
      <c r="S73" s="5" t="str">
        <f t="shared" si="8"/>
        <v/>
      </c>
    </row>
    <row r="74" spans="7:19" x14ac:dyDescent="0.2">
      <c r="G74" s="8">
        <v>45544</v>
      </c>
      <c r="H74" s="5">
        <v>6.0626600000000001E-3</v>
      </c>
      <c r="I74" s="9">
        <v>6.7273599999999999E-3</v>
      </c>
      <c r="J74" s="10">
        <f t="shared" si="6"/>
        <v>1.00606266</v>
      </c>
      <c r="K74" s="10">
        <f t="shared" si="7"/>
        <v>1.00672736</v>
      </c>
      <c r="L74" s="11">
        <f t="shared" si="9"/>
        <v>0.99933974179464047</v>
      </c>
      <c r="M74" s="9">
        <f>IF(G74&lt;&gt;"",J74/MAX(J$3:J74)-1,"")</f>
        <v>-8.7925365189663873E-3</v>
      </c>
      <c r="N74" s="9">
        <f>IF(G74&lt;&gt;"",K74/MAX(K$3:K74)-1,"")</f>
        <v>0</v>
      </c>
      <c r="O74" s="16">
        <f t="shared" si="10"/>
        <v>-1.1719566283030503E-4</v>
      </c>
      <c r="P74" s="16">
        <f t="shared" si="10"/>
        <v>2.2538884219214239E-5</v>
      </c>
      <c r="Q74" s="16">
        <f t="shared" si="10"/>
        <v>-1.3973139765965925E-4</v>
      </c>
      <c r="S74" s="5" t="str">
        <f t="shared" si="8"/>
        <v/>
      </c>
    </row>
    <row r="75" spans="7:19" x14ac:dyDescent="0.2">
      <c r="G75" s="8">
        <v>45545</v>
      </c>
      <c r="H75" s="5">
        <v>8.2366899999999996E-3</v>
      </c>
      <c r="I75" s="9">
        <v>6.7297800000000003E-3</v>
      </c>
      <c r="J75" s="10">
        <f t="shared" si="6"/>
        <v>1.0082366899999999</v>
      </c>
      <c r="K75" s="10">
        <f t="shared" si="7"/>
        <v>1.0067297799999999</v>
      </c>
      <c r="L75" s="11">
        <f t="shared" si="9"/>
        <v>1.0014968366188592</v>
      </c>
      <c r="M75" s="9">
        <f>IF(G75&lt;&gt;"",J75/MAX(J$3:J75)-1,"")</f>
        <v>-6.650607544252618E-3</v>
      </c>
      <c r="N75" s="9">
        <f>IF(G75&lt;&gt;"",K75/MAX(K$3:K75)-1,"")</f>
        <v>0</v>
      </c>
      <c r="O75" s="16">
        <f t="shared" si="10"/>
        <v>2.1609290220550026E-3</v>
      </c>
      <c r="P75" s="16">
        <f t="shared" si="10"/>
        <v>2.4038285797445269E-6</v>
      </c>
      <c r="Q75" s="16">
        <f t="shared" si="10"/>
        <v>2.1585200047633535E-3</v>
      </c>
      <c r="S75" s="5" t="str">
        <f t="shared" si="8"/>
        <v/>
      </c>
    </row>
    <row r="76" spans="7:19" x14ac:dyDescent="0.2">
      <c r="G76" s="8">
        <v>45546</v>
      </c>
      <c r="H76" s="5">
        <v>9.6553699999999999E-3</v>
      </c>
      <c r="I76" s="9">
        <v>6.7741099999999999E-3</v>
      </c>
      <c r="J76" s="10">
        <f t="shared" si="6"/>
        <v>1.0096553699999999</v>
      </c>
      <c r="K76" s="10">
        <f t="shared" si="7"/>
        <v>1.0067741100000001</v>
      </c>
      <c r="L76" s="11">
        <f t="shared" si="9"/>
        <v>1.0028618733550865</v>
      </c>
      <c r="M76" s="9">
        <f>IF(G76&lt;&gt;"",J76/MAX(J$3:J76)-1,"")</f>
        <v>-5.2528753152368823E-3</v>
      </c>
      <c r="N76" s="9">
        <f>IF(G76&lt;&gt;"",K76/MAX(K$3:K76)-1,"")</f>
        <v>0</v>
      </c>
      <c r="O76" s="16">
        <f t="shared" si="10"/>
        <v>1.4070902339409219E-3</v>
      </c>
      <c r="P76" s="16">
        <f t="shared" si="10"/>
        <v>4.4033663134657175E-5</v>
      </c>
      <c r="Q76" s="16">
        <f t="shared" si="10"/>
        <v>1.3629965530752575E-3</v>
      </c>
      <c r="S76" s="5" t="str">
        <f t="shared" si="8"/>
        <v/>
      </c>
    </row>
    <row r="77" spans="7:19" x14ac:dyDescent="0.2">
      <c r="G77" s="8">
        <v>45547</v>
      </c>
      <c r="H77" s="5">
        <v>1.0201719999999999E-2</v>
      </c>
      <c r="I77" s="9">
        <v>7.0389299999999997E-3</v>
      </c>
      <c r="J77" s="10">
        <f t="shared" si="6"/>
        <v>1.01020172</v>
      </c>
      <c r="K77" s="10">
        <f t="shared" si="7"/>
        <v>1.00703893</v>
      </c>
      <c r="L77" s="11">
        <f t="shared" si="9"/>
        <v>1.0031406829525449</v>
      </c>
      <c r="M77" s="9">
        <f>IF(G77&lt;&gt;"",J77/MAX(J$3:J77)-1,"")</f>
        <v>-4.7145925429959989E-3</v>
      </c>
      <c r="N77" s="9">
        <f>IF(G77&lt;&gt;"",K77/MAX(K$3:K77)-1,"")</f>
        <v>0</v>
      </c>
      <c r="O77" s="16">
        <f t="shared" si="10"/>
        <v>5.4112523563354387E-4</v>
      </c>
      <c r="P77" s="16">
        <f t="shared" si="10"/>
        <v>2.6303815063344338E-4</v>
      </c>
      <c r="Q77" s="16">
        <f t="shared" si="10"/>
        <v>2.7801395672333307E-4</v>
      </c>
      <c r="S77" s="5" t="str">
        <f t="shared" si="8"/>
        <v/>
      </c>
    </row>
    <row r="78" spans="7:19" x14ac:dyDescent="0.2">
      <c r="G78" s="8">
        <v>45548</v>
      </c>
      <c r="H78" s="5">
        <v>1.054839E-2</v>
      </c>
      <c r="I78" s="9">
        <v>7.1456100000000002E-3</v>
      </c>
      <c r="J78" s="10">
        <f t="shared" si="6"/>
        <v>1.0105483900000001</v>
      </c>
      <c r="K78" s="10">
        <f t="shared" si="7"/>
        <v>1.00714561</v>
      </c>
      <c r="L78" s="11">
        <f t="shared" si="9"/>
        <v>1.003378637573568</v>
      </c>
      <c r="M78" s="9">
        <f>IF(G78&lt;&gt;"",J78/MAX(J$3:J78)-1,"")</f>
        <v>-4.3730413603240148E-3</v>
      </c>
      <c r="N78" s="9">
        <f>IF(G78&lt;&gt;"",K78/MAX(K$3:K78)-1,"")</f>
        <v>0</v>
      </c>
      <c r="O78" s="16">
        <f t="shared" si="10"/>
        <v>3.4316908508147392E-4</v>
      </c>
      <c r="P78" s="16">
        <f t="shared" si="10"/>
        <v>1.0593433562688936E-4</v>
      </c>
      <c r="Q78" s="16">
        <f t="shared" si="10"/>
        <v>2.3720962081097419E-4</v>
      </c>
      <c r="S78" s="5" t="str">
        <f t="shared" si="8"/>
        <v/>
      </c>
    </row>
    <row r="79" spans="7:19" x14ac:dyDescent="0.2">
      <c r="G79" s="8">
        <v>45553</v>
      </c>
      <c r="H79" s="5">
        <v>1.104728E-2</v>
      </c>
      <c r="I79" s="9">
        <v>7.1691699999999999E-3</v>
      </c>
      <c r="J79" s="10">
        <f t="shared" si="6"/>
        <v>1.0110472800000001</v>
      </c>
      <c r="K79" s="10">
        <f t="shared" si="7"/>
        <v>1.0071691700000001</v>
      </c>
      <c r="L79" s="11">
        <f t="shared" si="9"/>
        <v>1.0038505050745348</v>
      </c>
      <c r="M79" s="9">
        <f>IF(G79&lt;&gt;"",J79/MAX(J$3:J79)-1,"")</f>
        <v>-3.8815178090413349E-3</v>
      </c>
      <c r="N79" s="9">
        <f>IF(G79&lt;&gt;"",K79/MAX(K$3:K79)-1,"")</f>
        <v>0</v>
      </c>
      <c r="O79" s="16">
        <f t="shared" si="10"/>
        <v>4.9368244503367187E-4</v>
      </c>
      <c r="P79" s="16">
        <f t="shared" si="10"/>
        <v>2.3392843861103074E-5</v>
      </c>
      <c r="Q79" s="16">
        <f t="shared" si="10"/>
        <v>4.7027860001858102E-4</v>
      </c>
      <c r="S79" s="5" t="str">
        <f t="shared" si="8"/>
        <v/>
      </c>
    </row>
    <row r="80" spans="7:19" x14ac:dyDescent="0.2">
      <c r="G80" s="8">
        <v>45554</v>
      </c>
      <c r="H80" s="5">
        <v>1.518749E-2</v>
      </c>
      <c r="I80" s="9">
        <v>7.2107100000000004E-3</v>
      </c>
      <c r="J80" s="10">
        <f t="shared" si="6"/>
        <v>1.01518749</v>
      </c>
      <c r="K80" s="10">
        <f t="shared" si="7"/>
        <v>1.0072107100000001</v>
      </c>
      <c r="L80" s="11">
        <f t="shared" si="9"/>
        <v>1.0079196735308742</v>
      </c>
      <c r="M80" s="9">
        <f>IF(G80&lt;&gt;"",J80/MAX(J$3:J80)-1,"")</f>
        <v>0</v>
      </c>
      <c r="N80" s="9">
        <f>IF(G80&lt;&gt;"",K80/MAX(K$3:K80)-1,"")</f>
        <v>0</v>
      </c>
      <c r="O80" s="16">
        <f t="shared" si="10"/>
        <v>4.0949717010265729E-3</v>
      </c>
      <c r="P80" s="16">
        <f t="shared" si="10"/>
        <v>4.1244312512178638E-5</v>
      </c>
      <c r="Q80" s="16">
        <f t="shared" si="10"/>
        <v>4.0535602022109263E-3</v>
      </c>
      <c r="S80" s="5" t="str">
        <f t="shared" si="8"/>
        <v/>
      </c>
    </row>
    <row r="81" spans="7:19" x14ac:dyDescent="0.2">
      <c r="G81" s="8">
        <v>45555</v>
      </c>
      <c r="H81" s="5">
        <v>1.343228E-2</v>
      </c>
      <c r="I81" s="9">
        <v>7.2537499999999998E-3</v>
      </c>
      <c r="J81" s="10">
        <f t="shared" si="6"/>
        <v>1.01343228</v>
      </c>
      <c r="K81" s="10">
        <f t="shared" si="7"/>
        <v>1.0072537500000001</v>
      </c>
      <c r="L81" s="11">
        <f t="shared" si="9"/>
        <v>1.0061340352418642</v>
      </c>
      <c r="M81" s="9">
        <f>IF(G81&lt;&gt;"",J81/MAX(J$3:J81)-1,"")</f>
        <v>-1.7289515653902132E-3</v>
      </c>
      <c r="N81" s="9">
        <f>IF(G81&lt;&gt;"",K81/MAX(K$3:K81)-1,"")</f>
        <v>0</v>
      </c>
      <c r="O81" s="16">
        <f t="shared" si="10"/>
        <v>-1.7289515653902132E-3</v>
      </c>
      <c r="P81" s="16">
        <f t="shared" si="10"/>
        <v>4.2731872857082465E-5</v>
      </c>
      <c r="Q81" s="16">
        <f t="shared" si="10"/>
        <v>-1.7716077341308756E-3</v>
      </c>
      <c r="S81" s="5" t="str">
        <f t="shared" si="8"/>
        <v/>
      </c>
    </row>
    <row r="82" spans="7:19" x14ac:dyDescent="0.2">
      <c r="G82" s="8">
        <v>45558</v>
      </c>
      <c r="H82" s="5">
        <v>1.3802999999999999E-2</v>
      </c>
      <c r="I82" s="9">
        <v>7.3822000000000002E-3</v>
      </c>
      <c r="J82" s="10">
        <f t="shared" si="6"/>
        <v>1.013803</v>
      </c>
      <c r="K82" s="10">
        <f t="shared" si="7"/>
        <v>1.0073821999999999</v>
      </c>
      <c r="L82" s="11">
        <f t="shared" si="9"/>
        <v>1.0063737477195847</v>
      </c>
      <c r="M82" s="9">
        <f>IF(G82&lt;&gt;"",J82/MAX(J$3:J82)-1,"")</f>
        <v>-1.3637776407192659E-3</v>
      </c>
      <c r="N82" s="9">
        <f>IF(G82&lt;&gt;"",K82/MAX(K$3:K82)-1,"")</f>
        <v>0</v>
      </c>
      <c r="O82" s="16">
        <f t="shared" si="10"/>
        <v>3.6580638619487793E-4</v>
      </c>
      <c r="P82" s="16">
        <f t="shared" si="10"/>
        <v>1.2752496577927985E-4</v>
      </c>
      <c r="Q82" s="16">
        <f t="shared" si="10"/>
        <v>2.3825103746033527E-4</v>
      </c>
      <c r="S82" s="5" t="str">
        <f t="shared" si="8"/>
        <v/>
      </c>
    </row>
    <row r="83" spans="7:19" x14ac:dyDescent="0.2">
      <c r="G83" s="8">
        <v>45559</v>
      </c>
      <c r="H83" s="5">
        <v>1.9742619999999999E-2</v>
      </c>
      <c r="I83" s="9">
        <v>7.4023200000000004E-3</v>
      </c>
      <c r="J83" s="10">
        <f t="shared" si="6"/>
        <v>1.0197426199999999</v>
      </c>
      <c r="K83" s="10">
        <f t="shared" si="7"/>
        <v>1.00740232</v>
      </c>
      <c r="L83" s="11">
        <f t="shared" si="9"/>
        <v>1.012249624360603</v>
      </c>
      <c r="M83" s="9">
        <f>IF(G83&lt;&gt;"",J83/MAX(J$3:J83)-1,"")</f>
        <v>0</v>
      </c>
      <c r="N83" s="9">
        <f>IF(G83&lt;&gt;"",K83/MAX(K$3:K83)-1,"")</f>
        <v>0</v>
      </c>
      <c r="O83" s="16">
        <f t="shared" si="10"/>
        <v>5.8587516509616133E-3</v>
      </c>
      <c r="P83" s="16">
        <f t="shared" si="10"/>
        <v>1.9972558578107424E-5</v>
      </c>
      <c r="Q83" s="16">
        <f t="shared" si="10"/>
        <v>5.8386624793551611E-3</v>
      </c>
      <c r="S83" s="5" t="str">
        <f t="shared" si="8"/>
        <v/>
      </c>
    </row>
    <row r="84" spans="7:19" x14ac:dyDescent="0.2">
      <c r="G84" s="8">
        <v>45560</v>
      </c>
      <c r="H84" s="5">
        <v>1.9656429999999999E-2</v>
      </c>
      <c r="I84" s="9">
        <v>7.4248700000000001E-3</v>
      </c>
      <c r="J84" s="10">
        <f t="shared" si="6"/>
        <v>1.0196564299999999</v>
      </c>
      <c r="K84" s="10">
        <f t="shared" si="7"/>
        <v>1.0074248699999999</v>
      </c>
      <c r="L84" s="11">
        <f t="shared" si="9"/>
        <v>1.0121414115972738</v>
      </c>
      <c r="M84" s="9">
        <f>IF(G84&lt;&gt;"",J84/MAX(J$3:J84)-1,"")</f>
        <v>-8.4521327548325864E-5</v>
      </c>
      <c r="N84" s="9">
        <f>IF(G84&lt;&gt;"",K84/MAX(K$3:K84)-1,"")</f>
        <v>0</v>
      </c>
      <c r="O84" s="16">
        <f t="shared" si="10"/>
        <v>-8.4521327548325864E-5</v>
      </c>
      <c r="P84" s="16">
        <f t="shared" si="10"/>
        <v>2.2384304217082374E-5</v>
      </c>
      <c r="Q84" s="16">
        <f t="shared" si="10"/>
        <v>-1.06903238810796E-4</v>
      </c>
      <c r="S84" s="5" t="str">
        <f t="shared" si="8"/>
        <v/>
      </c>
    </row>
    <row r="85" spans="7:19" x14ac:dyDescent="0.2">
      <c r="G85" s="8">
        <v>45561</v>
      </c>
      <c r="H85" s="5">
        <v>2.701286E-2</v>
      </c>
      <c r="I85" s="9">
        <v>7.4463100000000003E-3</v>
      </c>
      <c r="J85" s="10">
        <f t="shared" si="6"/>
        <v>1.0270128599999999</v>
      </c>
      <c r="K85" s="10">
        <f t="shared" si="7"/>
        <v>1.00744631</v>
      </c>
      <c r="L85" s="11">
        <f t="shared" si="9"/>
        <v>1.0194219283010724</v>
      </c>
      <c r="M85" s="9">
        <f>IF(G85&lt;&gt;"",J85/MAX(J$3:J85)-1,"")</f>
        <v>0</v>
      </c>
      <c r="N85" s="9">
        <f>IF(G85&lt;&gt;"",K85/MAX(K$3:K85)-1,"")</f>
        <v>0</v>
      </c>
      <c r="O85" s="16">
        <f t="shared" si="10"/>
        <v>7.2146163977997446E-3</v>
      </c>
      <c r="P85" s="16">
        <f t="shared" si="10"/>
        <v>2.1281984035281809E-5</v>
      </c>
      <c r="Q85" s="16">
        <f t="shared" si="10"/>
        <v>7.1931813285943669E-3</v>
      </c>
      <c r="S85" s="5" t="str">
        <f t="shared" si="8"/>
        <v/>
      </c>
    </row>
    <row r="86" spans="7:19" x14ac:dyDescent="0.2">
      <c r="G86" s="8">
        <v>45562</v>
      </c>
      <c r="H86" s="5">
        <v>3.041988E-2</v>
      </c>
      <c r="I86" s="9">
        <v>7.4493099999999998E-3</v>
      </c>
      <c r="J86" s="10">
        <f t="shared" si="6"/>
        <v>1.03041988</v>
      </c>
      <c r="K86" s="10">
        <f t="shared" si="7"/>
        <v>1.0074493099999999</v>
      </c>
      <c r="L86" s="11">
        <f t="shared" si="9"/>
        <v>1.0228007203657721</v>
      </c>
      <c r="M86" s="9">
        <f>IF(G86&lt;&gt;"",J86/MAX(J$3:J86)-1,"")</f>
        <v>0</v>
      </c>
      <c r="N86" s="9">
        <f>IF(G86&lt;&gt;"",K86/MAX(K$3:K86)-1,"")</f>
        <v>0</v>
      </c>
      <c r="O86" s="16">
        <f t="shared" si="10"/>
        <v>3.3174073399626636E-3</v>
      </c>
      <c r="P86" s="16">
        <f t="shared" si="10"/>
        <v>2.9778261831925334E-6</v>
      </c>
      <c r="Q86" s="16">
        <f t="shared" si="10"/>
        <v>3.3144196440140217E-3</v>
      </c>
      <c r="S86" s="5" t="str">
        <f t="shared" si="8"/>
        <v/>
      </c>
    </row>
    <row r="87" spans="7:19" x14ac:dyDescent="0.2">
      <c r="G87" s="8">
        <v>45565</v>
      </c>
      <c r="H87" s="5">
        <v>4.1101440000000003E-2</v>
      </c>
      <c r="I87" s="9">
        <v>7.5850700000000002E-3</v>
      </c>
      <c r="J87" s="10">
        <f t="shared" si="6"/>
        <v>1.04110144</v>
      </c>
      <c r="K87" s="10">
        <f t="shared" si="7"/>
        <v>1.00758507</v>
      </c>
      <c r="L87" s="11">
        <f t="shared" si="9"/>
        <v>1.0332640597780991</v>
      </c>
      <c r="M87" s="9">
        <f>IF(G87&lt;&gt;"",J87/MAX(J$3:J87)-1,"")</f>
        <v>0</v>
      </c>
      <c r="N87" s="9">
        <f>IF(G87&lt;&gt;"",K87/MAX(K$3:K87)-1,"")</f>
        <v>0</v>
      </c>
      <c r="O87" s="16">
        <f t="shared" si="10"/>
        <v>1.0366220806997672E-2</v>
      </c>
      <c r="P87" s="16">
        <f t="shared" si="10"/>
        <v>1.3475615959279708E-4</v>
      </c>
      <c r="Q87" s="16">
        <f t="shared" si="10"/>
        <v>1.0230086080292411E-2</v>
      </c>
      <c r="S87" s="5" t="str">
        <f t="shared" si="8"/>
        <v/>
      </c>
    </row>
    <row r="88" spans="7:19" x14ac:dyDescent="0.2">
      <c r="G88" s="8">
        <v>45573</v>
      </c>
      <c r="H88" s="5">
        <v>4.835134E-2</v>
      </c>
      <c r="I88" s="9">
        <v>7.6541600000000001E-3</v>
      </c>
      <c r="J88" s="10">
        <f t="shared" si="6"/>
        <v>1.04835134</v>
      </c>
      <c r="K88" s="10">
        <f t="shared" si="7"/>
        <v>1.00765416</v>
      </c>
      <c r="L88" s="11">
        <f t="shared" si="9"/>
        <v>1.0403880434533213</v>
      </c>
      <c r="M88" s="9">
        <f>IF(G88&lt;&gt;"",J88/MAX(J$3:J88)-1,"")</f>
        <v>0</v>
      </c>
      <c r="N88" s="9">
        <f>IF(G88&lt;&gt;"",K88/MAX(K$3:K88)-1,"")</f>
        <v>0</v>
      </c>
      <c r="O88" s="16">
        <f t="shared" si="10"/>
        <v>6.9636826167485122E-3</v>
      </c>
      <c r="P88" s="16">
        <f t="shared" si="10"/>
        <v>6.8569892565095714E-5</v>
      </c>
      <c r="Q88" s="16">
        <f t="shared" si="10"/>
        <v>6.8946399594620456E-3</v>
      </c>
      <c r="S88" s="5" t="str">
        <f t="shared" si="8"/>
        <v/>
      </c>
    </row>
    <row r="89" spans="7:19" x14ac:dyDescent="0.2">
      <c r="G89" s="8">
        <v>45574</v>
      </c>
      <c r="H89" s="5">
        <v>3.617894E-2</v>
      </c>
      <c r="I89" s="9">
        <v>7.7067200000000002E-3</v>
      </c>
      <c r="J89" s="10">
        <f t="shared" si="6"/>
        <v>1.0361789400000001</v>
      </c>
      <c r="K89" s="10">
        <f t="shared" si="7"/>
        <v>1.0077067200000001</v>
      </c>
      <c r="L89" s="11">
        <f t="shared" si="9"/>
        <v>1.0282544707055243</v>
      </c>
      <c r="M89" s="9">
        <f>IF(G89&lt;&gt;"",J89/MAX(J$3:J89)-1,"")</f>
        <v>-1.161099293296064E-2</v>
      </c>
      <c r="N89" s="9">
        <f>IF(G89&lt;&gt;"",K89/MAX(K$3:K89)-1,"")</f>
        <v>0</v>
      </c>
      <c r="O89" s="16">
        <f t="shared" si="10"/>
        <v>-1.161099293296064E-2</v>
      </c>
      <c r="P89" s="16">
        <f t="shared" si="10"/>
        <v>5.2160753249097525E-5</v>
      </c>
      <c r="Q89" s="16">
        <f t="shared" si="10"/>
        <v>-1.1662545359058862E-2</v>
      </c>
      <c r="S89" s="5" t="str">
        <f t="shared" si="8"/>
        <v/>
      </c>
    </row>
    <row r="90" spans="7:19" x14ac:dyDescent="0.2">
      <c r="G90" s="8">
        <v>45575</v>
      </c>
      <c r="H90" s="5">
        <v>4.0280150000000001E-2</v>
      </c>
      <c r="I90" s="9">
        <v>7.7582900000000002E-3</v>
      </c>
      <c r="J90" s="10">
        <f t="shared" si="6"/>
        <v>1.0402801500000001</v>
      </c>
      <c r="K90" s="10">
        <f t="shared" si="7"/>
        <v>1.0077582899999999</v>
      </c>
      <c r="L90" s="11">
        <f t="shared" si="9"/>
        <v>1.0322714884339976</v>
      </c>
      <c r="M90" s="9">
        <f>IF(G90&lt;&gt;"",J90/MAX(J$3:J90)-1,"")</f>
        <v>-7.6989361219301777E-3</v>
      </c>
      <c r="N90" s="9">
        <f>IF(G90&lt;&gt;"",K90/MAX(K$3:K90)-1,"")</f>
        <v>0</v>
      </c>
      <c r="O90" s="16">
        <f t="shared" si="10"/>
        <v>3.9580132751972918E-3</v>
      </c>
      <c r="P90" s="16">
        <f t="shared" si="10"/>
        <v>5.1175603949404902E-5</v>
      </c>
      <c r="Q90" s="16">
        <f t="shared" si="10"/>
        <v>3.9066377467020796E-3</v>
      </c>
      <c r="S90" s="5" t="str">
        <f t="shared" si="8"/>
        <v/>
      </c>
    </row>
    <row r="91" spans="7:19" x14ac:dyDescent="0.2">
      <c r="G91" s="8">
        <v>45576</v>
      </c>
      <c r="H91" s="5">
        <v>3.8036540000000001E-2</v>
      </c>
      <c r="I91" s="9">
        <v>7.8299000000000007E-3</v>
      </c>
      <c r="J91" s="10">
        <f t="shared" si="6"/>
        <v>1.03803654</v>
      </c>
      <c r="K91" s="10">
        <f t="shared" si="7"/>
        <v>1.0078298999999999</v>
      </c>
      <c r="L91" s="11">
        <f t="shared" si="9"/>
        <v>1.0299719625305819</v>
      </c>
      <c r="M91" s="9">
        <f>IF(G91&lt;&gt;"",J91/MAX(J$3:J91)-1,"")</f>
        <v>-9.839067883482655E-3</v>
      </c>
      <c r="N91" s="9">
        <f>IF(G91&lt;&gt;"",K91/MAX(K$3:K91)-1,"")</f>
        <v>0</v>
      </c>
      <c r="O91" s="16">
        <f t="shared" si="10"/>
        <v>-2.1567363368416581E-3</v>
      </c>
      <c r="P91" s="16">
        <f t="shared" si="10"/>
        <v>7.1058705952253831E-5</v>
      </c>
      <c r="Q91" s="16">
        <f t="shared" si="10"/>
        <v>-2.227636749809192E-3</v>
      </c>
      <c r="S91" s="5" t="str">
        <f t="shared" si="8"/>
        <v/>
      </c>
    </row>
    <row r="92" spans="7:19" x14ac:dyDescent="0.2">
      <c r="G92" s="8">
        <v>45579</v>
      </c>
      <c r="H92" s="5">
        <v>4.2404310000000001E-2</v>
      </c>
      <c r="I92" s="9">
        <v>8.0018899999999994E-3</v>
      </c>
      <c r="J92" s="10">
        <f t="shared" si="6"/>
        <v>1.04240431</v>
      </c>
      <c r="K92" s="10">
        <f t="shared" si="7"/>
        <v>1.0080018900000001</v>
      </c>
      <c r="L92" s="11">
        <f t="shared" si="9"/>
        <v>1.0341293209281581</v>
      </c>
      <c r="M92" s="9">
        <f>IF(G92&lt;&gt;"",J92/MAX(J$3:J92)-1,"")</f>
        <v>-5.6727451695726128E-3</v>
      </c>
      <c r="N92" s="9">
        <f>IF(G92&lt;&gt;"",K92/MAX(K$3:K92)-1,"")</f>
        <v>0</v>
      </c>
      <c r="O92" s="16">
        <f t="shared" si="10"/>
        <v>4.2077227840169318E-3</v>
      </c>
      <c r="P92" s="16">
        <f t="shared" si="10"/>
        <v>1.7065379782854606E-4</v>
      </c>
      <c r="Q92" s="16">
        <f t="shared" si="10"/>
        <v>4.0363801625840079E-3</v>
      </c>
      <c r="S92" s="5" t="str">
        <f t="shared" si="8"/>
        <v/>
      </c>
    </row>
    <row r="93" spans="7:19" x14ac:dyDescent="0.2">
      <c r="G93" s="8">
        <v>45580</v>
      </c>
      <c r="H93" s="5">
        <v>3.8360760000000001E-2</v>
      </c>
      <c r="I93" s="9">
        <v>8.06312E-3</v>
      </c>
      <c r="J93" s="10">
        <f t="shared" si="6"/>
        <v>1.03836076</v>
      </c>
      <c r="K93" s="10">
        <f t="shared" si="7"/>
        <v>1.0080631200000001</v>
      </c>
      <c r="L93" s="11">
        <f t="shared" si="9"/>
        <v>1.030055300505389</v>
      </c>
      <c r="M93" s="9">
        <f>IF(G93&lt;&gt;"",J93/MAX(J$3:J93)-1,"")</f>
        <v>-9.5298013354949695E-3</v>
      </c>
      <c r="N93" s="9">
        <f>IF(G93&lt;&gt;"",K93/MAX(K$3:K93)-1,"")</f>
        <v>0</v>
      </c>
      <c r="O93" s="16">
        <f t="shared" si="10"/>
        <v>-3.879061090988789E-3</v>
      </c>
      <c r="P93" s="16">
        <f t="shared" si="10"/>
        <v>6.0743933724127785E-5</v>
      </c>
      <c r="Q93" s="16">
        <f t="shared" si="10"/>
        <v>-3.9395657199938761E-3</v>
      </c>
      <c r="S93" s="5" t="str">
        <f t="shared" si="8"/>
        <v/>
      </c>
    </row>
    <row r="94" spans="7:19" x14ac:dyDescent="0.2">
      <c r="G94" s="8">
        <v>45581</v>
      </c>
      <c r="H94" s="5">
        <v>4.0634799999999999E-2</v>
      </c>
      <c r="I94" s="9">
        <v>8.1225199999999994E-3</v>
      </c>
      <c r="J94" s="10">
        <f t="shared" si="6"/>
        <v>1.0406348000000001</v>
      </c>
      <c r="K94" s="10">
        <f t="shared" si="7"/>
        <v>1.0081225199999999</v>
      </c>
      <c r="L94" s="11">
        <f t="shared" si="9"/>
        <v>1.0322503260813976</v>
      </c>
      <c r="M94" s="9">
        <f>IF(G94&lt;&gt;"",J94/MAX(J$3:J94)-1,"")</f>
        <v>-7.3606430454887795E-3</v>
      </c>
      <c r="N94" s="9">
        <f>IF(G94&lt;&gt;"",K94/MAX(K$3:K94)-1,"")</f>
        <v>0</v>
      </c>
      <c r="O94" s="16">
        <f t="shared" si="10"/>
        <v>2.1900288296718973E-3</v>
      </c>
      <c r="P94" s="16">
        <f t="shared" si="10"/>
        <v>5.892488160852416E-5</v>
      </c>
      <c r="Q94" s="16">
        <f t="shared" si="10"/>
        <v>2.1309783804146498E-3</v>
      </c>
      <c r="S94" s="5" t="str">
        <f t="shared" si="8"/>
        <v/>
      </c>
    </row>
    <row r="95" spans="7:19" x14ac:dyDescent="0.2">
      <c r="G95" s="8">
        <v>45582</v>
      </c>
      <c r="H95" s="5">
        <v>3.9010839999999998E-2</v>
      </c>
      <c r="I95" s="9">
        <v>8.1618200000000002E-3</v>
      </c>
      <c r="J95" s="10">
        <f t="shared" si="6"/>
        <v>1.03901084</v>
      </c>
      <c r="K95" s="10">
        <f t="shared" si="7"/>
        <v>1.00816182</v>
      </c>
      <c r="L95" s="11">
        <f t="shared" si="9"/>
        <v>1.030599274231591</v>
      </c>
      <c r="M95" s="9">
        <f>IF(G95&lt;&gt;"",J95/MAX(J$3:J95)-1,"")</f>
        <v>-8.9097038784726745E-3</v>
      </c>
      <c r="N95" s="9">
        <f>IF(G95&lt;&gt;"",K95/MAX(K$3:K95)-1,"")</f>
        <v>0</v>
      </c>
      <c r="O95" s="16">
        <f t="shared" si="10"/>
        <v>-1.560547465835338E-3</v>
      </c>
      <c r="P95" s="16">
        <f t="shared" si="10"/>
        <v>3.8983356903887767E-5</v>
      </c>
      <c r="Q95" s="16">
        <f t="shared" si="10"/>
        <v>-1.5994684700891826E-3</v>
      </c>
      <c r="S95" s="5" t="str">
        <f t="shared" si="8"/>
        <v/>
      </c>
    </row>
    <row r="96" spans="7:19" x14ac:dyDescent="0.2">
      <c r="G96" s="8">
        <v>45583</v>
      </c>
      <c r="H96" s="5">
        <v>4.5281460000000003E-2</v>
      </c>
      <c r="I96" s="9">
        <v>8.2047100000000005E-3</v>
      </c>
      <c r="J96" s="10">
        <f t="shared" si="6"/>
        <v>1.04528146</v>
      </c>
      <c r="K96" s="10">
        <f t="shared" si="7"/>
        <v>1.00820471</v>
      </c>
      <c r="L96" s="11">
        <f t="shared" si="9"/>
        <v>1.0367750216124263</v>
      </c>
      <c r="M96" s="9">
        <f>IF(G96&lt;&gt;"",J96/MAX(J$3:J96)-1,"")</f>
        <v>-2.928293104485391E-3</v>
      </c>
      <c r="N96" s="9">
        <f>IF(G96&lt;&gt;"",K96/MAX(K$3:K96)-1,"")</f>
        <v>0</v>
      </c>
      <c r="O96" s="16">
        <f t="shared" si="10"/>
        <v>6.0351824625815009E-3</v>
      </c>
      <c r="P96" s="16">
        <f t="shared" si="10"/>
        <v>4.2542773539988588E-5</v>
      </c>
      <c r="Q96" s="16">
        <f t="shared" si="10"/>
        <v>5.9923847563738697E-3</v>
      </c>
      <c r="S96" s="5" t="str">
        <f t="shared" si="8"/>
        <v/>
      </c>
    </row>
    <row r="97" spans="7:19" x14ac:dyDescent="0.2">
      <c r="G97" s="8">
        <v>45586</v>
      </c>
      <c r="H97" s="5">
        <v>4.2675490000000003E-2</v>
      </c>
      <c r="I97" s="9">
        <v>8.3985899999999992E-3</v>
      </c>
      <c r="J97" s="10">
        <f t="shared" si="6"/>
        <v>1.0426754899999999</v>
      </c>
      <c r="K97" s="10">
        <f t="shared" si="7"/>
        <v>1.0083985900000001</v>
      </c>
      <c r="L97" s="11">
        <f t="shared" si="9"/>
        <v>1.0339914199999027</v>
      </c>
      <c r="M97" s="9">
        <f>IF(G97&lt;&gt;"",J97/MAX(J$3:J97)-1,"")</f>
        <v>-5.414072347157961E-3</v>
      </c>
      <c r="N97" s="9">
        <f>IF(G97&lt;&gt;"",K97/MAX(K$3:K97)-1,"")</f>
        <v>0</v>
      </c>
      <c r="O97" s="16">
        <f t="shared" si="10"/>
        <v>-2.4930797107987068E-3</v>
      </c>
      <c r="P97" s="16">
        <f t="shared" si="10"/>
        <v>1.9230221608479425E-4</v>
      </c>
      <c r="Q97" s="16">
        <f t="shared" si="10"/>
        <v>-2.6848656212746791E-3</v>
      </c>
      <c r="S97" s="5" t="str">
        <f t="shared" si="8"/>
        <v/>
      </c>
    </row>
    <row r="98" spans="7:19" x14ac:dyDescent="0.2">
      <c r="G98" s="8">
        <v>45587</v>
      </c>
      <c r="H98" s="5">
        <v>4.4368289999999998E-2</v>
      </c>
      <c r="I98" s="9">
        <v>8.4124600000000001E-3</v>
      </c>
      <c r="J98" s="10">
        <f t="shared" si="6"/>
        <v>1.04436829</v>
      </c>
      <c r="K98" s="10">
        <f t="shared" si="7"/>
        <v>1.00841246</v>
      </c>
      <c r="L98" s="11">
        <f t="shared" si="9"/>
        <v>1.0356558763663035</v>
      </c>
      <c r="M98" s="9">
        <f>IF(G98&lt;&gt;"",J98/MAX(J$3:J98)-1,"")</f>
        <v>-3.7993465053424158E-3</v>
      </c>
      <c r="N98" s="9">
        <f>IF(G98&lt;&gt;"",K98/MAX(K$3:K98)-1,"")</f>
        <v>0</v>
      </c>
      <c r="O98" s="16">
        <f t="shared" si="10"/>
        <v>1.6235156731267963E-3</v>
      </c>
      <c r="P98" s="16">
        <f t="shared" si="10"/>
        <v>1.3754481746897085E-5</v>
      </c>
      <c r="Q98" s="16">
        <f t="shared" si="10"/>
        <v>1.6097390502534115E-3</v>
      </c>
      <c r="S98" s="5" t="str">
        <f t="shared" si="8"/>
        <v/>
      </c>
    </row>
    <row r="99" spans="7:19" x14ac:dyDescent="0.2">
      <c r="G99" s="8">
        <v>45588</v>
      </c>
      <c r="H99" s="5">
        <v>4.3887580000000002E-2</v>
      </c>
      <c r="I99" s="9">
        <v>8.4431699999999998E-3</v>
      </c>
      <c r="J99" s="10">
        <f t="shared" si="6"/>
        <v>1.04388758</v>
      </c>
      <c r="K99" s="10">
        <f t="shared" si="7"/>
        <v>1.0084431700000001</v>
      </c>
      <c r="L99" s="11">
        <f t="shared" si="9"/>
        <v>1.0351476523957219</v>
      </c>
      <c r="M99" s="9">
        <f>IF(G99&lt;&gt;"",J99/MAX(J$3:J99)-1,"")</f>
        <v>-4.2578855291012241E-3</v>
      </c>
      <c r="N99" s="9">
        <f>IF(G99&lt;&gt;"",K99/MAX(K$3:K99)-1,"")</f>
        <v>0</v>
      </c>
      <c r="O99" s="16">
        <f t="shared" si="10"/>
        <v>-4.6028781666662688E-4</v>
      </c>
      <c r="P99" s="16">
        <f t="shared" si="10"/>
        <v>3.0453808553820849E-5</v>
      </c>
      <c r="Q99" s="16">
        <f t="shared" si="10"/>
        <v>-4.9072668072402958E-4</v>
      </c>
      <c r="S99" s="5" t="str">
        <f t="shared" si="8"/>
        <v/>
      </c>
    </row>
    <row r="100" spans="7:19" x14ac:dyDescent="0.2">
      <c r="G100" s="8">
        <v>45589</v>
      </c>
      <c r="H100" s="5">
        <v>4.2442929999999997E-2</v>
      </c>
      <c r="I100" s="9">
        <v>8.4626200000000006E-3</v>
      </c>
      <c r="J100" s="10">
        <f t="shared" si="6"/>
        <v>1.04244293</v>
      </c>
      <c r="K100" s="10">
        <f t="shared" si="7"/>
        <v>1.00846262</v>
      </c>
      <c r="L100" s="11">
        <f t="shared" si="9"/>
        <v>1.0336951606594997</v>
      </c>
      <c r="M100" s="9">
        <f>IF(G100&lt;&gt;"",J100/MAX(J$3:J100)-1,"")</f>
        <v>-5.6359063746701521E-3</v>
      </c>
      <c r="N100" s="9">
        <f>IF(G100&lt;&gt;"",K100/MAX(K$3:K100)-1,"")</f>
        <v>0</v>
      </c>
      <c r="O100" s="16">
        <f t="shared" si="10"/>
        <v>-1.3839133903672529E-3</v>
      </c>
      <c r="P100" s="16">
        <f t="shared" si="10"/>
        <v>1.9287155269109846E-5</v>
      </c>
      <c r="Q100" s="16">
        <f t="shared" si="10"/>
        <v>-1.4031734824114794E-3</v>
      </c>
      <c r="S100" s="5" t="str">
        <f t="shared" si="8"/>
        <v/>
      </c>
    </row>
    <row r="101" spans="7:19" x14ac:dyDescent="0.2">
      <c r="G101" s="8">
        <v>45590</v>
      </c>
      <c r="H101" s="5">
        <v>4.189259E-2</v>
      </c>
      <c r="I101" s="9">
        <v>8.5784899999999994E-3</v>
      </c>
      <c r="J101" s="10">
        <f t="shared" si="6"/>
        <v>1.04189259</v>
      </c>
      <c r="K101" s="10">
        <f t="shared" si="7"/>
        <v>1.0085784900000001</v>
      </c>
      <c r="L101" s="11">
        <f t="shared" si="9"/>
        <v>1.033030746075102</v>
      </c>
      <c r="M101" s="9">
        <f>IF(G101&lt;&gt;"",J101/MAX(J$3:J101)-1,"")</f>
        <v>-6.1608639714239022E-3</v>
      </c>
      <c r="N101" s="9">
        <f>IF(G101&lt;&gt;"",K101/MAX(K$3:K101)-1,"")</f>
        <v>0</v>
      </c>
      <c r="O101" s="16">
        <f t="shared" si="10"/>
        <v>-5.2793297758757518E-4</v>
      </c>
      <c r="P101" s="16">
        <f t="shared" si="10"/>
        <v>1.148976647247224E-4</v>
      </c>
      <c r="Q101" s="16">
        <f t="shared" si="10"/>
        <v>-6.4275679105796346E-4</v>
      </c>
      <c r="S101" s="5" t="str">
        <f t="shared" si="8"/>
        <v/>
      </c>
    </row>
    <row r="102" spans="7:19" x14ac:dyDescent="0.2">
      <c r="G102" s="8">
        <v>45593</v>
      </c>
      <c r="H102" s="5">
        <v>4.3741149999999999E-2</v>
      </c>
      <c r="I102" s="9">
        <v>8.6195899999999999E-3</v>
      </c>
      <c r="J102" s="10">
        <f t="shared" si="6"/>
        <v>1.04374115</v>
      </c>
      <c r="K102" s="10">
        <f t="shared" si="7"/>
        <v>1.0086195899999999</v>
      </c>
      <c r="L102" s="11">
        <f t="shared" si="9"/>
        <v>1.0348214136907654</v>
      </c>
      <c r="M102" s="9">
        <f>IF(G102&lt;&gt;"",J102/MAX(J$3:J102)-1,"")</f>
        <v>-4.3975619852786307E-3</v>
      </c>
      <c r="N102" s="9">
        <f>IF(G102&lt;&gt;"",K102/MAX(K$3:K102)-1,"")</f>
        <v>0</v>
      </c>
      <c r="O102" s="16">
        <f t="shared" si="10"/>
        <v>1.7742327930367896E-3</v>
      </c>
      <c r="P102" s="16">
        <f t="shared" si="10"/>
        <v>4.075042290452302E-5</v>
      </c>
      <c r="Q102" s="16">
        <f t="shared" si="10"/>
        <v>1.7334117328713372E-3</v>
      </c>
      <c r="S102" s="5" t="str">
        <f t="shared" si="8"/>
        <v/>
      </c>
    </row>
    <row r="103" spans="7:19" x14ac:dyDescent="0.2">
      <c r="G103" s="8">
        <v>45594</v>
      </c>
      <c r="H103" s="5">
        <v>4.349049E-2</v>
      </c>
      <c r="I103" s="9">
        <v>8.65638E-3</v>
      </c>
      <c r="J103" s="10">
        <f t="shared" si="6"/>
        <v>1.0434904899999999</v>
      </c>
      <c r="K103" s="10">
        <f t="shared" si="7"/>
        <v>1.0086563799999999</v>
      </c>
      <c r="L103" s="11">
        <f t="shared" si="9"/>
        <v>1.0345351605271162</v>
      </c>
      <c r="M103" s="9">
        <f>IF(G103&lt;&gt;"",J103/MAX(J$3:J103)-1,"")</f>
        <v>-4.6366612170305466E-3</v>
      </c>
      <c r="N103" s="9">
        <f>IF(G103&lt;&gt;"",K103/MAX(K$3:K103)-1,"")</f>
        <v>0</v>
      </c>
      <c r="O103" s="16">
        <f t="shared" si="10"/>
        <v>-2.4015532970034226E-4</v>
      </c>
      <c r="P103" s="16">
        <f t="shared" si="10"/>
        <v>3.6475595323270937E-5</v>
      </c>
      <c r="Q103" s="16">
        <f t="shared" si="10"/>
        <v>-2.766208351141497E-4</v>
      </c>
      <c r="S103" s="5" t="str">
        <f t="shared" si="8"/>
        <v/>
      </c>
    </row>
    <row r="104" spans="7:19" x14ac:dyDescent="0.2">
      <c r="G104" s="8">
        <v>45595</v>
      </c>
      <c r="H104" s="5">
        <v>4.2162060000000001E-2</v>
      </c>
      <c r="I104" s="9">
        <v>8.7099800000000008E-3</v>
      </c>
      <c r="J104" s="10">
        <f t="shared" si="6"/>
        <v>1.0421620599999999</v>
      </c>
      <c r="K104" s="10">
        <f t="shared" si="7"/>
        <v>1.0087099799999999</v>
      </c>
      <c r="L104" s="11">
        <f t="shared" si="9"/>
        <v>1.0331632289392041</v>
      </c>
      <c r="M104" s="9">
        <f>IF(G104&lt;&gt;"",J104/MAX(J$3:J104)-1,"")</f>
        <v>-5.903822281564608E-3</v>
      </c>
      <c r="N104" s="9">
        <f>IF(G104&lt;&gt;"",K104/MAX(K$3:K104)-1,"")</f>
        <v>0</v>
      </c>
      <c r="O104" s="16">
        <f t="shared" si="10"/>
        <v>-1.2730638302224095E-3</v>
      </c>
      <c r="P104" s="16">
        <f t="shared" si="10"/>
        <v>5.3139999967033447E-5</v>
      </c>
      <c r="Q104" s="16">
        <f t="shared" si="10"/>
        <v>-1.3261333594627445E-3</v>
      </c>
      <c r="S104" s="5" t="str">
        <f t="shared" si="8"/>
        <v/>
      </c>
    </row>
    <row r="105" spans="7:19" x14ac:dyDescent="0.2">
      <c r="G105" s="8">
        <v>45596</v>
      </c>
      <c r="H105" s="5">
        <v>3.8669769999999999E-2</v>
      </c>
      <c r="I105" s="9">
        <v>8.7626200000000005E-3</v>
      </c>
      <c r="J105" s="10">
        <f t="shared" si="6"/>
        <v>1.03866977</v>
      </c>
      <c r="K105" s="10">
        <f t="shared" si="7"/>
        <v>1.0087626199999999</v>
      </c>
      <c r="L105" s="11">
        <f t="shared" si="9"/>
        <v>1.0296473614377186</v>
      </c>
      <c r="M105" s="9">
        <f>IF(G105&lt;&gt;"",J105/MAX(J$3:J105)-1,"")</f>
        <v>-9.2350432823407047E-3</v>
      </c>
      <c r="N105" s="9">
        <f>IF(G105&lt;&gt;"",K105/MAX(K$3:K105)-1,"")</f>
        <v>0</v>
      </c>
      <c r="O105" s="16">
        <f t="shared" si="10"/>
        <v>-3.3510047372092844E-3</v>
      </c>
      <c r="P105" s="16">
        <f t="shared" si="10"/>
        <v>5.2185465638121542E-5</v>
      </c>
      <c r="Q105" s="16">
        <f t="shared" si="10"/>
        <v>-3.4030126150496054E-3</v>
      </c>
      <c r="S105" s="5" t="str">
        <f t="shared" si="8"/>
        <v/>
      </c>
    </row>
    <row r="106" spans="7:19" x14ac:dyDescent="0.2">
      <c r="G106" s="8">
        <v>45597</v>
      </c>
      <c r="H106" s="5">
        <v>3.8459029999999998E-2</v>
      </c>
      <c r="I106" s="9">
        <v>8.8524399999999996E-3</v>
      </c>
      <c r="J106" s="10">
        <f t="shared" si="6"/>
        <v>1.0384590300000001</v>
      </c>
      <c r="K106" s="10">
        <f t="shared" si="7"/>
        <v>1.0088524400000001</v>
      </c>
      <c r="L106" s="11">
        <f t="shared" si="9"/>
        <v>1.0293467992207066</v>
      </c>
      <c r="M106" s="9">
        <f>IF(G106&lt;&gt;"",J106/MAX(J$3:J106)-1,"")</f>
        <v>-9.4360636768966444E-3</v>
      </c>
      <c r="N106" s="9">
        <f>IF(G106&lt;&gt;"",K106/MAX(K$3:K106)-1,"")</f>
        <v>0</v>
      </c>
      <c r="O106" s="16">
        <f t="shared" si="10"/>
        <v>-2.0289413063401263E-4</v>
      </c>
      <c r="P106" s="16">
        <f t="shared" si="10"/>
        <v>8.9039778258470648E-5</v>
      </c>
      <c r="Q106" s="16">
        <f t="shared" si="10"/>
        <v>-2.9190791747613076E-4</v>
      </c>
      <c r="S106" s="5" t="str">
        <f t="shared" si="8"/>
        <v/>
      </c>
    </row>
    <row r="107" spans="7:19" x14ac:dyDescent="0.2">
      <c r="G107" s="8">
        <v>45600</v>
      </c>
      <c r="H107" s="5">
        <v>4.0407850000000002E-2</v>
      </c>
      <c r="I107" s="9">
        <v>8.8651700000000003E-3</v>
      </c>
      <c r="J107" s="10">
        <f t="shared" si="6"/>
        <v>1.04040785</v>
      </c>
      <c r="K107" s="10">
        <f t="shared" si="7"/>
        <v>1.00886517</v>
      </c>
      <c r="L107" s="11">
        <f t="shared" si="9"/>
        <v>1.0312655059744009</v>
      </c>
      <c r="M107" s="9">
        <f>IF(G107&lt;&gt;"",J107/MAX(J$3:J107)-1,"")</f>
        <v>-7.5771258135655106E-3</v>
      </c>
      <c r="N107" s="9">
        <f>IF(G107&lt;&gt;"",K107/MAX(K$3:K107)-1,"")</f>
        <v>0</v>
      </c>
      <c r="O107" s="16">
        <f t="shared" si="10"/>
        <v>1.8766460146242281E-3</v>
      </c>
      <c r="P107" s="16">
        <f t="shared" si="10"/>
        <v>1.261829728038677E-5</v>
      </c>
      <c r="Q107" s="16">
        <f t="shared" si="10"/>
        <v>1.8640041967847853E-3</v>
      </c>
      <c r="S107" s="5" t="str">
        <f t="shared" si="8"/>
        <v/>
      </c>
    </row>
    <row r="108" spans="7:19" x14ac:dyDescent="0.2">
      <c r="G108" s="8">
        <v>45601</v>
      </c>
      <c r="H108" s="5">
        <v>4.5232649999999999E-2</v>
      </c>
      <c r="I108" s="9">
        <v>8.8729900000000007E-3</v>
      </c>
      <c r="J108" s="10">
        <f t="shared" si="6"/>
        <v>1.04523265</v>
      </c>
      <c r="K108" s="10">
        <f t="shared" si="7"/>
        <v>1.00887299</v>
      </c>
      <c r="L108" s="11">
        <f t="shared" si="9"/>
        <v>1.0360398785183058</v>
      </c>
      <c r="M108" s="9">
        <f>IF(G108&lt;&gt;"",J108/MAX(J$3:J108)-1,"")</f>
        <v>-2.9748519232111192E-3</v>
      </c>
      <c r="N108" s="9">
        <f>IF(G108&lt;&gt;"",K108/MAX(K$3:K108)-1,"")</f>
        <v>0</v>
      </c>
      <c r="O108" s="16">
        <f t="shared" si="10"/>
        <v>4.6374121456311812E-3</v>
      </c>
      <c r="P108" s="16">
        <f t="shared" si="10"/>
        <v>7.7512835536808211E-6</v>
      </c>
      <c r="Q108" s="16">
        <f t="shared" si="10"/>
        <v>4.6296249765416242E-3</v>
      </c>
      <c r="S108" s="5" t="str">
        <f t="shared" si="8"/>
        <v/>
      </c>
    </row>
    <row r="109" spans="7:19" x14ac:dyDescent="0.2">
      <c r="G109" s="8">
        <v>45602</v>
      </c>
      <c r="H109" s="5">
        <v>4.6826590000000001E-2</v>
      </c>
      <c r="I109" s="9">
        <v>8.8928700000000006E-3</v>
      </c>
      <c r="J109" s="10">
        <f t="shared" si="6"/>
        <v>1.04682659</v>
      </c>
      <c r="K109" s="10">
        <f t="shared" si="7"/>
        <v>1.0088928699999999</v>
      </c>
      <c r="L109" s="11">
        <f t="shared" si="9"/>
        <v>1.0375993538342678</v>
      </c>
      <c r="M109" s="9">
        <f>IF(G109&lt;&gt;"",J109/MAX(J$3:J109)-1,"")</f>
        <v>-1.454426528419317E-3</v>
      </c>
      <c r="N109" s="9">
        <f>IF(G109&lt;&gt;"",K109/MAX(K$3:K109)-1,"")</f>
        <v>0</v>
      </c>
      <c r="O109" s="16">
        <f t="shared" si="10"/>
        <v>1.5249619307242668E-3</v>
      </c>
      <c r="P109" s="16">
        <f t="shared" si="10"/>
        <v>1.9705156344862473E-5</v>
      </c>
      <c r="Q109" s="16">
        <f t="shared" si="10"/>
        <v>1.5052271136437589E-3</v>
      </c>
      <c r="S109" s="5" t="str">
        <f t="shared" si="8"/>
        <v/>
      </c>
    </row>
    <row r="110" spans="7:19" x14ac:dyDescent="0.2">
      <c r="G110" s="8">
        <v>45603</v>
      </c>
      <c r="H110" s="5">
        <v>5.5855950000000001E-2</v>
      </c>
      <c r="I110" s="9">
        <v>8.94088E-3</v>
      </c>
      <c r="J110" s="10">
        <f t="shared" si="6"/>
        <v>1.05585595</v>
      </c>
      <c r="K110" s="10">
        <f t="shared" si="7"/>
        <v>1.0089408799999999</v>
      </c>
      <c r="L110" s="11">
        <f t="shared" si="9"/>
        <v>1.0464993251140742</v>
      </c>
      <c r="M110" s="9">
        <f>IF(G110&lt;&gt;"",J110/MAX(J$3:J110)-1,"")</f>
        <v>0</v>
      </c>
      <c r="N110" s="9">
        <f>IF(G110&lt;&gt;"",K110/MAX(K$3:K110)-1,"")</f>
        <v>0</v>
      </c>
      <c r="O110" s="16">
        <f t="shared" si="10"/>
        <v>8.62545916033719E-3</v>
      </c>
      <c r="P110" s="16">
        <f t="shared" si="10"/>
        <v>4.7586816626088435E-5</v>
      </c>
      <c r="Q110" s="16">
        <f t="shared" si="10"/>
        <v>8.5774641694966736E-3</v>
      </c>
      <c r="S110" s="5" t="str">
        <f t="shared" si="8"/>
        <v/>
      </c>
    </row>
    <row r="111" spans="7:19" x14ac:dyDescent="0.2">
      <c r="G111" s="8">
        <v>45604</v>
      </c>
      <c r="H111" s="5">
        <v>5.4076440000000003E-2</v>
      </c>
      <c r="I111" s="9">
        <v>9.6434099999999998E-3</v>
      </c>
      <c r="J111" s="10">
        <f t="shared" si="6"/>
        <v>1.05407644</v>
      </c>
      <c r="K111" s="10">
        <f t="shared" si="7"/>
        <v>1.00964341</v>
      </c>
      <c r="L111" s="11">
        <f t="shared" si="9"/>
        <v>1.044008636673021</v>
      </c>
      <c r="M111" s="9">
        <f>IF(G111&lt;&gt;"",J111/MAX(J$3:J111)-1,"")</f>
        <v>-1.6853719487018859E-3</v>
      </c>
      <c r="N111" s="9">
        <f>IF(G111&lt;&gt;"",K111/MAX(K$3:K111)-1,"")</f>
        <v>0</v>
      </c>
      <c r="O111" s="16">
        <f t="shared" si="10"/>
        <v>-1.6853719487018859E-3</v>
      </c>
      <c r="P111" s="16">
        <f t="shared" si="10"/>
        <v>6.96304425686467E-4</v>
      </c>
      <c r="Q111" s="16">
        <f t="shared" si="10"/>
        <v>-2.380019156516533E-3</v>
      </c>
      <c r="S111" s="5" t="str">
        <f t="shared" si="8"/>
        <v/>
      </c>
    </row>
    <row r="112" spans="7:19" x14ac:dyDescent="0.2">
      <c r="G112" s="8">
        <v>45607</v>
      </c>
      <c r="H112" s="5">
        <v>5.6378589999999999E-2</v>
      </c>
      <c r="I112" s="9">
        <v>9.7090100000000006E-3</v>
      </c>
      <c r="J112" s="10">
        <f t="shared" si="6"/>
        <v>1.05637859</v>
      </c>
      <c r="K112" s="10">
        <f t="shared" si="7"/>
        <v>1.0097090099999999</v>
      </c>
      <c r="L112" s="11">
        <f t="shared" si="9"/>
        <v>1.0462208215810613</v>
      </c>
      <c r="M112" s="9">
        <f>IF(G112&lt;&gt;"",J112/MAX(J$3:J112)-1,"")</f>
        <v>0</v>
      </c>
      <c r="N112" s="9">
        <f>IF(G112&lt;&gt;"",K112/MAX(K$3:K112)-1,"")</f>
        <v>0</v>
      </c>
      <c r="O112" s="16">
        <f t="shared" si="10"/>
        <v>2.18404464101285E-3</v>
      </c>
      <c r="P112" s="16">
        <f t="shared" si="10"/>
        <v>6.4973434531490071E-5</v>
      </c>
      <c r="Q112" s="16">
        <f t="shared" si="10"/>
        <v>2.1189335320921376E-3</v>
      </c>
      <c r="S112" s="5" t="str">
        <f t="shared" si="8"/>
        <v/>
      </c>
    </row>
    <row r="113" spans="7:19" x14ac:dyDescent="0.2">
      <c r="G113" s="8">
        <v>45608</v>
      </c>
      <c r="H113" s="5">
        <v>5.2971650000000002E-2</v>
      </c>
      <c r="I113" s="9">
        <v>9.7468999999999993E-3</v>
      </c>
      <c r="J113" s="10">
        <f t="shared" si="6"/>
        <v>1.0529716499999999</v>
      </c>
      <c r="K113" s="10">
        <f t="shared" si="7"/>
        <v>1.0097468999999999</v>
      </c>
      <c r="L113" s="11">
        <f t="shared" si="9"/>
        <v>1.0428075094857929</v>
      </c>
      <c r="M113" s="9">
        <f>IF(G113&lt;&gt;"",J113/MAX(J$3:J113)-1,"")</f>
        <v>-3.2251126937361541E-3</v>
      </c>
      <c r="N113" s="9">
        <f>IF(G113&lt;&gt;"",K113/MAX(K$3:K113)-1,"")</f>
        <v>0</v>
      </c>
      <c r="O113" s="16">
        <f t="shared" si="10"/>
        <v>-3.2251126937361541E-3</v>
      </c>
      <c r="P113" s="16">
        <f t="shared" si="10"/>
        <v>3.7525662963000528E-5</v>
      </c>
      <c r="Q113" s="16">
        <f t="shared" si="10"/>
        <v>-3.2625159286260308E-3</v>
      </c>
      <c r="S113" s="5" t="str">
        <f t="shared" si="8"/>
        <v/>
      </c>
    </row>
    <row r="114" spans="7:19" x14ac:dyDescent="0.2">
      <c r="G114" s="8">
        <v>45609</v>
      </c>
      <c r="H114" s="5">
        <v>5.3767879999999997E-2</v>
      </c>
      <c r="I114" s="9">
        <v>9.8080400000000005E-3</v>
      </c>
      <c r="J114" s="10">
        <f t="shared" si="6"/>
        <v>1.0537678800000001</v>
      </c>
      <c r="K114" s="10">
        <f t="shared" si="7"/>
        <v>1.00980804</v>
      </c>
      <c r="L114" s="11">
        <f t="shared" si="9"/>
        <v>1.0435328678904161</v>
      </c>
      <c r="M114" s="9">
        <f>IF(G114&lt;&gt;"",J114/MAX(J$3:J114)-1,"")</f>
        <v>-2.4713772360720476E-3</v>
      </c>
      <c r="N114" s="9">
        <f>IF(G114&lt;&gt;"",K114/MAX(K$3:K114)-1,"")</f>
        <v>0</v>
      </c>
      <c r="O114" s="16">
        <f t="shared" si="10"/>
        <v>7.5617420469020757E-4</v>
      </c>
      <c r="P114" s="16">
        <f t="shared" si="10"/>
        <v>6.0549826892408731E-5</v>
      </c>
      <c r="Q114" s="16">
        <f t="shared" si="10"/>
        <v>6.9558226041244176E-4</v>
      </c>
      <c r="S114" s="5" t="str">
        <f t="shared" si="8"/>
        <v/>
      </c>
    </row>
    <row r="115" spans="7:19" x14ac:dyDescent="0.2">
      <c r="G115" s="8">
        <v>45610</v>
      </c>
      <c r="H115" s="5">
        <v>4.9085230000000001E-2</v>
      </c>
      <c r="I115" s="9">
        <v>9.8730799999999994E-3</v>
      </c>
      <c r="J115" s="10">
        <f t="shared" si="6"/>
        <v>1.04908523</v>
      </c>
      <c r="K115" s="10">
        <f t="shared" si="7"/>
        <v>1.00987308</v>
      </c>
      <c r="L115" s="11">
        <f t="shared" si="9"/>
        <v>1.0388287902475823</v>
      </c>
      <c r="M115" s="9">
        <f>IF(G115&lt;&gt;"",J115/MAX(J$3:J115)-1,"")</f>
        <v>-6.9041156920834901E-3</v>
      </c>
      <c r="N115" s="9">
        <f>IF(G115&lt;&gt;"",K115/MAX(K$3:K115)-1,"")</f>
        <v>0</v>
      </c>
      <c r="O115" s="16">
        <f t="shared" si="10"/>
        <v>-4.4437205658613976E-3</v>
      </c>
      <c r="P115" s="16">
        <f t="shared" si="10"/>
        <v>6.4408281003514034E-5</v>
      </c>
      <c r="Q115" s="16">
        <f t="shared" si="10"/>
        <v>-4.5078385047357949E-3</v>
      </c>
      <c r="S115" s="5" t="str">
        <f t="shared" si="8"/>
        <v/>
      </c>
    </row>
    <row r="116" spans="7:19" x14ac:dyDescent="0.2">
      <c r="G116" s="8">
        <v>45611</v>
      </c>
      <c r="H116" s="5">
        <v>4.558802E-2</v>
      </c>
      <c r="I116" s="9">
        <v>1.00284E-2</v>
      </c>
      <c r="J116" s="10">
        <f t="shared" si="6"/>
        <v>1.0455880200000001</v>
      </c>
      <c r="K116" s="10">
        <f t="shared" si="7"/>
        <v>1.0100283999999999</v>
      </c>
      <c r="L116" s="11">
        <f t="shared" si="9"/>
        <v>1.0352065545879701</v>
      </c>
      <c r="M116" s="9">
        <f>IF(G116&lt;&gt;"",J116/MAX(J$3:J116)-1,"")</f>
        <v>-1.0214680704575763E-2</v>
      </c>
      <c r="N116" s="9">
        <f>IF(G116&lt;&gt;"",K116/MAX(K$3:K116)-1,"")</f>
        <v>0</v>
      </c>
      <c r="O116" s="16">
        <f t="shared" si="10"/>
        <v>-3.3335804375016487E-3</v>
      </c>
      <c r="P116" s="16">
        <f t="shared" si="10"/>
        <v>1.5380150543276017E-4</v>
      </c>
      <c r="Q116" s="16">
        <f t="shared" si="10"/>
        <v>-3.4868456608224685E-3</v>
      </c>
      <c r="S116" s="5" t="str">
        <f t="shared" si="8"/>
        <v/>
      </c>
    </row>
    <row r="117" spans="7:19" x14ac:dyDescent="0.2">
      <c r="G117" s="8">
        <v>45614</v>
      </c>
      <c r="H117" s="5">
        <v>4.6212379999999997E-2</v>
      </c>
      <c r="I117" s="9">
        <v>1.0077829999999999E-2</v>
      </c>
      <c r="J117" s="10">
        <f t="shared" si="6"/>
        <v>1.0462123800000001</v>
      </c>
      <c r="K117" s="10">
        <f t="shared" si="7"/>
        <v>1.01007783</v>
      </c>
      <c r="L117" s="11">
        <f t="shared" si="9"/>
        <v>1.0357740254530685</v>
      </c>
      <c r="M117" s="9">
        <f>IF(G117&lt;&gt;"",J117/MAX(J$3:J117)-1,"")</f>
        <v>-9.6236425995721575E-3</v>
      </c>
      <c r="N117" s="9">
        <f>IF(G117&lt;&gt;"",K117/MAX(K$3:K117)-1,"")</f>
        <v>0</v>
      </c>
      <c r="O117" s="16">
        <f t="shared" si="10"/>
        <v>5.9713767569746778E-4</v>
      </c>
      <c r="P117" s="16">
        <f t="shared" si="10"/>
        <v>4.8939217946797342E-5</v>
      </c>
      <c r="Q117" s="16">
        <f t="shared" si="10"/>
        <v>5.4817163066012142E-4</v>
      </c>
      <c r="S117" s="5" t="str">
        <f t="shared" si="8"/>
        <v/>
      </c>
    </row>
    <row r="118" spans="7:19" x14ac:dyDescent="0.2">
      <c r="G118" s="8">
        <v>45615</v>
      </c>
      <c r="H118" s="5">
        <v>4.8248729999999997E-2</v>
      </c>
      <c r="I118" s="9">
        <v>1.01347E-2</v>
      </c>
      <c r="J118" s="10">
        <f t="shared" si="6"/>
        <v>1.0482487300000001</v>
      </c>
      <c r="K118" s="10">
        <f t="shared" si="7"/>
        <v>1.0101347000000001</v>
      </c>
      <c r="L118" s="11">
        <f t="shared" si="9"/>
        <v>1.0377316312369034</v>
      </c>
      <c r="M118" s="9">
        <f>IF(G118&lt;&gt;"",J118/MAX(J$3:J118)-1,"")</f>
        <v>-7.6959719526310533E-3</v>
      </c>
      <c r="N118" s="9">
        <f>IF(G118&lt;&gt;"",K118/MAX(K$3:K118)-1,"")</f>
        <v>0</v>
      </c>
      <c r="O118" s="16">
        <f t="shared" si="10"/>
        <v>1.946402125350577E-3</v>
      </c>
      <c r="P118" s="16">
        <f t="shared" si="10"/>
        <v>5.6302592048806943E-5</v>
      </c>
      <c r="Q118" s="16">
        <f t="shared" si="10"/>
        <v>1.8899931217897237E-3</v>
      </c>
      <c r="S118" s="5" t="str">
        <f t="shared" si="8"/>
        <v/>
      </c>
    </row>
    <row r="119" spans="7:19" x14ac:dyDescent="0.2">
      <c r="G119" s="8">
        <v>45616</v>
      </c>
      <c r="H119" s="5">
        <v>4.9053739999999998E-2</v>
      </c>
      <c r="I119" s="9">
        <v>1.018063E-2</v>
      </c>
      <c r="J119" s="10">
        <f t="shared" si="6"/>
        <v>1.04905374</v>
      </c>
      <c r="K119" s="10">
        <f t="shared" si="7"/>
        <v>1.01018063</v>
      </c>
      <c r="L119" s="11">
        <f t="shared" si="9"/>
        <v>1.0384813456579542</v>
      </c>
      <c r="M119" s="9">
        <f>IF(G119&lt;&gt;"",J119/MAX(J$3:J119)-1,"")</f>
        <v>-6.9339250807800568E-3</v>
      </c>
      <c r="N119" s="9">
        <f>IF(G119&lt;&gt;"",K119/MAX(K$3:K119)-1,"")</f>
        <v>0</v>
      </c>
      <c r="O119" s="16">
        <f t="shared" si="10"/>
        <v>7.6795704775123319E-4</v>
      </c>
      <c r="P119" s="16">
        <f t="shared" si="10"/>
        <v>4.5469183466373408E-5</v>
      </c>
      <c r="Q119" s="16">
        <f t="shared" si="10"/>
        <v>7.2245501484546892E-4</v>
      </c>
      <c r="S119" s="5" t="str">
        <f t="shared" si="8"/>
        <v/>
      </c>
    </row>
    <row r="120" spans="7:19" x14ac:dyDescent="0.2">
      <c r="G120" s="8">
        <v>45617</v>
      </c>
      <c r="H120" s="5">
        <v>4.9935960000000001E-2</v>
      </c>
      <c r="I120" s="9">
        <v>1.022027E-2</v>
      </c>
      <c r="J120" s="10">
        <f t="shared" si="6"/>
        <v>1.04993596</v>
      </c>
      <c r="K120" s="10">
        <f t="shared" si="7"/>
        <v>1.01022027</v>
      </c>
      <c r="L120" s="11">
        <f t="shared" si="9"/>
        <v>1.0393138914149882</v>
      </c>
      <c r="M120" s="9">
        <f>IF(G120&lt;&gt;"",J120/MAX(J$3:J120)-1,"")</f>
        <v>-6.0987888821184555E-3</v>
      </c>
      <c r="N120" s="9">
        <f>IF(G120&lt;&gt;"",K120/MAX(K$3:K120)-1,"")</f>
        <v>0</v>
      </c>
      <c r="O120" s="16">
        <f t="shared" si="10"/>
        <v>8.4096740363381883E-4</v>
      </c>
      <c r="P120" s="16">
        <f t="shared" si="10"/>
        <v>3.9240506918059026E-5</v>
      </c>
      <c r="Q120" s="16">
        <f t="shared" si="10"/>
        <v>8.0169543778030317E-4</v>
      </c>
      <c r="S120" s="5" t="str">
        <f t="shared" si="8"/>
        <v/>
      </c>
    </row>
    <row r="121" spans="7:19" x14ac:dyDescent="0.2">
      <c r="G121" s="8">
        <v>45618</v>
      </c>
      <c r="H121" s="5">
        <v>4.6245219999999997E-2</v>
      </c>
      <c r="I121" s="9">
        <v>1.034478E-2</v>
      </c>
      <c r="J121" s="10">
        <f t="shared" si="6"/>
        <v>1.0462452200000001</v>
      </c>
      <c r="K121" s="10">
        <f t="shared" si="7"/>
        <v>1.0103447800000001</v>
      </c>
      <c r="L121" s="11">
        <f t="shared" si="9"/>
        <v>1.0355328603766329</v>
      </c>
      <c r="M121" s="9">
        <f>IF(G121&lt;&gt;"",J121/MAX(J$3:J121)-1,"")</f>
        <v>-9.5925552599470665E-3</v>
      </c>
      <c r="N121" s="9">
        <f>IF(G121&lt;&gt;"",K121/MAX(K$3:K121)-1,"")</f>
        <v>0</v>
      </c>
      <c r="O121" s="16">
        <f t="shared" si="10"/>
        <v>-3.5152048702092875E-3</v>
      </c>
      <c r="P121" s="16">
        <f t="shared" si="10"/>
        <v>1.2325034816429437E-4</v>
      </c>
      <c r="Q121" s="16">
        <f t="shared" si="10"/>
        <v>-3.6380068327649395E-3</v>
      </c>
      <c r="S121" s="5" t="str">
        <f t="shared" si="8"/>
        <v/>
      </c>
    </row>
    <row r="122" spans="7:19" x14ac:dyDescent="0.2">
      <c r="G122" s="8">
        <v>45621</v>
      </c>
      <c r="H122" s="5">
        <v>4.6920249999999997E-2</v>
      </c>
      <c r="I122" s="9">
        <v>1.0352119999999999E-2</v>
      </c>
      <c r="J122" s="10">
        <f t="shared" si="6"/>
        <v>1.0469202499999999</v>
      </c>
      <c r="K122" s="10">
        <f t="shared" si="7"/>
        <v>1.0103521200000001</v>
      </c>
      <c r="L122" s="11">
        <f t="shared" si="9"/>
        <v>1.0361934510515005</v>
      </c>
      <c r="M122" s="9">
        <f>IF(G122&lt;&gt;"",J122/MAX(J$3:J122)-1,"")</f>
        <v>-8.9535513967583524E-3</v>
      </c>
      <c r="N122" s="9">
        <f>IF(G122&lt;&gt;"",K122/MAX(K$3:K122)-1,"")</f>
        <v>0</v>
      </c>
      <c r="O122" s="16">
        <f t="shared" si="10"/>
        <v>6.4519291184894634E-4</v>
      </c>
      <c r="P122" s="16">
        <f t="shared" si="10"/>
        <v>7.264846758614496E-6</v>
      </c>
      <c r="Q122" s="16">
        <f t="shared" si="10"/>
        <v>6.3792343067436974E-4</v>
      </c>
      <c r="S122" s="5" t="str">
        <f t="shared" si="8"/>
        <v/>
      </c>
    </row>
    <row r="123" spans="7:19" x14ac:dyDescent="0.2">
      <c r="G123" s="8">
        <v>45622</v>
      </c>
      <c r="H123" s="5">
        <v>4.7080610000000002E-2</v>
      </c>
      <c r="I123" s="9">
        <v>1.039436E-2</v>
      </c>
      <c r="J123" s="10">
        <f t="shared" si="6"/>
        <v>1.0470806100000001</v>
      </c>
      <c r="K123" s="10">
        <f t="shared" si="7"/>
        <v>1.01039436</v>
      </c>
      <c r="L123" s="11">
        <f t="shared" si="9"/>
        <v>1.036308842816581</v>
      </c>
      <c r="M123" s="9">
        <f>IF(G123&lt;&gt;"",J123/MAX(J$3:J123)-1,"")</f>
        <v>-8.8017497590517912E-3</v>
      </c>
      <c r="N123" s="9">
        <f>IF(G123&lt;&gt;"",K123/MAX(K$3:K123)-1,"")</f>
        <v>0</v>
      </c>
      <c r="O123" s="16">
        <f t="shared" si="10"/>
        <v>1.5317308075779579E-4</v>
      </c>
      <c r="P123" s="16">
        <f t="shared" si="10"/>
        <v>4.1807206778488037E-5</v>
      </c>
      <c r="Q123" s="16">
        <f t="shared" si="10"/>
        <v>1.1136121827770573E-4</v>
      </c>
      <c r="S123" s="5" t="str">
        <f t="shared" si="8"/>
        <v/>
      </c>
    </row>
    <row r="124" spans="7:19" x14ac:dyDescent="0.2">
      <c r="G124" s="8">
        <v>45623</v>
      </c>
      <c r="H124" s="5">
        <v>5.067928E-2</v>
      </c>
      <c r="I124" s="9">
        <v>1.0476340000000001E-2</v>
      </c>
      <c r="J124" s="10">
        <f t="shared" si="6"/>
        <v>1.05067928</v>
      </c>
      <c r="K124" s="10">
        <f t="shared" si="7"/>
        <v>1.0104763400000001</v>
      </c>
      <c r="L124" s="11">
        <f t="shared" si="9"/>
        <v>1.0397861270061999</v>
      </c>
      <c r="M124" s="9">
        <f>IF(G124&lt;&gt;"",J124/MAX(J$3:J124)-1,"")</f>
        <v>-5.3951396345509606E-3</v>
      </c>
      <c r="N124" s="9">
        <f>IF(G124&lt;&gt;"",K124/MAX(K$3:K124)-1,"")</f>
        <v>0</v>
      </c>
      <c r="O124" s="16">
        <f t="shared" si="10"/>
        <v>3.4368605106724903E-3</v>
      </c>
      <c r="P124" s="16">
        <f t="shared" si="10"/>
        <v>8.1136636590040112E-5</v>
      </c>
      <c r="Q124" s="16">
        <f t="shared" si="10"/>
        <v>3.3554516240235088E-3</v>
      </c>
      <c r="R124" s="5">
        <f>IF(G124&lt;&gt;"",_xlfn.STDEV.S(Q3:Q124)*SQRT($B$5),"")</f>
        <v>4.3883598930518387E-2</v>
      </c>
      <c r="S124" s="5">
        <f t="shared" si="8"/>
        <v>4.3060288426645235E-2</v>
      </c>
    </row>
    <row r="125" spans="7:19" x14ac:dyDescent="0.2">
      <c r="G125" s="8">
        <v>45624</v>
      </c>
      <c r="H125" s="5">
        <v>4.8988419999999998E-2</v>
      </c>
      <c r="I125" s="9">
        <v>1.054807E-2</v>
      </c>
      <c r="J125" s="10">
        <f t="shared" si="6"/>
        <v>1.0489884199999999</v>
      </c>
      <c r="K125" s="10">
        <f t="shared" si="7"/>
        <v>1.01054807</v>
      </c>
      <c r="L125" s="11">
        <f t="shared" si="9"/>
        <v>1.0380391107965798</v>
      </c>
      <c r="M125" s="9">
        <f>IF(G125&lt;&gt;"",J125/MAX(J$3:J125)-1,"")</f>
        <v>-6.9957589731159953E-3</v>
      </c>
      <c r="N125" s="9">
        <f>IF(G125&lt;&gt;"",K125/MAX(K$3:K125)-1,"")</f>
        <v>0</v>
      </c>
      <c r="O125" s="16">
        <f t="shared" si="10"/>
        <v>-1.6093017461998871E-3</v>
      </c>
      <c r="P125" s="16">
        <f t="shared" si="10"/>
        <v>7.0986323143396035E-5</v>
      </c>
      <c r="Q125" s="16">
        <f t="shared" si="10"/>
        <v>-1.6801688003379445E-3</v>
      </c>
      <c r="R125" s="5">
        <f t="shared" ref="R125:R188" si="11">IF(G125&lt;&gt;"",_xlfn.STDEV.S(Q4:Q125)*SQRT($B$5),"")</f>
        <v>4.379429553899155E-2</v>
      </c>
      <c r="S125" s="5">
        <f t="shared" si="8"/>
        <v>4.3060288426645235E-2</v>
      </c>
    </row>
    <row r="126" spans="7:19" x14ac:dyDescent="0.2">
      <c r="G126" s="8">
        <v>45625</v>
      </c>
      <c r="H126" s="5">
        <v>5.207034E-2</v>
      </c>
      <c r="I126" s="9">
        <v>1.071677E-2</v>
      </c>
      <c r="J126" s="10">
        <f t="shared" si="6"/>
        <v>1.05207034</v>
      </c>
      <c r="K126" s="10">
        <f t="shared" si="7"/>
        <v>1.0107167699999999</v>
      </c>
      <c r="L126" s="11">
        <f t="shared" si="9"/>
        <v>1.0409150923655892</v>
      </c>
      <c r="M126" s="9">
        <f>IF(G126&lt;&gt;"",J126/MAX(J$3:J126)-1,"")</f>
        <v>-4.0783200651577367E-3</v>
      </c>
      <c r="N126" s="9">
        <f>IF(G126&lt;&gt;"",K126/MAX(K$3:K126)-1,"")</f>
        <v>0</v>
      </c>
      <c r="O126" s="16">
        <f t="shared" si="10"/>
        <v>2.9379923946157849E-3</v>
      </c>
      <c r="P126" s="16">
        <f t="shared" si="10"/>
        <v>1.6693911453402599E-4</v>
      </c>
      <c r="Q126" s="16">
        <f t="shared" si="10"/>
        <v>2.7705907601134339E-3</v>
      </c>
      <c r="R126" s="5">
        <f t="shared" si="11"/>
        <v>4.3932709850342769E-2</v>
      </c>
      <c r="S126" s="5">
        <f t="shared" si="8"/>
        <v>4.3060288426645235E-2</v>
      </c>
    </row>
    <row r="127" spans="7:19" x14ac:dyDescent="0.2">
      <c r="G127" s="8">
        <v>45628</v>
      </c>
      <c r="H127" s="5">
        <v>5.4839980000000003E-2</v>
      </c>
      <c r="I127" s="9">
        <v>1.0747140000000001E-2</v>
      </c>
      <c r="J127" s="10">
        <f t="shared" si="6"/>
        <v>1.0548399799999999</v>
      </c>
      <c r="K127" s="10">
        <f t="shared" si="7"/>
        <v>1.0107471400000001</v>
      </c>
      <c r="L127" s="11">
        <f t="shared" si="9"/>
        <v>1.0436240066927123</v>
      </c>
      <c r="M127" s="9">
        <f>IF(G127&lt;&gt;"",J127/MAX(J$3:J127)-1,"")</f>
        <v>-1.4564948727331384E-3</v>
      </c>
      <c r="N127" s="9">
        <f>IF(G127&lt;&gt;"",K127/MAX(K$3:K127)-1,"")</f>
        <v>0</v>
      </c>
      <c r="O127" s="16">
        <f t="shared" si="10"/>
        <v>2.6325616213074277E-3</v>
      </c>
      <c r="P127" s="16">
        <f t="shared" si="10"/>
        <v>3.0047982680914131E-5</v>
      </c>
      <c r="Q127" s="16">
        <f t="shared" si="10"/>
        <v>2.6024354406917194E-3</v>
      </c>
      <c r="R127" s="5">
        <f t="shared" si="11"/>
        <v>4.4043223289346484E-2</v>
      </c>
      <c r="S127" s="5">
        <f t="shared" si="8"/>
        <v>4.3060288426645235E-2</v>
      </c>
    </row>
    <row r="128" spans="7:19" x14ac:dyDescent="0.2">
      <c r="G128" s="8">
        <v>45629</v>
      </c>
      <c r="H128" s="5">
        <v>5.6706300000000001E-2</v>
      </c>
      <c r="I128" s="9">
        <v>1.074407E-2</v>
      </c>
      <c r="J128" s="10">
        <f t="shared" si="6"/>
        <v>1.0567063000000001</v>
      </c>
      <c r="K128" s="10">
        <f t="shared" si="7"/>
        <v>1.0107440700000001</v>
      </c>
      <c r="L128" s="11">
        <f t="shared" si="9"/>
        <v>1.0454736578370427</v>
      </c>
      <c r="M128" s="9">
        <f>IF(G128&lt;&gt;"",J128/MAX(J$3:J128)-1,"")</f>
        <v>0</v>
      </c>
      <c r="N128" s="9">
        <f>IF(G128&lt;&gt;"",K128/MAX(K$3:K128)-1,"")</f>
        <v>-3.0373570980568587E-6</v>
      </c>
      <c r="O128" s="16">
        <f t="shared" si="10"/>
        <v>1.7692920588772143E-3</v>
      </c>
      <c r="P128" s="16">
        <f t="shared" si="10"/>
        <v>-3.0373570980568587E-6</v>
      </c>
      <c r="Q128" s="16">
        <f t="shared" si="10"/>
        <v>1.7723347991889238E-3</v>
      </c>
      <c r="R128" s="5">
        <f t="shared" si="11"/>
        <v>4.4053284203680071E-2</v>
      </c>
      <c r="S128" s="5">
        <f t="shared" si="8"/>
        <v>4.3060288426645235E-2</v>
      </c>
    </row>
    <row r="129" spans="7:19" x14ac:dyDescent="0.2">
      <c r="G129" s="8">
        <v>45630</v>
      </c>
      <c r="H129" s="5">
        <v>5.7006670000000002E-2</v>
      </c>
      <c r="I129" s="9">
        <v>1.078279E-2</v>
      </c>
      <c r="J129" s="10">
        <f t="shared" si="6"/>
        <v>1.05700667</v>
      </c>
      <c r="K129" s="10">
        <f t="shared" si="7"/>
        <v>1.0107827899999999</v>
      </c>
      <c r="L129" s="11">
        <f t="shared" si="9"/>
        <v>1.0457307746603008</v>
      </c>
      <c r="M129" s="9">
        <f>IF(G129&lt;&gt;"",J129/MAX(J$3:J129)-1,"")</f>
        <v>0</v>
      </c>
      <c r="N129" s="9">
        <f>IF(G129&lt;&gt;"",K129/MAX(K$3:K129)-1,"")</f>
        <v>0</v>
      </c>
      <c r="O129" s="16">
        <f t="shared" si="10"/>
        <v>2.8425116799235539E-4</v>
      </c>
      <c r="P129" s="16">
        <f t="shared" si="10"/>
        <v>3.830841174257138E-5</v>
      </c>
      <c r="Q129" s="16">
        <f t="shared" si="10"/>
        <v>2.4593333493450054E-4</v>
      </c>
      <c r="R129" s="5">
        <f t="shared" si="11"/>
        <v>4.4049457320132566E-2</v>
      </c>
      <c r="S129" s="5">
        <f t="shared" si="8"/>
        <v>4.3060288426645235E-2</v>
      </c>
    </row>
    <row r="130" spans="7:19" x14ac:dyDescent="0.2">
      <c r="G130" s="8">
        <v>45631</v>
      </c>
      <c r="H130" s="5">
        <v>5.6022589999999997E-2</v>
      </c>
      <c r="I130" s="9">
        <v>1.0826199999999999E-2</v>
      </c>
      <c r="J130" s="10">
        <f t="shared" si="6"/>
        <v>1.05602259</v>
      </c>
      <c r="K130" s="10">
        <f t="shared" si="7"/>
        <v>1.0108261999999999</v>
      </c>
      <c r="L130" s="11">
        <f t="shared" si="9"/>
        <v>1.0447123254225108</v>
      </c>
      <c r="M130" s="9">
        <f>IF(G130&lt;&gt;"",J130/MAX(J$3:J130)-1,"")</f>
        <v>-9.3100642401822142E-4</v>
      </c>
      <c r="N130" s="9">
        <f>IF(G130&lt;&gt;"",K130/MAX(K$3:K130)-1,"")</f>
        <v>0</v>
      </c>
      <c r="O130" s="16">
        <f t="shared" si="10"/>
        <v>-9.3100642401822142E-4</v>
      </c>
      <c r="P130" s="16">
        <f t="shared" si="10"/>
        <v>4.2946912461649944E-5</v>
      </c>
      <c r="Q130" s="16">
        <f t="shared" si="10"/>
        <v>-9.739115099877127E-4</v>
      </c>
      <c r="R130" s="5">
        <f t="shared" si="11"/>
        <v>4.4088819480916447E-2</v>
      </c>
      <c r="S130" s="5">
        <f t="shared" si="8"/>
        <v>4.3060288426645235E-2</v>
      </c>
    </row>
    <row r="131" spans="7:19" x14ac:dyDescent="0.2">
      <c r="G131" s="8">
        <v>45632</v>
      </c>
      <c r="H131" s="5">
        <v>5.896407E-2</v>
      </c>
      <c r="I131" s="9">
        <v>1.092369E-2</v>
      </c>
      <c r="J131" s="10">
        <f t="shared" si="6"/>
        <v>1.05896407</v>
      </c>
      <c r="K131" s="10">
        <f t="shared" si="7"/>
        <v>1.01092369</v>
      </c>
      <c r="L131" s="11">
        <f t="shared" si="9"/>
        <v>1.0475212723524165</v>
      </c>
      <c r="M131" s="9">
        <f>IF(G131&lt;&gt;"",J131/MAX(J$3:J131)-1,"")</f>
        <v>0</v>
      </c>
      <c r="N131" s="9">
        <f>IF(G131&lt;&gt;"",K131/MAX(K$3:K131)-1,"")</f>
        <v>0</v>
      </c>
      <c r="O131" s="16">
        <f t="shared" si="10"/>
        <v>2.7854328381364812E-3</v>
      </c>
      <c r="P131" s="16">
        <f t="shared" si="10"/>
        <v>9.6445857853844075E-5</v>
      </c>
      <c r="Q131" s="16">
        <f t="shared" si="10"/>
        <v>2.688727663636703E-3</v>
      </c>
      <c r="R131" s="5">
        <f t="shared" si="11"/>
        <v>4.4168535349904774E-2</v>
      </c>
      <c r="S131" s="5">
        <f t="shared" si="8"/>
        <v>4.3060288426645235E-2</v>
      </c>
    </row>
    <row r="132" spans="7:19" x14ac:dyDescent="0.2">
      <c r="G132" s="8">
        <v>45635</v>
      </c>
      <c r="H132" s="5">
        <v>5.9577039999999998E-2</v>
      </c>
      <c r="I132" s="9">
        <v>1.090053E-2</v>
      </c>
      <c r="J132" s="10">
        <f t="shared" ref="J132:J195" si="12">IF(G132&lt;&gt;"",1+H132,"")</f>
        <v>1.05957704</v>
      </c>
      <c r="K132" s="10">
        <f t="shared" ref="K132:K195" si="13">IF(G132&lt;&gt;"",1+I132,"")</f>
        <v>1.01090053</v>
      </c>
      <c r="L132" s="11">
        <f t="shared" si="9"/>
        <v>1.0481516316941688</v>
      </c>
      <c r="M132" s="9">
        <f>IF(G132&lt;&gt;"",J132/MAX(J$3:J132)-1,"")</f>
        <v>0</v>
      </c>
      <c r="N132" s="9">
        <f>IF(G132&lt;&gt;"",K132/MAX(K$3:K132)-1,"")</f>
        <v>-2.2909741090315627E-5</v>
      </c>
      <c r="O132" s="16">
        <f t="shared" si="10"/>
        <v>5.7883928016555508E-4</v>
      </c>
      <c r="P132" s="16">
        <f t="shared" si="10"/>
        <v>-2.2909741090315627E-5</v>
      </c>
      <c r="Q132" s="16">
        <f t="shared" si="10"/>
        <v>6.017628074861392E-4</v>
      </c>
      <c r="R132" s="5">
        <f t="shared" si="11"/>
        <v>4.4099010048298484E-2</v>
      </c>
      <c r="S132" s="5">
        <f t="shared" ref="S132:S195" si="14">IF(R132&lt;&gt;"",B$12,"")</f>
        <v>4.3060288426645235E-2</v>
      </c>
    </row>
    <row r="133" spans="7:19" x14ac:dyDescent="0.2">
      <c r="G133" s="8">
        <v>45636</v>
      </c>
      <c r="H133" s="5">
        <v>6.0501270000000003E-2</v>
      </c>
      <c r="I133" s="9">
        <v>1.090927E-2</v>
      </c>
      <c r="J133" s="10">
        <f t="shared" si="12"/>
        <v>1.0605012700000001</v>
      </c>
      <c r="K133" s="10">
        <f t="shared" si="13"/>
        <v>1.01090927</v>
      </c>
      <c r="L133" s="11">
        <f t="shared" ref="L133:L196" si="15">IF(G133&lt;&gt;"",J133/K133,"")</f>
        <v>1.0490568258415516</v>
      </c>
      <c r="M133" s="9">
        <f>IF(G133&lt;&gt;"",J133/MAX(J$3:J133)-1,"")</f>
        <v>0</v>
      </c>
      <c r="N133" s="9">
        <f>IF(G133&lt;&gt;"",K133/MAX(K$3:K133)-1,"")</f>
        <v>-1.4264182492396138E-5</v>
      </c>
      <c r="O133" s="16">
        <f t="shared" ref="O133:Q196" si="16">IF($G133&lt;&gt;"",J133/J132-1,"")</f>
        <v>8.7226314379185155E-4</v>
      </c>
      <c r="P133" s="16">
        <f t="shared" si="16"/>
        <v>8.6457566699227328E-6</v>
      </c>
      <c r="Q133" s="16">
        <f t="shared" si="16"/>
        <v>8.6360992056055963E-4</v>
      </c>
      <c r="R133" s="5">
        <f t="shared" si="11"/>
        <v>4.4054023783254667E-2</v>
      </c>
      <c r="S133" s="5">
        <f t="shared" si="14"/>
        <v>4.3060288426645235E-2</v>
      </c>
    </row>
    <row r="134" spans="7:19" x14ac:dyDescent="0.2">
      <c r="G134" s="8">
        <v>45637</v>
      </c>
      <c r="H134" s="5">
        <v>6.1811749999999999E-2</v>
      </c>
      <c r="I134" s="9">
        <v>1.0888490000000001E-2</v>
      </c>
      <c r="J134" s="10">
        <f t="shared" si="12"/>
        <v>1.0618117499999999</v>
      </c>
      <c r="K134" s="10">
        <f t="shared" si="13"/>
        <v>1.0108884899999999</v>
      </c>
      <c r="L134" s="11">
        <f t="shared" si="15"/>
        <v>1.0503747549841032</v>
      </c>
      <c r="M134" s="9">
        <f>IF(G134&lt;&gt;"",J134/MAX(J$3:J134)-1,"")</f>
        <v>0</v>
      </c>
      <c r="N134" s="9">
        <f>IF(G134&lt;&gt;"",K134/MAX(K$3:K134)-1,"")</f>
        <v>-3.481964103557722E-5</v>
      </c>
      <c r="O134" s="16">
        <f t="shared" si="16"/>
        <v>1.2357175206398896E-3</v>
      </c>
      <c r="P134" s="16">
        <f t="shared" si="16"/>
        <v>-2.0555751754081086E-5</v>
      </c>
      <c r="Q134" s="16">
        <f t="shared" si="16"/>
        <v>1.2562990965663268E-3</v>
      </c>
      <c r="R134" s="5">
        <f t="shared" si="11"/>
        <v>4.4071945523682786E-2</v>
      </c>
      <c r="S134" s="5">
        <f t="shared" si="14"/>
        <v>4.3060288426645235E-2</v>
      </c>
    </row>
    <row r="135" spans="7:19" x14ac:dyDescent="0.2">
      <c r="G135" s="8">
        <v>45638</v>
      </c>
      <c r="H135" s="5">
        <v>6.271504E-2</v>
      </c>
      <c r="I135" s="9">
        <v>1.083107E-2</v>
      </c>
      <c r="J135" s="10">
        <f t="shared" si="12"/>
        <v>1.0627150400000001</v>
      </c>
      <c r="K135" s="10">
        <f t="shared" si="13"/>
        <v>1.0108310700000001</v>
      </c>
      <c r="L135" s="11">
        <f t="shared" si="15"/>
        <v>1.0513280324871692</v>
      </c>
      <c r="M135" s="9">
        <f>IF(G135&lt;&gt;"",J135/MAX(J$3:J135)-1,"")</f>
        <v>0</v>
      </c>
      <c r="N135" s="9">
        <f>IF(G135&lt;&gt;"",K135/MAX(K$3:K135)-1,"")</f>
        <v>-9.161918047440043E-5</v>
      </c>
      <c r="O135" s="16">
        <f t="shared" si="16"/>
        <v>8.5070635166739628E-4</v>
      </c>
      <c r="P135" s="16">
        <f t="shared" si="16"/>
        <v>-5.6801517247295763E-5</v>
      </c>
      <c r="Q135" s="16">
        <f t="shared" si="16"/>
        <v>9.0755941966680354E-4</v>
      </c>
      <c r="R135" s="5">
        <f t="shared" si="11"/>
        <v>4.4076702033213969E-2</v>
      </c>
      <c r="S135" s="5">
        <f t="shared" si="14"/>
        <v>4.3060288426645235E-2</v>
      </c>
    </row>
    <row r="136" spans="7:19" x14ac:dyDescent="0.2">
      <c r="G136" s="8">
        <v>45639</v>
      </c>
      <c r="H136" s="5">
        <v>5.9038019999999997E-2</v>
      </c>
      <c r="I136" s="9">
        <v>1.075923E-2</v>
      </c>
      <c r="J136" s="10">
        <f t="shared" si="12"/>
        <v>1.05903802</v>
      </c>
      <c r="K136" s="10">
        <f t="shared" si="13"/>
        <v>1.0107592299999999</v>
      </c>
      <c r="L136" s="11">
        <f t="shared" si="15"/>
        <v>1.0477648767056029</v>
      </c>
      <c r="M136" s="9">
        <f>IF(G136&lt;&gt;"",J136/MAX(J$3:J136)-1,"")</f>
        <v>-3.4600244295027727E-3</v>
      </c>
      <c r="N136" s="9">
        <f>IF(G136&lt;&gt;"",K136/MAX(K$3:K136)-1,"")</f>
        <v>-1.6268290240595285E-4</v>
      </c>
      <c r="O136" s="16">
        <f t="shared" si="16"/>
        <v>-3.4600244295027727E-3</v>
      </c>
      <c r="P136" s="16">
        <f t="shared" si="16"/>
        <v>-7.1070233328085486E-5</v>
      </c>
      <c r="Q136" s="16">
        <f t="shared" si="16"/>
        <v>-3.3891950670589255E-3</v>
      </c>
      <c r="R136" s="5">
        <f t="shared" si="11"/>
        <v>4.4397106265955374E-2</v>
      </c>
      <c r="S136" s="5">
        <f t="shared" si="14"/>
        <v>4.3060288426645235E-2</v>
      </c>
    </row>
    <row r="137" spans="7:19" x14ac:dyDescent="0.2">
      <c r="G137" s="8">
        <v>45642</v>
      </c>
      <c r="H137" s="5">
        <v>5.911715E-2</v>
      </c>
      <c r="I137" s="9">
        <v>1.054544E-2</v>
      </c>
      <c r="J137" s="10">
        <f t="shared" si="12"/>
        <v>1.0591171500000001</v>
      </c>
      <c r="K137" s="10">
        <f t="shared" si="13"/>
        <v>1.01054544</v>
      </c>
      <c r="L137" s="11">
        <f t="shared" si="15"/>
        <v>1.0480648450603072</v>
      </c>
      <c r="M137" s="9">
        <f>IF(G137&lt;&gt;"",J137/MAX(J$3:J137)-1,"")</f>
        <v>-3.3855642054336776E-3</v>
      </c>
      <c r="N137" s="9">
        <f>IF(G137&lt;&gt;"",K137/MAX(K$3:K137)-1,"")</f>
        <v>-3.7416276197865805E-4</v>
      </c>
      <c r="O137" s="16">
        <f t="shared" si="16"/>
        <v>7.4718752779201481E-5</v>
      </c>
      <c r="P137" s="16">
        <f t="shared" si="16"/>
        <v>-2.1151426932786155E-4</v>
      </c>
      <c r="Q137" s="16">
        <f t="shared" si="16"/>
        <v>2.8629357728360283E-4</v>
      </c>
      <c r="R137" s="5">
        <f t="shared" si="11"/>
        <v>4.4386494232267183E-2</v>
      </c>
      <c r="S137" s="5">
        <f t="shared" si="14"/>
        <v>4.3060288426645235E-2</v>
      </c>
    </row>
    <row r="138" spans="7:19" x14ac:dyDescent="0.2">
      <c r="G138" s="8">
        <v>45643</v>
      </c>
      <c r="H138" s="5">
        <v>5.7848139999999999E-2</v>
      </c>
      <c r="I138" s="9">
        <v>1.038853E-2</v>
      </c>
      <c r="J138" s="10">
        <f t="shared" si="12"/>
        <v>1.0578481399999999</v>
      </c>
      <c r="K138" s="10">
        <f t="shared" si="13"/>
        <v>1.01038853</v>
      </c>
      <c r="L138" s="11">
        <f t="shared" si="15"/>
        <v>1.0469716436705789</v>
      </c>
      <c r="M138" s="9">
        <f>IF(G138&lt;&gt;"",J138/MAX(J$3:J138)-1,"")</f>
        <v>-4.5796848795892631E-3</v>
      </c>
      <c r="N138" s="9">
        <f>IF(G138&lt;&gt;"",K138/MAX(K$3:K138)-1,"")</f>
        <v>-5.2937724706014766E-4</v>
      </c>
      <c r="O138" s="16">
        <f t="shared" si="16"/>
        <v>-1.1981771799277618E-3</v>
      </c>
      <c r="P138" s="16">
        <f t="shared" si="16"/>
        <v>-1.5527258229974805E-4</v>
      </c>
      <c r="Q138" s="16">
        <f t="shared" si="16"/>
        <v>-1.043066557265715E-3</v>
      </c>
      <c r="R138" s="5">
        <f t="shared" si="11"/>
        <v>4.442999992127853E-2</v>
      </c>
      <c r="S138" s="5">
        <f t="shared" si="14"/>
        <v>4.3060288426645235E-2</v>
      </c>
    </row>
    <row r="139" spans="7:19" x14ac:dyDescent="0.2">
      <c r="G139" s="8">
        <v>45644</v>
      </c>
      <c r="H139" s="5">
        <v>5.325651E-2</v>
      </c>
      <c r="I139" s="9">
        <v>1.030491E-2</v>
      </c>
      <c r="J139" s="10">
        <f t="shared" si="12"/>
        <v>1.05325651</v>
      </c>
      <c r="K139" s="10">
        <f t="shared" si="13"/>
        <v>1.0103049099999999</v>
      </c>
      <c r="L139" s="11">
        <f t="shared" si="15"/>
        <v>1.0425135021861867</v>
      </c>
      <c r="M139" s="9">
        <f>IF(G139&lt;&gt;"",J139/MAX(J$3:J139)-1,"")</f>
        <v>-8.9003445363867728E-3</v>
      </c>
      <c r="N139" s="9">
        <f>IF(G139&lt;&gt;"",K139/MAX(K$3:K139)-1,"")</f>
        <v>-6.1209367840631135E-4</v>
      </c>
      <c r="O139" s="16">
        <f t="shared" si="16"/>
        <v>-4.3405379528294041E-3</v>
      </c>
      <c r="P139" s="16">
        <f t="shared" si="16"/>
        <v>-8.2760242735568923E-5</v>
      </c>
      <c r="Q139" s="16">
        <f t="shared" si="16"/>
        <v>-4.2581301139756889E-3</v>
      </c>
      <c r="R139" s="5">
        <f t="shared" si="11"/>
        <v>4.4855685308608839E-2</v>
      </c>
      <c r="S139" s="5">
        <f t="shared" si="14"/>
        <v>4.3060288426645235E-2</v>
      </c>
    </row>
    <row r="140" spans="7:19" x14ac:dyDescent="0.2">
      <c r="G140" s="8">
        <v>45645</v>
      </c>
      <c r="H140" s="5">
        <v>5.2527320000000002E-2</v>
      </c>
      <c r="I140" s="9">
        <v>1.0379859999999999E-2</v>
      </c>
      <c r="J140" s="10">
        <f t="shared" si="12"/>
        <v>1.05252732</v>
      </c>
      <c r="K140" s="10">
        <f t="shared" si="13"/>
        <v>1.01037986</v>
      </c>
      <c r="L140" s="11">
        <f t="shared" si="15"/>
        <v>1.0417144696451095</v>
      </c>
      <c r="M140" s="9">
        <f>IF(G140&lt;&gt;"",J140/MAX(J$3:J140)-1,"")</f>
        <v>-9.5865021351349E-3</v>
      </c>
      <c r="N140" s="9">
        <f>IF(G140&lt;&gt;"",K140/MAX(K$3:K140)-1,"")</f>
        <v>-5.3795356205377232E-4</v>
      </c>
      <c r="O140" s="16">
        <f t="shared" si="16"/>
        <v>-6.9231948065517912E-4</v>
      </c>
      <c r="P140" s="16">
        <f t="shared" si="16"/>
        <v>7.4185524843395356E-5</v>
      </c>
      <c r="Q140" s="16">
        <f t="shared" si="16"/>
        <v>-7.6644814614057477E-4</v>
      </c>
      <c r="R140" s="5">
        <f t="shared" si="11"/>
        <v>4.4859393009341303E-2</v>
      </c>
      <c r="S140" s="5">
        <f t="shared" si="14"/>
        <v>4.3060288426645235E-2</v>
      </c>
    </row>
    <row r="141" spans="7:19" x14ac:dyDescent="0.2">
      <c r="G141" s="8">
        <v>45646</v>
      </c>
      <c r="H141" s="5">
        <v>5.4144209999999998E-2</v>
      </c>
      <c r="I141" s="9">
        <v>1.060525E-2</v>
      </c>
      <c r="J141" s="10">
        <f t="shared" si="12"/>
        <v>1.05414421</v>
      </c>
      <c r="K141" s="10">
        <f t="shared" si="13"/>
        <v>1.01060525</v>
      </c>
      <c r="L141" s="11">
        <f t="shared" si="15"/>
        <v>1.0430820639413856</v>
      </c>
      <c r="M141" s="9">
        <f>IF(G141&lt;&gt;"",J141/MAX(J$3:J141)-1,"")</f>
        <v>-8.0650312429944027E-3</v>
      </c>
      <c r="N141" s="9">
        <f>IF(G141&lt;&gt;"",K141/MAX(K$3:K141)-1,"")</f>
        <v>-3.1499904804888068E-4</v>
      </c>
      <c r="O141" s="16">
        <f t="shared" si="16"/>
        <v>1.5361976542327405E-3</v>
      </c>
      <c r="P141" s="16">
        <f t="shared" si="16"/>
        <v>2.2307451773628806E-4</v>
      </c>
      <c r="Q141" s="16">
        <f t="shared" si="16"/>
        <v>1.3128302775153866E-3</v>
      </c>
      <c r="R141" s="5">
        <f t="shared" si="11"/>
        <v>4.4774057973011983E-2</v>
      </c>
      <c r="S141" s="5">
        <f t="shared" si="14"/>
        <v>4.3060288426645235E-2</v>
      </c>
    </row>
    <row r="142" spans="7:19" x14ac:dyDescent="0.2">
      <c r="G142" s="8">
        <v>45649</v>
      </c>
      <c r="H142" s="5">
        <v>5.5013140000000002E-2</v>
      </c>
      <c r="I142" s="9">
        <v>1.066346E-2</v>
      </c>
      <c r="J142" s="10">
        <f t="shared" si="12"/>
        <v>1.05501314</v>
      </c>
      <c r="K142" s="10">
        <f t="shared" si="13"/>
        <v>1.01066346</v>
      </c>
      <c r="L142" s="11">
        <f t="shared" si="15"/>
        <v>1.0438817487277121</v>
      </c>
      <c r="M142" s="9">
        <f>IF(G142&lt;&gt;"",J142/MAX(J$3:J142)-1,"")</f>
        <v>-7.2473802572701196E-3</v>
      </c>
      <c r="N142" s="9">
        <f>IF(G142&lt;&gt;"",K142/MAX(K$3:K142)-1,"")</f>
        <v>-2.5741804507528609E-4</v>
      </c>
      <c r="O142" s="16">
        <f t="shared" si="16"/>
        <v>8.2429898277380786E-4</v>
      </c>
      <c r="P142" s="16">
        <f t="shared" si="16"/>
        <v>5.759914665004473E-5</v>
      </c>
      <c r="Q142" s="16">
        <f t="shared" si="16"/>
        <v>7.666556774112987E-4</v>
      </c>
      <c r="R142" s="5">
        <f t="shared" si="11"/>
        <v>4.4778160324718111E-2</v>
      </c>
      <c r="S142" s="5">
        <f t="shared" si="14"/>
        <v>4.3060288426645235E-2</v>
      </c>
    </row>
    <row r="143" spans="7:19" x14ac:dyDescent="0.2">
      <c r="G143" s="8">
        <v>45650</v>
      </c>
      <c r="H143" s="5">
        <v>5.8391819999999997E-2</v>
      </c>
      <c r="I143" s="9">
        <v>1.0765790000000001E-2</v>
      </c>
      <c r="J143" s="10">
        <f t="shared" si="12"/>
        <v>1.05839182</v>
      </c>
      <c r="K143" s="10">
        <f t="shared" si="13"/>
        <v>1.01076579</v>
      </c>
      <c r="L143" s="11">
        <f t="shared" si="15"/>
        <v>1.0471187593319715</v>
      </c>
      <c r="M143" s="9">
        <f>IF(G143&lt;&gt;"",J143/MAX(J$3:J143)-1,"")</f>
        <v>-4.0680895981297649E-3</v>
      </c>
      <c r="N143" s="9">
        <f>IF(G143&lt;&gt;"",K143/MAX(K$3:K143)-1,"")</f>
        <v>-1.5619378748565893E-4</v>
      </c>
      <c r="O143" s="16">
        <f t="shared" si="16"/>
        <v>3.2025003972935284E-3</v>
      </c>
      <c r="P143" s="16">
        <f t="shared" si="16"/>
        <v>1.0125032124941313E-4</v>
      </c>
      <c r="Q143" s="16">
        <f t="shared" si="16"/>
        <v>3.1009361052674045E-3</v>
      </c>
      <c r="R143" s="5">
        <f t="shared" si="11"/>
        <v>4.4944433640918331E-2</v>
      </c>
      <c r="S143" s="5">
        <f t="shared" si="14"/>
        <v>4.3060288426645235E-2</v>
      </c>
    </row>
    <row r="144" spans="7:19" x14ac:dyDescent="0.2">
      <c r="G144" s="8">
        <v>45651</v>
      </c>
      <c r="H144" s="5">
        <v>5.7912360000000003E-2</v>
      </c>
      <c r="I144" s="9">
        <v>1.096254E-2</v>
      </c>
      <c r="J144" s="10">
        <f t="shared" si="12"/>
        <v>1.05791236</v>
      </c>
      <c r="K144" s="10">
        <f t="shared" si="13"/>
        <v>1.01096254</v>
      </c>
      <c r="L144" s="11">
        <f t="shared" si="15"/>
        <v>1.0464407118388384</v>
      </c>
      <c r="M144" s="9">
        <f>IF(G144&lt;&gt;"",J144/MAX(J$3:J144)-1,"")</f>
        <v>-4.5192547571361041E-3</v>
      </c>
      <c r="N144" s="9">
        <f>IF(G144&lt;&gt;"",K144/MAX(K$3:K144)-1,"")</f>
        <v>0</v>
      </c>
      <c r="O144" s="16">
        <f t="shared" si="16"/>
        <v>-4.5300803628656183E-4</v>
      </c>
      <c r="P144" s="16">
        <f t="shared" si="16"/>
        <v>1.9465439169641385E-4</v>
      </c>
      <c r="Q144" s="16">
        <f t="shared" si="16"/>
        <v>-6.4753638218240095E-4</v>
      </c>
      <c r="R144" s="5">
        <f t="shared" si="11"/>
        <v>4.4904165552158898E-2</v>
      </c>
      <c r="S144" s="5">
        <f t="shared" si="14"/>
        <v>4.3060288426645235E-2</v>
      </c>
    </row>
    <row r="145" spans="7:19" x14ac:dyDescent="0.2">
      <c r="G145" s="8">
        <v>45652</v>
      </c>
      <c r="H145" s="5">
        <v>5.838132E-2</v>
      </c>
      <c r="I145" s="9">
        <v>1.102977E-2</v>
      </c>
      <c r="J145" s="10">
        <f t="shared" si="12"/>
        <v>1.0583813200000001</v>
      </c>
      <c r="K145" s="10">
        <f t="shared" si="13"/>
        <v>1.0110297699999999</v>
      </c>
      <c r="L145" s="11">
        <f t="shared" si="15"/>
        <v>1.0468349710414562</v>
      </c>
      <c r="M145" s="9">
        <f>IF(G145&lt;&gt;"",J145/MAX(J$3:J145)-1,"")</f>
        <v>-4.0779699513803225E-3</v>
      </c>
      <c r="N145" s="9">
        <f>IF(G145&lt;&gt;"",K145/MAX(K$3:K145)-1,"")</f>
        <v>0</v>
      </c>
      <c r="O145" s="16">
        <f t="shared" si="16"/>
        <v>4.432881377811615E-4</v>
      </c>
      <c r="P145" s="16">
        <f t="shared" si="16"/>
        <v>6.6500980342887317E-5</v>
      </c>
      <c r="Q145" s="16">
        <f t="shared" si="16"/>
        <v>3.7676210238890562E-4</v>
      </c>
      <c r="R145" s="5">
        <f t="shared" si="11"/>
        <v>4.490212620182913E-2</v>
      </c>
      <c r="S145" s="5">
        <f t="shared" si="14"/>
        <v>4.3060288426645235E-2</v>
      </c>
    </row>
    <row r="146" spans="7:19" x14ac:dyDescent="0.2">
      <c r="G146" s="8">
        <v>45653</v>
      </c>
      <c r="H146" s="5">
        <v>5.7237799999999998E-2</v>
      </c>
      <c r="I146" s="9">
        <v>1.118214E-2</v>
      </c>
      <c r="J146" s="10">
        <f t="shared" si="12"/>
        <v>1.0572378</v>
      </c>
      <c r="K146" s="10">
        <f t="shared" si="13"/>
        <v>1.0111821400000001</v>
      </c>
      <c r="L146" s="11">
        <f t="shared" si="15"/>
        <v>1.0455463542898413</v>
      </c>
      <c r="M146" s="9">
        <f>IF(G146&lt;&gt;"",J146/MAX(J$3:J146)-1,"")</f>
        <v>-5.1540062894001037E-3</v>
      </c>
      <c r="N146" s="9">
        <f>IF(G146&lt;&gt;"",K146/MAX(K$3:K146)-1,"")</f>
        <v>0</v>
      </c>
      <c r="O146" s="16">
        <f t="shared" si="16"/>
        <v>-1.0804423494550353E-3</v>
      </c>
      <c r="P146" s="16">
        <f t="shared" si="16"/>
        <v>1.5070772841840885E-4</v>
      </c>
      <c r="Q146" s="16">
        <f t="shared" si="16"/>
        <v>-1.2309645620004472E-3</v>
      </c>
      <c r="R146" s="5">
        <f t="shared" si="11"/>
        <v>4.4955171096386803E-2</v>
      </c>
      <c r="S146" s="5">
        <f t="shared" si="14"/>
        <v>4.3060288426645235E-2</v>
      </c>
    </row>
    <row r="147" spans="7:19" x14ac:dyDescent="0.2">
      <c r="G147" s="8">
        <v>45656</v>
      </c>
      <c r="H147" s="5">
        <v>5.6767049999999999E-2</v>
      </c>
      <c r="I147" s="9">
        <v>1.118423E-2</v>
      </c>
      <c r="J147" s="10">
        <f t="shared" si="12"/>
        <v>1.0567670499999999</v>
      </c>
      <c r="K147" s="10">
        <f t="shared" si="13"/>
        <v>1.01118423</v>
      </c>
      <c r="L147" s="11">
        <f t="shared" si="15"/>
        <v>1.0450786500101963</v>
      </c>
      <c r="M147" s="9">
        <f>IF(G147&lt;&gt;"",J147/MAX(J$3:J147)-1,"")</f>
        <v>-5.5969754601384869E-3</v>
      </c>
      <c r="N147" s="9">
        <f>IF(G147&lt;&gt;"",K147/MAX(K$3:K147)-1,"")</f>
        <v>0</v>
      </c>
      <c r="O147" s="16">
        <f t="shared" si="16"/>
        <v>-4.4526406452749523E-4</v>
      </c>
      <c r="P147" s="16">
        <f t="shared" si="16"/>
        <v>2.0668877716012446E-6</v>
      </c>
      <c r="Q147" s="16">
        <f t="shared" si="16"/>
        <v>-4.4733002771812913E-4</v>
      </c>
      <c r="R147" s="5">
        <f t="shared" si="11"/>
        <v>4.496798231654104E-2</v>
      </c>
      <c r="S147" s="5">
        <f t="shared" si="14"/>
        <v>4.3060288426645235E-2</v>
      </c>
    </row>
    <row r="148" spans="7:19" x14ac:dyDescent="0.2">
      <c r="G148" s="8">
        <v>45657</v>
      </c>
      <c r="H148" s="5">
        <v>5.4640540000000001E-2</v>
      </c>
      <c r="I148" s="9">
        <v>1.1244179999999999E-2</v>
      </c>
      <c r="J148" s="10">
        <f t="shared" si="12"/>
        <v>1.0546405400000001</v>
      </c>
      <c r="K148" s="10">
        <f t="shared" si="13"/>
        <v>1.01124418</v>
      </c>
      <c r="L148" s="11">
        <f t="shared" si="15"/>
        <v>1.0429138291802085</v>
      </c>
      <c r="M148" s="9">
        <f>IF(G148&lt;&gt;"",J148/MAX(J$3:J148)-1,"")</f>
        <v>-7.5979916497652678E-3</v>
      </c>
      <c r="N148" s="9">
        <f>IF(G148&lt;&gt;"",K148/MAX(K$3:K148)-1,"")</f>
        <v>0</v>
      </c>
      <c r="O148" s="16">
        <f t="shared" si="16"/>
        <v>-2.0122788650533963E-3</v>
      </c>
      <c r="P148" s="16">
        <f t="shared" si="16"/>
        <v>5.9286921434642537E-5</v>
      </c>
      <c r="Q148" s="16">
        <f t="shared" si="16"/>
        <v>-2.0714429770110065E-3</v>
      </c>
      <c r="R148" s="5">
        <f t="shared" si="11"/>
        <v>4.5075307639480013E-2</v>
      </c>
      <c r="S148" s="5">
        <f t="shared" si="14"/>
        <v>4.3060288426645235E-2</v>
      </c>
    </row>
    <row r="149" spans="7:19" x14ac:dyDescent="0.2">
      <c r="G149" s="8">
        <v>45659</v>
      </c>
      <c r="H149" s="5">
        <v>5.0820480000000001E-2</v>
      </c>
      <c r="I149" s="9">
        <v>1.128578E-2</v>
      </c>
      <c r="J149" s="10">
        <f t="shared" si="12"/>
        <v>1.0508204800000001</v>
      </c>
      <c r="K149" s="10">
        <f t="shared" si="13"/>
        <v>1.0112857799999999</v>
      </c>
      <c r="L149" s="11">
        <f t="shared" si="15"/>
        <v>1.0390934993667171</v>
      </c>
      <c r="M149" s="9">
        <f>IF(G149&lt;&gt;"",J149/MAX(J$3:J149)-1,"")</f>
        <v>-1.1192614720122895E-2</v>
      </c>
      <c r="N149" s="9">
        <f>IF(G149&lt;&gt;"",K149/MAX(K$3:K149)-1,"")</f>
        <v>0</v>
      </c>
      <c r="O149" s="16">
        <f t="shared" si="16"/>
        <v>-3.6221440909146585E-3</v>
      </c>
      <c r="P149" s="16">
        <f t="shared" si="16"/>
        <v>4.1137443183902889E-5</v>
      </c>
      <c r="Q149" s="16">
        <f t="shared" si="16"/>
        <v>-3.6631308422617748E-3</v>
      </c>
      <c r="R149" s="5">
        <f t="shared" si="11"/>
        <v>4.5388928671906033E-2</v>
      </c>
      <c r="S149" s="5">
        <f t="shared" si="14"/>
        <v>4.3060288426645235E-2</v>
      </c>
    </row>
    <row r="150" spans="7:19" x14ac:dyDescent="0.2">
      <c r="G150" s="8">
        <v>45660</v>
      </c>
      <c r="H150" s="5">
        <v>5.1588990000000001E-2</v>
      </c>
      <c r="I150" s="9">
        <v>1.137266E-2</v>
      </c>
      <c r="J150" s="10">
        <f t="shared" si="12"/>
        <v>1.0515889899999999</v>
      </c>
      <c r="K150" s="10">
        <f t="shared" si="13"/>
        <v>1.0113726599999999</v>
      </c>
      <c r="L150" s="11">
        <f t="shared" si="15"/>
        <v>1.0397641063384095</v>
      </c>
      <c r="M150" s="9">
        <f>IF(G150&lt;&gt;"",J150/MAX(J$3:J150)-1,"")</f>
        <v>-1.0469457550916106E-2</v>
      </c>
      <c r="N150" s="9">
        <f>IF(G150&lt;&gt;"",K150/MAX(K$3:K150)-1,"")</f>
        <v>0</v>
      </c>
      <c r="O150" s="16">
        <f t="shared" si="16"/>
        <v>7.3134280747932934E-4</v>
      </c>
      <c r="P150" s="16">
        <f t="shared" si="16"/>
        <v>8.591043374495122E-5</v>
      </c>
      <c r="Q150" s="16">
        <f t="shared" si="16"/>
        <v>6.4537692912236544E-4</v>
      </c>
      <c r="R150" s="5">
        <f t="shared" si="11"/>
        <v>4.5382581727895367E-2</v>
      </c>
      <c r="S150" s="5">
        <f t="shared" si="14"/>
        <v>4.3060288426645235E-2</v>
      </c>
    </row>
    <row r="151" spans="7:19" x14ac:dyDescent="0.2">
      <c r="G151" s="8">
        <v>45663</v>
      </c>
      <c r="H151" s="5">
        <v>5.2022899999999997E-2</v>
      </c>
      <c r="I151" s="9">
        <v>1.152564E-2</v>
      </c>
      <c r="J151" s="10">
        <f t="shared" si="12"/>
        <v>1.0520229000000001</v>
      </c>
      <c r="K151" s="10">
        <f t="shared" si="13"/>
        <v>1.0115256399999999</v>
      </c>
      <c r="L151" s="11">
        <f t="shared" si="15"/>
        <v>1.0400358215338963</v>
      </c>
      <c r="M151" s="9">
        <f>IF(G151&lt;&gt;"",J151/MAX(J$3:J151)-1,"")</f>
        <v>-1.0061154305297082E-2</v>
      </c>
      <c r="N151" s="9">
        <f>IF(G151&lt;&gt;"",K151/MAX(K$3:K151)-1,"")</f>
        <v>0</v>
      </c>
      <c r="O151" s="16">
        <f t="shared" si="16"/>
        <v>4.1262318655510555E-4</v>
      </c>
      <c r="P151" s="16">
        <f t="shared" si="16"/>
        <v>1.5125977401830859E-4</v>
      </c>
      <c r="Q151" s="16">
        <f t="shared" si="16"/>
        <v>2.6132388474486845E-4</v>
      </c>
      <c r="R151" s="5">
        <f t="shared" si="11"/>
        <v>4.5327453497679415E-2</v>
      </c>
      <c r="S151" s="5">
        <f t="shared" si="14"/>
        <v>4.3060288426645235E-2</v>
      </c>
    </row>
    <row r="152" spans="7:19" x14ac:dyDescent="0.2">
      <c r="G152" s="8">
        <v>45664</v>
      </c>
      <c r="H152" s="5">
        <v>4.9986929999999999E-2</v>
      </c>
      <c r="I152" s="9">
        <v>1.156665E-2</v>
      </c>
      <c r="J152" s="10">
        <f t="shared" si="12"/>
        <v>1.04998693</v>
      </c>
      <c r="K152" s="10">
        <f t="shared" si="13"/>
        <v>1.01156665</v>
      </c>
      <c r="L152" s="11">
        <f t="shared" si="15"/>
        <v>1.0379809674429263</v>
      </c>
      <c r="M152" s="9">
        <f>IF(G152&lt;&gt;"",J152/MAX(J$3:J152)-1,"")</f>
        <v>-1.1976973620322573E-2</v>
      </c>
      <c r="N152" s="9">
        <f>IF(G152&lt;&gt;"",K152/MAX(K$3:K152)-1,"")</f>
        <v>0</v>
      </c>
      <c r="O152" s="16">
        <f t="shared" si="16"/>
        <v>-1.9352905720969593E-3</v>
      </c>
      <c r="P152" s="16">
        <f t="shared" si="16"/>
        <v>4.0542719213831901E-5</v>
      </c>
      <c r="Q152" s="16">
        <f t="shared" si="16"/>
        <v>-1.9757531889039726E-3</v>
      </c>
      <c r="R152" s="5">
        <f t="shared" si="11"/>
        <v>4.5391239680994837E-2</v>
      </c>
      <c r="S152" s="5">
        <f t="shared" si="14"/>
        <v>4.3060288426645235E-2</v>
      </c>
    </row>
    <row r="153" spans="7:19" x14ac:dyDescent="0.2">
      <c r="G153" s="8">
        <v>45665</v>
      </c>
      <c r="H153" s="5">
        <v>4.984893E-2</v>
      </c>
      <c r="I153" s="9">
        <v>1.153237E-2</v>
      </c>
      <c r="J153" s="10">
        <f t="shared" si="12"/>
        <v>1.04984893</v>
      </c>
      <c r="K153" s="10">
        <f t="shared" si="13"/>
        <v>1.0115323700000001</v>
      </c>
      <c r="L153" s="11">
        <f t="shared" si="15"/>
        <v>1.0378797170870566</v>
      </c>
      <c r="M153" s="9">
        <f>IF(G153&lt;&gt;"",J153/MAX(J$3:J153)-1,"")</f>
        <v>-1.2106829691617138E-2</v>
      </c>
      <c r="N153" s="9">
        <f>IF(G153&lt;&gt;"",K153/MAX(K$3:K153)-1,"")</f>
        <v>-3.3888029028927846E-5</v>
      </c>
      <c r="O153" s="16">
        <f t="shared" si="16"/>
        <v>-1.3143020742167888E-4</v>
      </c>
      <c r="P153" s="16">
        <f t="shared" si="16"/>
        <v>-3.3888029028927846E-5</v>
      </c>
      <c r="Q153" s="16">
        <f t="shared" si="16"/>
        <v>-9.7545484017080852E-5</v>
      </c>
      <c r="R153" s="5">
        <f t="shared" si="11"/>
        <v>4.5369732720884598E-2</v>
      </c>
      <c r="S153" s="5">
        <f t="shared" si="14"/>
        <v>4.3060288426645235E-2</v>
      </c>
    </row>
    <row r="154" spans="7:19" x14ac:dyDescent="0.2">
      <c r="G154" s="8">
        <v>45666</v>
      </c>
      <c r="H154" s="5">
        <v>4.9133549999999998E-2</v>
      </c>
      <c r="I154" s="9">
        <v>1.1527580000000001E-2</v>
      </c>
      <c r="J154" s="10">
        <f t="shared" si="12"/>
        <v>1.0491335500000001</v>
      </c>
      <c r="K154" s="10">
        <f t="shared" si="13"/>
        <v>1.0115275800000001</v>
      </c>
      <c r="L154" s="11">
        <f t="shared" si="15"/>
        <v>1.037177404495486</v>
      </c>
      <c r="M154" s="9">
        <f>IF(G154&lt;&gt;"",J154/MAX(J$3:J154)-1,"")</f>
        <v>-1.2779992273375562E-2</v>
      </c>
      <c r="N154" s="9">
        <f>IF(G154&lt;&gt;"",K154/MAX(K$3:K154)-1,"")</f>
        <v>-3.8623258289405271E-5</v>
      </c>
      <c r="O154" s="16">
        <f t="shared" si="16"/>
        <v>-6.8141232472362923E-4</v>
      </c>
      <c r="P154" s="16">
        <f t="shared" si="16"/>
        <v>-4.7353897334456718E-6</v>
      </c>
      <c r="Q154" s="16">
        <f t="shared" si="16"/>
        <v>-6.7668013933419591E-4</v>
      </c>
      <c r="R154" s="5">
        <f t="shared" si="11"/>
        <v>4.5352800226563343E-2</v>
      </c>
      <c r="S154" s="5">
        <f t="shared" si="14"/>
        <v>4.3060288426645235E-2</v>
      </c>
    </row>
    <row r="155" spans="7:19" x14ac:dyDescent="0.2">
      <c r="G155" s="8">
        <v>45667</v>
      </c>
      <c r="H155" s="5">
        <v>4.4079019999999997E-2</v>
      </c>
      <c r="I155" s="9">
        <v>1.152822E-2</v>
      </c>
      <c r="J155" s="10">
        <f t="shared" si="12"/>
        <v>1.0440790200000001</v>
      </c>
      <c r="K155" s="10">
        <f t="shared" si="13"/>
        <v>1.01152822</v>
      </c>
      <c r="L155" s="11">
        <f t="shared" si="15"/>
        <v>1.0321798239103999</v>
      </c>
      <c r="M155" s="9">
        <f>IF(G155&lt;&gt;"",J155/MAX(J$3:J155)-1,"")</f>
        <v>-1.7536234360624015E-2</v>
      </c>
      <c r="N155" s="9">
        <f>IF(G155&lt;&gt;"",K155/MAX(K$3:K155)-1,"")</f>
        <v>-3.7990576300717116E-5</v>
      </c>
      <c r="O155" s="16">
        <f t="shared" si="16"/>
        <v>-4.8178137092269591E-3</v>
      </c>
      <c r="P155" s="16">
        <f t="shared" si="16"/>
        <v>6.327064259181725E-7</v>
      </c>
      <c r="Q155" s="16">
        <f t="shared" si="16"/>
        <v>-4.8184433669928861E-3</v>
      </c>
      <c r="R155" s="5">
        <f t="shared" si="11"/>
        <v>4.5858788401597579E-2</v>
      </c>
      <c r="S155" s="5">
        <f t="shared" si="14"/>
        <v>4.3060288426645235E-2</v>
      </c>
    </row>
    <row r="156" spans="7:19" x14ac:dyDescent="0.2">
      <c r="G156" s="8">
        <v>45670</v>
      </c>
      <c r="H156" s="5">
        <v>4.3084169999999998E-2</v>
      </c>
      <c r="I156" s="9">
        <v>1.164887E-2</v>
      </c>
      <c r="J156" s="10">
        <f t="shared" si="12"/>
        <v>1.04308417</v>
      </c>
      <c r="K156" s="10">
        <f t="shared" si="13"/>
        <v>1.0116488699999999</v>
      </c>
      <c r="L156" s="11">
        <f t="shared" si="15"/>
        <v>1.0310733308089397</v>
      </c>
      <c r="M156" s="9">
        <f>IF(G156&lt;&gt;"",J156/MAX(J$3:J156)-1,"")</f>
        <v>-1.8472374306474526E-2</v>
      </c>
      <c r="N156" s="9">
        <f>IF(G156&lt;&gt;"",K156/MAX(K$3:K156)-1,"")</f>
        <v>0</v>
      </c>
      <c r="O156" s="16">
        <f t="shared" si="16"/>
        <v>-9.528493351012024E-4</v>
      </c>
      <c r="P156" s="16">
        <f t="shared" si="16"/>
        <v>1.1927497188368719E-4</v>
      </c>
      <c r="Q156" s="16">
        <f t="shared" si="16"/>
        <v>-1.0719964446390673E-3</v>
      </c>
      <c r="R156" s="5">
        <f t="shared" si="11"/>
        <v>4.5889900959181863E-2</v>
      </c>
      <c r="S156" s="5">
        <f t="shared" si="14"/>
        <v>4.3060288426645235E-2</v>
      </c>
    </row>
    <row r="157" spans="7:19" x14ac:dyDescent="0.2">
      <c r="G157" s="8">
        <v>45671</v>
      </c>
      <c r="H157" s="5">
        <v>4.7141559999999999E-2</v>
      </c>
      <c r="I157" s="9">
        <v>1.150339E-2</v>
      </c>
      <c r="J157" s="10">
        <f t="shared" si="12"/>
        <v>1.04714156</v>
      </c>
      <c r="K157" s="10">
        <f t="shared" si="13"/>
        <v>1.0115033899999999</v>
      </c>
      <c r="L157" s="11">
        <f t="shared" si="15"/>
        <v>1.0352328725265074</v>
      </c>
      <c r="M157" s="9">
        <f>IF(G157&lt;&gt;"",J157/MAX(J$3:J157)-1,"")</f>
        <v>-1.465442702307107E-2</v>
      </c>
      <c r="N157" s="9">
        <f>IF(G157&lt;&gt;"",K157/MAX(K$3:K157)-1,"")</f>
        <v>-1.4380483615827888E-4</v>
      </c>
      <c r="O157" s="16">
        <f t="shared" si="16"/>
        <v>3.8898011461530047E-3</v>
      </c>
      <c r="P157" s="16">
        <f t="shared" si="16"/>
        <v>-1.4380483615827888E-4</v>
      </c>
      <c r="Q157" s="16">
        <f t="shared" si="16"/>
        <v>4.0341861177850546E-3</v>
      </c>
      <c r="R157" s="5">
        <f t="shared" si="11"/>
        <v>4.616023693613247E-2</v>
      </c>
      <c r="S157" s="5">
        <f t="shared" si="14"/>
        <v>4.3060288426645235E-2</v>
      </c>
    </row>
    <row r="158" spans="7:19" x14ac:dyDescent="0.2">
      <c r="G158" s="8">
        <v>45672</v>
      </c>
      <c r="H158" s="5">
        <v>5.0593920000000001E-2</v>
      </c>
      <c r="I158" s="9">
        <v>1.150288E-2</v>
      </c>
      <c r="J158" s="10">
        <f t="shared" si="12"/>
        <v>1.0505939200000001</v>
      </c>
      <c r="K158" s="10">
        <f t="shared" si="13"/>
        <v>1.0115028800000001</v>
      </c>
      <c r="L158" s="11">
        <f t="shared" si="15"/>
        <v>1.0386464940169029</v>
      </c>
      <c r="M158" s="9">
        <f>IF(G158&lt;&gt;"",J158/MAX(J$3:J158)-1,"")</f>
        <v>-1.1405804513691664E-2</v>
      </c>
      <c r="N158" s="9">
        <f>IF(G158&lt;&gt;"",K158/MAX(K$3:K158)-1,"")</f>
        <v>-1.4430896364248103E-4</v>
      </c>
      <c r="O158" s="16">
        <f t="shared" si="16"/>
        <v>3.296937235496733E-3</v>
      </c>
      <c r="P158" s="16">
        <f t="shared" si="16"/>
        <v>-5.0419999064743592E-7</v>
      </c>
      <c r="Q158" s="16">
        <f t="shared" si="16"/>
        <v>3.2974430980581282E-3</v>
      </c>
      <c r="R158" s="5">
        <f t="shared" si="11"/>
        <v>4.6289733900813736E-2</v>
      </c>
      <c r="S158" s="5">
        <f t="shared" si="14"/>
        <v>4.3060288426645235E-2</v>
      </c>
    </row>
    <row r="159" spans="7:19" x14ac:dyDescent="0.2">
      <c r="G159" s="8">
        <v>45673</v>
      </c>
      <c r="H159" s="5">
        <v>5.1521030000000002E-2</v>
      </c>
      <c r="I159" s="9">
        <v>1.16317E-2</v>
      </c>
      <c r="J159" s="10">
        <f t="shared" si="12"/>
        <v>1.05152103</v>
      </c>
      <c r="K159" s="10">
        <f t="shared" si="13"/>
        <v>1.0116316999999999</v>
      </c>
      <c r="L159" s="11">
        <f t="shared" si="15"/>
        <v>1.039430684111619</v>
      </c>
      <c r="M159" s="9">
        <f>IF(G159&lt;&gt;"",J159/MAX(J$3:J159)-1,"")</f>
        <v>-1.0533406961098501E-2</v>
      </c>
      <c r="N159" s="9">
        <f>IF(G159&lt;&gt;"",K159/MAX(K$3:K159)-1,"")</f>
        <v>-1.6972291977168652E-5</v>
      </c>
      <c r="O159" s="16">
        <f t="shared" si="16"/>
        <v>8.8246275021264253E-4</v>
      </c>
      <c r="P159" s="16">
        <f t="shared" si="16"/>
        <v>1.2735505014060955E-4</v>
      </c>
      <c r="Q159" s="16">
        <f t="shared" si="16"/>
        <v>7.5501154553880845E-4</v>
      </c>
      <c r="R159" s="5">
        <f t="shared" si="11"/>
        <v>4.626177454181115E-2</v>
      </c>
      <c r="S159" s="5">
        <f t="shared" si="14"/>
        <v>4.3060288426645235E-2</v>
      </c>
    </row>
    <row r="160" spans="7:19" x14ac:dyDescent="0.2">
      <c r="G160" s="8">
        <v>45674</v>
      </c>
      <c r="H160" s="5">
        <v>5.3307960000000001E-2</v>
      </c>
      <c r="I160" s="9">
        <v>1.165302E-2</v>
      </c>
      <c r="J160" s="10">
        <f t="shared" si="12"/>
        <v>1.0533079599999999</v>
      </c>
      <c r="K160" s="10">
        <f t="shared" si="13"/>
        <v>1.01165302</v>
      </c>
      <c r="L160" s="11">
        <f t="shared" si="15"/>
        <v>1.0411751254397481</v>
      </c>
      <c r="M160" s="9">
        <f>IF(G160&lt;&gt;"",J160/MAX(J$3:J160)-1,"")</f>
        <v>-8.8519308054585411E-3</v>
      </c>
      <c r="N160" s="9">
        <f>IF(G160&lt;&gt;"",K160/MAX(K$3:K160)-1,"")</f>
        <v>0</v>
      </c>
      <c r="O160" s="16">
        <f t="shared" si="16"/>
        <v>1.6993763786159466E-3</v>
      </c>
      <c r="P160" s="16">
        <f t="shared" si="16"/>
        <v>2.1074863510106567E-5</v>
      </c>
      <c r="Q160" s="16">
        <f t="shared" si="16"/>
        <v>1.6782661458758508E-3</v>
      </c>
      <c r="R160" s="5">
        <f t="shared" si="11"/>
        <v>4.6192287357218795E-2</v>
      </c>
      <c r="S160" s="5">
        <f t="shared" si="14"/>
        <v>4.3060288426645235E-2</v>
      </c>
    </row>
    <row r="161" spans="7:19" x14ac:dyDescent="0.2">
      <c r="G161" s="8">
        <v>45677</v>
      </c>
      <c r="H161" s="5">
        <v>5.4309009999999998E-2</v>
      </c>
      <c r="I161" s="9">
        <v>1.18587E-2</v>
      </c>
      <c r="J161" s="10">
        <f t="shared" si="12"/>
        <v>1.0543090100000001</v>
      </c>
      <c r="K161" s="10">
        <f t="shared" si="13"/>
        <v>1.0118586999999999</v>
      </c>
      <c r="L161" s="11">
        <f t="shared" si="15"/>
        <v>1.0419528042798862</v>
      </c>
      <c r="M161" s="9">
        <f>IF(G161&lt;&gt;"",J161/MAX(J$3:J161)-1,"")</f>
        <v>-7.9099567462599385E-3</v>
      </c>
      <c r="N161" s="9">
        <f>IF(G161&lt;&gt;"",K161/MAX(K$3:K161)-1,"")</f>
        <v>0</v>
      </c>
      <c r="O161" s="16">
        <f t="shared" si="16"/>
        <v>9.5038681754600063E-4</v>
      </c>
      <c r="P161" s="16">
        <f t="shared" si="16"/>
        <v>2.0331081500635229E-4</v>
      </c>
      <c r="Q161" s="16">
        <f t="shared" si="16"/>
        <v>7.4692414478283453E-4</v>
      </c>
      <c r="R161" s="5">
        <f t="shared" si="11"/>
        <v>4.6181491260202476E-2</v>
      </c>
      <c r="S161" s="5">
        <f t="shared" si="14"/>
        <v>4.3060288426645235E-2</v>
      </c>
    </row>
    <row r="162" spans="7:19" x14ac:dyDescent="0.2">
      <c r="G162" s="8">
        <v>45678</v>
      </c>
      <c r="H162" s="5">
        <v>5.5243809999999997E-2</v>
      </c>
      <c r="I162" s="9">
        <v>1.1895630000000001E-2</v>
      </c>
      <c r="J162" s="10">
        <f t="shared" si="12"/>
        <v>1.0552438099999999</v>
      </c>
      <c r="K162" s="10">
        <f t="shared" si="13"/>
        <v>1.0118956299999999</v>
      </c>
      <c r="L162" s="11">
        <f t="shared" si="15"/>
        <v>1.0428385880073421</v>
      </c>
      <c r="M162" s="9">
        <f>IF(G162&lt;&gt;"",J162/MAX(J$3:J162)-1,"")</f>
        <v>-7.030323011143369E-3</v>
      </c>
      <c r="N162" s="9">
        <f>IF(G162&lt;&gt;"",K162/MAX(K$3:K162)-1,"")</f>
        <v>0</v>
      </c>
      <c r="O162" s="16">
        <f t="shared" si="16"/>
        <v>8.86647075130087E-4</v>
      </c>
      <c r="P162" s="16">
        <f t="shared" si="16"/>
        <v>3.64971907640399E-5</v>
      </c>
      <c r="Q162" s="16">
        <f t="shared" si="16"/>
        <v>8.5011885741592685E-4</v>
      </c>
      <c r="R162" s="5">
        <f t="shared" si="11"/>
        <v>4.5935497226501538E-2</v>
      </c>
      <c r="S162" s="5">
        <f t="shared" si="14"/>
        <v>4.3060288426645235E-2</v>
      </c>
    </row>
    <row r="163" spans="7:19" x14ac:dyDescent="0.2">
      <c r="G163" s="8">
        <v>45679</v>
      </c>
      <c r="H163" s="5">
        <v>5.4351780000000002E-2</v>
      </c>
      <c r="I163" s="9">
        <v>1.194432E-2</v>
      </c>
      <c r="J163" s="10">
        <f t="shared" si="12"/>
        <v>1.05435178</v>
      </c>
      <c r="K163" s="10">
        <f t="shared" si="13"/>
        <v>1.01194432</v>
      </c>
      <c r="L163" s="11">
        <f t="shared" si="15"/>
        <v>1.0419069104513576</v>
      </c>
      <c r="M163" s="9">
        <f>IF(G163&lt;&gt;"",J163/MAX(J$3:J163)-1,"")</f>
        <v>-7.8697107740191008E-3</v>
      </c>
      <c r="N163" s="9">
        <f>IF(G163&lt;&gt;"",K163/MAX(K$3:K163)-1,"")</f>
        <v>0</v>
      </c>
      <c r="O163" s="16">
        <f t="shared" si="16"/>
        <v>-8.4533071082404376E-4</v>
      </c>
      <c r="P163" s="16">
        <f t="shared" si="16"/>
        <v>4.811761070655507E-5</v>
      </c>
      <c r="Q163" s="16">
        <f t="shared" si="16"/>
        <v>-8.9340533300052982E-4</v>
      </c>
      <c r="R163" s="5">
        <f t="shared" si="11"/>
        <v>4.5601279265997018E-2</v>
      </c>
      <c r="S163" s="5">
        <f t="shared" si="14"/>
        <v>4.3060288426645235E-2</v>
      </c>
    </row>
    <row r="164" spans="7:19" x14ac:dyDescent="0.2">
      <c r="G164" s="8">
        <v>45680</v>
      </c>
      <c r="H164" s="5">
        <v>5.5235239999999998E-2</v>
      </c>
      <c r="I164" s="9">
        <v>1.206468E-2</v>
      </c>
      <c r="J164" s="10">
        <f t="shared" si="12"/>
        <v>1.05523524</v>
      </c>
      <c r="K164" s="10">
        <f t="shared" si="13"/>
        <v>1.0120646799999999</v>
      </c>
      <c r="L164" s="11">
        <f t="shared" si="15"/>
        <v>1.0426559298561828</v>
      </c>
      <c r="M164" s="9">
        <f>IF(G164&lt;&gt;"",J164/MAX(J$3:J164)-1,"")</f>
        <v>-7.0383872613678511E-3</v>
      </c>
      <c r="N164" s="9">
        <f>IF(G164&lt;&gt;"",K164/MAX(K$3:K164)-1,"")</f>
        <v>0</v>
      </c>
      <c r="O164" s="16">
        <f t="shared" si="16"/>
        <v>8.379176824646617E-4</v>
      </c>
      <c r="P164" s="16">
        <f t="shared" si="16"/>
        <v>1.1893935033890912E-4</v>
      </c>
      <c r="Q164" s="16">
        <f t="shared" si="16"/>
        <v>7.1889282747994443E-4</v>
      </c>
      <c r="R164" s="5">
        <f t="shared" si="11"/>
        <v>4.5473395637144108E-2</v>
      </c>
      <c r="S164" s="5">
        <f t="shared" si="14"/>
        <v>4.3060288426645235E-2</v>
      </c>
    </row>
    <row r="165" spans="7:19" x14ac:dyDescent="0.2">
      <c r="G165" s="8">
        <v>45681</v>
      </c>
      <c r="H165" s="5">
        <v>5.686368E-2</v>
      </c>
      <c r="I165" s="9">
        <v>1.220828E-2</v>
      </c>
      <c r="J165" s="10">
        <f t="shared" si="12"/>
        <v>1.05686368</v>
      </c>
      <c r="K165" s="10">
        <f t="shared" si="13"/>
        <v>1.0122082800000001</v>
      </c>
      <c r="L165" s="11">
        <f t="shared" si="15"/>
        <v>1.0441168096352658</v>
      </c>
      <c r="M165" s="9">
        <f>IF(G165&lt;&gt;"",J165/MAX(J$3:J165)-1,"")</f>
        <v>-5.5060479806515739E-3</v>
      </c>
      <c r="N165" s="9">
        <f>IF(G165&lt;&gt;"",K165/MAX(K$3:K165)-1,"")</f>
        <v>0</v>
      </c>
      <c r="O165" s="16">
        <f t="shared" si="16"/>
        <v>1.5432009264588764E-3</v>
      </c>
      <c r="P165" s="16">
        <f t="shared" si="16"/>
        <v>1.4188816469729026E-4</v>
      </c>
      <c r="Q165" s="16">
        <f t="shared" si="16"/>
        <v>1.4011139602729816E-3</v>
      </c>
      <c r="R165" s="5">
        <f t="shared" si="11"/>
        <v>4.5428631947486545E-2</v>
      </c>
      <c r="S165" s="5">
        <f t="shared" si="14"/>
        <v>4.3060288426645235E-2</v>
      </c>
    </row>
    <row r="166" spans="7:19" x14ac:dyDescent="0.2">
      <c r="G166" s="8">
        <v>45684</v>
      </c>
      <c r="H166" s="5">
        <v>5.6015490000000001E-2</v>
      </c>
      <c r="I166" s="9">
        <v>1.2423429999999999E-2</v>
      </c>
      <c r="J166" s="10">
        <f t="shared" si="12"/>
        <v>1.0560154900000001</v>
      </c>
      <c r="K166" s="10">
        <f t="shared" si="13"/>
        <v>1.0124234299999999</v>
      </c>
      <c r="L166" s="11">
        <f t="shared" si="15"/>
        <v>1.0430571426028734</v>
      </c>
      <c r="M166" s="9">
        <f>IF(G166&lt;&gt;"",J166/MAX(J$3:J166)-1,"")</f>
        <v>-6.3041829162406859E-3</v>
      </c>
      <c r="N166" s="9">
        <f>IF(G166&lt;&gt;"",K166/MAX(K$3:K166)-1,"")</f>
        <v>0</v>
      </c>
      <c r="O166" s="16">
        <f t="shared" si="16"/>
        <v>-8.0255383551441906E-4</v>
      </c>
      <c r="P166" s="16">
        <f t="shared" si="16"/>
        <v>2.1255506821171721E-4</v>
      </c>
      <c r="Q166" s="16">
        <f t="shared" si="16"/>
        <v>-1.0148931830362695E-3</v>
      </c>
      <c r="R166" s="5">
        <f t="shared" si="11"/>
        <v>4.5460569330824638E-2</v>
      </c>
      <c r="S166" s="5">
        <f t="shared" si="14"/>
        <v>4.3060288426645235E-2</v>
      </c>
    </row>
    <row r="167" spans="7:19" x14ac:dyDescent="0.2">
      <c r="G167" s="8">
        <v>45693</v>
      </c>
      <c r="H167" s="5">
        <v>5.9977200000000001E-2</v>
      </c>
      <c r="I167" s="9">
        <v>1.2507890000000001E-2</v>
      </c>
      <c r="J167" s="10">
        <f t="shared" si="12"/>
        <v>1.0599772000000001</v>
      </c>
      <c r="K167" s="10">
        <f t="shared" si="13"/>
        <v>1.01250789</v>
      </c>
      <c r="L167" s="11">
        <f t="shared" si="15"/>
        <v>1.0468829037964338</v>
      </c>
      <c r="M167" s="9">
        <f>IF(G167&lt;&gt;"",J167/MAX(J$3:J167)-1,"")</f>
        <v>-2.5762691756013867E-3</v>
      </c>
      <c r="N167" s="9">
        <f>IF(G167&lt;&gt;"",K167/MAX(K$3:K167)-1,"")</f>
        <v>0</v>
      </c>
      <c r="O167" s="16">
        <f t="shared" si="16"/>
        <v>3.7515642881336131E-3</v>
      </c>
      <c r="P167" s="16">
        <f t="shared" si="16"/>
        <v>8.3423592834197535E-5</v>
      </c>
      <c r="Q167" s="16">
        <f t="shared" si="16"/>
        <v>3.6678347113499044E-3</v>
      </c>
      <c r="R167" s="5">
        <f t="shared" si="11"/>
        <v>4.5651067016459879E-2</v>
      </c>
      <c r="S167" s="5">
        <f t="shared" si="14"/>
        <v>4.3060288426645235E-2</v>
      </c>
    </row>
    <row r="168" spans="7:19" x14ac:dyDescent="0.2">
      <c r="G168" s="8">
        <v>45694</v>
      </c>
      <c r="H168" s="5">
        <v>6.2938270000000004E-2</v>
      </c>
      <c r="I168" s="9">
        <v>1.2569230000000001E-2</v>
      </c>
      <c r="J168" s="10">
        <f t="shared" si="12"/>
        <v>1.0629382700000001</v>
      </c>
      <c r="K168" s="10">
        <f t="shared" si="13"/>
        <v>1.01256923</v>
      </c>
      <c r="L168" s="11">
        <f t="shared" si="15"/>
        <v>1.0497437987524074</v>
      </c>
      <c r="M168" s="9">
        <f>IF(G168&lt;&gt;"",J168/MAX(J$3:J168)-1,"")</f>
        <v>0</v>
      </c>
      <c r="N168" s="9">
        <f>IF(G168&lt;&gt;"",K168/MAX(K$3:K168)-1,"")</f>
        <v>0</v>
      </c>
      <c r="O168" s="16">
        <f t="shared" si="16"/>
        <v>2.7935223512354224E-3</v>
      </c>
      <c r="P168" s="16">
        <f t="shared" si="16"/>
        <v>6.0582243956552873E-5</v>
      </c>
      <c r="Q168" s="16">
        <f t="shared" si="16"/>
        <v>2.732774549664363E-3</v>
      </c>
      <c r="R168" s="5">
        <f t="shared" si="11"/>
        <v>4.4914737280737929E-2</v>
      </c>
      <c r="S168" s="5">
        <f t="shared" si="14"/>
        <v>4.3060288426645235E-2</v>
      </c>
    </row>
    <row r="169" spans="7:19" x14ac:dyDescent="0.2">
      <c r="G169" s="8">
        <v>45695</v>
      </c>
      <c r="H169" s="5">
        <v>6.3368270000000004E-2</v>
      </c>
      <c r="I169" s="9">
        <v>1.275797E-2</v>
      </c>
      <c r="J169" s="10">
        <f t="shared" si="12"/>
        <v>1.06336827</v>
      </c>
      <c r="K169" s="10">
        <f t="shared" si="13"/>
        <v>1.01275797</v>
      </c>
      <c r="L169" s="11">
        <f t="shared" si="15"/>
        <v>1.0499727491653312</v>
      </c>
      <c r="M169" s="9">
        <f>IF(G169&lt;&gt;"",J169/MAX(J$3:J169)-1,"")</f>
        <v>0</v>
      </c>
      <c r="N169" s="9">
        <f>IF(G169&lt;&gt;"",K169/MAX(K$3:K169)-1,"")</f>
        <v>0</v>
      </c>
      <c r="O169" s="16">
        <f t="shared" si="16"/>
        <v>4.0453901429282624E-4</v>
      </c>
      <c r="P169" s="16">
        <f t="shared" si="16"/>
        <v>1.8639713158186133E-4</v>
      </c>
      <c r="Q169" s="16">
        <f t="shared" si="16"/>
        <v>2.1810122926746445E-4</v>
      </c>
      <c r="R169" s="5">
        <f t="shared" si="11"/>
        <v>4.4828633626875815E-2</v>
      </c>
      <c r="S169" s="5">
        <f t="shared" si="14"/>
        <v>4.3060288426645235E-2</v>
      </c>
    </row>
    <row r="170" spans="7:19" x14ac:dyDescent="0.2">
      <c r="G170" s="8">
        <v>45698</v>
      </c>
      <c r="H170" s="5">
        <v>6.6323179999999995E-2</v>
      </c>
      <c r="I170" s="9">
        <v>1.299143E-2</v>
      </c>
      <c r="J170" s="10">
        <f t="shared" si="12"/>
        <v>1.0663231799999999</v>
      </c>
      <c r="K170" s="10">
        <f t="shared" si="13"/>
        <v>1.01299143</v>
      </c>
      <c r="L170" s="11">
        <f t="shared" si="15"/>
        <v>1.0526477800508143</v>
      </c>
      <c r="M170" s="9">
        <f>IF(G170&lt;&gt;"",J170/MAX(J$3:J170)-1,"")</f>
        <v>0</v>
      </c>
      <c r="N170" s="9">
        <f>IF(G170&lt;&gt;"",K170/MAX(K$3:K170)-1,"")</f>
        <v>0</v>
      </c>
      <c r="O170" s="16">
        <f t="shared" si="16"/>
        <v>2.7788209253223339E-3</v>
      </c>
      <c r="P170" s="16">
        <f t="shared" si="16"/>
        <v>2.3051904494031383E-4</v>
      </c>
      <c r="Q170" s="16">
        <f t="shared" si="16"/>
        <v>2.5477145836494408E-3</v>
      </c>
      <c r="R170" s="5">
        <f t="shared" si="11"/>
        <v>4.4842814590915256E-2</v>
      </c>
      <c r="S170" s="5">
        <f t="shared" si="14"/>
        <v>4.3060288426645235E-2</v>
      </c>
    </row>
    <row r="171" spans="7:19" x14ac:dyDescent="0.2">
      <c r="G171" s="8">
        <v>45699</v>
      </c>
      <c r="H171" s="5">
        <v>6.5324850000000004E-2</v>
      </c>
      <c r="I171" s="9">
        <v>1.3373940000000001E-2</v>
      </c>
      <c r="J171" s="10">
        <f t="shared" si="12"/>
        <v>1.0653248500000001</v>
      </c>
      <c r="K171" s="10">
        <f t="shared" si="13"/>
        <v>1.0133739399999999</v>
      </c>
      <c r="L171" s="11">
        <f t="shared" si="15"/>
        <v>1.051265291073106</v>
      </c>
      <c r="M171" s="9">
        <f>IF(G171&lt;&gt;"",J171/MAX(J$3:J171)-1,"")</f>
        <v>-9.3623586050128882E-4</v>
      </c>
      <c r="N171" s="9">
        <f>IF(G171&lt;&gt;"",K171/MAX(K$3:K171)-1,"")</f>
        <v>0</v>
      </c>
      <c r="O171" s="16">
        <f t="shared" si="16"/>
        <v>-9.3623586050128882E-4</v>
      </c>
      <c r="P171" s="16">
        <f t="shared" si="16"/>
        <v>3.7760437914058365E-4</v>
      </c>
      <c r="Q171" s="16">
        <f t="shared" si="16"/>
        <v>-1.3133443150771251E-3</v>
      </c>
      <c r="R171" s="5">
        <f t="shared" si="11"/>
        <v>4.4163192291742308E-2</v>
      </c>
      <c r="S171" s="5">
        <f t="shared" si="14"/>
        <v>4.3060288426645235E-2</v>
      </c>
    </row>
    <row r="172" spans="7:19" x14ac:dyDescent="0.2">
      <c r="G172" s="8">
        <v>45700</v>
      </c>
      <c r="H172" s="5">
        <v>6.6360970000000005E-2</v>
      </c>
      <c r="I172" s="9">
        <v>1.3502790000000001E-2</v>
      </c>
      <c r="J172" s="10">
        <f t="shared" si="12"/>
        <v>1.0663609700000001</v>
      </c>
      <c r="K172" s="10">
        <f t="shared" si="13"/>
        <v>1.01350279</v>
      </c>
      <c r="L172" s="11">
        <f t="shared" si="15"/>
        <v>1.0521539560833375</v>
      </c>
      <c r="M172" s="9">
        <f>IF(G172&lt;&gt;"",J172/MAX(J$3:J172)-1,"")</f>
        <v>0</v>
      </c>
      <c r="N172" s="9">
        <f>IF(G172&lt;&gt;"",K172/MAX(K$3:K172)-1,"")</f>
        <v>0</v>
      </c>
      <c r="O172" s="16">
        <f t="shared" si="16"/>
        <v>9.7258596755711579E-4</v>
      </c>
      <c r="P172" s="16">
        <f t="shared" si="16"/>
        <v>1.2714951008119257E-4</v>
      </c>
      <c r="Q172" s="16">
        <f t="shared" si="16"/>
        <v>8.4532897431088827E-4</v>
      </c>
      <c r="R172" s="5">
        <f t="shared" si="11"/>
        <v>4.4154841522655031E-2</v>
      </c>
      <c r="S172" s="5">
        <f t="shared" si="14"/>
        <v>4.3060288426645235E-2</v>
      </c>
    </row>
    <row r="173" spans="7:19" x14ac:dyDescent="0.2">
      <c r="G173" s="8">
        <v>45701</v>
      </c>
      <c r="H173" s="5">
        <v>6.8069459999999998E-2</v>
      </c>
      <c r="I173" s="9">
        <v>1.362212E-2</v>
      </c>
      <c r="J173" s="10">
        <f t="shared" si="12"/>
        <v>1.06806946</v>
      </c>
      <c r="K173" s="10">
        <f t="shared" si="13"/>
        <v>1.01362212</v>
      </c>
      <c r="L173" s="11">
        <f t="shared" si="15"/>
        <v>1.0537156193868382</v>
      </c>
      <c r="M173" s="9">
        <f>IF(G173&lt;&gt;"",J173/MAX(J$3:J173)-1,"")</f>
        <v>0</v>
      </c>
      <c r="N173" s="9">
        <f>IF(G173&lt;&gt;"",K173/MAX(K$3:K173)-1,"")</f>
        <v>0</v>
      </c>
      <c r="O173" s="16">
        <f t="shared" si="16"/>
        <v>1.6021685414835396E-3</v>
      </c>
      <c r="P173" s="16">
        <f t="shared" si="16"/>
        <v>1.1774017908727785E-4</v>
      </c>
      <c r="Q173" s="16">
        <f t="shared" si="16"/>
        <v>1.4842536061110412E-3</v>
      </c>
      <c r="R173" s="5">
        <f t="shared" si="11"/>
        <v>4.413870686953935E-2</v>
      </c>
      <c r="S173" s="5">
        <f t="shared" si="14"/>
        <v>4.3060288426645235E-2</v>
      </c>
    </row>
    <row r="174" spans="7:19" x14ac:dyDescent="0.2">
      <c r="G174" s="8">
        <v>45702</v>
      </c>
      <c r="H174" s="5">
        <v>7.1318640000000003E-2</v>
      </c>
      <c r="I174" s="9">
        <v>1.3659589999999999E-2</v>
      </c>
      <c r="J174" s="10">
        <f t="shared" si="12"/>
        <v>1.0713186400000001</v>
      </c>
      <c r="K174" s="10">
        <f t="shared" si="13"/>
        <v>1.0136595900000001</v>
      </c>
      <c r="L174" s="11">
        <f t="shared" si="15"/>
        <v>1.0568820643229944</v>
      </c>
      <c r="M174" s="9">
        <f>IF(G174&lt;&gt;"",J174/MAX(J$3:J174)-1,"")</f>
        <v>0</v>
      </c>
      <c r="N174" s="9">
        <f>IF(G174&lt;&gt;"",K174/MAX(K$3:K174)-1,"")</f>
        <v>0</v>
      </c>
      <c r="O174" s="16">
        <f t="shared" si="16"/>
        <v>3.0421055199911784E-3</v>
      </c>
      <c r="P174" s="16">
        <f t="shared" si="16"/>
        <v>3.6966438735630547E-5</v>
      </c>
      <c r="Q174" s="16">
        <f t="shared" si="16"/>
        <v>3.0050279960722737E-3</v>
      </c>
      <c r="R174" s="5">
        <f t="shared" si="11"/>
        <v>4.4154867114615144E-2</v>
      </c>
      <c r="S174" s="5">
        <f t="shared" si="14"/>
        <v>4.3060288426645235E-2</v>
      </c>
    </row>
    <row r="175" spans="7:19" x14ac:dyDescent="0.2">
      <c r="G175" s="8">
        <v>45705</v>
      </c>
      <c r="H175" s="5">
        <v>7.0673769999999997E-2</v>
      </c>
      <c r="I175" s="9">
        <v>1.380493E-2</v>
      </c>
      <c r="J175" s="10">
        <f t="shared" si="12"/>
        <v>1.07067377</v>
      </c>
      <c r="K175" s="10">
        <f t="shared" si="13"/>
        <v>1.01380493</v>
      </c>
      <c r="L175" s="11">
        <f t="shared" si="15"/>
        <v>1.0560944599075879</v>
      </c>
      <c r="M175" s="9">
        <f>IF(G175&lt;&gt;"",J175/MAX(J$3:J175)-1,"")</f>
        <v>-6.0194042735983722E-4</v>
      </c>
      <c r="N175" s="9">
        <f>IF(G175&lt;&gt;"",K175/MAX(K$3:K175)-1,"")</f>
        <v>0</v>
      </c>
      <c r="O175" s="16">
        <f t="shared" si="16"/>
        <v>-6.0194042735983722E-4</v>
      </c>
      <c r="P175" s="16">
        <f t="shared" si="16"/>
        <v>1.4338146793435591E-4</v>
      </c>
      <c r="Q175" s="16">
        <f t="shared" si="16"/>
        <v>-7.4521504526714466E-4</v>
      </c>
      <c r="R175" s="5">
        <f t="shared" si="11"/>
        <v>4.4187600053804461E-2</v>
      </c>
      <c r="S175" s="5">
        <f t="shared" si="14"/>
        <v>4.3060288426645235E-2</v>
      </c>
    </row>
    <row r="176" spans="7:19" x14ac:dyDescent="0.2">
      <c r="G176" s="8">
        <v>45706</v>
      </c>
      <c r="H176" s="5">
        <v>7.0149669999999997E-2</v>
      </c>
      <c r="I176" s="9">
        <v>1.379676E-2</v>
      </c>
      <c r="J176" s="10">
        <f t="shared" si="12"/>
        <v>1.0701496699999999</v>
      </c>
      <c r="K176" s="10">
        <f t="shared" si="13"/>
        <v>1.01379676</v>
      </c>
      <c r="L176" s="11">
        <f t="shared" si="15"/>
        <v>1.0555860032537487</v>
      </c>
      <c r="M176" s="9">
        <f>IF(G176&lt;&gt;"",J176/MAX(J$3:J176)-1,"")</f>
        <v>-1.0911506216303435E-3</v>
      </c>
      <c r="N176" s="9">
        <f>IF(G176&lt;&gt;"",K176/MAX(K$3:K176)-1,"")</f>
        <v>-8.0587495270290077E-6</v>
      </c>
      <c r="O176" s="16">
        <f t="shared" si="16"/>
        <v>-4.8950484702736663E-4</v>
      </c>
      <c r="P176" s="16">
        <f t="shared" si="16"/>
        <v>-8.0587495270290077E-6</v>
      </c>
      <c r="Q176" s="16">
        <f t="shared" si="16"/>
        <v>-4.8144997738519546E-4</v>
      </c>
      <c r="R176" s="5">
        <f t="shared" si="11"/>
        <v>4.4197248680625009E-2</v>
      </c>
      <c r="S176" s="5">
        <f t="shared" si="14"/>
        <v>4.3060288426645235E-2</v>
      </c>
    </row>
    <row r="177" spans="7:19" x14ac:dyDescent="0.2">
      <c r="G177" s="8">
        <v>45707</v>
      </c>
      <c r="H177" s="5">
        <v>7.1813219999999997E-2</v>
      </c>
      <c r="I177" s="9">
        <v>1.3826979999999999E-2</v>
      </c>
      <c r="J177" s="10">
        <f t="shared" si="12"/>
        <v>1.0718132199999999</v>
      </c>
      <c r="K177" s="10">
        <f t="shared" si="13"/>
        <v>1.0138269799999999</v>
      </c>
      <c r="L177" s="11">
        <f t="shared" si="15"/>
        <v>1.0571954003433603</v>
      </c>
      <c r="M177" s="9">
        <f>IF(G177&lt;&gt;"",J177/MAX(J$3:J177)-1,"")</f>
        <v>0</v>
      </c>
      <c r="N177" s="9">
        <f>IF(G177&lt;&gt;"",K177/MAX(K$3:K177)-1,"")</f>
        <v>0</v>
      </c>
      <c r="O177" s="16">
        <f t="shared" si="16"/>
        <v>1.5545021847269691E-3</v>
      </c>
      <c r="P177" s="16">
        <f t="shared" si="16"/>
        <v>2.9808736023095861E-5</v>
      </c>
      <c r="Q177" s="16">
        <f t="shared" si="16"/>
        <v>1.5246480008741514E-3</v>
      </c>
      <c r="R177" s="5">
        <f t="shared" si="11"/>
        <v>4.3989605924505112E-2</v>
      </c>
      <c r="S177" s="5">
        <f t="shared" si="14"/>
        <v>4.3060288426645235E-2</v>
      </c>
    </row>
    <row r="178" spans="7:19" x14ac:dyDescent="0.2">
      <c r="G178" s="8">
        <v>45708</v>
      </c>
      <c r="H178" s="5">
        <v>6.9865049999999998E-2</v>
      </c>
      <c r="I178" s="9">
        <v>1.39287E-2</v>
      </c>
      <c r="J178" s="10">
        <f t="shared" si="12"/>
        <v>1.06986505</v>
      </c>
      <c r="K178" s="10">
        <f t="shared" si="13"/>
        <v>1.0139286999999999</v>
      </c>
      <c r="L178" s="11">
        <f t="shared" si="15"/>
        <v>1.0551679324197056</v>
      </c>
      <c r="M178" s="9">
        <f>IF(G178&lt;&gt;"",J178/MAX(J$3:J178)-1,"")</f>
        <v>-1.8176394577404942E-3</v>
      </c>
      <c r="N178" s="9">
        <f>IF(G178&lt;&gt;"",K178/MAX(K$3:K178)-1,"")</f>
        <v>0</v>
      </c>
      <c r="O178" s="16">
        <f t="shared" si="16"/>
        <v>-1.8176394577404942E-3</v>
      </c>
      <c r="P178" s="16">
        <f t="shared" si="16"/>
        <v>1.0033270173970266E-4</v>
      </c>
      <c r="Q178" s="16">
        <f t="shared" si="16"/>
        <v>-1.9177797434573041E-3</v>
      </c>
      <c r="R178" s="5">
        <f t="shared" si="11"/>
        <v>4.4104381268789621E-2</v>
      </c>
      <c r="S178" s="5">
        <f t="shared" si="14"/>
        <v>4.3060288426645235E-2</v>
      </c>
    </row>
    <row r="179" spans="7:19" x14ac:dyDescent="0.2">
      <c r="G179" s="8">
        <v>45709</v>
      </c>
      <c r="H179" s="5">
        <v>7.033085E-2</v>
      </c>
      <c r="I179" s="9">
        <v>1.4017740000000001E-2</v>
      </c>
      <c r="J179" s="10">
        <f t="shared" si="12"/>
        <v>1.0703308499999999</v>
      </c>
      <c r="K179" s="10">
        <f t="shared" si="13"/>
        <v>1.0140177399999999</v>
      </c>
      <c r="L179" s="11">
        <f t="shared" si="15"/>
        <v>1.0555346398574843</v>
      </c>
      <c r="M179" s="9">
        <f>IF(G179&lt;&gt;"",J179/MAX(J$3:J179)-1,"")</f>
        <v>-1.3830488114336958E-3</v>
      </c>
      <c r="N179" s="9">
        <f>IF(G179&lt;&gt;"",K179/MAX(K$3:K179)-1,"")</f>
        <v>0</v>
      </c>
      <c r="O179" s="16">
        <f t="shared" si="16"/>
        <v>4.3538201383430675E-4</v>
      </c>
      <c r="P179" s="16">
        <f t="shared" si="16"/>
        <v>8.7816825778741503E-5</v>
      </c>
      <c r="Q179" s="16">
        <f t="shared" si="16"/>
        <v>3.4753466866432881E-4</v>
      </c>
      <c r="R179" s="5">
        <f t="shared" si="11"/>
        <v>4.4022736425739402E-2</v>
      </c>
      <c r="S179" s="5">
        <f t="shared" si="14"/>
        <v>4.3060288426645235E-2</v>
      </c>
    </row>
    <row r="180" spans="7:19" x14ac:dyDescent="0.2">
      <c r="G180" s="8">
        <v>45712</v>
      </c>
      <c r="H180" s="5">
        <v>6.9094219999999998E-2</v>
      </c>
      <c r="I180" s="9">
        <v>1.4149709999999999E-2</v>
      </c>
      <c r="J180" s="10">
        <f t="shared" si="12"/>
        <v>1.06909422</v>
      </c>
      <c r="K180" s="10">
        <f t="shared" si="13"/>
        <v>1.0141497100000001</v>
      </c>
      <c r="L180" s="11">
        <f t="shared" si="15"/>
        <v>1.0541779083090206</v>
      </c>
      <c r="M180" s="9">
        <f>IF(G180&lt;&gt;"",J180/MAX(J$3:J180)-1,"")</f>
        <v>-2.5368226004899297E-3</v>
      </c>
      <c r="N180" s="9">
        <f>IF(G180&lt;&gt;"",K180/MAX(K$3:K180)-1,"")</f>
        <v>0</v>
      </c>
      <c r="O180" s="16">
        <f t="shared" si="16"/>
        <v>-1.1553717245466055E-3</v>
      </c>
      <c r="P180" s="16">
        <f t="shared" si="16"/>
        <v>1.3014565208702145E-4</v>
      </c>
      <c r="Q180" s="16">
        <f t="shared" si="16"/>
        <v>-1.2853500939077334E-3</v>
      </c>
      <c r="R180" s="5">
        <f t="shared" si="11"/>
        <v>4.4074608739186012E-2</v>
      </c>
      <c r="S180" s="5">
        <f t="shared" si="14"/>
        <v>4.3060288426645235E-2</v>
      </c>
    </row>
    <row r="181" spans="7:19" x14ac:dyDescent="0.2">
      <c r="G181" s="8">
        <v>45713</v>
      </c>
      <c r="H181" s="5">
        <v>6.7030809999999996E-2</v>
      </c>
      <c r="I181" s="9">
        <v>1.4200910000000001E-2</v>
      </c>
      <c r="J181" s="10">
        <f t="shared" si="12"/>
        <v>1.0670308099999999</v>
      </c>
      <c r="K181" s="10">
        <f t="shared" si="13"/>
        <v>1.01420091</v>
      </c>
      <c r="L181" s="11">
        <f t="shared" si="15"/>
        <v>1.0520901721533655</v>
      </c>
      <c r="M181" s="9">
        <f>IF(G181&lt;&gt;"",J181/MAX(J$3:J181)-1,"")</f>
        <v>-4.4619807917651855E-3</v>
      </c>
      <c r="N181" s="9">
        <f>IF(G181&lt;&gt;"",K181/MAX(K$3:K181)-1,"")</f>
        <v>0</v>
      </c>
      <c r="O181" s="16">
        <f t="shared" si="16"/>
        <v>-1.9300543968894246E-3</v>
      </c>
      <c r="P181" s="16">
        <f t="shared" si="16"/>
        <v>5.0485642795194963E-5</v>
      </c>
      <c r="Q181" s="16">
        <f t="shared" si="16"/>
        <v>-1.9804400558952606E-3</v>
      </c>
      <c r="R181" s="5">
        <f t="shared" si="11"/>
        <v>4.4107033266887107E-2</v>
      </c>
      <c r="S181" s="5">
        <f t="shared" si="14"/>
        <v>4.3060288426645235E-2</v>
      </c>
    </row>
    <row r="182" spans="7:19" x14ac:dyDescent="0.2">
      <c r="G182" s="8">
        <v>45714</v>
      </c>
      <c r="H182" s="5">
        <v>7.00321E-2</v>
      </c>
      <c r="I182" s="9">
        <v>1.4258659999999999E-2</v>
      </c>
      <c r="J182" s="10">
        <f t="shared" si="12"/>
        <v>1.0700320999999999</v>
      </c>
      <c r="K182" s="10">
        <f t="shared" si="13"/>
        <v>1.0142586600000001</v>
      </c>
      <c r="L182" s="11">
        <f t="shared" si="15"/>
        <v>1.0549893653360571</v>
      </c>
      <c r="M182" s="9">
        <f>IF(G182&lt;&gt;"",J182/MAX(J$3:J182)-1,"")</f>
        <v>-1.661782078037799E-3</v>
      </c>
      <c r="N182" s="9">
        <f>IF(G182&lt;&gt;"",K182/MAX(K$3:K182)-1,"")</f>
        <v>0</v>
      </c>
      <c r="O182" s="16">
        <f t="shared" si="16"/>
        <v>2.8127491463907361E-3</v>
      </c>
      <c r="P182" s="16">
        <f t="shared" si="16"/>
        <v>5.6941380579100809E-5</v>
      </c>
      <c r="Q182" s="16">
        <f t="shared" si="16"/>
        <v>2.7556508552473158E-3</v>
      </c>
      <c r="R182" s="5">
        <f t="shared" si="11"/>
        <v>4.4144948077362418E-2</v>
      </c>
      <c r="S182" s="5">
        <f t="shared" si="14"/>
        <v>4.3060288426645235E-2</v>
      </c>
    </row>
    <row r="183" spans="7:19" x14ac:dyDescent="0.2">
      <c r="G183" s="8">
        <v>45715</v>
      </c>
      <c r="H183" s="5">
        <v>6.7093089999999994E-2</v>
      </c>
      <c r="I183" s="9">
        <v>1.4350069999999999E-2</v>
      </c>
      <c r="J183" s="10">
        <f t="shared" si="12"/>
        <v>1.06709309</v>
      </c>
      <c r="K183" s="10">
        <f t="shared" si="13"/>
        <v>1.0143500700000001</v>
      </c>
      <c r="L183" s="11">
        <f t="shared" si="15"/>
        <v>1.0519968613991419</v>
      </c>
      <c r="M183" s="9">
        <f>IF(G183&lt;&gt;"",J183/MAX(J$3:J183)-1,"")</f>
        <v>-4.4038736525380262E-3</v>
      </c>
      <c r="N183" s="9">
        <f>IF(G183&lt;&gt;"",K183/MAX(K$3:K183)-1,"")</f>
        <v>0</v>
      </c>
      <c r="O183" s="16">
        <f t="shared" si="16"/>
        <v>-2.7466559180794325E-3</v>
      </c>
      <c r="P183" s="16">
        <f t="shared" si="16"/>
        <v>9.0124939135405313E-5</v>
      </c>
      <c r="Q183" s="16">
        <f t="shared" si="16"/>
        <v>-2.8365252155522214E-3</v>
      </c>
      <c r="R183" s="5">
        <f t="shared" si="11"/>
        <v>4.4376976253738959E-2</v>
      </c>
      <c r="S183" s="5">
        <f t="shared" si="14"/>
        <v>4.3060288426645235E-2</v>
      </c>
    </row>
    <row r="184" spans="7:19" x14ac:dyDescent="0.2">
      <c r="G184" s="8">
        <v>45716</v>
      </c>
      <c r="H184" s="5">
        <v>6.5213670000000001E-2</v>
      </c>
      <c r="I184" s="9">
        <v>1.445341E-2</v>
      </c>
      <c r="J184" s="10">
        <f t="shared" si="12"/>
        <v>1.0652136699999999</v>
      </c>
      <c r="K184" s="10">
        <f t="shared" si="13"/>
        <v>1.01445341</v>
      </c>
      <c r="L184" s="11">
        <f t="shared" si="15"/>
        <v>1.050037053944153</v>
      </c>
      <c r="M184" s="9">
        <f>IF(G184&lt;&gt;"",J184/MAX(J$3:J184)-1,"")</f>
        <v>-6.1573694715204574E-3</v>
      </c>
      <c r="N184" s="9">
        <f>IF(G184&lt;&gt;"",K184/MAX(K$3:K184)-1,"")</f>
        <v>0</v>
      </c>
      <c r="O184" s="16">
        <f t="shared" si="16"/>
        <v>-1.7612521509253742E-3</v>
      </c>
      <c r="P184" s="16">
        <f t="shared" si="16"/>
        <v>1.0187804295203051E-4</v>
      </c>
      <c r="Q184" s="16">
        <f t="shared" si="16"/>
        <v>-1.8629404011551998E-3</v>
      </c>
      <c r="R184" s="5">
        <f t="shared" si="11"/>
        <v>4.4346114135758431E-2</v>
      </c>
      <c r="S184" s="5">
        <f t="shared" si="14"/>
        <v>4.3060288426645235E-2</v>
      </c>
    </row>
    <row r="185" spans="7:19" x14ac:dyDescent="0.2">
      <c r="G185" s="8">
        <v>45719</v>
      </c>
      <c r="H185" s="5">
        <v>6.3825939999999998E-2</v>
      </c>
      <c r="I185" s="9">
        <v>1.5203940000000001E-2</v>
      </c>
      <c r="J185" s="10">
        <f t="shared" si="12"/>
        <v>1.0638259400000001</v>
      </c>
      <c r="K185" s="10">
        <f t="shared" si="13"/>
        <v>1.0152039399999999</v>
      </c>
      <c r="L185" s="11">
        <f t="shared" si="15"/>
        <v>1.0478938251559584</v>
      </c>
      <c r="M185" s="9">
        <f>IF(G185&lt;&gt;"",J185/MAX(J$3:J185)-1,"")</f>
        <v>-7.4521193160873578E-3</v>
      </c>
      <c r="N185" s="9">
        <f>IF(G185&lt;&gt;"",K185/MAX(K$3:K185)-1,"")</f>
        <v>0</v>
      </c>
      <c r="O185" s="16">
        <f t="shared" si="16"/>
        <v>-1.3027714899676024E-3</v>
      </c>
      <c r="P185" s="16">
        <f t="shared" si="16"/>
        <v>7.3983683489209362E-4</v>
      </c>
      <c r="Q185" s="16">
        <f t="shared" si="16"/>
        <v>-2.0410982451944948E-3</v>
      </c>
      <c r="R185" s="5">
        <f t="shared" si="11"/>
        <v>4.4338952675255942E-2</v>
      </c>
      <c r="S185" s="5">
        <f t="shared" si="14"/>
        <v>4.3060288426645235E-2</v>
      </c>
    </row>
    <row r="186" spans="7:19" x14ac:dyDescent="0.2">
      <c r="G186" s="8">
        <v>45720</v>
      </c>
      <c r="H186" s="5">
        <v>6.234133E-2</v>
      </c>
      <c r="I186" s="9">
        <v>1.526359E-2</v>
      </c>
      <c r="J186" s="10">
        <f t="shared" si="12"/>
        <v>1.06234133</v>
      </c>
      <c r="K186" s="10">
        <f t="shared" si="13"/>
        <v>1.01526359</v>
      </c>
      <c r="L186" s="11">
        <f t="shared" si="15"/>
        <v>1.0463699678228389</v>
      </c>
      <c r="M186" s="9">
        <f>IF(G186&lt;&gt;"",J186/MAX(J$3:J186)-1,"")</f>
        <v>-8.8372580438967896E-3</v>
      </c>
      <c r="N186" s="9">
        <f>IF(G186&lt;&gt;"",K186/MAX(K$3:K186)-1,"")</f>
        <v>0</v>
      </c>
      <c r="O186" s="16">
        <f t="shared" si="16"/>
        <v>-1.395538446825384E-3</v>
      </c>
      <c r="P186" s="16">
        <f t="shared" si="16"/>
        <v>5.8756667157933151E-5</v>
      </c>
      <c r="Q186" s="16">
        <f t="shared" si="16"/>
        <v>-1.4542096694698525E-3</v>
      </c>
      <c r="R186" s="5">
        <f t="shared" si="11"/>
        <v>4.4362511238783903E-2</v>
      </c>
      <c r="S186" s="5">
        <f t="shared" si="14"/>
        <v>4.3060288426645235E-2</v>
      </c>
    </row>
    <row r="187" spans="7:19" x14ac:dyDescent="0.2">
      <c r="G187" s="8">
        <v>45721</v>
      </c>
      <c r="H187" s="5">
        <v>6.5771049999999998E-2</v>
      </c>
      <c r="I187" s="9">
        <v>1.5318170000000001E-2</v>
      </c>
      <c r="J187" s="10">
        <f t="shared" si="12"/>
        <v>1.0657710499999999</v>
      </c>
      <c r="K187" s="10">
        <f t="shared" si="13"/>
        <v>1.01531817</v>
      </c>
      <c r="L187" s="11">
        <f t="shared" si="15"/>
        <v>1.0496916941809482</v>
      </c>
      <c r="M187" s="9">
        <f>IF(G187&lt;&gt;"",J187/MAX(J$3:J187)-1,"")</f>
        <v>-5.6373348333956796E-3</v>
      </c>
      <c r="N187" s="9">
        <f>IF(G187&lt;&gt;"",K187/MAX(K$3:K187)-1,"")</f>
        <v>0</v>
      </c>
      <c r="O187" s="16">
        <f t="shared" si="16"/>
        <v>3.2284538906153237E-3</v>
      </c>
      <c r="P187" s="16">
        <f t="shared" si="16"/>
        <v>5.3759437980138713E-5</v>
      </c>
      <c r="Q187" s="16">
        <f t="shared" si="16"/>
        <v>3.1745237920204339E-3</v>
      </c>
      <c r="R187" s="5">
        <f t="shared" si="11"/>
        <v>4.4537027369230028E-2</v>
      </c>
      <c r="S187" s="5">
        <f t="shared" si="14"/>
        <v>4.3060288426645235E-2</v>
      </c>
    </row>
    <row r="188" spans="7:19" x14ac:dyDescent="0.2">
      <c r="G188" s="8">
        <v>45722</v>
      </c>
      <c r="H188" s="5">
        <v>6.6278980000000001E-2</v>
      </c>
      <c r="I188" s="9">
        <v>1.5377969999999999E-2</v>
      </c>
      <c r="J188" s="10">
        <f t="shared" si="12"/>
        <v>1.0662789800000001</v>
      </c>
      <c r="K188" s="10">
        <f t="shared" si="13"/>
        <v>1.0153779700000001</v>
      </c>
      <c r="L188" s="11">
        <f t="shared" si="15"/>
        <v>1.050130110662141</v>
      </c>
      <c r="M188" s="9">
        <f>IF(G188&lt;&gt;"",J188/MAX(J$3:J188)-1,"")</f>
        <v>-5.1634369652576728E-3</v>
      </c>
      <c r="N188" s="9">
        <f>IF(G188&lt;&gt;"",K188/MAX(K$3:K188)-1,"")</f>
        <v>0</v>
      </c>
      <c r="O188" s="16">
        <f t="shared" si="16"/>
        <v>4.7658453473675699E-4</v>
      </c>
      <c r="P188" s="16">
        <f t="shared" si="16"/>
        <v>5.8897793585366287E-5</v>
      </c>
      <c r="Q188" s="16">
        <f t="shared" si="16"/>
        <v>4.1766214177285654E-4</v>
      </c>
      <c r="R188" s="5">
        <f t="shared" si="11"/>
        <v>4.4455724151505005E-2</v>
      </c>
      <c r="S188" s="5">
        <f t="shared" si="14"/>
        <v>4.3060288426645235E-2</v>
      </c>
    </row>
    <row r="189" spans="7:19" x14ac:dyDescent="0.2">
      <c r="G189" s="8">
        <v>45723</v>
      </c>
      <c r="H189" s="5">
        <v>6.5568749999999995E-2</v>
      </c>
      <c r="I189" s="9">
        <v>1.546078E-2</v>
      </c>
      <c r="J189" s="10">
        <f t="shared" si="12"/>
        <v>1.06556875</v>
      </c>
      <c r="K189" s="10">
        <f t="shared" si="13"/>
        <v>1.01546078</v>
      </c>
      <c r="L189" s="11">
        <f t="shared" si="15"/>
        <v>1.0493450569307068</v>
      </c>
      <c r="M189" s="9">
        <f>IF(G189&lt;&gt;"",J189/MAX(J$3:J189)-1,"")</f>
        <v>-5.8260804060616955E-3</v>
      </c>
      <c r="N189" s="9">
        <f>IF(G189&lt;&gt;"",K189/MAX(K$3:K189)-1,"")</f>
        <v>0</v>
      </c>
      <c r="O189" s="16">
        <f t="shared" si="16"/>
        <v>-6.6608271692658594E-4</v>
      </c>
      <c r="P189" s="16">
        <f t="shared" si="16"/>
        <v>8.1555836788371749E-5</v>
      </c>
      <c r="Q189" s="16">
        <f t="shared" si="16"/>
        <v>-7.4757758439969457E-4</v>
      </c>
      <c r="R189" s="5">
        <f t="shared" ref="R189:R252" si="17">IF(G189&lt;&gt;"",_xlfn.STDEV.S(Q68:Q189)*SQRT($B$5),"")</f>
        <v>4.4483386499536967E-2</v>
      </c>
      <c r="S189" s="5">
        <f t="shared" si="14"/>
        <v>4.3060288426645235E-2</v>
      </c>
    </row>
    <row r="190" spans="7:19" x14ac:dyDescent="0.2">
      <c r="G190" s="8">
        <v>45726</v>
      </c>
      <c r="H190" s="5">
        <v>6.1215829999999999E-2</v>
      </c>
      <c r="I190" s="9">
        <v>1.563078E-2</v>
      </c>
      <c r="J190" s="10">
        <f t="shared" si="12"/>
        <v>1.0612158300000001</v>
      </c>
      <c r="K190" s="10">
        <f t="shared" si="13"/>
        <v>1.01563078</v>
      </c>
      <c r="L190" s="11">
        <f t="shared" si="15"/>
        <v>1.0448834861030898</v>
      </c>
      <c r="M190" s="9">
        <f>IF(G190&lt;&gt;"",J190/MAX(J$3:J190)-1,"")</f>
        <v>-9.8873477227681139E-3</v>
      </c>
      <c r="N190" s="9">
        <f>IF(G190&lt;&gt;"",K190/MAX(K$3:K190)-1,"")</f>
        <v>0</v>
      </c>
      <c r="O190" s="16">
        <f t="shared" si="16"/>
        <v>-4.085067246951346E-3</v>
      </c>
      <c r="P190" s="16">
        <f t="shared" si="16"/>
        <v>1.6741168477230062E-4</v>
      </c>
      <c r="Q190" s="16">
        <f t="shared" si="16"/>
        <v>-4.2517671362238829E-3</v>
      </c>
      <c r="R190" s="5">
        <f t="shared" si="17"/>
        <v>4.4923846633468684E-2</v>
      </c>
      <c r="S190" s="5">
        <f t="shared" si="14"/>
        <v>4.3060288426645235E-2</v>
      </c>
    </row>
    <row r="191" spans="7:19" x14ac:dyDescent="0.2">
      <c r="G191" s="8">
        <v>45727</v>
      </c>
      <c r="H191" s="5">
        <v>5.9291219999999999E-2</v>
      </c>
      <c r="I191" s="9">
        <v>1.56788E-2</v>
      </c>
      <c r="J191" s="10">
        <f t="shared" si="12"/>
        <v>1.05929122</v>
      </c>
      <c r="K191" s="10">
        <f t="shared" si="13"/>
        <v>1.0156788000000001</v>
      </c>
      <c r="L191" s="11">
        <f t="shared" si="15"/>
        <v>1.0429391851045822</v>
      </c>
      <c r="M191" s="9">
        <f>IF(G191&lt;&gt;"",J191/MAX(J$3:J191)-1,"")</f>
        <v>-1.1683005738630348E-2</v>
      </c>
      <c r="N191" s="9">
        <f>IF(G191&lt;&gt;"",K191/MAX(K$3:K191)-1,"")</f>
        <v>0</v>
      </c>
      <c r="O191" s="16">
        <f t="shared" si="16"/>
        <v>-1.8135896069323421E-3</v>
      </c>
      <c r="P191" s="16">
        <f t="shared" si="16"/>
        <v>4.7280961689821766E-5</v>
      </c>
      <c r="Q191" s="16">
        <f t="shared" si="16"/>
        <v>-1.8607825890318841E-3</v>
      </c>
      <c r="R191" s="5">
        <f t="shared" si="17"/>
        <v>4.4851317144851244E-2</v>
      </c>
      <c r="S191" s="5">
        <f t="shared" si="14"/>
        <v>4.3060288426645235E-2</v>
      </c>
    </row>
    <row r="192" spans="7:19" x14ac:dyDescent="0.2">
      <c r="G192" s="8">
        <v>45728</v>
      </c>
      <c r="H192" s="5">
        <v>5.9150800000000003E-2</v>
      </c>
      <c r="I192" s="9">
        <v>1.5712090000000001E-2</v>
      </c>
      <c r="J192" s="10">
        <f t="shared" si="12"/>
        <v>1.0591508000000001</v>
      </c>
      <c r="K192" s="10">
        <f t="shared" si="13"/>
        <v>1.0157120900000001</v>
      </c>
      <c r="L192" s="11">
        <f t="shared" si="15"/>
        <v>1.0427667548980342</v>
      </c>
      <c r="M192" s="9">
        <f>IF(G192&lt;&gt;"",J192/MAX(J$3:J192)-1,"")</f>
        <v>-1.181401737142207E-2</v>
      </c>
      <c r="N192" s="9">
        <f>IF(G192&lt;&gt;"",K192/MAX(K$3:K192)-1,"")</f>
        <v>0</v>
      </c>
      <c r="O192" s="16">
        <f t="shared" si="16"/>
        <v>-1.3256033595743233E-4</v>
      </c>
      <c r="P192" s="16">
        <f t="shared" si="16"/>
        <v>3.27761099276902E-5</v>
      </c>
      <c r="Q192" s="16">
        <f t="shared" si="16"/>
        <v>-1.6533102697713353E-4</v>
      </c>
      <c r="R192" s="5">
        <f t="shared" si="17"/>
        <v>4.4754966125354928E-2</v>
      </c>
      <c r="S192" s="5">
        <f t="shared" si="14"/>
        <v>4.3060288426645235E-2</v>
      </c>
    </row>
    <row r="193" spans="7:19" x14ac:dyDescent="0.2">
      <c r="G193" s="8">
        <v>45729</v>
      </c>
      <c r="H193" s="5">
        <v>5.736111E-2</v>
      </c>
      <c r="I193" s="9">
        <v>1.5757750000000001E-2</v>
      </c>
      <c r="J193" s="10">
        <f t="shared" si="12"/>
        <v>1.05736111</v>
      </c>
      <c r="K193" s="10">
        <f t="shared" si="13"/>
        <v>1.0157577499999999</v>
      </c>
      <c r="L193" s="11">
        <f t="shared" si="15"/>
        <v>1.0409579547879404</v>
      </c>
      <c r="M193" s="9">
        <f>IF(G193&lt;&gt;"",J193/MAX(J$3:J193)-1,"")</f>
        <v>-1.3483795245593178E-2</v>
      </c>
      <c r="N193" s="9">
        <f>IF(G193&lt;&gt;"",K193/MAX(K$3:K193)-1,"")</f>
        <v>0</v>
      </c>
      <c r="O193" s="16">
        <f t="shared" si="16"/>
        <v>-1.6897404977648245E-3</v>
      </c>
      <c r="P193" s="16">
        <f t="shared" si="16"/>
        <v>4.4953683676185463E-5</v>
      </c>
      <c r="Q193" s="16">
        <f t="shared" si="16"/>
        <v>-1.7346162040529078E-3</v>
      </c>
      <c r="R193" s="5">
        <f t="shared" si="17"/>
        <v>4.4842106653150533E-2</v>
      </c>
      <c r="S193" s="5">
        <f t="shared" si="14"/>
        <v>4.3060288426645235E-2</v>
      </c>
    </row>
    <row r="194" spans="7:19" x14ac:dyDescent="0.2">
      <c r="G194" s="8">
        <v>45730</v>
      </c>
      <c r="H194" s="5">
        <v>6.4437519999999998E-2</v>
      </c>
      <c r="I194" s="9">
        <v>1.5833989999999999E-2</v>
      </c>
      <c r="J194" s="10">
        <f t="shared" si="12"/>
        <v>1.06443752</v>
      </c>
      <c r="K194" s="10">
        <f t="shared" si="13"/>
        <v>1.01583399</v>
      </c>
      <c r="L194" s="11">
        <f t="shared" si="15"/>
        <v>1.0478459378977858</v>
      </c>
      <c r="M194" s="9">
        <f>IF(G194&lt;&gt;"",J194/MAX(J$3:J194)-1,"")</f>
        <v>-6.881516165661683E-3</v>
      </c>
      <c r="N194" s="9">
        <f>IF(G194&lt;&gt;"",K194/MAX(K$3:K194)-1,"")</f>
        <v>0</v>
      </c>
      <c r="O194" s="16">
        <f t="shared" si="16"/>
        <v>6.6925196444949098E-3</v>
      </c>
      <c r="P194" s="16">
        <f t="shared" si="16"/>
        <v>7.5057266361033825E-5</v>
      </c>
      <c r="Q194" s="16">
        <f t="shared" si="16"/>
        <v>6.6169657267747262E-3</v>
      </c>
      <c r="R194" s="5">
        <f t="shared" si="17"/>
        <v>4.5715181109302054E-2</v>
      </c>
      <c r="S194" s="5">
        <f t="shared" si="14"/>
        <v>4.3060288426645235E-2</v>
      </c>
    </row>
    <row r="195" spans="7:19" x14ac:dyDescent="0.2">
      <c r="G195" s="8">
        <v>45733</v>
      </c>
      <c r="H195" s="5">
        <v>6.5427089999999993E-2</v>
      </c>
      <c r="I195" s="9">
        <v>1.603688E-2</v>
      </c>
      <c r="J195" s="10">
        <f t="shared" si="12"/>
        <v>1.06542709</v>
      </c>
      <c r="K195" s="10">
        <f t="shared" si="13"/>
        <v>1.0160368799999999</v>
      </c>
      <c r="L195" s="11">
        <f t="shared" si="15"/>
        <v>1.048610646889117</v>
      </c>
      <c r="M195" s="9">
        <f>IF(G195&lt;&gt;"",J195/MAX(J$3:J195)-1,"")</f>
        <v>-5.9582489568470454E-3</v>
      </c>
      <c r="N195" s="9">
        <f>IF(G195&lt;&gt;"",K195/MAX(K$3:K195)-1,"")</f>
        <v>0</v>
      </c>
      <c r="O195" s="16">
        <f t="shared" si="16"/>
        <v>9.2966471155575547E-4</v>
      </c>
      <c r="P195" s="16">
        <f t="shared" si="16"/>
        <v>1.997275165008805E-4</v>
      </c>
      <c r="Q195" s="16">
        <f t="shared" si="16"/>
        <v>7.2979143562390547E-4</v>
      </c>
      <c r="R195" s="5">
        <f t="shared" si="17"/>
        <v>4.5450017090003243E-2</v>
      </c>
      <c r="S195" s="5">
        <f t="shared" si="14"/>
        <v>4.3060288426645235E-2</v>
      </c>
    </row>
    <row r="196" spans="7:19" x14ac:dyDescent="0.2">
      <c r="G196" s="8">
        <v>45734</v>
      </c>
      <c r="H196" s="5">
        <v>6.6545499999999994E-2</v>
      </c>
      <c r="I196" s="9">
        <v>1.6086610000000001E-2</v>
      </c>
      <c r="J196" s="10">
        <f t="shared" ref="J196:J259" si="18">IF(G196&lt;&gt;"",1+H196,"")</f>
        <v>1.0665454999999999</v>
      </c>
      <c r="K196" s="10">
        <f t="shared" ref="K196:K259" si="19">IF(G196&lt;&gt;"",1+I196,"")</f>
        <v>1.0160866099999999</v>
      </c>
      <c r="L196" s="11">
        <f t="shared" si="15"/>
        <v>1.0496600284891069</v>
      </c>
      <c r="M196" s="9">
        <f>IF(G196&lt;&gt;"",J196/MAX(J$3:J196)-1,"")</f>
        <v>-4.9147742365036606E-3</v>
      </c>
      <c r="N196" s="9">
        <f>IF(G196&lt;&gt;"",K196/MAX(K$3:K196)-1,"")</f>
        <v>0</v>
      </c>
      <c r="O196" s="16">
        <f t="shared" si="16"/>
        <v>1.0497292686635351E-3</v>
      </c>
      <c r="P196" s="16">
        <f t="shared" si="16"/>
        <v>4.8945073725992216E-5</v>
      </c>
      <c r="Q196" s="16">
        <f t="shared" si="16"/>
        <v>1.0007352138785564E-3</v>
      </c>
      <c r="R196" s="5">
        <f t="shared" si="17"/>
        <v>4.5451451722230862E-2</v>
      </c>
      <c r="S196" s="5">
        <f t="shared" ref="S196:S259" si="20">IF(R196&lt;&gt;"",B$12,"")</f>
        <v>4.3060288426645235E-2</v>
      </c>
    </row>
    <row r="197" spans="7:19" x14ac:dyDescent="0.2">
      <c r="G197" s="8">
        <v>45735</v>
      </c>
      <c r="H197" s="5">
        <v>6.8776580000000004E-2</v>
      </c>
      <c r="I197" s="9">
        <v>1.6132549999999999E-2</v>
      </c>
      <c r="J197" s="10">
        <f t="shared" si="18"/>
        <v>1.06877658</v>
      </c>
      <c r="K197" s="10">
        <f t="shared" si="19"/>
        <v>1.01613255</v>
      </c>
      <c r="L197" s="11">
        <f t="shared" ref="L197:L260" si="21">IF(G197&lt;&gt;"",J197/K197,"")</f>
        <v>1.0518082311210284</v>
      </c>
      <c r="M197" s="9">
        <f>IF(G197&lt;&gt;"",J197/MAX(J$3:J197)-1,"")</f>
        <v>-2.8331802065287848E-3</v>
      </c>
      <c r="N197" s="9">
        <f>IF(G197&lt;&gt;"",K197/MAX(K$3:K197)-1,"")</f>
        <v>0</v>
      </c>
      <c r="O197" s="16">
        <f t="shared" ref="O197:Q260" si="22">IF($G197&lt;&gt;"",J197/J196-1,"")</f>
        <v>2.0918751239398237E-3</v>
      </c>
      <c r="P197" s="16">
        <f t="shared" si="22"/>
        <v>4.5212681230033525E-5</v>
      </c>
      <c r="Q197" s="16">
        <f t="shared" si="22"/>
        <v>2.0465699117966363E-3</v>
      </c>
      <c r="R197" s="5">
        <f t="shared" si="17"/>
        <v>4.5442992308409778E-2</v>
      </c>
      <c r="S197" s="5">
        <f t="shared" si="20"/>
        <v>4.3060288426645235E-2</v>
      </c>
    </row>
    <row r="198" spans="7:19" x14ac:dyDescent="0.2">
      <c r="G198" s="8">
        <v>45736</v>
      </c>
      <c r="H198" s="5">
        <v>6.7282519999999998E-2</v>
      </c>
      <c r="I198" s="9">
        <v>1.619514E-2</v>
      </c>
      <c r="J198" s="10">
        <f t="shared" si="18"/>
        <v>1.06728252</v>
      </c>
      <c r="K198" s="10">
        <f t="shared" si="19"/>
        <v>1.01619514</v>
      </c>
      <c r="L198" s="11">
        <f t="shared" si="21"/>
        <v>1.0502731985118527</v>
      </c>
      <c r="M198" s="9">
        <f>IF(G198&lt;&gt;"",J198/MAX(J$3:J198)-1,"")</f>
        <v>-4.2271357690474298E-3</v>
      </c>
      <c r="N198" s="9">
        <f>IF(G198&lt;&gt;"",K198/MAX(K$3:K198)-1,"")</f>
        <v>0</v>
      </c>
      <c r="O198" s="16">
        <f t="shared" si="22"/>
        <v>-1.3979161107740001E-3</v>
      </c>
      <c r="P198" s="16">
        <f t="shared" si="22"/>
        <v>6.1596294695931419E-5</v>
      </c>
      <c r="Q198" s="16">
        <f t="shared" si="22"/>
        <v>-1.4594225104509473E-3</v>
      </c>
      <c r="R198" s="5">
        <f t="shared" si="17"/>
        <v>4.5498627131061599E-2</v>
      </c>
      <c r="S198" s="5">
        <f t="shared" si="20"/>
        <v>4.3060288426645235E-2</v>
      </c>
    </row>
    <row r="199" spans="7:19" x14ac:dyDescent="0.2">
      <c r="G199" s="8">
        <v>45737</v>
      </c>
      <c r="H199" s="5">
        <v>6.4668600000000007E-2</v>
      </c>
      <c r="I199" s="9">
        <v>1.6243029999999999E-2</v>
      </c>
      <c r="J199" s="10">
        <f t="shared" si="18"/>
        <v>1.0646686000000001</v>
      </c>
      <c r="K199" s="10">
        <f t="shared" si="19"/>
        <v>1.01624303</v>
      </c>
      <c r="L199" s="11">
        <f t="shared" si="21"/>
        <v>1.0476515642129423</v>
      </c>
      <c r="M199" s="9">
        <f>IF(G199&lt;&gt;"",J199/MAX(J$3:J199)-1,"")</f>
        <v>-6.6659188995633611E-3</v>
      </c>
      <c r="N199" s="9">
        <f>IF(G199&lt;&gt;"",K199/MAX(K$3:K199)-1,"")</f>
        <v>0</v>
      </c>
      <c r="O199" s="16">
        <f t="shared" si="22"/>
        <v>-2.449135960738813E-3</v>
      </c>
      <c r="P199" s="16">
        <f t="shared" si="22"/>
        <v>4.7126775276629118E-5</v>
      </c>
      <c r="Q199" s="16">
        <f t="shared" si="22"/>
        <v>-2.4961451007462498E-3</v>
      </c>
      <c r="R199" s="5">
        <f t="shared" si="17"/>
        <v>4.5681048929570228E-2</v>
      </c>
      <c r="S199" s="5">
        <f t="shared" si="20"/>
        <v>4.3060288426645235E-2</v>
      </c>
    </row>
    <row r="200" spans="7:19" x14ac:dyDescent="0.2">
      <c r="G200" s="8">
        <v>45740</v>
      </c>
      <c r="H200" s="5">
        <v>6.7681900000000003E-2</v>
      </c>
      <c r="I200" s="9">
        <v>1.638825E-2</v>
      </c>
      <c r="J200" s="10">
        <f t="shared" si="18"/>
        <v>1.0676819</v>
      </c>
      <c r="K200" s="10">
        <f t="shared" si="19"/>
        <v>1.0163882500000001</v>
      </c>
      <c r="L200" s="11">
        <f t="shared" si="21"/>
        <v>1.0504665908918169</v>
      </c>
      <c r="M200" s="9">
        <f>IF(G200&lt;&gt;"",J200/MAX(J$3:J200)-1,"")</f>
        <v>-3.8545148752689995E-3</v>
      </c>
      <c r="N200" s="9">
        <f>IF(G200&lt;&gt;"",K200/MAX(K$3:K200)-1,"")</f>
        <v>0</v>
      </c>
      <c r="O200" s="16">
        <f t="shared" si="22"/>
        <v>2.8302703770919369E-3</v>
      </c>
      <c r="P200" s="16">
        <f t="shared" si="22"/>
        <v>1.4289888905816284E-4</v>
      </c>
      <c r="Q200" s="16">
        <f t="shared" si="22"/>
        <v>2.6869875205020044E-3</v>
      </c>
      <c r="R200" s="5">
        <f t="shared" si="17"/>
        <v>4.5799461001970319E-2</v>
      </c>
      <c r="S200" s="5">
        <f t="shared" si="20"/>
        <v>4.3060288426645235E-2</v>
      </c>
    </row>
    <row r="201" spans="7:19" x14ac:dyDescent="0.2">
      <c r="G201" s="8">
        <v>45741</v>
      </c>
      <c r="H201" s="5">
        <v>6.6937269999999993E-2</v>
      </c>
      <c r="I201" s="9">
        <v>1.6380749999999999E-2</v>
      </c>
      <c r="J201" s="10">
        <f t="shared" si="18"/>
        <v>1.0669372699999999</v>
      </c>
      <c r="K201" s="10">
        <f t="shared" si="19"/>
        <v>1.0163807499999999</v>
      </c>
      <c r="L201" s="11">
        <f t="shared" si="21"/>
        <v>1.049741713427768</v>
      </c>
      <c r="M201" s="9">
        <f>IF(G201&lt;&gt;"",J201/MAX(J$3:J201)-1,"")</f>
        <v>-4.5492534604116841E-3</v>
      </c>
      <c r="N201" s="9">
        <f>IF(G201&lt;&gt;"",K201/MAX(K$3:K201)-1,"")</f>
        <v>-7.3790699569586948E-6</v>
      </c>
      <c r="O201" s="16">
        <f t="shared" si="22"/>
        <v>-6.9742682722262472E-4</v>
      </c>
      <c r="P201" s="16">
        <f t="shared" si="22"/>
        <v>-7.3790699569586948E-6</v>
      </c>
      <c r="Q201" s="16">
        <f t="shared" si="22"/>
        <v>-6.9005284921386245E-4</v>
      </c>
      <c r="R201" s="5">
        <f t="shared" si="17"/>
        <v>4.5824352326740113E-2</v>
      </c>
      <c r="S201" s="5">
        <f t="shared" si="20"/>
        <v>4.3060288426645235E-2</v>
      </c>
    </row>
    <row r="202" spans="7:19" x14ac:dyDescent="0.2">
      <c r="G202" s="8">
        <v>45742</v>
      </c>
      <c r="H202" s="5">
        <v>6.5312990000000001E-2</v>
      </c>
      <c r="I202" s="9">
        <v>1.6419469999999999E-2</v>
      </c>
      <c r="J202" s="10">
        <f t="shared" si="18"/>
        <v>1.06531299</v>
      </c>
      <c r="K202" s="10">
        <f t="shared" si="19"/>
        <v>1.01641947</v>
      </c>
      <c r="L202" s="11">
        <f t="shared" si="21"/>
        <v>1.0481036830197674</v>
      </c>
      <c r="M202" s="9">
        <f>IF(G202&lt;&gt;"",J202/MAX(J$3:J202)-1,"")</f>
        <v>-6.0647040722262568E-3</v>
      </c>
      <c r="N202" s="9">
        <f>IF(G202&lt;&gt;"",K202/MAX(K$3:K202)-1,"")</f>
        <v>0</v>
      </c>
      <c r="O202" s="16">
        <f t="shared" si="22"/>
        <v>-1.5223762874081448E-3</v>
      </c>
      <c r="P202" s="16">
        <f t="shared" si="22"/>
        <v>3.8095959609574237E-5</v>
      </c>
      <c r="Q202" s="16">
        <f t="shared" si="22"/>
        <v>-1.5604128015946905E-3</v>
      </c>
      <c r="R202" s="5">
        <f t="shared" si="17"/>
        <v>4.5600835853119602E-2</v>
      </c>
      <c r="S202" s="5">
        <f t="shared" si="20"/>
        <v>4.3060288426645235E-2</v>
      </c>
    </row>
    <row r="203" spans="7:19" x14ac:dyDescent="0.2">
      <c r="G203" s="8">
        <v>45743</v>
      </c>
      <c r="H203" s="5">
        <v>6.5653160000000002E-2</v>
      </c>
      <c r="I203" s="9">
        <v>1.6497000000000001E-2</v>
      </c>
      <c r="J203" s="10">
        <f t="shared" si="18"/>
        <v>1.0656531600000001</v>
      </c>
      <c r="K203" s="10">
        <f t="shared" si="19"/>
        <v>1.016497</v>
      </c>
      <c r="L203" s="11">
        <f t="shared" si="21"/>
        <v>1.0483583916135513</v>
      </c>
      <c r="M203" s="9">
        <f>IF(G203&lt;&gt;"",J203/MAX(J$3:J203)-1,"")</f>
        <v>-5.7473260126421621E-3</v>
      </c>
      <c r="N203" s="9">
        <f>IF(G203&lt;&gt;"",K203/MAX(K$3:K203)-1,"")</f>
        <v>0</v>
      </c>
      <c r="O203" s="16">
        <f t="shared" si="22"/>
        <v>3.1931460818857005E-4</v>
      </c>
      <c r="P203" s="16">
        <f t="shared" si="22"/>
        <v>7.627756284511733E-5</v>
      </c>
      <c r="Q203" s="16">
        <f t="shared" si="22"/>
        <v>2.4301850848384987E-4</v>
      </c>
      <c r="R203" s="5">
        <f t="shared" si="17"/>
        <v>4.550257580423786E-2</v>
      </c>
      <c r="S203" s="5">
        <f t="shared" si="20"/>
        <v>4.3060288426645235E-2</v>
      </c>
    </row>
    <row r="204" spans="7:19" x14ac:dyDescent="0.2">
      <c r="G204" s="8">
        <v>45744</v>
      </c>
      <c r="H204" s="5">
        <v>6.3272419999999996E-2</v>
      </c>
      <c r="I204" s="9">
        <v>1.653377E-2</v>
      </c>
      <c r="J204" s="10">
        <f t="shared" si="18"/>
        <v>1.0632724200000001</v>
      </c>
      <c r="K204" s="10">
        <f t="shared" si="19"/>
        <v>1.0165337699999999</v>
      </c>
      <c r="L204" s="11">
        <f t="shared" si="21"/>
        <v>1.0459784528358562</v>
      </c>
      <c r="M204" s="9">
        <f>IF(G204&lt;&gt;"",J204/MAX(J$3:J204)-1,"")</f>
        <v>-7.9685525804578106E-3</v>
      </c>
      <c r="N204" s="9">
        <f>IF(G204&lt;&gt;"",K204/MAX(K$3:K204)-1,"")</f>
        <v>0</v>
      </c>
      <c r="O204" s="16">
        <f t="shared" si="22"/>
        <v>-2.234066476188179E-3</v>
      </c>
      <c r="P204" s="16">
        <f t="shared" si="22"/>
        <v>3.6173249896354065E-5</v>
      </c>
      <c r="Q204" s="16">
        <f t="shared" si="22"/>
        <v>-2.270157607106138E-3</v>
      </c>
      <c r="R204" s="5">
        <f t="shared" si="17"/>
        <v>4.565266814314671E-2</v>
      </c>
      <c r="S204" s="5">
        <f t="shared" si="20"/>
        <v>4.3060288426645235E-2</v>
      </c>
    </row>
    <row r="205" spans="7:19" x14ac:dyDescent="0.2">
      <c r="G205" s="8">
        <v>45747</v>
      </c>
      <c r="H205" s="5">
        <v>6.3578899999999994E-2</v>
      </c>
      <c r="I205" s="9">
        <v>1.6721900000000001E-2</v>
      </c>
      <c r="J205" s="10">
        <f t="shared" si="18"/>
        <v>1.0635789</v>
      </c>
      <c r="K205" s="10">
        <f t="shared" si="19"/>
        <v>1.0167219000000001</v>
      </c>
      <c r="L205" s="11">
        <f t="shared" si="21"/>
        <v>1.0460863486859091</v>
      </c>
      <c r="M205" s="9">
        <f>IF(G205&lt;&gt;"",J205/MAX(J$3:J205)-1,"")</f>
        <v>-7.6826072363614939E-3</v>
      </c>
      <c r="N205" s="9">
        <f>IF(G205&lt;&gt;"",K205/MAX(K$3:K205)-1,"")</f>
        <v>0</v>
      </c>
      <c r="O205" s="16">
        <f t="shared" si="22"/>
        <v>2.8824221736134525E-4</v>
      </c>
      <c r="P205" s="16">
        <f t="shared" si="22"/>
        <v>1.8507009363810667E-4</v>
      </c>
      <c r="Q205" s="16">
        <f t="shared" si="22"/>
        <v>1.0315303318186864E-4</v>
      </c>
      <c r="R205" s="5">
        <f t="shared" si="17"/>
        <v>4.4967367743134937E-2</v>
      </c>
      <c r="S205" s="5">
        <f t="shared" si="20"/>
        <v>4.3060288426645235E-2</v>
      </c>
    </row>
    <row r="206" spans="7:19" x14ac:dyDescent="0.2">
      <c r="G206" s="8">
        <v>45748</v>
      </c>
      <c r="H206" s="5">
        <v>6.5455879999999994E-2</v>
      </c>
      <c r="I206" s="9">
        <v>1.677493E-2</v>
      </c>
      <c r="J206" s="10">
        <f t="shared" si="18"/>
        <v>1.06545588</v>
      </c>
      <c r="K206" s="10">
        <f t="shared" si="19"/>
        <v>1.01677493</v>
      </c>
      <c r="L206" s="11">
        <f t="shared" si="21"/>
        <v>1.0478778032027207</v>
      </c>
      <c r="M206" s="9">
        <f>IF(G206&lt;&gt;"",J206/MAX(J$3:J206)-1,"")</f>
        <v>-5.9313879334310649E-3</v>
      </c>
      <c r="N206" s="9">
        <f>IF(G206&lt;&gt;"",K206/MAX(K$3:K206)-1,"")</f>
        <v>0</v>
      </c>
      <c r="O206" s="16">
        <f t="shared" si="22"/>
        <v>1.7647773945119738E-3</v>
      </c>
      <c r="P206" s="16">
        <f t="shared" si="22"/>
        <v>5.2157822114207164E-5</v>
      </c>
      <c r="Q206" s="16">
        <f t="shared" si="22"/>
        <v>1.7125302505496265E-3</v>
      </c>
      <c r="R206" s="5">
        <f t="shared" si="17"/>
        <v>4.5010089306285125E-2</v>
      </c>
      <c r="S206" s="5">
        <f t="shared" si="20"/>
        <v>4.3060288426645235E-2</v>
      </c>
    </row>
    <row r="207" spans="7:19" x14ac:dyDescent="0.2">
      <c r="G207" s="8">
        <v>45749</v>
      </c>
      <c r="H207" s="5">
        <v>6.6745090000000007E-2</v>
      </c>
      <c r="I207" s="9">
        <v>1.6865740000000001E-2</v>
      </c>
      <c r="J207" s="10">
        <f t="shared" si="18"/>
        <v>1.06674509</v>
      </c>
      <c r="K207" s="10">
        <f t="shared" si="19"/>
        <v>1.0168657400000001</v>
      </c>
      <c r="L207" s="11">
        <f t="shared" si="21"/>
        <v>1.0490520508636665</v>
      </c>
      <c r="M207" s="9">
        <f>IF(G207&lt;&gt;"",J207/MAX(J$3:J207)-1,"")</f>
        <v>-4.7285570894525231E-3</v>
      </c>
      <c r="N207" s="9">
        <f>IF(G207&lt;&gt;"",K207/MAX(K$3:K207)-1,"")</f>
        <v>0</v>
      </c>
      <c r="O207" s="16">
        <f t="shared" si="22"/>
        <v>1.2100078700583161E-3</v>
      </c>
      <c r="P207" s="16">
        <f t="shared" si="22"/>
        <v>8.9311800793634433E-5</v>
      </c>
      <c r="Q207" s="16">
        <f t="shared" si="22"/>
        <v>1.1205959868190174E-3</v>
      </c>
      <c r="R207" s="5">
        <f t="shared" si="17"/>
        <v>4.3933678705647732E-2</v>
      </c>
      <c r="S207" s="5">
        <f t="shared" si="20"/>
        <v>4.3060288426645235E-2</v>
      </c>
    </row>
    <row r="208" spans="7:19" x14ac:dyDescent="0.2">
      <c r="G208" s="8">
        <v>45750</v>
      </c>
      <c r="H208" s="5">
        <v>6.0969250000000003E-2</v>
      </c>
      <c r="I208" s="9">
        <v>1.6943110000000001E-2</v>
      </c>
      <c r="J208" s="10">
        <f t="shared" si="18"/>
        <v>1.0609692500000001</v>
      </c>
      <c r="K208" s="10">
        <f t="shared" si="19"/>
        <v>1.0169431099999999</v>
      </c>
      <c r="L208" s="11">
        <f t="shared" si="21"/>
        <v>1.0432926282375816</v>
      </c>
      <c r="M208" s="9">
        <f>IF(G208&lt;&gt;"",J208/MAX(J$3:J208)-1,"")</f>
        <v>-1.0117406463786449E-2</v>
      </c>
      <c r="N208" s="9">
        <f>IF(G208&lt;&gt;"",K208/MAX(K$3:K208)-1,"")</f>
        <v>0</v>
      </c>
      <c r="O208" s="16">
        <f t="shared" si="22"/>
        <v>-5.4144519193426444E-3</v>
      </c>
      <c r="P208" s="16">
        <f t="shared" si="22"/>
        <v>7.6086740811831532E-5</v>
      </c>
      <c r="Q208" s="16">
        <f t="shared" si="22"/>
        <v>-5.4901209347459901E-3</v>
      </c>
      <c r="R208" s="5">
        <f t="shared" si="17"/>
        <v>4.4454270967615901E-2</v>
      </c>
      <c r="S208" s="5">
        <f t="shared" si="20"/>
        <v>4.3060288426645235E-2</v>
      </c>
    </row>
    <row r="209" spans="7:19" x14ac:dyDescent="0.2">
      <c r="G209" s="8">
        <v>45754</v>
      </c>
      <c r="H209" s="5">
        <v>3.5317019999999998E-2</v>
      </c>
      <c r="I209" s="9">
        <v>1.6984969999999999E-2</v>
      </c>
      <c r="J209" s="10">
        <f t="shared" si="18"/>
        <v>1.0353170199999999</v>
      </c>
      <c r="K209" s="10">
        <f t="shared" si="19"/>
        <v>1.01698497</v>
      </c>
      <c r="L209" s="11">
        <f t="shared" si="21"/>
        <v>1.0180258809527931</v>
      </c>
      <c r="M209" s="9">
        <f>IF(G209&lt;&gt;"",J209/MAX(J$3:J209)-1,"")</f>
        <v>-3.4050895546893889E-2</v>
      </c>
      <c r="N209" s="9">
        <f>IF(G209&lt;&gt;"",K209/MAX(K$3:K209)-1,"")</f>
        <v>0</v>
      </c>
      <c r="O209" s="16">
        <f t="shared" si="22"/>
        <v>-2.4178108837744516E-2</v>
      </c>
      <c r="P209" s="16">
        <f t="shared" si="22"/>
        <v>4.1162577914644061E-5</v>
      </c>
      <c r="Q209" s="16">
        <f t="shared" si="22"/>
        <v>-2.421827452904679E-2</v>
      </c>
      <c r="R209" s="5">
        <f t="shared" si="17"/>
        <v>5.4363748079679988E-2</v>
      </c>
      <c r="S209" s="5">
        <f t="shared" si="20"/>
        <v>4.3060288426645235E-2</v>
      </c>
    </row>
    <row r="210" spans="7:19" x14ac:dyDescent="0.2">
      <c r="G210" s="8">
        <v>45755</v>
      </c>
      <c r="H210" s="5">
        <v>3.5254340000000002E-2</v>
      </c>
      <c r="I210" s="9">
        <v>1.720737E-2</v>
      </c>
      <c r="J210" s="10">
        <f t="shared" si="18"/>
        <v>1.0352543400000001</v>
      </c>
      <c r="K210" s="10">
        <f t="shared" si="19"/>
        <v>1.0172073699999999</v>
      </c>
      <c r="L210" s="11">
        <f t="shared" si="21"/>
        <v>1.0177416823081022</v>
      </c>
      <c r="M210" s="9">
        <f>IF(G210&lt;&gt;"",J210/MAX(J$3:J210)-1,"")</f>
        <v>-3.4109375885473692E-2</v>
      </c>
      <c r="N210" s="9">
        <f>IF(G210&lt;&gt;"",K210/MAX(K$3:K210)-1,"")</f>
        <v>0</v>
      </c>
      <c r="O210" s="16">
        <f t="shared" si="22"/>
        <v>-6.0541842536232515E-5</v>
      </c>
      <c r="P210" s="16">
        <f t="shared" si="22"/>
        <v>2.1868563111593353E-4</v>
      </c>
      <c r="Q210" s="16">
        <f t="shared" si="22"/>
        <v>-2.7916642396641489E-4</v>
      </c>
      <c r="R210" s="5">
        <f t="shared" si="17"/>
        <v>5.3433204589342809E-2</v>
      </c>
      <c r="S210" s="5">
        <f t="shared" si="20"/>
        <v>4.3060288426645235E-2</v>
      </c>
    </row>
    <row r="211" spans="7:19" x14ac:dyDescent="0.2">
      <c r="G211" s="8">
        <v>45756</v>
      </c>
      <c r="H211" s="5">
        <v>4.855922E-2</v>
      </c>
      <c r="I211" s="9">
        <v>1.7292499999999999E-2</v>
      </c>
      <c r="J211" s="10">
        <f t="shared" si="18"/>
        <v>1.04855922</v>
      </c>
      <c r="K211" s="10">
        <f t="shared" si="19"/>
        <v>1.0172924999999999</v>
      </c>
      <c r="L211" s="11">
        <f t="shared" si="21"/>
        <v>1.0307352310176277</v>
      </c>
      <c r="M211" s="9">
        <f>IF(G211&lt;&gt;"",J211/MAX(J$3:J211)-1,"")</f>
        <v>-2.1695944373591458E-2</v>
      </c>
      <c r="N211" s="9">
        <f>IF(G211&lt;&gt;"",K211/MAX(K$3:K211)-1,"")</f>
        <v>0</v>
      </c>
      <c r="O211" s="16">
        <f t="shared" si="22"/>
        <v>1.2851798331992459E-2</v>
      </c>
      <c r="P211" s="16">
        <f t="shared" si="22"/>
        <v>8.3689916639206885E-5</v>
      </c>
      <c r="Q211" s="16">
        <f t="shared" si="22"/>
        <v>1.276703994284456E-2</v>
      </c>
      <c r="R211" s="5">
        <f t="shared" si="17"/>
        <v>5.4010227627151033E-2</v>
      </c>
      <c r="S211" s="5">
        <f t="shared" si="20"/>
        <v>4.3060288426645235E-2</v>
      </c>
    </row>
    <row r="212" spans="7:19" x14ac:dyDescent="0.2">
      <c r="G212" s="8">
        <v>45757</v>
      </c>
      <c r="H212" s="5">
        <v>4.7244960000000003E-2</v>
      </c>
      <c r="I212" s="9">
        <v>1.7372909999999998E-2</v>
      </c>
      <c r="J212" s="10">
        <f t="shared" si="18"/>
        <v>1.04724496</v>
      </c>
      <c r="K212" s="10">
        <f t="shared" si="19"/>
        <v>1.01737291</v>
      </c>
      <c r="L212" s="11">
        <f t="shared" si="21"/>
        <v>1.0293619475281683</v>
      </c>
      <c r="M212" s="9">
        <f>IF(G212&lt;&gt;"",J212/MAX(J$3:J212)-1,"")</f>
        <v>-2.2922146827037526E-2</v>
      </c>
      <c r="N212" s="9">
        <f>IF(G212&lt;&gt;"",K212/MAX(K$3:K212)-1,"")</f>
        <v>0</v>
      </c>
      <c r="O212" s="16">
        <f t="shared" si="22"/>
        <v>-1.2533960647449494E-3</v>
      </c>
      <c r="P212" s="16">
        <f t="shared" si="22"/>
        <v>7.9043146391066799E-5</v>
      </c>
      <c r="Q212" s="16">
        <f t="shared" si="22"/>
        <v>-1.3323338992725642E-3</v>
      </c>
      <c r="R212" s="5">
        <f t="shared" si="17"/>
        <v>5.3757663263172911E-2</v>
      </c>
      <c r="S212" s="5">
        <f t="shared" si="20"/>
        <v>4.3060288426645235E-2</v>
      </c>
    </row>
    <row r="213" spans="7:19" x14ac:dyDescent="0.2">
      <c r="G213" s="8">
        <v>45758</v>
      </c>
      <c r="H213" s="5">
        <v>5.0416999999999997E-2</v>
      </c>
      <c r="I213" s="9">
        <v>1.7434700000000001E-2</v>
      </c>
      <c r="J213" s="10">
        <f t="shared" si="18"/>
        <v>1.0504169999999999</v>
      </c>
      <c r="K213" s="10">
        <f t="shared" si="19"/>
        <v>1.0174346999999999</v>
      </c>
      <c r="L213" s="11">
        <f t="shared" si="21"/>
        <v>1.0324171172852665</v>
      </c>
      <c r="M213" s="9">
        <f>IF(G213&lt;&gt;"",J213/MAX(J$3:J213)-1,"")</f>
        <v>-1.9962638639594243E-2</v>
      </c>
      <c r="N213" s="9">
        <f>IF(G213&lt;&gt;"",K213/MAX(K$3:K213)-1,"")</f>
        <v>0</v>
      </c>
      <c r="O213" s="16">
        <f t="shared" si="22"/>
        <v>3.0289379478130041E-3</v>
      </c>
      <c r="P213" s="16">
        <f t="shared" si="22"/>
        <v>6.0734858764677213E-5</v>
      </c>
      <c r="Q213" s="16">
        <f t="shared" si="22"/>
        <v>2.9680228266011355E-3</v>
      </c>
      <c r="R213" s="5">
        <f t="shared" si="17"/>
        <v>5.3829270244061506E-2</v>
      </c>
      <c r="S213" s="5">
        <f t="shared" si="20"/>
        <v>4.3060288426645235E-2</v>
      </c>
    </row>
    <row r="214" spans="7:19" x14ac:dyDescent="0.2">
      <c r="G214" s="8">
        <v>45761</v>
      </c>
      <c r="H214" s="5">
        <v>5.4917479999999998E-2</v>
      </c>
      <c r="I214" s="9">
        <v>1.7493740000000001E-2</v>
      </c>
      <c r="J214" s="10">
        <f t="shared" si="18"/>
        <v>1.0549174800000001</v>
      </c>
      <c r="K214" s="10">
        <f t="shared" si="19"/>
        <v>1.0174937399999999</v>
      </c>
      <c r="L214" s="11">
        <f t="shared" si="21"/>
        <v>1.036780314736875</v>
      </c>
      <c r="M214" s="9">
        <f>IF(G214&lt;&gt;"",J214/MAX(J$3:J214)-1,"")</f>
        <v>-1.5763698081648791E-2</v>
      </c>
      <c r="N214" s="9">
        <f>IF(G214&lt;&gt;"",K214/MAX(K$3:K214)-1,"")</f>
        <v>0</v>
      </c>
      <c r="O214" s="16">
        <f t="shared" si="22"/>
        <v>4.2844698819612947E-3</v>
      </c>
      <c r="P214" s="16">
        <f t="shared" si="22"/>
        <v>5.8028294100953559E-5</v>
      </c>
      <c r="Q214" s="16">
        <f t="shared" si="22"/>
        <v>4.226196348895872E-3</v>
      </c>
      <c r="R214" s="5">
        <f t="shared" si="17"/>
        <v>5.3858573049282203E-2</v>
      </c>
      <c r="S214" s="5">
        <f t="shared" si="20"/>
        <v>4.3060288426645235E-2</v>
      </c>
    </row>
    <row r="215" spans="7:19" x14ac:dyDescent="0.2">
      <c r="G215" s="8">
        <v>45762</v>
      </c>
      <c r="H215" s="5">
        <v>5.5233160000000003E-2</v>
      </c>
      <c r="I215" s="9">
        <v>1.7684600000000002E-2</v>
      </c>
      <c r="J215" s="10">
        <f t="shared" si="18"/>
        <v>1.05523316</v>
      </c>
      <c r="K215" s="10">
        <f t="shared" si="19"/>
        <v>1.0176845999999999</v>
      </c>
      <c r="L215" s="11">
        <f t="shared" si="21"/>
        <v>1.0368960677993948</v>
      </c>
      <c r="M215" s="9">
        <f>IF(G215&lt;&gt;"",J215/MAX(J$3:J215)-1,"")</f>
        <v>-1.5469169152438567E-2</v>
      </c>
      <c r="N215" s="9">
        <f>IF(G215&lt;&gt;"",K215/MAX(K$3:K215)-1,"")</f>
        <v>0</v>
      </c>
      <c r="O215" s="16">
        <f t="shared" si="22"/>
        <v>2.9924615525378506E-4</v>
      </c>
      <c r="P215" s="16">
        <f t="shared" si="22"/>
        <v>1.8757854962325737E-4</v>
      </c>
      <c r="Q215" s="16">
        <f t="shared" si="22"/>
        <v>1.1164666311125337E-4</v>
      </c>
      <c r="R215" s="5">
        <f t="shared" si="17"/>
        <v>5.3559615896232982E-2</v>
      </c>
      <c r="S215" s="5">
        <f t="shared" si="20"/>
        <v>4.3060288426645235E-2</v>
      </c>
    </row>
    <row r="216" spans="7:19" x14ac:dyDescent="0.2">
      <c r="G216" s="8">
        <v>45763</v>
      </c>
      <c r="H216" s="5">
        <v>5.2810709999999997E-2</v>
      </c>
      <c r="I216" s="9">
        <v>1.77305E-2</v>
      </c>
      <c r="J216" s="10">
        <f t="shared" si="18"/>
        <v>1.0528107099999999</v>
      </c>
      <c r="K216" s="10">
        <f t="shared" si="19"/>
        <v>1.0177305000000001</v>
      </c>
      <c r="L216" s="11">
        <f t="shared" si="21"/>
        <v>1.0344690563955781</v>
      </c>
      <c r="M216" s="9">
        <f>IF(G216&lt;&gt;"",J216/MAX(J$3:J216)-1,"")</f>
        <v>-1.7729311082764987E-2</v>
      </c>
      <c r="N216" s="9">
        <f>IF(G216&lt;&gt;"",K216/MAX(K$3:K216)-1,"")</f>
        <v>0</v>
      </c>
      <c r="O216" s="16">
        <f t="shared" si="22"/>
        <v>-2.2956537870739702E-3</v>
      </c>
      <c r="P216" s="16">
        <f t="shared" si="22"/>
        <v>4.5102382408179764E-5</v>
      </c>
      <c r="Q216" s="16">
        <f t="shared" si="22"/>
        <v>-2.340650600563654E-3</v>
      </c>
      <c r="R216" s="5">
        <f t="shared" si="17"/>
        <v>5.358439343294133E-2</v>
      </c>
      <c r="S216" s="5">
        <f t="shared" si="20"/>
        <v>4.3060288426645235E-2</v>
      </c>
    </row>
    <row r="217" spans="7:19" x14ac:dyDescent="0.2">
      <c r="G217" s="8">
        <v>45764</v>
      </c>
      <c r="H217" s="5">
        <v>5.3475439999999999E-2</v>
      </c>
      <c r="I217" s="9">
        <v>1.7788579999999998E-2</v>
      </c>
      <c r="J217" s="10">
        <f t="shared" si="18"/>
        <v>1.0534754399999999</v>
      </c>
      <c r="K217" s="10">
        <f t="shared" si="19"/>
        <v>1.0177885799999999</v>
      </c>
      <c r="L217" s="11">
        <f t="shared" si="21"/>
        <v>1.0350631365897227</v>
      </c>
      <c r="M217" s="9">
        <f>IF(G217&lt;&gt;"",J217/MAX(J$3:J217)-1,"")</f>
        <v>-1.7109119068339118E-2</v>
      </c>
      <c r="N217" s="9">
        <f>IF(G217&lt;&gt;"",K217/MAX(K$3:K217)-1,"")</f>
        <v>0</v>
      </c>
      <c r="O217" s="16">
        <f t="shared" si="22"/>
        <v>6.3138605419399418E-4</v>
      </c>
      <c r="P217" s="16">
        <f t="shared" si="22"/>
        <v>5.7068153111128339E-5</v>
      </c>
      <c r="Q217" s="16">
        <f t="shared" si="22"/>
        <v>5.7428512769108764E-4</v>
      </c>
      <c r="R217" s="5">
        <f t="shared" si="17"/>
        <v>5.3539613284239805E-2</v>
      </c>
      <c r="S217" s="5">
        <f t="shared" si="20"/>
        <v>4.3060288426645235E-2</v>
      </c>
    </row>
    <row r="218" spans="7:19" x14ac:dyDescent="0.2">
      <c r="G218" s="8">
        <v>45765</v>
      </c>
      <c r="H218" s="5">
        <v>5.3739469999999998E-2</v>
      </c>
      <c r="I218" s="9">
        <v>1.7863810000000001E-2</v>
      </c>
      <c r="J218" s="10">
        <f t="shared" si="18"/>
        <v>1.05373947</v>
      </c>
      <c r="K218" s="10">
        <f t="shared" si="19"/>
        <v>1.0178638099999999</v>
      </c>
      <c r="L218" s="11">
        <f t="shared" si="21"/>
        <v>1.03524603158845</v>
      </c>
      <c r="M218" s="9">
        <f>IF(G218&lt;&gt;"",J218/MAX(J$3:J218)-1,"")</f>
        <v>-1.6862779505555925E-2</v>
      </c>
      <c r="N218" s="9">
        <f>IF(G218&lt;&gt;"",K218/MAX(K$3:K218)-1,"")</f>
        <v>0</v>
      </c>
      <c r="O218" s="16">
        <f t="shared" si="22"/>
        <v>2.5062757988947304E-4</v>
      </c>
      <c r="P218" s="16">
        <f t="shared" si="22"/>
        <v>7.3915154363390911E-5</v>
      </c>
      <c r="Q218" s="16">
        <f t="shared" si="22"/>
        <v>1.766993647651649E-4</v>
      </c>
      <c r="R218" s="5">
        <f t="shared" si="17"/>
        <v>5.2860724138666312E-2</v>
      </c>
      <c r="S218" s="5">
        <f t="shared" si="20"/>
        <v>4.3060288426645235E-2</v>
      </c>
    </row>
    <row r="219" spans="7:19" x14ac:dyDescent="0.2">
      <c r="G219" s="8">
        <v>45768</v>
      </c>
      <c r="H219" s="5">
        <v>5.1712670000000002E-2</v>
      </c>
      <c r="I219" s="9">
        <v>1.7950440000000002E-2</v>
      </c>
      <c r="J219" s="10">
        <f t="shared" si="18"/>
        <v>1.0517126699999999</v>
      </c>
      <c r="K219" s="10">
        <f t="shared" si="19"/>
        <v>1.0179504399999999</v>
      </c>
      <c r="L219" s="11">
        <f t="shared" si="21"/>
        <v>1.0331668700884888</v>
      </c>
      <c r="M219" s="9">
        <f>IF(G219&lt;&gt;"",J219/MAX(J$3:J219)-1,"")</f>
        <v>-1.8753780626068361E-2</v>
      </c>
      <c r="N219" s="9">
        <f>IF(G219&lt;&gt;"",K219/MAX(K$3:K219)-1,"")</f>
        <v>0</v>
      </c>
      <c r="O219" s="16">
        <f t="shared" si="22"/>
        <v>-1.9234355907727929E-3</v>
      </c>
      <c r="P219" s="16">
        <f t="shared" si="22"/>
        <v>8.5109617955714256E-5</v>
      </c>
      <c r="Q219" s="16">
        <f t="shared" si="22"/>
        <v>-2.0083742767609269E-3</v>
      </c>
      <c r="R219" s="5">
        <f t="shared" si="17"/>
        <v>5.2799976602145776E-2</v>
      </c>
      <c r="S219" s="5">
        <f t="shared" si="20"/>
        <v>4.3060288426645235E-2</v>
      </c>
    </row>
    <row r="220" spans="7:19" x14ac:dyDescent="0.2">
      <c r="G220" s="8">
        <v>45769</v>
      </c>
      <c r="H220" s="5">
        <v>5.6711749999999998E-2</v>
      </c>
      <c r="I220" s="9">
        <v>1.8197459999999999E-2</v>
      </c>
      <c r="J220" s="10">
        <f t="shared" si="18"/>
        <v>1.0567117500000001</v>
      </c>
      <c r="K220" s="10">
        <f t="shared" si="19"/>
        <v>1.0181974600000001</v>
      </c>
      <c r="L220" s="11">
        <f t="shared" si="21"/>
        <v>1.0378259537202146</v>
      </c>
      <c r="M220" s="9">
        <f>IF(G220&lt;&gt;"",J220/MAX(J$3:J220)-1,"")</f>
        <v>-1.4089647074888467E-2</v>
      </c>
      <c r="N220" s="9">
        <f>IF(G220&lt;&gt;"",K220/MAX(K$3:K220)-1,"")</f>
        <v>0</v>
      </c>
      <c r="O220" s="16">
        <f t="shared" si="22"/>
        <v>4.7532754359611573E-3</v>
      </c>
      <c r="P220" s="16">
        <f t="shared" si="22"/>
        <v>2.4266407311568372E-4</v>
      </c>
      <c r="Q220" s="16">
        <f t="shared" si="22"/>
        <v>4.5095170650668592E-3</v>
      </c>
      <c r="R220" s="5">
        <f t="shared" si="17"/>
        <v>5.3137905811959103E-2</v>
      </c>
      <c r="S220" s="5">
        <f t="shared" si="20"/>
        <v>4.3060288426645235E-2</v>
      </c>
    </row>
    <row r="221" spans="7:19" x14ac:dyDescent="0.2">
      <c r="G221" s="8">
        <v>45770</v>
      </c>
      <c r="H221" s="5">
        <v>5.8902700000000002E-2</v>
      </c>
      <c r="I221" s="9">
        <v>1.827529E-2</v>
      </c>
      <c r="J221" s="10">
        <f t="shared" si="18"/>
        <v>1.0589027</v>
      </c>
      <c r="K221" s="10">
        <f t="shared" si="19"/>
        <v>1.0182752900000001</v>
      </c>
      <c r="L221" s="11">
        <f t="shared" si="21"/>
        <v>1.0398982577687808</v>
      </c>
      <c r="M221" s="9">
        <f>IF(G221&lt;&gt;"",J221/MAX(J$3:J221)-1,"")</f>
        <v>-1.2045494269981027E-2</v>
      </c>
      <c r="N221" s="9">
        <f>IF(G221&lt;&gt;"",K221/MAX(K$3:K221)-1,"")</f>
        <v>0</v>
      </c>
      <c r="O221" s="16">
        <f t="shared" si="22"/>
        <v>2.073365797247817E-3</v>
      </c>
      <c r="P221" s="16">
        <f t="shared" si="22"/>
        <v>7.6439004277117917E-5</v>
      </c>
      <c r="Q221" s="16">
        <f t="shared" si="22"/>
        <v>1.9967741615418699E-3</v>
      </c>
      <c r="R221" s="5">
        <f t="shared" si="17"/>
        <v>5.3206100079986232E-2</v>
      </c>
      <c r="S221" s="5">
        <f t="shared" si="20"/>
        <v>4.3060288426645235E-2</v>
      </c>
    </row>
    <row r="222" spans="7:19" x14ac:dyDescent="0.2">
      <c r="G222" s="8">
        <v>45771</v>
      </c>
      <c r="H222" s="5">
        <v>6.1795940000000001E-2</v>
      </c>
      <c r="I222" s="9">
        <v>1.8327550000000001E-2</v>
      </c>
      <c r="J222" s="10">
        <f t="shared" si="18"/>
        <v>1.0617959400000001</v>
      </c>
      <c r="K222" s="10">
        <f t="shared" si="19"/>
        <v>1.01832755</v>
      </c>
      <c r="L222" s="11">
        <f t="shared" si="21"/>
        <v>1.0426860591172262</v>
      </c>
      <c r="M222" s="9">
        <f>IF(G222&lt;&gt;"",J222/MAX(J$3:J222)-1,"")</f>
        <v>-9.3461060314219413E-3</v>
      </c>
      <c r="N222" s="9">
        <f>IF(G222&lt;&gt;"",K222/MAX(K$3:K222)-1,"")</f>
        <v>0</v>
      </c>
      <c r="O222" s="16">
        <f t="shared" si="22"/>
        <v>2.7323001442909334E-3</v>
      </c>
      <c r="P222" s="16">
        <f t="shared" si="22"/>
        <v>5.1322074210213842E-5</v>
      </c>
      <c r="Q222" s="16">
        <f t="shared" si="22"/>
        <v>2.680840483786362E-3</v>
      </c>
      <c r="R222" s="5">
        <f t="shared" si="17"/>
        <v>5.3295981455033337E-2</v>
      </c>
      <c r="S222" s="5">
        <f t="shared" si="20"/>
        <v>4.3060288426645235E-2</v>
      </c>
    </row>
    <row r="223" spans="7:19" x14ac:dyDescent="0.2">
      <c r="G223" s="8">
        <v>45772</v>
      </c>
      <c r="H223" s="5">
        <v>6.3189670000000003E-2</v>
      </c>
      <c r="I223" s="9">
        <v>1.8429850000000001E-2</v>
      </c>
      <c r="J223" s="10">
        <f t="shared" si="18"/>
        <v>1.0631896700000001</v>
      </c>
      <c r="K223" s="10">
        <f t="shared" si="19"/>
        <v>1.01842985</v>
      </c>
      <c r="L223" s="11">
        <f t="shared" si="21"/>
        <v>1.0439498312033961</v>
      </c>
      <c r="M223" s="9">
        <f>IF(G223&lt;&gt;"",J223/MAX(J$3:J223)-1,"")</f>
        <v>-8.0457581965631686E-3</v>
      </c>
      <c r="N223" s="9">
        <f>IF(G223&lt;&gt;"",K223/MAX(K$3:K223)-1,"")</f>
        <v>0</v>
      </c>
      <c r="O223" s="16">
        <f t="shared" si="22"/>
        <v>1.3126156801841482E-3</v>
      </c>
      <c r="P223" s="16">
        <f t="shared" si="22"/>
        <v>1.004588356663394E-4</v>
      </c>
      <c r="Q223" s="16">
        <f t="shared" si="22"/>
        <v>1.212035084884322E-3</v>
      </c>
      <c r="R223" s="5">
        <f t="shared" si="17"/>
        <v>5.3310091736765049E-2</v>
      </c>
      <c r="S223" s="5">
        <f t="shared" si="20"/>
        <v>4.3060288426645235E-2</v>
      </c>
    </row>
    <row r="224" spans="7:19" x14ac:dyDescent="0.2">
      <c r="G224" s="8">
        <v>45775</v>
      </c>
      <c r="H224" s="5">
        <v>6.3046169999999999E-2</v>
      </c>
      <c r="I224" s="9">
        <v>1.850477E-2</v>
      </c>
      <c r="J224" s="10">
        <f t="shared" si="18"/>
        <v>1.06304617</v>
      </c>
      <c r="K224" s="10">
        <f t="shared" si="19"/>
        <v>1.0185047700000001</v>
      </c>
      <c r="L224" s="11">
        <f t="shared" si="21"/>
        <v>1.0437321466840062</v>
      </c>
      <c r="M224" s="9">
        <f>IF(G224&lt;&gt;"",J224/MAX(J$3:J224)-1,"")</f>
        <v>-8.1796434643713889E-3</v>
      </c>
      <c r="N224" s="9">
        <f>IF(G224&lt;&gt;"",K224/MAX(K$3:K224)-1,"")</f>
        <v>0</v>
      </c>
      <c r="O224" s="16">
        <f t="shared" si="22"/>
        <v>-1.3497121355598996E-4</v>
      </c>
      <c r="P224" s="16">
        <f t="shared" si="22"/>
        <v>7.3564222415667402E-5</v>
      </c>
      <c r="Q224" s="16">
        <f t="shared" si="22"/>
        <v>-2.0852009635274893E-4</v>
      </c>
      <c r="R224" s="5">
        <f t="shared" si="17"/>
        <v>5.326002889684401E-2</v>
      </c>
      <c r="S224" s="5">
        <f t="shared" si="20"/>
        <v>4.3060288426645235E-2</v>
      </c>
    </row>
    <row r="225" spans="7:19" x14ac:dyDescent="0.2">
      <c r="G225" s="8">
        <v>45776</v>
      </c>
      <c r="H225" s="5">
        <v>6.4401169999999994E-2</v>
      </c>
      <c r="I225" s="9">
        <v>1.8720750000000001E-2</v>
      </c>
      <c r="J225" s="10">
        <f t="shared" si="18"/>
        <v>1.06440117</v>
      </c>
      <c r="K225" s="10">
        <f t="shared" si="19"/>
        <v>1.01872075</v>
      </c>
      <c r="L225" s="11">
        <f t="shared" si="21"/>
        <v>1.0448409635319591</v>
      </c>
      <c r="M225" s="9">
        <f>IF(G225&lt;&gt;"",J225/MAX(J$3:J225)-1,"")</f>
        <v>-6.9154306568450785E-3</v>
      </c>
      <c r="N225" s="9">
        <f>IF(G225&lt;&gt;"",K225/MAX(K$3:K225)-1,"")</f>
        <v>0</v>
      </c>
      <c r="O225" s="16">
        <f t="shared" si="22"/>
        <v>1.2746388992681545E-3</v>
      </c>
      <c r="P225" s="16">
        <f t="shared" si="22"/>
        <v>2.120559533558275E-4</v>
      </c>
      <c r="Q225" s="16">
        <f t="shared" si="22"/>
        <v>1.0623576666444201E-3</v>
      </c>
      <c r="R225" s="5">
        <f t="shared" si="17"/>
        <v>5.3275874295032701E-2</v>
      </c>
      <c r="S225" s="5">
        <f t="shared" si="20"/>
        <v>4.3060288426645235E-2</v>
      </c>
    </row>
    <row r="226" spans="7:19" x14ac:dyDescent="0.2">
      <c r="G226" s="8">
        <v>45777</v>
      </c>
      <c r="H226" s="5">
        <v>6.5236589999999997E-2</v>
      </c>
      <c r="I226" s="9">
        <v>1.877384E-2</v>
      </c>
      <c r="J226" s="10">
        <f t="shared" si="18"/>
        <v>1.06523659</v>
      </c>
      <c r="K226" s="10">
        <f t="shared" si="19"/>
        <v>1.0187738399999999</v>
      </c>
      <c r="L226" s="11">
        <f t="shared" si="21"/>
        <v>1.0456065401129657</v>
      </c>
      <c r="M226" s="9">
        <f>IF(G226&lt;&gt;"",J226/MAX(J$3:J226)-1,"")</f>
        <v>-6.1359851486062489E-3</v>
      </c>
      <c r="N226" s="9">
        <f>IF(G226&lt;&gt;"",K226/MAX(K$3:K226)-1,"")</f>
        <v>0</v>
      </c>
      <c r="O226" s="16">
        <f t="shared" si="22"/>
        <v>7.8487324473730524E-4</v>
      </c>
      <c r="P226" s="16">
        <f t="shared" si="22"/>
        <v>5.2114379725631821E-5</v>
      </c>
      <c r="Q226" s="16">
        <f t="shared" si="22"/>
        <v>7.327206797278496E-4</v>
      </c>
      <c r="R226" s="5">
        <f t="shared" si="17"/>
        <v>5.3245178393780387E-2</v>
      </c>
      <c r="S226" s="5">
        <f t="shared" si="20"/>
        <v>4.3060288426645235E-2</v>
      </c>
    </row>
    <row r="227" spans="7:19" x14ac:dyDescent="0.2">
      <c r="G227" s="8">
        <v>45783</v>
      </c>
      <c r="H227" s="5">
        <v>6.8607979999999999E-2</v>
      </c>
      <c r="I227" s="9">
        <v>1.8813659999999999E-2</v>
      </c>
      <c r="J227" s="10">
        <f t="shared" si="18"/>
        <v>1.0686079799999999</v>
      </c>
      <c r="K227" s="10">
        <f t="shared" si="19"/>
        <v>1.01881366</v>
      </c>
      <c r="L227" s="11">
        <f t="shared" si="21"/>
        <v>1.0488748060170296</v>
      </c>
      <c r="M227" s="9">
        <f>IF(G227&lt;&gt;"",J227/MAX(J$3:J227)-1,"")</f>
        <v>-2.9904837337236811E-3</v>
      </c>
      <c r="N227" s="9">
        <f>IF(G227&lt;&gt;"",K227/MAX(K$3:K227)-1,"")</f>
        <v>0</v>
      </c>
      <c r="O227" s="16">
        <f t="shared" si="22"/>
        <v>3.1649213251301322E-3</v>
      </c>
      <c r="P227" s="16">
        <f t="shared" si="22"/>
        <v>3.9086201899296569E-5</v>
      </c>
      <c r="Q227" s="16">
        <f t="shared" si="22"/>
        <v>3.1257129509831838E-3</v>
      </c>
      <c r="R227" s="5">
        <f t="shared" si="17"/>
        <v>5.3178273266094249E-2</v>
      </c>
      <c r="S227" s="5">
        <f t="shared" si="20"/>
        <v>4.3060288426645235E-2</v>
      </c>
    </row>
    <row r="228" spans="7:19" x14ac:dyDescent="0.2">
      <c r="G228" s="8">
        <v>45784</v>
      </c>
      <c r="H228" s="5">
        <v>7.0559979999999994E-2</v>
      </c>
      <c r="I228" s="9">
        <v>1.8896059999999999E-2</v>
      </c>
      <c r="J228" s="10">
        <f t="shared" si="18"/>
        <v>1.0705599800000001</v>
      </c>
      <c r="K228" s="10">
        <f t="shared" si="19"/>
        <v>1.0188960600000001</v>
      </c>
      <c r="L228" s="11">
        <f t="shared" si="21"/>
        <v>1.0507057805287814</v>
      </c>
      <c r="M228" s="9">
        <f>IF(G228&lt;&gt;"",J228/MAX(J$3:J228)-1,"")</f>
        <v>-1.1692708921801076E-3</v>
      </c>
      <c r="N228" s="9">
        <f>IF(G228&lt;&gt;"",K228/MAX(K$3:K228)-1,"")</f>
        <v>0</v>
      </c>
      <c r="O228" s="16">
        <f t="shared" si="22"/>
        <v>1.8266754848679234E-3</v>
      </c>
      <c r="P228" s="16">
        <f t="shared" si="22"/>
        <v>8.0878381626847684E-5</v>
      </c>
      <c r="Q228" s="16">
        <f t="shared" si="22"/>
        <v>1.7456559174156006E-3</v>
      </c>
      <c r="R228" s="5">
        <f t="shared" si="17"/>
        <v>5.3221786621567936E-2</v>
      </c>
      <c r="S228" s="5">
        <f t="shared" si="20"/>
        <v>4.3060288426645235E-2</v>
      </c>
    </row>
    <row r="229" spans="7:19" x14ac:dyDescent="0.2">
      <c r="G229" s="8">
        <v>45785</v>
      </c>
      <c r="H229" s="5">
        <v>7.196023E-2</v>
      </c>
      <c r="I229" s="9">
        <v>1.8998310000000001E-2</v>
      </c>
      <c r="J229" s="10">
        <f t="shared" si="18"/>
        <v>1.07196023</v>
      </c>
      <c r="K229" s="10">
        <f t="shared" si="19"/>
        <v>1.01899831</v>
      </c>
      <c r="L229" s="11">
        <f t="shared" si="21"/>
        <v>1.0519744924797765</v>
      </c>
      <c r="M229" s="9">
        <f>IF(G229&lt;&gt;"",J229/MAX(J$3:J229)-1,"")</f>
        <v>0</v>
      </c>
      <c r="N229" s="9">
        <f>IF(G229&lt;&gt;"",K229/MAX(K$3:K229)-1,"")</f>
        <v>0</v>
      </c>
      <c r="O229" s="16">
        <f t="shared" si="22"/>
        <v>1.3079603442676113E-3</v>
      </c>
      <c r="P229" s="16">
        <f t="shared" si="22"/>
        <v>1.003537102692853E-4</v>
      </c>
      <c r="Q229" s="16">
        <f t="shared" si="22"/>
        <v>1.2074854583521422E-3</v>
      </c>
      <c r="R229" s="5">
        <f t="shared" si="17"/>
        <v>5.3187699389835939E-2</v>
      </c>
      <c r="S229" s="5">
        <f t="shared" si="20"/>
        <v>4.3060288426645235E-2</v>
      </c>
    </row>
    <row r="230" spans="7:19" x14ac:dyDescent="0.2">
      <c r="G230" s="8">
        <v>45786</v>
      </c>
      <c r="H230" s="5">
        <v>7.1940920000000005E-2</v>
      </c>
      <c r="I230" s="9">
        <v>1.926576E-2</v>
      </c>
      <c r="J230" s="10">
        <f t="shared" si="18"/>
        <v>1.0719409200000001</v>
      </c>
      <c r="K230" s="10">
        <f t="shared" si="19"/>
        <v>1.0192657599999999</v>
      </c>
      <c r="L230" s="11">
        <f t="shared" si="21"/>
        <v>1.0516795148696059</v>
      </c>
      <c r="M230" s="9">
        <f>IF(G230&lt;&gt;"",J230/MAX(J$3:J230)-1,"")</f>
        <v>-1.8013727990484618E-5</v>
      </c>
      <c r="N230" s="9">
        <f>IF(G230&lt;&gt;"",K230/MAX(K$3:K230)-1,"")</f>
        <v>0</v>
      </c>
      <c r="O230" s="16">
        <f t="shared" si="22"/>
        <v>-1.8013727990484618E-5</v>
      </c>
      <c r="P230" s="16">
        <f t="shared" si="22"/>
        <v>2.6246363450788124E-4</v>
      </c>
      <c r="Q230" s="16">
        <f t="shared" si="22"/>
        <v>-2.8040376670657174E-4</v>
      </c>
      <c r="R230" s="5">
        <f t="shared" si="17"/>
        <v>5.2807644837645162E-2</v>
      </c>
      <c r="S230" s="5">
        <f t="shared" si="20"/>
        <v>4.3060288426645235E-2</v>
      </c>
    </row>
    <row r="231" spans="7:19" x14ac:dyDescent="0.2">
      <c r="G231" s="8">
        <v>45789</v>
      </c>
      <c r="H231" s="5">
        <v>7.7012839999999999E-2</v>
      </c>
      <c r="I231" s="9">
        <v>1.934338E-2</v>
      </c>
      <c r="J231" s="10">
        <f t="shared" si="18"/>
        <v>1.0770128400000001</v>
      </c>
      <c r="K231" s="10">
        <f t="shared" si="19"/>
        <v>1.01934338</v>
      </c>
      <c r="L231" s="11">
        <f t="shared" si="21"/>
        <v>1.0565751062218112</v>
      </c>
      <c r="M231" s="9">
        <f>IF(G231&lt;&gt;"",J231/MAX(J$3:J231)-1,"")</f>
        <v>0</v>
      </c>
      <c r="N231" s="9">
        <f>IF(G231&lt;&gt;"",K231/MAX(K$3:K231)-1,"")</f>
        <v>0</v>
      </c>
      <c r="O231" s="16">
        <f t="shared" si="22"/>
        <v>4.7315294204832714E-3</v>
      </c>
      <c r="P231" s="16">
        <f t="shared" si="22"/>
        <v>7.615285732742727E-5</v>
      </c>
      <c r="Q231" s="16">
        <f t="shared" si="22"/>
        <v>4.6550220699244083E-3</v>
      </c>
      <c r="R231" s="5">
        <f t="shared" si="17"/>
        <v>5.3161375306492439E-2</v>
      </c>
      <c r="S231" s="5">
        <f t="shared" si="20"/>
        <v>4.3060288426645235E-2</v>
      </c>
    </row>
    <row r="232" spans="7:19" x14ac:dyDescent="0.2">
      <c r="G232" s="8">
        <v>45790</v>
      </c>
      <c r="H232" s="5">
        <v>7.7130050000000006E-2</v>
      </c>
      <c r="I232" s="9">
        <v>1.9481660000000001E-2</v>
      </c>
      <c r="J232" s="10">
        <f t="shared" si="18"/>
        <v>1.0771300500000001</v>
      </c>
      <c r="K232" s="10">
        <f t="shared" si="19"/>
        <v>1.0194816600000001</v>
      </c>
      <c r="L232" s="11">
        <f t="shared" si="21"/>
        <v>1.0565467651473004</v>
      </c>
      <c r="M232" s="9">
        <f>IF(G232&lt;&gt;"",J232/MAX(J$3:J232)-1,"")</f>
        <v>0</v>
      </c>
      <c r="N232" s="9">
        <f>IF(G232&lt;&gt;"",K232/MAX(K$3:K232)-1,"")</f>
        <v>0</v>
      </c>
      <c r="O232" s="16">
        <f t="shared" si="22"/>
        <v>1.0882878610796176E-4</v>
      </c>
      <c r="P232" s="16">
        <f t="shared" si="22"/>
        <v>1.35655955307179E-4</v>
      </c>
      <c r="Q232" s="16">
        <f t="shared" si="22"/>
        <v>-2.6823530427599884E-5</v>
      </c>
      <c r="R232" s="5">
        <f t="shared" si="17"/>
        <v>5.1781381715366018E-2</v>
      </c>
      <c r="S232" s="5">
        <f t="shared" si="20"/>
        <v>4.3060288426645235E-2</v>
      </c>
    </row>
    <row r="233" spans="7:19" x14ac:dyDescent="0.2">
      <c r="G233" s="8">
        <v>45791</v>
      </c>
      <c r="H233" s="5">
        <v>7.900219E-2</v>
      </c>
      <c r="I233" s="9">
        <v>1.9533829999999999E-2</v>
      </c>
      <c r="J233" s="10">
        <f t="shared" si="18"/>
        <v>1.07900219</v>
      </c>
      <c r="K233" s="10">
        <f t="shared" si="19"/>
        <v>1.0195338300000001</v>
      </c>
      <c r="L233" s="11">
        <f t="shared" si="21"/>
        <v>1.0583289717811522</v>
      </c>
      <c r="M233" s="9">
        <f>IF(G233&lt;&gt;"",J233/MAX(J$3:J233)-1,"")</f>
        <v>0</v>
      </c>
      <c r="N233" s="9">
        <f>IF(G233&lt;&gt;"",K233/MAX(K$3:K233)-1,"")</f>
        <v>0</v>
      </c>
      <c r="O233" s="16">
        <f t="shared" si="22"/>
        <v>1.7380816736103366E-3</v>
      </c>
      <c r="P233" s="16">
        <f t="shared" si="22"/>
        <v>5.1173063770448834E-5</v>
      </c>
      <c r="Q233" s="16">
        <f t="shared" si="22"/>
        <v>1.6868222899752983E-3</v>
      </c>
      <c r="R233" s="5">
        <f t="shared" si="17"/>
        <v>5.1710240707694546E-2</v>
      </c>
      <c r="S233" s="5">
        <f t="shared" si="20"/>
        <v>4.3060288426645235E-2</v>
      </c>
    </row>
    <row r="234" spans="7:19" x14ac:dyDescent="0.2">
      <c r="G234" s="8">
        <v>45792</v>
      </c>
      <c r="H234" s="5">
        <v>7.7814060000000004E-2</v>
      </c>
      <c r="I234" s="9">
        <v>1.9734109999999999E-2</v>
      </c>
      <c r="J234" s="10">
        <f t="shared" si="18"/>
        <v>1.0778140599999999</v>
      </c>
      <c r="K234" s="10">
        <f t="shared" si="19"/>
        <v>1.0197341099999999</v>
      </c>
      <c r="L234" s="11">
        <f t="shared" si="21"/>
        <v>1.0569559745334007</v>
      </c>
      <c r="M234" s="9">
        <f>IF(G234&lt;&gt;"",J234/MAX(J$3:J234)-1,"")</f>
        <v>-1.1011377094610753E-3</v>
      </c>
      <c r="N234" s="9">
        <f>IF(G234&lt;&gt;"",K234/MAX(K$3:K234)-1,"")</f>
        <v>0</v>
      </c>
      <c r="O234" s="16">
        <f t="shared" si="22"/>
        <v>-1.1011377094610753E-3</v>
      </c>
      <c r="P234" s="16">
        <f t="shared" si="22"/>
        <v>1.9644272127772311E-4</v>
      </c>
      <c r="Q234" s="16">
        <f t="shared" si="22"/>
        <v>-1.2973255805712736E-3</v>
      </c>
      <c r="R234" s="5">
        <f t="shared" si="17"/>
        <v>5.1669065663248533E-2</v>
      </c>
      <c r="S234" s="5">
        <f t="shared" si="20"/>
        <v>4.3060288426645235E-2</v>
      </c>
    </row>
    <row r="235" spans="7:19" x14ac:dyDescent="0.2">
      <c r="G235" s="8">
        <v>45793</v>
      </c>
      <c r="H235" s="5">
        <v>7.8363150000000006E-2</v>
      </c>
      <c r="I235" s="9">
        <v>1.9826340000000001E-2</v>
      </c>
      <c r="J235" s="10">
        <f t="shared" si="18"/>
        <v>1.0783631499999999</v>
      </c>
      <c r="K235" s="10">
        <f t="shared" si="19"/>
        <v>1.0198263400000001</v>
      </c>
      <c r="L235" s="11">
        <f t="shared" si="21"/>
        <v>1.0573988018391445</v>
      </c>
      <c r="M235" s="9">
        <f>IF(G235&lt;&gt;"",J235/MAX(J$3:J235)-1,"")</f>
        <v>-5.9225088319792007E-4</v>
      </c>
      <c r="N235" s="9">
        <f>IF(G235&lt;&gt;"",K235/MAX(K$3:K235)-1,"")</f>
        <v>0</v>
      </c>
      <c r="O235" s="16">
        <f t="shared" si="22"/>
        <v>5.0944779844486199E-4</v>
      </c>
      <c r="P235" s="16">
        <f t="shared" si="22"/>
        <v>9.0445145549011841E-5</v>
      </c>
      <c r="Q235" s="16">
        <f t="shared" si="22"/>
        <v>4.1896475956737511E-4</v>
      </c>
      <c r="R235" s="5">
        <f t="shared" si="17"/>
        <v>5.1448442995189969E-2</v>
      </c>
      <c r="S235" s="5">
        <f t="shared" si="20"/>
        <v>4.3060288426645235E-2</v>
      </c>
    </row>
    <row r="236" spans="7:19" x14ac:dyDescent="0.2">
      <c r="G236" s="8">
        <v>45796</v>
      </c>
      <c r="H236" s="5">
        <v>7.8953579999999995E-2</v>
      </c>
      <c r="I236" s="9">
        <v>1.9899139999999999E-2</v>
      </c>
      <c r="J236" s="10">
        <f t="shared" si="18"/>
        <v>1.0789535800000001</v>
      </c>
      <c r="K236" s="10">
        <f t="shared" si="19"/>
        <v>1.0198991399999999</v>
      </c>
      <c r="L236" s="11">
        <f t="shared" si="21"/>
        <v>1.0579022353131899</v>
      </c>
      <c r="M236" s="9">
        <f>IF(G236&lt;&gt;"",J236/MAX(J$3:J236)-1,"")</f>
        <v>-4.5050881685271271E-5</v>
      </c>
      <c r="N236" s="9">
        <f>IF(G236&lt;&gt;"",K236/MAX(K$3:K236)-1,"")</f>
        <v>0</v>
      </c>
      <c r="O236" s="16">
        <f t="shared" si="22"/>
        <v>5.4752427324711306E-4</v>
      </c>
      <c r="P236" s="16">
        <f t="shared" si="22"/>
        <v>7.1384702615029383E-5</v>
      </c>
      <c r="Q236" s="16">
        <f t="shared" si="22"/>
        <v>4.761055839763717E-4</v>
      </c>
      <c r="R236" s="5">
        <f t="shared" si="17"/>
        <v>5.1444405161425628E-2</v>
      </c>
      <c r="S236" s="5">
        <f t="shared" si="20"/>
        <v>4.3060288426645235E-2</v>
      </c>
    </row>
    <row r="237" spans="7:19" x14ac:dyDescent="0.2">
      <c r="G237" s="8">
        <v>45797</v>
      </c>
      <c r="H237" s="5">
        <v>7.9999180000000003E-2</v>
      </c>
      <c r="I237" s="9">
        <v>1.9966879999999999E-2</v>
      </c>
      <c r="J237" s="10">
        <f t="shared" si="18"/>
        <v>1.0799991799999999</v>
      </c>
      <c r="K237" s="10">
        <f t="shared" si="19"/>
        <v>1.0199668799999999</v>
      </c>
      <c r="L237" s="11">
        <f t="shared" si="21"/>
        <v>1.0588571072033242</v>
      </c>
      <c r="M237" s="9">
        <f>IF(G237&lt;&gt;"",J237/MAX(J$3:J237)-1,"")</f>
        <v>0</v>
      </c>
      <c r="N237" s="9">
        <f>IF(G237&lt;&gt;"",K237/MAX(K$3:K237)-1,"")</f>
        <v>0</v>
      </c>
      <c r="O237" s="16">
        <f t="shared" si="22"/>
        <v>9.6908710382126451E-4</v>
      </c>
      <c r="P237" s="16">
        <f t="shared" si="22"/>
        <v>6.6418332306916739E-5</v>
      </c>
      <c r="Q237" s="16">
        <f t="shared" si="22"/>
        <v>9.0260882174186818E-4</v>
      </c>
      <c r="R237" s="5">
        <f t="shared" si="17"/>
        <v>5.1029121435905586E-2</v>
      </c>
      <c r="S237" s="5">
        <f t="shared" si="20"/>
        <v>4.3060288426645235E-2</v>
      </c>
    </row>
    <row r="238" spans="7:19" x14ac:dyDescent="0.2">
      <c r="G238" s="8">
        <v>45798</v>
      </c>
      <c r="H238" s="5">
        <v>7.8677280000000002E-2</v>
      </c>
      <c r="I238" s="9">
        <v>2.0030599999999999E-2</v>
      </c>
      <c r="J238" s="10">
        <f t="shared" si="18"/>
        <v>1.07867728</v>
      </c>
      <c r="K238" s="10">
        <f t="shared" si="19"/>
        <v>1.0200305999999999</v>
      </c>
      <c r="L238" s="11">
        <f t="shared" si="21"/>
        <v>1.0574950202474318</v>
      </c>
      <c r="M238" s="9">
        <f>IF(G238&lt;&gt;"",J238/MAX(J$3:J238)-1,"")</f>
        <v>-1.2239824108014608E-3</v>
      </c>
      <c r="N238" s="9">
        <f>IF(G238&lt;&gt;"",K238/MAX(K$3:K238)-1,"")</f>
        <v>0</v>
      </c>
      <c r="O238" s="16">
        <f t="shared" si="22"/>
        <v>-1.2239824108014608E-3</v>
      </c>
      <c r="P238" s="16">
        <f t="shared" si="22"/>
        <v>6.2472616757958122E-5</v>
      </c>
      <c r="Q238" s="16">
        <f t="shared" si="22"/>
        <v>-1.2863746643679841E-3</v>
      </c>
      <c r="R238" s="5">
        <f t="shared" si="17"/>
        <v>5.0805330530612175E-2</v>
      </c>
      <c r="S238" s="5">
        <f t="shared" si="20"/>
        <v>4.3060288426645235E-2</v>
      </c>
    </row>
    <row r="239" spans="7:19" x14ac:dyDescent="0.2">
      <c r="G239" s="8">
        <v>45799</v>
      </c>
      <c r="H239" s="5">
        <v>7.8204159999999995E-2</v>
      </c>
      <c r="I239" s="9">
        <v>2.021324E-2</v>
      </c>
      <c r="J239" s="10">
        <f t="shared" si="18"/>
        <v>1.0782041600000001</v>
      </c>
      <c r="K239" s="10">
        <f t="shared" si="19"/>
        <v>1.0202132399999999</v>
      </c>
      <c r="L239" s="11">
        <f t="shared" si="21"/>
        <v>1.0568419598240071</v>
      </c>
      <c r="M239" s="9">
        <f>IF(G239&lt;&gt;"",J239/MAX(J$3:J239)-1,"")</f>
        <v>-1.6620568174874339E-3</v>
      </c>
      <c r="N239" s="9">
        <f>IF(G239&lt;&gt;"",K239/MAX(K$3:K239)-1,"")</f>
        <v>0</v>
      </c>
      <c r="O239" s="16">
        <f t="shared" si="22"/>
        <v>-4.3861125915234389E-4</v>
      </c>
      <c r="P239" s="16">
        <f t="shared" si="22"/>
        <v>1.790534519259257E-4</v>
      </c>
      <c r="Q239" s="16">
        <f t="shared" si="22"/>
        <v>-6.1755413587849528E-4</v>
      </c>
      <c r="R239" s="5">
        <f t="shared" si="17"/>
        <v>5.0815076340237519E-2</v>
      </c>
      <c r="S239" s="5">
        <f t="shared" si="20"/>
        <v>4.3060288426645235E-2</v>
      </c>
    </row>
    <row r="240" spans="7:19" x14ac:dyDescent="0.2">
      <c r="G240" s="8">
        <v>45800</v>
      </c>
      <c r="H240" s="5">
        <v>7.6429629999999998E-2</v>
      </c>
      <c r="I240" s="9">
        <v>2.0285210000000001E-2</v>
      </c>
      <c r="J240" s="10">
        <f t="shared" si="18"/>
        <v>1.07642963</v>
      </c>
      <c r="K240" s="10">
        <f t="shared" si="19"/>
        <v>1.0202852099999999</v>
      </c>
      <c r="L240" s="11">
        <f t="shared" si="21"/>
        <v>1.0550281621743787</v>
      </c>
      <c r="M240" s="9">
        <f>IF(G240&lt;&gt;"",J240/MAX(J$3:J240)-1,"")</f>
        <v>-3.3051413983480327E-3</v>
      </c>
      <c r="N240" s="9">
        <f>IF(G240&lt;&gt;"",K240/MAX(K$3:K240)-1,"")</f>
        <v>0</v>
      </c>
      <c r="O240" s="16">
        <f t="shared" si="22"/>
        <v>-1.6458200272572165E-3</v>
      </c>
      <c r="P240" s="16">
        <f t="shared" si="22"/>
        <v>7.0544075667866579E-5</v>
      </c>
      <c r="Q240" s="16">
        <f t="shared" si="22"/>
        <v>-1.7162430321469024E-3</v>
      </c>
      <c r="R240" s="5">
        <f t="shared" si="17"/>
        <v>5.0824942910352146E-2</v>
      </c>
      <c r="S240" s="5">
        <f t="shared" si="20"/>
        <v>4.3060288426645235E-2</v>
      </c>
    </row>
    <row r="241" spans="7:21" x14ac:dyDescent="0.2">
      <c r="G241" s="8">
        <v>45803</v>
      </c>
      <c r="H241" s="5">
        <v>7.4983610000000006E-2</v>
      </c>
      <c r="I241" s="9">
        <v>2.036787E-2</v>
      </c>
      <c r="J241" s="10">
        <f t="shared" si="18"/>
        <v>1.0749836100000001</v>
      </c>
      <c r="K241" s="10">
        <f t="shared" si="19"/>
        <v>1.0203678700000001</v>
      </c>
      <c r="L241" s="11">
        <f t="shared" si="21"/>
        <v>1.0535255387843603</v>
      </c>
      <c r="M241" s="9">
        <f>IF(G241&lt;&gt;"",J241/MAX(J$3:J241)-1,"")</f>
        <v>-4.6440498223340176E-3</v>
      </c>
      <c r="N241" s="9">
        <f>IF(G241&lt;&gt;"",K241/MAX(K$3:K241)-1,"")</f>
        <v>0</v>
      </c>
      <c r="O241" s="16">
        <f t="shared" si="22"/>
        <v>-1.3433483803302337E-3</v>
      </c>
      <c r="P241" s="16">
        <f t="shared" si="22"/>
        <v>8.1016562025970629E-5</v>
      </c>
      <c r="Q241" s="16">
        <f t="shared" si="22"/>
        <v>-1.4242495545536693E-3</v>
      </c>
      <c r="R241" s="5">
        <f t="shared" si="17"/>
        <v>5.0866221521685642E-2</v>
      </c>
      <c r="S241" s="5">
        <f t="shared" si="20"/>
        <v>4.3060288426645235E-2</v>
      </c>
    </row>
    <row r="242" spans="7:21" x14ac:dyDescent="0.2">
      <c r="G242" s="8">
        <v>45804</v>
      </c>
      <c r="H242" s="5">
        <v>7.8396859999999999E-2</v>
      </c>
      <c r="I242" s="9">
        <v>2.0439590000000001E-2</v>
      </c>
      <c r="J242" s="10">
        <f t="shared" si="18"/>
        <v>1.07839686</v>
      </c>
      <c r="K242" s="10">
        <f t="shared" si="19"/>
        <v>1.0204395900000001</v>
      </c>
      <c r="L242" s="11">
        <f t="shared" si="21"/>
        <v>1.0567963753738718</v>
      </c>
      <c r="M242" s="9">
        <f>IF(G242&lt;&gt;"",J242/MAX(J$3:J242)-1,"")</f>
        <v>-1.4836307560899265E-3</v>
      </c>
      <c r="N242" s="9">
        <f>IF(G242&lt;&gt;"",K242/MAX(K$3:K242)-1,"")</f>
        <v>0</v>
      </c>
      <c r="O242" s="16">
        <f t="shared" si="22"/>
        <v>3.17516468925505E-3</v>
      </c>
      <c r="P242" s="16">
        <f t="shared" si="22"/>
        <v>7.0288375505267453E-5</v>
      </c>
      <c r="Q242" s="16">
        <f t="shared" si="22"/>
        <v>3.1046580923759226E-3</v>
      </c>
      <c r="R242" s="5">
        <f t="shared" si="17"/>
        <v>5.103284437573654E-2</v>
      </c>
      <c r="S242" s="5">
        <f t="shared" si="20"/>
        <v>4.3060288426645235E-2</v>
      </c>
    </row>
    <row r="243" spans="7:21" x14ac:dyDescent="0.2">
      <c r="G243" s="8">
        <v>45805</v>
      </c>
      <c r="H243" s="5">
        <v>7.7142230000000006E-2</v>
      </c>
      <c r="I243" s="9">
        <v>2.0514810000000001E-2</v>
      </c>
      <c r="J243" s="10">
        <f t="shared" si="18"/>
        <v>1.07714223</v>
      </c>
      <c r="K243" s="10">
        <f t="shared" si="19"/>
        <v>1.0205148100000001</v>
      </c>
      <c r="L243" s="11">
        <f t="shared" si="21"/>
        <v>1.0554890722262031</v>
      </c>
      <c r="M243" s="9">
        <f>IF(G243&lt;&gt;"",J243/MAX(J$3:J243)-1,"")</f>
        <v>-2.6453260825624048E-3</v>
      </c>
      <c r="N243" s="9">
        <f>IF(G243&lt;&gt;"",K243/MAX(K$3:K243)-1,"")</f>
        <v>0</v>
      </c>
      <c r="O243" s="16">
        <f t="shared" si="22"/>
        <v>-1.1634214142649535E-3</v>
      </c>
      <c r="P243" s="16">
        <f t="shared" si="22"/>
        <v>7.3713329762137292E-5</v>
      </c>
      <c r="Q243" s="16">
        <f t="shared" si="22"/>
        <v>-1.2370435574272642E-3</v>
      </c>
      <c r="R243" s="5">
        <f t="shared" si="17"/>
        <v>5.0785574672554276E-2</v>
      </c>
      <c r="S243" s="5">
        <f t="shared" si="20"/>
        <v>4.3060288426645235E-2</v>
      </c>
    </row>
    <row r="244" spans="7:21" x14ac:dyDescent="0.2">
      <c r="G244" s="8">
        <v>45806</v>
      </c>
      <c r="H244" s="5">
        <v>7.9398280000000002E-2</v>
      </c>
      <c r="I244" s="9">
        <v>2.0692479999999999E-2</v>
      </c>
      <c r="J244" s="10">
        <f t="shared" si="18"/>
        <v>1.0793982799999999</v>
      </c>
      <c r="K244" s="10">
        <f t="shared" si="19"/>
        <v>1.0206924799999999</v>
      </c>
      <c r="L244" s="11">
        <f t="shared" si="21"/>
        <v>1.0575156583890968</v>
      </c>
      <c r="M244" s="9">
        <f>IF(G244&lt;&gt;"",J244/MAX(J$3:J244)-1,"")</f>
        <v>-5.5638931133261682E-4</v>
      </c>
      <c r="N244" s="9">
        <f>IF(G244&lt;&gt;"",K244/MAX(K$3:K244)-1,"")</f>
        <v>0</v>
      </c>
      <c r="O244" s="16">
        <f t="shared" si="22"/>
        <v>2.0944773467845845E-3</v>
      </c>
      <c r="P244" s="16">
        <f t="shared" si="22"/>
        <v>1.7409840431392709E-4</v>
      </c>
      <c r="Q244" s="16">
        <f t="shared" si="22"/>
        <v>1.9200446657579029E-3</v>
      </c>
      <c r="R244" s="5">
        <f t="shared" si="17"/>
        <v>5.0842385707852336E-2</v>
      </c>
      <c r="S244" s="5">
        <f t="shared" si="20"/>
        <v>4.3060288426645235E-2</v>
      </c>
    </row>
    <row r="245" spans="7:21" x14ac:dyDescent="0.2">
      <c r="G245" s="8">
        <v>45807</v>
      </c>
      <c r="H245" s="5">
        <v>7.8681769999999998E-2</v>
      </c>
      <c r="I245" s="9">
        <v>2.0760009999999999E-2</v>
      </c>
      <c r="J245" s="10">
        <f t="shared" si="18"/>
        <v>1.07868177</v>
      </c>
      <c r="K245" s="10">
        <f t="shared" si="19"/>
        <v>1.0207600100000001</v>
      </c>
      <c r="L245" s="11">
        <f t="shared" si="21"/>
        <v>1.0567437589958093</v>
      </c>
      <c r="M245" s="9">
        <f>IF(G245&lt;&gt;"",J245/MAX(J$3:J245)-1,"")</f>
        <v>-1.2198250002374289E-3</v>
      </c>
      <c r="N245" s="9">
        <f>IF(G245&lt;&gt;"",K245/MAX(K$3:K245)-1,"")</f>
        <v>0</v>
      </c>
      <c r="O245" s="16">
        <f t="shared" si="22"/>
        <v>-6.6380502292440191E-4</v>
      </c>
      <c r="P245" s="16">
        <f t="shared" si="22"/>
        <v>6.6160965543904382E-5</v>
      </c>
      <c r="Q245" s="16">
        <f t="shared" si="22"/>
        <v>-7.2991769640873283E-4</v>
      </c>
      <c r="R245" s="5">
        <f t="shared" si="17"/>
        <v>5.0858400227869083E-2</v>
      </c>
      <c r="S245" s="5">
        <f t="shared" si="20"/>
        <v>4.3060288426645235E-2</v>
      </c>
    </row>
    <row r="246" spans="7:21" x14ac:dyDescent="0.2">
      <c r="G246" s="8">
        <v>45811</v>
      </c>
      <c r="H246" s="5">
        <v>8.1386979999999998E-2</v>
      </c>
      <c r="I246" s="9">
        <v>2.0831949999999998E-2</v>
      </c>
      <c r="J246" s="10">
        <f t="shared" si="18"/>
        <v>1.08138698</v>
      </c>
      <c r="K246" s="10">
        <f t="shared" si="19"/>
        <v>1.02083195</v>
      </c>
      <c r="L246" s="11">
        <f t="shared" si="21"/>
        <v>1.05931929344492</v>
      </c>
      <c r="M246" s="9">
        <f>IF(G246&lt;&gt;"",J246/MAX(J$3:J246)-1,"")</f>
        <v>0</v>
      </c>
      <c r="N246" s="9">
        <f>IF(G246&lt;&gt;"",K246/MAX(K$3:K246)-1,"")</f>
        <v>0</v>
      </c>
      <c r="O246" s="16">
        <f t="shared" si="22"/>
        <v>2.5078851568984817E-3</v>
      </c>
      <c r="P246" s="16">
        <f t="shared" si="22"/>
        <v>7.0476898874627381E-5</v>
      </c>
      <c r="Q246" s="16">
        <f t="shared" si="22"/>
        <v>2.4372364891542819E-3</v>
      </c>
      <c r="R246" s="5">
        <f t="shared" si="17"/>
        <v>5.0758328732687964E-2</v>
      </c>
      <c r="S246" s="5">
        <f t="shared" si="20"/>
        <v>4.3060288426645235E-2</v>
      </c>
    </row>
    <row r="247" spans="7:21" x14ac:dyDescent="0.2">
      <c r="G247" s="8">
        <v>45812</v>
      </c>
      <c r="H247" s="5">
        <v>8.3267400000000005E-2</v>
      </c>
      <c r="I247" s="9">
        <v>2.0926509999999999E-2</v>
      </c>
      <c r="J247" s="10">
        <f t="shared" si="18"/>
        <v>1.0832674</v>
      </c>
      <c r="K247" s="10">
        <f t="shared" si="19"/>
        <v>1.02092651</v>
      </c>
      <c r="L247" s="11">
        <f t="shared" si="21"/>
        <v>1.0610630534023453</v>
      </c>
      <c r="M247" s="9">
        <f>IF(G247&lt;&gt;"",J247/MAX(J$3:J247)-1,"")</f>
        <v>0</v>
      </c>
      <c r="N247" s="9">
        <f>IF(G247&lt;&gt;"",K247/MAX(K$3:K247)-1,"")</f>
        <v>0</v>
      </c>
      <c r="O247" s="16">
        <f t="shared" si="22"/>
        <v>1.7388964679414531E-3</v>
      </c>
      <c r="P247" s="16">
        <f t="shared" si="22"/>
        <v>9.2630329605158934E-5</v>
      </c>
      <c r="Q247" s="16">
        <f t="shared" si="22"/>
        <v>1.6461136582857083E-3</v>
      </c>
      <c r="R247" s="5">
        <f t="shared" si="17"/>
        <v>5.0733314406504491E-2</v>
      </c>
      <c r="S247" s="5">
        <f t="shared" si="20"/>
        <v>4.3060288426645235E-2</v>
      </c>
      <c r="T247" s="5">
        <f>IF($G247&lt;&gt;"",_xlfn.STDEV.S(O3:O247),"")</f>
        <v>3.020919911817447E-3</v>
      </c>
      <c r="U247" s="5">
        <f>IF($G247&lt;&gt;"",_xlfn.STDEV.S(P3:P247),"")</f>
        <v>9.1573917496929477E-5</v>
      </c>
    </row>
    <row r="248" spans="7:21" x14ac:dyDescent="0.2">
      <c r="G248" s="8">
        <v>45813</v>
      </c>
      <c r="H248" s="5">
        <v>8.2911780000000004E-2</v>
      </c>
      <c r="I248" s="9">
        <v>2.1000810000000002E-2</v>
      </c>
      <c r="J248" s="10">
        <f t="shared" si="18"/>
        <v>1.0829117800000001</v>
      </c>
      <c r="K248" s="10">
        <f t="shared" si="19"/>
        <v>1.0210008100000001</v>
      </c>
      <c r="L248" s="11">
        <f t="shared" si="21"/>
        <v>1.0606375326969624</v>
      </c>
      <c r="M248" s="9">
        <f>IF(G248&lt;&gt;"",J248/MAX(J$3:J248)-1,"")</f>
        <v>-3.2828459528999598E-4</v>
      </c>
      <c r="N248" s="9">
        <f>IF(G248&lt;&gt;"",K248/MAX(K$3:K248)-1,"")</f>
        <v>0</v>
      </c>
      <c r="O248" s="16">
        <f t="shared" si="22"/>
        <v>-3.2828459528999598E-4</v>
      </c>
      <c r="P248" s="16">
        <f t="shared" si="22"/>
        <v>7.2777030738491177E-5</v>
      </c>
      <c r="Q248" s="16">
        <f t="shared" si="22"/>
        <v>-4.0103244007838601E-4</v>
      </c>
      <c r="R248" s="5">
        <f t="shared" si="17"/>
        <v>5.0604963330251967E-2</v>
      </c>
      <c r="S248" s="5">
        <f t="shared" si="20"/>
        <v>4.3060288426645235E-2</v>
      </c>
      <c r="T248" s="5">
        <f t="shared" ref="T248:U263" si="23">IF($G248&lt;&gt;"",_xlfn.STDEV.S(O4:O248),"")</f>
        <v>3.0150186304739026E-3</v>
      </c>
      <c r="U248" s="5">
        <f t="shared" si="23"/>
        <v>9.1389348358615949E-5</v>
      </c>
    </row>
    <row r="249" spans="7:21" x14ac:dyDescent="0.2">
      <c r="G249" s="8">
        <v>45814</v>
      </c>
      <c r="H249" s="5">
        <v>8.3533300000000005E-2</v>
      </c>
      <c r="I249" s="9">
        <v>2.1455709999999999E-2</v>
      </c>
      <c r="J249" s="10">
        <f t="shared" si="18"/>
        <v>1.0835333</v>
      </c>
      <c r="K249" s="10">
        <f t="shared" si="19"/>
        <v>1.0214557099999999</v>
      </c>
      <c r="L249" s="11">
        <f t="shared" si="21"/>
        <v>1.0607736482279786</v>
      </c>
      <c r="M249" s="9">
        <f>IF(G249&lt;&gt;"",J249/MAX(J$3:J249)-1,"")</f>
        <v>0</v>
      </c>
      <c r="N249" s="9">
        <f>IF(G249&lt;&gt;"",K249/MAX(K$3:K249)-1,"")</f>
        <v>0</v>
      </c>
      <c r="O249" s="16">
        <f t="shared" si="22"/>
        <v>5.7393410200035078E-4</v>
      </c>
      <c r="P249" s="16">
        <f t="shared" si="22"/>
        <v>4.4554323125356454E-4</v>
      </c>
      <c r="Q249" s="16">
        <f t="shared" si="22"/>
        <v>1.2833369253884008E-4</v>
      </c>
      <c r="R249" s="5">
        <f t="shared" si="17"/>
        <v>5.0484400140318783E-2</v>
      </c>
      <c r="S249" s="5">
        <f t="shared" si="20"/>
        <v>4.3060288426645235E-2</v>
      </c>
      <c r="T249" s="5">
        <f t="shared" si="23"/>
        <v>3.015057678465158E-3</v>
      </c>
      <c r="U249" s="5">
        <f t="shared" si="23"/>
        <v>9.4219675954950529E-5</v>
      </c>
    </row>
    <row r="250" spans="7:21" x14ac:dyDescent="0.2">
      <c r="G250" s="8">
        <v>45817</v>
      </c>
      <c r="H250" s="5">
        <v>8.5368230000000003E-2</v>
      </c>
      <c r="I250" s="9">
        <v>2.1580479999999999E-2</v>
      </c>
      <c r="J250" s="10">
        <f t="shared" si="18"/>
        <v>1.08536823</v>
      </c>
      <c r="K250" s="10">
        <f t="shared" si="19"/>
        <v>1.0215804799999999</v>
      </c>
      <c r="L250" s="11">
        <f t="shared" si="21"/>
        <v>1.0624402592343973</v>
      </c>
      <c r="M250" s="9">
        <f>IF(G250&lt;&gt;"",J250/MAX(J$3:J250)-1,"")</f>
        <v>0</v>
      </c>
      <c r="N250" s="9">
        <f>IF(G250&lt;&gt;"",K250/MAX(K$3:K250)-1,"")</f>
        <v>0</v>
      </c>
      <c r="O250" s="16">
        <f t="shared" si="22"/>
        <v>1.6934689501466593E-3</v>
      </c>
      <c r="P250" s="16">
        <f t="shared" si="22"/>
        <v>1.2214920214215219E-4</v>
      </c>
      <c r="Q250" s="16">
        <f t="shared" si="22"/>
        <v>1.5711278359928915E-3</v>
      </c>
      <c r="R250" s="5">
        <f t="shared" si="17"/>
        <v>5.047202142309562E-2</v>
      </c>
      <c r="S250" s="5">
        <f t="shared" si="20"/>
        <v>4.3060288426645235E-2</v>
      </c>
      <c r="T250" s="5">
        <f t="shared" si="23"/>
        <v>3.0160175873088857E-3</v>
      </c>
      <c r="U250" s="5">
        <f t="shared" si="23"/>
        <v>9.4247249635662166E-5</v>
      </c>
    </row>
    <row r="251" spans="7:21" x14ac:dyDescent="0.2">
      <c r="G251" s="8">
        <v>45818</v>
      </c>
      <c r="H251" s="5">
        <v>8.5510660000000002E-2</v>
      </c>
      <c r="I251" s="9">
        <v>2.177515E-2</v>
      </c>
      <c r="J251" s="10">
        <f t="shared" si="18"/>
        <v>1.08551066</v>
      </c>
      <c r="K251" s="10">
        <f t="shared" si="19"/>
        <v>1.0217751500000001</v>
      </c>
      <c r="L251" s="11">
        <f t="shared" si="21"/>
        <v>1.0623772363224921</v>
      </c>
      <c r="M251" s="9">
        <f>IF(G251&lt;&gt;"",J251/MAX(J$3:J251)-1,"")</f>
        <v>0</v>
      </c>
      <c r="N251" s="9">
        <f>IF(G251&lt;&gt;"",K251/MAX(K$3:K251)-1,"")</f>
        <v>0</v>
      </c>
      <c r="O251" s="16">
        <f t="shared" si="22"/>
        <v>1.3122735313508826E-4</v>
      </c>
      <c r="P251" s="16">
        <f t="shared" si="22"/>
        <v>1.9055767392917033E-4</v>
      </c>
      <c r="Q251" s="16">
        <f t="shared" si="22"/>
        <v>-5.9319017099990212E-5</v>
      </c>
      <c r="R251" s="5">
        <f t="shared" si="17"/>
        <v>5.0472543019261434E-2</v>
      </c>
      <c r="S251" s="5">
        <f t="shared" si="20"/>
        <v>4.3060288426645235E-2</v>
      </c>
      <c r="T251" s="5">
        <f t="shared" si="23"/>
        <v>3.014214870383271E-3</v>
      </c>
      <c r="U251" s="5">
        <f t="shared" si="23"/>
        <v>9.2838960185402211E-5</v>
      </c>
    </row>
    <row r="252" spans="7:21" x14ac:dyDescent="0.2">
      <c r="G252" s="8">
        <v>45819</v>
      </c>
      <c r="H252" s="5">
        <v>8.7060799999999994E-2</v>
      </c>
      <c r="I252" s="9">
        <v>2.185428E-2</v>
      </c>
      <c r="J252" s="10">
        <f t="shared" si="18"/>
        <v>1.0870607999999999</v>
      </c>
      <c r="K252" s="10">
        <f t="shared" si="19"/>
        <v>1.0218542799999999</v>
      </c>
      <c r="L252" s="11">
        <f t="shared" si="21"/>
        <v>1.0638119556537944</v>
      </c>
      <c r="M252" s="9">
        <f>IF(G252&lt;&gt;"",J252/MAX(J$3:J252)-1,"")</f>
        <v>0</v>
      </c>
      <c r="N252" s="9">
        <f>IF(G252&lt;&gt;"",K252/MAX(K$3:K252)-1,"")</f>
        <v>0</v>
      </c>
      <c r="O252" s="16">
        <f t="shared" si="22"/>
        <v>1.4280283530334614E-3</v>
      </c>
      <c r="P252" s="16">
        <f t="shared" si="22"/>
        <v>7.7443652842568156E-5</v>
      </c>
      <c r="Q252" s="16">
        <f t="shared" si="22"/>
        <v>1.350480114077568E-3</v>
      </c>
      <c r="R252" s="5">
        <f t="shared" si="17"/>
        <v>5.0476655795895435E-2</v>
      </c>
      <c r="S252" s="5">
        <f t="shared" si="20"/>
        <v>4.3060288426645235E-2</v>
      </c>
      <c r="T252" s="5">
        <f t="shared" si="23"/>
        <v>3.0148716555883693E-3</v>
      </c>
      <c r="U252" s="5">
        <f t="shared" si="23"/>
        <v>9.2824562107690178E-5</v>
      </c>
    </row>
    <row r="253" spans="7:21" x14ac:dyDescent="0.2">
      <c r="G253" s="8">
        <v>45820</v>
      </c>
      <c r="H253" s="5">
        <v>8.7855299999999997E-2</v>
      </c>
      <c r="I253" s="9">
        <v>2.196936E-2</v>
      </c>
      <c r="J253" s="10">
        <f t="shared" si="18"/>
        <v>1.0878553</v>
      </c>
      <c r="K253" s="10">
        <f t="shared" si="19"/>
        <v>1.0219693599999999</v>
      </c>
      <c r="L253" s="11">
        <f t="shared" si="21"/>
        <v>1.0644695844893042</v>
      </c>
      <c r="M253" s="9">
        <f>IF(G253&lt;&gt;"",J253/MAX(J$3:J253)-1,"")</f>
        <v>0</v>
      </c>
      <c r="N253" s="9">
        <f>IF(G253&lt;&gt;"",K253/MAX(K$3:K253)-1,"")</f>
        <v>0</v>
      </c>
      <c r="O253" s="16">
        <f t="shared" si="22"/>
        <v>7.3086988326687141E-4</v>
      </c>
      <c r="P253" s="16">
        <f t="shared" si="22"/>
        <v>1.126187972713133E-4</v>
      </c>
      <c r="Q253" s="16">
        <f t="shared" si="22"/>
        <v>6.1818146714243127E-4</v>
      </c>
      <c r="R253" s="5">
        <f t="shared" ref="R253:R316" si="24">IF(G253&lt;&gt;"",_xlfn.STDEV.S(Q132:Q253)*SQRT($B$5),"")</f>
        <v>5.0351230584162611E-2</v>
      </c>
      <c r="S253" s="5">
        <f t="shared" si="20"/>
        <v>4.3060288426645235E-2</v>
      </c>
      <c r="T253" s="5">
        <f t="shared" si="23"/>
        <v>3.0149416471803932E-3</v>
      </c>
      <c r="U253" s="5">
        <f t="shared" si="23"/>
        <v>9.2631553144170253E-5</v>
      </c>
    </row>
    <row r="254" spans="7:21" x14ac:dyDescent="0.2">
      <c r="G254" s="8">
        <v>45821</v>
      </c>
      <c r="H254" s="5">
        <v>8.4856819999999999E-2</v>
      </c>
      <c r="I254" s="9">
        <v>2.2094720000000002E-2</v>
      </c>
      <c r="J254" s="10">
        <f t="shared" si="18"/>
        <v>1.0848568199999999</v>
      </c>
      <c r="K254" s="10">
        <f t="shared" si="19"/>
        <v>1.0220947199999999</v>
      </c>
      <c r="L254" s="11">
        <f t="shared" si="21"/>
        <v>1.0614053656396933</v>
      </c>
      <c r="M254" s="9">
        <f>IF(G254&lt;&gt;"",J254/MAX(J$3:J254)-1,"")</f>
        <v>-2.7563224631069749E-3</v>
      </c>
      <c r="N254" s="9">
        <f>IF(G254&lt;&gt;"",K254/MAX(K$3:K254)-1,"")</f>
        <v>0</v>
      </c>
      <c r="O254" s="16">
        <f t="shared" si="22"/>
        <v>-2.7563224631069749E-3</v>
      </c>
      <c r="P254" s="16">
        <f t="shared" si="22"/>
        <v>1.2266512569403254E-4</v>
      </c>
      <c r="Q254" s="16">
        <f t="shared" si="22"/>
        <v>-2.8786344807408826E-3</v>
      </c>
      <c r="R254" s="5">
        <f t="shared" si="24"/>
        <v>5.0527396517117802E-2</v>
      </c>
      <c r="S254" s="5">
        <f t="shared" si="20"/>
        <v>4.3060288426645235E-2</v>
      </c>
      <c r="T254" s="5">
        <f t="shared" si="23"/>
        <v>3.0202504355010431E-3</v>
      </c>
      <c r="U254" s="5">
        <f t="shared" si="23"/>
        <v>9.2655538991451311E-5</v>
      </c>
    </row>
    <row r="255" spans="7:21" x14ac:dyDescent="0.2">
      <c r="G255" s="8">
        <v>45824</v>
      </c>
      <c r="H255" s="5">
        <v>8.6922949999999999E-2</v>
      </c>
      <c r="I255" s="9">
        <v>2.2176950000000001E-2</v>
      </c>
      <c r="J255" s="10">
        <f t="shared" si="18"/>
        <v>1.0869229499999999</v>
      </c>
      <c r="K255" s="10">
        <f t="shared" si="19"/>
        <v>1.02217695</v>
      </c>
      <c r="L255" s="11">
        <f t="shared" si="21"/>
        <v>1.0633412835223881</v>
      </c>
      <c r="M255" s="9">
        <f>IF(G255&lt;&gt;"",J255/MAX(J$3:J255)-1,"")</f>
        <v>-8.5705332317631555E-4</v>
      </c>
      <c r="N255" s="9">
        <f>IF(G255&lt;&gt;"",K255/MAX(K$3:K255)-1,"")</f>
        <v>0</v>
      </c>
      <c r="O255" s="16">
        <f t="shared" si="22"/>
        <v>1.9045186073494147E-3</v>
      </c>
      <c r="P255" s="16">
        <f t="shared" si="22"/>
        <v>8.0452426170607438E-5</v>
      </c>
      <c r="Q255" s="16">
        <f t="shared" si="22"/>
        <v>1.8239194424347627E-3</v>
      </c>
      <c r="R255" s="5">
        <f t="shared" si="24"/>
        <v>5.0574770550336545E-2</v>
      </c>
      <c r="S255" s="5">
        <f t="shared" si="20"/>
        <v>4.3060288426645235E-2</v>
      </c>
      <c r="T255" s="5">
        <f t="shared" si="23"/>
        <v>3.0200973136643612E-3</v>
      </c>
      <c r="U255" s="5">
        <f t="shared" si="23"/>
        <v>9.2650416401296259E-5</v>
      </c>
    </row>
    <row r="256" spans="7:21" x14ac:dyDescent="0.2">
      <c r="G256" s="8">
        <v>45825</v>
      </c>
      <c r="H256" s="5">
        <v>8.5508669999999995E-2</v>
      </c>
      <c r="I256" s="9">
        <v>2.237565E-2</v>
      </c>
      <c r="J256" s="10">
        <f t="shared" si="18"/>
        <v>1.0855086700000001</v>
      </c>
      <c r="K256" s="10">
        <f t="shared" si="19"/>
        <v>1.0223756500000001</v>
      </c>
      <c r="L256" s="11">
        <f t="shared" si="21"/>
        <v>1.0617512946439991</v>
      </c>
      <c r="M256" s="9">
        <f>IF(G256&lt;&gt;"",J256/MAX(J$3:J256)-1,"")</f>
        <v>-2.1571159326060352E-3</v>
      </c>
      <c r="N256" s="9">
        <f>IF(G256&lt;&gt;"",K256/MAX(K$3:K256)-1,"")</f>
        <v>0</v>
      </c>
      <c r="O256" s="16">
        <f t="shared" si="22"/>
        <v>-1.3011777881770659E-3</v>
      </c>
      <c r="P256" s="16">
        <f t="shared" si="22"/>
        <v>1.9438904389312839E-4</v>
      </c>
      <c r="Q256" s="16">
        <f t="shared" si="22"/>
        <v>-1.4952761667655912E-3</v>
      </c>
      <c r="R256" s="5">
        <f t="shared" si="24"/>
        <v>5.059947209238342E-2</v>
      </c>
      <c r="S256" s="5">
        <f t="shared" si="20"/>
        <v>4.3060288426645235E-2</v>
      </c>
      <c r="T256" s="5">
        <f t="shared" si="23"/>
        <v>3.020119005452542E-3</v>
      </c>
      <c r="U256" s="5">
        <f t="shared" si="23"/>
        <v>9.2908951301325473E-5</v>
      </c>
    </row>
    <row r="257" spans="7:21" x14ac:dyDescent="0.2">
      <c r="G257" s="8">
        <v>45826</v>
      </c>
      <c r="H257" s="5">
        <v>8.4965970000000002E-2</v>
      </c>
      <c r="I257" s="9">
        <v>2.2435469999999999E-2</v>
      </c>
      <c r="J257" s="10">
        <f t="shared" si="18"/>
        <v>1.0849659700000001</v>
      </c>
      <c r="K257" s="10">
        <f t="shared" si="19"/>
        <v>1.02243547</v>
      </c>
      <c r="L257" s="11">
        <f t="shared" si="21"/>
        <v>1.0611583829344262</v>
      </c>
      <c r="M257" s="9">
        <f>IF(G257&lt;&gt;"",J257/MAX(J$3:J257)-1,"")</f>
        <v>-2.6559874277396478E-3</v>
      </c>
      <c r="N257" s="9">
        <f>IF(G257&lt;&gt;"",K257/MAX(K$3:K257)-1,"")</f>
        <v>0</v>
      </c>
      <c r="O257" s="16">
        <f t="shared" si="22"/>
        <v>-4.9994994512569946E-4</v>
      </c>
      <c r="P257" s="16">
        <f t="shared" si="22"/>
        <v>5.8510783193854721E-5</v>
      </c>
      <c r="Q257" s="16">
        <f t="shared" si="22"/>
        <v>-5.5842805425698749E-4</v>
      </c>
      <c r="R257" s="5">
        <f t="shared" si="24"/>
        <v>5.0594365010426565E-2</v>
      </c>
      <c r="S257" s="5">
        <f t="shared" si="20"/>
        <v>4.3060288426645235E-2</v>
      </c>
      <c r="T257" s="5">
        <f t="shared" si="23"/>
        <v>3.0205559677446989E-3</v>
      </c>
      <c r="U257" s="5">
        <f t="shared" si="23"/>
        <v>9.2912544395575664E-5</v>
      </c>
    </row>
    <row r="258" spans="7:21" x14ac:dyDescent="0.2">
      <c r="G258" s="8">
        <v>45827</v>
      </c>
      <c r="H258" s="5">
        <v>8.2432729999999996E-2</v>
      </c>
      <c r="I258" s="9">
        <v>2.2485100000000001E-2</v>
      </c>
      <c r="J258" s="10">
        <f t="shared" si="18"/>
        <v>1.0824327300000001</v>
      </c>
      <c r="K258" s="10">
        <f t="shared" si="19"/>
        <v>1.0224850999999999</v>
      </c>
      <c r="L258" s="11">
        <f t="shared" si="21"/>
        <v>1.0586293433518006</v>
      </c>
      <c r="M258" s="9">
        <f>IF(G258&lt;&gt;"",J258/MAX(J$3:J258)-1,"")</f>
        <v>-4.9846427185673559E-3</v>
      </c>
      <c r="N258" s="9">
        <f>IF(G258&lt;&gt;"",K258/MAX(K$3:K258)-1,"")</f>
        <v>0</v>
      </c>
      <c r="O258" s="16">
        <f t="shared" si="22"/>
        <v>-2.3348566407110916E-3</v>
      </c>
      <c r="P258" s="16">
        <f t="shared" si="22"/>
        <v>4.8540960731591198E-5</v>
      </c>
      <c r="Q258" s="16">
        <f t="shared" si="22"/>
        <v>-2.3832819146488715E-3</v>
      </c>
      <c r="R258" s="5">
        <f t="shared" si="24"/>
        <v>5.0474585496938951E-2</v>
      </c>
      <c r="S258" s="5">
        <f t="shared" si="20"/>
        <v>4.3060288426645235E-2</v>
      </c>
      <c r="T258" s="5">
        <f t="shared" si="23"/>
        <v>3.0250994311704794E-3</v>
      </c>
      <c r="U258" s="5">
        <f t="shared" si="23"/>
        <v>9.2600150597982775E-5</v>
      </c>
    </row>
    <row r="259" spans="7:21" x14ac:dyDescent="0.2">
      <c r="G259" s="8">
        <v>45828</v>
      </c>
      <c r="H259" s="5">
        <v>8.3201869999999997E-2</v>
      </c>
      <c r="I259" s="9">
        <v>2.2542619999999999E-2</v>
      </c>
      <c r="J259" s="10">
        <f t="shared" si="18"/>
        <v>1.0832018699999999</v>
      </c>
      <c r="K259" s="10">
        <f t="shared" si="19"/>
        <v>1.0225426200000001</v>
      </c>
      <c r="L259" s="11">
        <f t="shared" si="21"/>
        <v>1.0593219772101039</v>
      </c>
      <c r="M259" s="9">
        <f>IF(G259&lt;&gt;"",J259/MAX(J$3:J259)-1,"")</f>
        <v>-4.2776185398922806E-3</v>
      </c>
      <c r="N259" s="9">
        <f>IF(G259&lt;&gt;"",K259/MAX(K$3:K259)-1,"")</f>
        <v>0</v>
      </c>
      <c r="O259" s="16">
        <f t="shared" si="22"/>
        <v>7.1056609679542859E-4</v>
      </c>
      <c r="P259" s="16">
        <f t="shared" si="22"/>
        <v>5.6255098485280541E-5</v>
      </c>
      <c r="Q259" s="16">
        <f t="shared" si="22"/>
        <v>6.5427419205121851E-4</v>
      </c>
      <c r="R259" s="5">
        <f t="shared" si="24"/>
        <v>5.0480180217170198E-2</v>
      </c>
      <c r="S259" s="5">
        <f t="shared" si="20"/>
        <v>4.3060288426645235E-2</v>
      </c>
      <c r="T259" s="5">
        <f t="shared" si="23"/>
        <v>3.0251987116781242E-3</v>
      </c>
      <c r="U259" s="5">
        <f t="shared" si="23"/>
        <v>9.2601959483101074E-5</v>
      </c>
    </row>
    <row r="260" spans="7:21" x14ac:dyDescent="0.2">
      <c r="G260" s="8">
        <v>45831</v>
      </c>
      <c r="H260" s="5">
        <v>8.6159399999999997E-2</v>
      </c>
      <c r="I260" s="9">
        <v>2.261991E-2</v>
      </c>
      <c r="J260" s="10">
        <f t="shared" ref="J260:J323" si="25">IF(G260&lt;&gt;"",1+H260,"")</f>
        <v>1.0861594000000001</v>
      </c>
      <c r="K260" s="10">
        <f t="shared" ref="K260:K323" si="26">IF(G260&lt;&gt;"",1+I260,"")</f>
        <v>1.02261991</v>
      </c>
      <c r="L260" s="11">
        <f t="shared" si="21"/>
        <v>1.062134023969864</v>
      </c>
      <c r="M260" s="9">
        <f>IF(G260&lt;&gt;"",J260/MAX(J$3:J260)-1,"")</f>
        <v>-1.5589389507959517E-3</v>
      </c>
      <c r="N260" s="9">
        <f>IF(G260&lt;&gt;"",K260/MAX(K$3:K260)-1,"")</f>
        <v>0</v>
      </c>
      <c r="O260" s="16">
        <f t="shared" si="22"/>
        <v>2.7303590234757369E-3</v>
      </c>
      <c r="P260" s="16">
        <f t="shared" si="22"/>
        <v>7.5586091462742644E-5</v>
      </c>
      <c r="Q260" s="16">
        <f t="shared" si="22"/>
        <v>2.6545722832693741E-3</v>
      </c>
      <c r="R260" s="5">
        <f t="shared" si="24"/>
        <v>5.0583573263002619E-2</v>
      </c>
      <c r="S260" s="5">
        <f t="shared" ref="S260:S323" si="27">IF(R260&lt;&gt;"",B$12,"")</f>
        <v>4.3060288426645235E-2</v>
      </c>
      <c r="T260" s="5">
        <f t="shared" si="23"/>
        <v>3.0287045088325175E-3</v>
      </c>
      <c r="U260" s="5">
        <f t="shared" si="23"/>
        <v>9.2598173514808096E-5</v>
      </c>
    </row>
    <row r="261" spans="7:21" x14ac:dyDescent="0.2">
      <c r="G261" s="8">
        <v>45832</v>
      </c>
      <c r="H261" s="5">
        <v>9.0274099999999996E-2</v>
      </c>
      <c r="I261" s="9">
        <v>2.2873879999999999E-2</v>
      </c>
      <c r="J261" s="10">
        <f t="shared" si="25"/>
        <v>1.0902741</v>
      </c>
      <c r="K261" s="10">
        <f t="shared" si="26"/>
        <v>1.0228738799999999</v>
      </c>
      <c r="L261" s="11">
        <f t="shared" ref="L261:L324" si="28">IF(G261&lt;&gt;"",J261/K261,"")</f>
        <v>1.0658929916169138</v>
      </c>
      <c r="M261" s="9">
        <f>IF(G261&lt;&gt;"",J261/MAX(J$3:J261)-1,"")</f>
        <v>0</v>
      </c>
      <c r="N261" s="9">
        <f>IF(G261&lt;&gt;"",K261/MAX(K$3:K261)-1,"")</f>
        <v>0</v>
      </c>
      <c r="O261" s="16">
        <f t="shared" ref="O261:Q324" si="29">IF($G261&lt;&gt;"",J261/J260-1,"")</f>
        <v>3.7883021589648624E-3</v>
      </c>
      <c r="P261" s="16">
        <f t="shared" si="29"/>
        <v>2.4835229347330845E-4</v>
      </c>
      <c r="Q261" s="16">
        <f t="shared" si="29"/>
        <v>3.5390709291094335E-3</v>
      </c>
      <c r="R261" s="5">
        <f t="shared" si="24"/>
        <v>5.042271754134213E-2</v>
      </c>
      <c r="S261" s="5">
        <f t="shared" si="27"/>
        <v>4.3060288426645235E-2</v>
      </c>
      <c r="T261" s="5">
        <f t="shared" si="23"/>
        <v>3.0368248646812108E-3</v>
      </c>
      <c r="U261" s="5">
        <f t="shared" si="23"/>
        <v>9.3172439518117981E-5</v>
      </c>
    </row>
    <row r="262" spans="7:21" x14ac:dyDescent="0.2">
      <c r="G262" s="8">
        <v>45833</v>
      </c>
      <c r="H262" s="5">
        <v>9.2618889999999995E-2</v>
      </c>
      <c r="I262" s="9">
        <v>2.3023890000000002E-2</v>
      </c>
      <c r="J262" s="10">
        <f t="shared" si="25"/>
        <v>1.09261889</v>
      </c>
      <c r="K262" s="10">
        <f t="shared" si="26"/>
        <v>1.0230238899999999</v>
      </c>
      <c r="L262" s="11">
        <f t="shared" si="28"/>
        <v>1.06802871436365</v>
      </c>
      <c r="M262" s="9">
        <f>IF(G262&lt;&gt;"",J262/MAX(J$3:J262)-1,"")</f>
        <v>0</v>
      </c>
      <c r="N262" s="9">
        <f>IF(G262&lt;&gt;"",K262/MAX(K$3:K262)-1,"")</f>
        <v>0</v>
      </c>
      <c r="O262" s="16">
        <f t="shared" si="29"/>
        <v>2.1506426686646041E-3</v>
      </c>
      <c r="P262" s="16">
        <f t="shared" si="29"/>
        <v>1.466554214875071E-4</v>
      </c>
      <c r="Q262" s="16">
        <f t="shared" si="29"/>
        <v>2.0036933946778746E-3</v>
      </c>
      <c r="R262" s="5">
        <f t="shared" si="24"/>
        <v>5.0469447795940772E-2</v>
      </c>
      <c r="S262" s="5">
        <f t="shared" si="27"/>
        <v>4.3060288426645235E-2</v>
      </c>
      <c r="T262" s="5">
        <f t="shared" si="23"/>
        <v>3.0376657203825788E-3</v>
      </c>
      <c r="U262" s="5">
        <f t="shared" si="23"/>
        <v>9.324116856776036E-5</v>
      </c>
    </row>
    <row r="263" spans="7:21" x14ac:dyDescent="0.2">
      <c r="G263" s="8">
        <v>45834</v>
      </c>
      <c r="H263" s="5">
        <v>9.3605129999999995E-2</v>
      </c>
      <c r="I263" s="9">
        <v>2.3099729999999999E-2</v>
      </c>
      <c r="J263" s="10">
        <f t="shared" si="25"/>
        <v>1.09360513</v>
      </c>
      <c r="K263" s="10">
        <f t="shared" si="26"/>
        <v>1.02309973</v>
      </c>
      <c r="L263" s="11">
        <f t="shared" si="28"/>
        <v>1.0689135163783106</v>
      </c>
      <c r="M263" s="9">
        <f>IF(G263&lt;&gt;"",J263/MAX(J$3:J263)-1,"")</f>
        <v>0</v>
      </c>
      <c r="N263" s="9">
        <f>IF(G263&lt;&gt;"",K263/MAX(K$3:K263)-1,"")</f>
        <v>0</v>
      </c>
      <c r="O263" s="16">
        <f t="shared" si="29"/>
        <v>9.0263861354267227E-4</v>
      </c>
      <c r="P263" s="16">
        <f t="shared" si="29"/>
        <v>7.413316613757992E-5</v>
      </c>
      <c r="Q263" s="16">
        <f t="shared" si="29"/>
        <v>8.2844403222592788E-4</v>
      </c>
      <c r="R263" s="5">
        <f t="shared" si="24"/>
        <v>5.0452675517090699E-2</v>
      </c>
      <c r="S263" s="5">
        <f t="shared" si="27"/>
        <v>4.3060288426645235E-2</v>
      </c>
      <c r="T263" s="5">
        <f t="shared" si="23"/>
        <v>3.0374061963060104E-3</v>
      </c>
      <c r="U263" s="5">
        <f t="shared" si="23"/>
        <v>9.2978387582896309E-5</v>
      </c>
    </row>
    <row r="264" spans="7:21" x14ac:dyDescent="0.2">
      <c r="G264" s="8">
        <v>45835</v>
      </c>
      <c r="H264" s="5">
        <v>9.3336849999999999E-2</v>
      </c>
      <c r="I264" s="9">
        <v>2.315043E-2</v>
      </c>
      <c r="J264" s="10">
        <f t="shared" si="25"/>
        <v>1.09333685</v>
      </c>
      <c r="K264" s="10">
        <f t="shared" si="26"/>
        <v>1.0231504300000001</v>
      </c>
      <c r="L264" s="11">
        <f t="shared" si="28"/>
        <v>1.0685983389558855</v>
      </c>
      <c r="M264" s="9">
        <f>IF(G264&lt;&gt;"",J264/MAX(J$3:J264)-1,"")</f>
        <v>-2.4531706430452882E-4</v>
      </c>
      <c r="N264" s="9">
        <f>IF(G264&lt;&gt;"",K264/MAX(K$3:K264)-1,"")</f>
        <v>0</v>
      </c>
      <c r="O264" s="16">
        <f t="shared" si="29"/>
        <v>-2.4531706430452882E-4</v>
      </c>
      <c r="P264" s="16">
        <f t="shared" si="29"/>
        <v>4.9555286267155552E-5</v>
      </c>
      <c r="Q264" s="16">
        <f t="shared" si="29"/>
        <v>-2.9485773881210431E-4</v>
      </c>
      <c r="R264" s="5">
        <f t="shared" si="24"/>
        <v>5.0451204551849704E-2</v>
      </c>
      <c r="S264" s="5">
        <f t="shared" si="27"/>
        <v>4.3060288426645235E-2</v>
      </c>
      <c r="T264" s="5">
        <f t="shared" ref="T264:U279" si="30">IF($G264&lt;&gt;"",_xlfn.STDEV.S(O20:O264),"")</f>
        <v>3.0345483425026714E-3</v>
      </c>
      <c r="U264" s="5">
        <f t="shared" si="30"/>
        <v>9.300123256208931E-5</v>
      </c>
    </row>
    <row r="265" spans="7:21" x14ac:dyDescent="0.2">
      <c r="G265" s="8">
        <v>45838</v>
      </c>
      <c r="H265" s="5">
        <v>9.4282959999999999E-2</v>
      </c>
      <c r="I265" s="9">
        <v>2.3222360000000001E-2</v>
      </c>
      <c r="J265" s="10">
        <f t="shared" si="25"/>
        <v>1.0942829599999999</v>
      </c>
      <c r="K265" s="10">
        <f t="shared" si="26"/>
        <v>1.0232223600000001</v>
      </c>
      <c r="L265" s="11">
        <f t="shared" si="28"/>
        <v>1.0694478568666148</v>
      </c>
      <c r="M265" s="9">
        <f>IF(G265&lt;&gt;"",J265/MAX(J$3:J265)-1,"")</f>
        <v>0</v>
      </c>
      <c r="N265" s="9">
        <f>IF(G265&lt;&gt;"",K265/MAX(K$3:K265)-1,"")</f>
        <v>0</v>
      </c>
      <c r="O265" s="16">
        <f t="shared" si="29"/>
        <v>8.6534172885510685E-4</v>
      </c>
      <c r="P265" s="16">
        <f t="shared" si="29"/>
        <v>7.0302467644056676E-5</v>
      </c>
      <c r="Q265" s="16">
        <f t="shared" si="29"/>
        <v>7.9498337191807877E-4</v>
      </c>
      <c r="R265" s="5">
        <f t="shared" si="24"/>
        <v>5.028802286985759E-2</v>
      </c>
      <c r="S265" s="5">
        <f t="shared" si="27"/>
        <v>4.3060288426645235E-2</v>
      </c>
      <c r="T265" s="5">
        <f t="shared" si="30"/>
        <v>3.0347240690867436E-3</v>
      </c>
      <c r="U265" s="5">
        <f t="shared" si="30"/>
        <v>9.2973834828268274E-5</v>
      </c>
    </row>
    <row r="266" spans="7:21" x14ac:dyDescent="0.2">
      <c r="G266" s="8">
        <v>45839</v>
      </c>
      <c r="H266" s="5">
        <v>9.4927449999999997E-2</v>
      </c>
      <c r="I266" s="9">
        <v>2.340513E-2</v>
      </c>
      <c r="J266" s="10">
        <f t="shared" si="25"/>
        <v>1.0949274499999999</v>
      </c>
      <c r="K266" s="10">
        <f t="shared" si="26"/>
        <v>1.02340513</v>
      </c>
      <c r="L266" s="11">
        <f t="shared" si="28"/>
        <v>1.0698866146977395</v>
      </c>
      <c r="M266" s="9">
        <f>IF(G266&lt;&gt;"",J266/MAX(J$3:J266)-1,"")</f>
        <v>0</v>
      </c>
      <c r="N266" s="9">
        <f>IF(G266&lt;&gt;"",K266/MAX(K$3:K266)-1,"")</f>
        <v>0</v>
      </c>
      <c r="O266" s="16">
        <f t="shared" si="29"/>
        <v>5.8896101242411625E-4</v>
      </c>
      <c r="P266" s="16">
        <f t="shared" si="29"/>
        <v>1.7862197616547171E-4</v>
      </c>
      <c r="Q266" s="16">
        <f t="shared" si="29"/>
        <v>4.1026575377900443E-4</v>
      </c>
      <c r="R266" s="5">
        <f t="shared" si="24"/>
        <v>5.0275197445413547E-2</v>
      </c>
      <c r="S266" s="5">
        <f t="shared" si="27"/>
        <v>4.3060288426645235E-2</v>
      </c>
      <c r="T266" s="5">
        <f t="shared" si="30"/>
        <v>3.0345710347771952E-3</v>
      </c>
      <c r="U266" s="5">
        <f t="shared" si="30"/>
        <v>9.3160035624945765E-5</v>
      </c>
    </row>
    <row r="267" spans="7:21" x14ac:dyDescent="0.2">
      <c r="G267" s="8">
        <v>45840</v>
      </c>
      <c r="H267" s="5">
        <v>9.6230490000000002E-2</v>
      </c>
      <c r="I267" s="9">
        <v>2.3488350000000002E-2</v>
      </c>
      <c r="J267" s="10">
        <f t="shared" si="25"/>
        <v>1.0962304899999999</v>
      </c>
      <c r="K267" s="10">
        <f t="shared" si="26"/>
        <v>1.02348835</v>
      </c>
      <c r="L267" s="11">
        <f t="shared" si="28"/>
        <v>1.0710727581803934</v>
      </c>
      <c r="M267" s="9">
        <f>IF(G267&lt;&gt;"",J267/MAX(J$3:J267)-1,"")</f>
        <v>0</v>
      </c>
      <c r="N267" s="9">
        <f>IF(G267&lt;&gt;"",K267/MAX(K$3:K267)-1,"")</f>
        <v>0</v>
      </c>
      <c r="O267" s="16">
        <f t="shared" si="29"/>
        <v>1.190069716491271E-3</v>
      </c>
      <c r="P267" s="16">
        <f t="shared" si="29"/>
        <v>8.1316770417227957E-5</v>
      </c>
      <c r="Q267" s="16">
        <f t="shared" si="29"/>
        <v>1.1086627931959914E-3</v>
      </c>
      <c r="R267" s="5">
        <f t="shared" si="24"/>
        <v>5.0291493167240624E-2</v>
      </c>
      <c r="S267" s="5">
        <f t="shared" si="27"/>
        <v>4.3060288426645235E-2</v>
      </c>
      <c r="T267" s="5">
        <f t="shared" si="30"/>
        <v>3.033308281579035E-3</v>
      </c>
      <c r="U267" s="5">
        <f t="shared" si="30"/>
        <v>9.3156713683013011E-5</v>
      </c>
    </row>
    <row r="268" spans="7:21" x14ac:dyDescent="0.2">
      <c r="G268" s="8">
        <v>45841</v>
      </c>
      <c r="H268" s="5">
        <v>9.7483269999999997E-2</v>
      </c>
      <c r="I268" s="9">
        <v>2.3552119999999999E-2</v>
      </c>
      <c r="J268" s="10">
        <f t="shared" si="25"/>
        <v>1.0974832699999999</v>
      </c>
      <c r="K268" s="10">
        <f t="shared" si="26"/>
        <v>1.02355212</v>
      </c>
      <c r="L268" s="11">
        <f t="shared" si="28"/>
        <v>1.0722299808240345</v>
      </c>
      <c r="M268" s="9">
        <f>IF(G268&lt;&gt;"",J268/MAX(J$3:J268)-1,"")</f>
        <v>0</v>
      </c>
      <c r="N268" s="9">
        <f>IF(G268&lt;&gt;"",K268/MAX(K$3:K268)-1,"")</f>
        <v>0</v>
      </c>
      <c r="O268" s="16">
        <f t="shared" si="29"/>
        <v>1.1428071116685867E-3</v>
      </c>
      <c r="P268" s="16">
        <f t="shared" si="29"/>
        <v>6.230652258998326E-5</v>
      </c>
      <c r="Q268" s="16">
        <f t="shared" si="29"/>
        <v>1.0804332710385722E-3</v>
      </c>
      <c r="R268" s="5">
        <f t="shared" si="24"/>
        <v>5.0265659968200892E-2</v>
      </c>
      <c r="S268" s="5">
        <f t="shared" si="27"/>
        <v>4.3060288426645235E-2</v>
      </c>
      <c r="T268" s="5">
        <f t="shared" si="30"/>
        <v>3.0336996708807133E-3</v>
      </c>
      <c r="U268" s="5">
        <f t="shared" si="30"/>
        <v>9.3088662745965055E-5</v>
      </c>
    </row>
    <row r="269" spans="7:21" x14ac:dyDescent="0.2">
      <c r="G269" s="8">
        <v>45842</v>
      </c>
      <c r="H269" s="5">
        <v>9.7552410000000006E-2</v>
      </c>
      <c r="I269" s="9">
        <v>2.364809E-2</v>
      </c>
      <c r="J269" s="10">
        <f t="shared" si="25"/>
        <v>1.09755241</v>
      </c>
      <c r="K269" s="10">
        <f t="shared" si="26"/>
        <v>1.02364809</v>
      </c>
      <c r="L269" s="11">
        <f t="shared" si="28"/>
        <v>1.0721969988729232</v>
      </c>
      <c r="M269" s="9">
        <f>IF(G269&lt;&gt;"",J269/MAX(J$3:J269)-1,"")</f>
        <v>0</v>
      </c>
      <c r="N269" s="9">
        <f>IF(G269&lt;&gt;"",K269/MAX(K$3:K269)-1,"")</f>
        <v>0</v>
      </c>
      <c r="O269" s="16">
        <f t="shared" si="29"/>
        <v>6.299868243098139E-5</v>
      </c>
      <c r="P269" s="16">
        <f t="shared" si="29"/>
        <v>9.3761712886664128E-5</v>
      </c>
      <c r="Q269" s="16">
        <f t="shared" si="29"/>
        <v>-3.0760146331632043E-5</v>
      </c>
      <c r="R269" s="5">
        <f t="shared" si="24"/>
        <v>5.0258066571917497E-2</v>
      </c>
      <c r="S269" s="5">
        <f t="shared" si="27"/>
        <v>4.3060288426645235E-2</v>
      </c>
      <c r="T269" s="5">
        <f t="shared" si="30"/>
        <v>3.0336234007622052E-3</v>
      </c>
      <c r="U269" s="5">
        <f t="shared" si="30"/>
        <v>9.3070954001730032E-5</v>
      </c>
    </row>
    <row r="270" spans="7:21" x14ac:dyDescent="0.2">
      <c r="G270" s="8">
        <v>45845</v>
      </c>
      <c r="H270" s="5">
        <v>9.5859459999999994E-2</v>
      </c>
      <c r="I270" s="9">
        <v>2.3724789999999999E-2</v>
      </c>
      <c r="J270" s="10">
        <f t="shared" si="25"/>
        <v>1.09585946</v>
      </c>
      <c r="K270" s="10">
        <f t="shared" si="26"/>
        <v>1.0237247899999999</v>
      </c>
      <c r="L270" s="11">
        <f t="shared" si="28"/>
        <v>1.0704629512781458</v>
      </c>
      <c r="M270" s="9">
        <f>IF(G270&lt;&gt;"",J270/MAX(J$3:J270)-1,"")</f>
        <v>-1.5424775933935431E-3</v>
      </c>
      <c r="N270" s="9">
        <f>IF(G270&lt;&gt;"",K270/MAX(K$3:K270)-1,"")</f>
        <v>0</v>
      </c>
      <c r="O270" s="16">
        <f t="shared" si="29"/>
        <v>-1.5424775933935431E-3</v>
      </c>
      <c r="P270" s="16">
        <f t="shared" si="29"/>
        <v>7.4928093696691178E-5</v>
      </c>
      <c r="Q270" s="16">
        <f t="shared" si="29"/>
        <v>-1.6172845070450137E-3</v>
      </c>
      <c r="R270" s="5">
        <f t="shared" si="24"/>
        <v>5.0220335230964731E-2</v>
      </c>
      <c r="S270" s="5">
        <f t="shared" si="27"/>
        <v>4.3060288426645235E-2</v>
      </c>
      <c r="T270" s="5">
        <f t="shared" si="30"/>
        <v>3.036025430311731E-3</v>
      </c>
      <c r="U270" s="5">
        <f t="shared" si="30"/>
        <v>9.2996018285130085E-5</v>
      </c>
    </row>
    <row r="271" spans="7:21" x14ac:dyDescent="0.2">
      <c r="G271" s="8">
        <v>45846</v>
      </c>
      <c r="H271" s="5">
        <v>9.7383029999999995E-2</v>
      </c>
      <c r="I271" s="9">
        <v>2.3916010000000001E-2</v>
      </c>
      <c r="J271" s="10">
        <f t="shared" si="25"/>
        <v>1.09738303</v>
      </c>
      <c r="K271" s="10">
        <f t="shared" si="26"/>
        <v>1.02391601</v>
      </c>
      <c r="L271" s="11">
        <f t="shared" si="28"/>
        <v>1.0717510218440671</v>
      </c>
      <c r="M271" s="9">
        <f>IF(G271&lt;&gt;"",J271/MAX(J$3:J271)-1,"")</f>
        <v>-1.5432520438818376E-4</v>
      </c>
      <c r="N271" s="9">
        <f>IF(G271&lt;&gt;"",K271/MAX(K$3:K271)-1,"")</f>
        <v>0</v>
      </c>
      <c r="O271" s="16">
        <f t="shared" si="29"/>
        <v>1.3902968908074964E-3</v>
      </c>
      <c r="P271" s="16">
        <f t="shared" si="29"/>
        <v>1.8678848247888347E-4</v>
      </c>
      <c r="Q271" s="16">
        <f t="shared" si="29"/>
        <v>1.2032836488020671E-3</v>
      </c>
      <c r="R271" s="5">
        <f t="shared" si="24"/>
        <v>4.9931329499928859E-2</v>
      </c>
      <c r="S271" s="5">
        <f t="shared" si="27"/>
        <v>4.3060288426645235E-2</v>
      </c>
      <c r="T271" s="5">
        <f t="shared" si="30"/>
        <v>3.0360644506013936E-3</v>
      </c>
      <c r="U271" s="5">
        <f t="shared" si="30"/>
        <v>9.3189317792643971E-5</v>
      </c>
    </row>
    <row r="272" spans="7:21" x14ac:dyDescent="0.2">
      <c r="G272" s="8">
        <v>45847</v>
      </c>
      <c r="H272" s="5">
        <v>9.7545820000000005E-2</v>
      </c>
      <c r="I272" s="9">
        <v>2.4005970000000001E-2</v>
      </c>
      <c r="J272" s="10">
        <f t="shared" si="25"/>
        <v>1.0975458200000001</v>
      </c>
      <c r="K272" s="10">
        <f t="shared" si="26"/>
        <v>1.0240059699999999</v>
      </c>
      <c r="L272" s="11">
        <f t="shared" si="28"/>
        <v>1.0718158410736611</v>
      </c>
      <c r="M272" s="9">
        <f>IF(G272&lt;&gt;"",J272/MAX(J$3:J272)-1,"")</f>
        <v>-6.0042690808170818E-6</v>
      </c>
      <c r="N272" s="9">
        <f>IF(G272&lt;&gt;"",K272/MAX(K$3:K272)-1,"")</f>
        <v>0</v>
      </c>
      <c r="O272" s="16">
        <f t="shared" si="29"/>
        <v>1.4834382849904237E-4</v>
      </c>
      <c r="P272" s="16">
        <f t="shared" si="29"/>
        <v>8.7858768806681198E-5</v>
      </c>
      <c r="Q272" s="16">
        <f t="shared" si="29"/>
        <v>6.0479746016417479E-5</v>
      </c>
      <c r="R272" s="5">
        <f t="shared" si="24"/>
        <v>4.9929039069209064E-2</v>
      </c>
      <c r="S272" s="5">
        <f t="shared" si="27"/>
        <v>4.3060288426645235E-2</v>
      </c>
      <c r="T272" s="5">
        <f t="shared" si="30"/>
        <v>3.0351271671829223E-3</v>
      </c>
      <c r="U272" s="5">
        <f t="shared" si="30"/>
        <v>9.30548424268892E-5</v>
      </c>
    </row>
    <row r="273" spans="7:21" x14ac:dyDescent="0.2">
      <c r="G273" s="8">
        <v>45848</v>
      </c>
      <c r="H273" s="5">
        <v>9.9046540000000002E-2</v>
      </c>
      <c r="I273" s="9">
        <v>2.4091999999999999E-2</v>
      </c>
      <c r="J273" s="10">
        <f t="shared" si="25"/>
        <v>1.09904654</v>
      </c>
      <c r="K273" s="10">
        <f t="shared" si="26"/>
        <v>1.024092</v>
      </c>
      <c r="L273" s="11">
        <f t="shared" si="28"/>
        <v>1.0731912171953302</v>
      </c>
      <c r="M273" s="9">
        <f>IF(G273&lt;&gt;"",J273/MAX(J$3:J273)-1,"")</f>
        <v>0</v>
      </c>
      <c r="N273" s="9">
        <f>IF(G273&lt;&gt;"",K273/MAX(K$3:K273)-1,"")</f>
        <v>0</v>
      </c>
      <c r="O273" s="16">
        <f t="shared" si="29"/>
        <v>1.3673415475263795E-3</v>
      </c>
      <c r="P273" s="16">
        <f t="shared" si="29"/>
        <v>8.4013182071629444E-5</v>
      </c>
      <c r="Q273" s="16">
        <f t="shared" si="29"/>
        <v>1.2832205580124434E-3</v>
      </c>
      <c r="R273" s="5">
        <f t="shared" si="24"/>
        <v>4.9950340297691409E-2</v>
      </c>
      <c r="S273" s="5">
        <f t="shared" si="27"/>
        <v>4.3060288426645235E-2</v>
      </c>
      <c r="T273" s="5">
        <f t="shared" si="30"/>
        <v>3.0356062124802076E-3</v>
      </c>
      <c r="U273" s="5">
        <f t="shared" si="30"/>
        <v>9.2812171412886969E-5</v>
      </c>
    </row>
    <row r="274" spans="7:21" x14ac:dyDescent="0.2">
      <c r="G274" s="8">
        <v>45849</v>
      </c>
      <c r="H274" s="5">
        <v>9.8318409999999995E-2</v>
      </c>
      <c r="I274" s="9">
        <v>2.416946E-2</v>
      </c>
      <c r="J274" s="10">
        <f t="shared" si="25"/>
        <v>1.0983184100000001</v>
      </c>
      <c r="K274" s="10">
        <f t="shared" si="26"/>
        <v>1.02416946</v>
      </c>
      <c r="L274" s="11">
        <f t="shared" si="28"/>
        <v>1.0723991027812918</v>
      </c>
      <c r="M274" s="9">
        <f>IF(G274&lt;&gt;"",J274/MAX(J$3:J274)-1,"")</f>
        <v>-6.6251061579247761E-4</v>
      </c>
      <c r="N274" s="9">
        <f>IF(G274&lt;&gt;"",K274/MAX(K$3:K274)-1,"")</f>
        <v>0</v>
      </c>
      <c r="O274" s="16">
        <f t="shared" si="29"/>
        <v>-6.6251061579247761E-4</v>
      </c>
      <c r="P274" s="16">
        <f t="shared" si="29"/>
        <v>7.5637735672096085E-5</v>
      </c>
      <c r="Q274" s="16">
        <f t="shared" si="29"/>
        <v>-7.3809252381740187E-4</v>
      </c>
      <c r="R274" s="5">
        <f t="shared" si="24"/>
        <v>4.986878074238308E-2</v>
      </c>
      <c r="S274" s="5">
        <f t="shared" si="27"/>
        <v>4.3060288426645235E-2</v>
      </c>
      <c r="T274" s="5">
        <f t="shared" si="30"/>
        <v>3.0345463086117121E-3</v>
      </c>
      <c r="U274" s="5">
        <f t="shared" si="30"/>
        <v>9.2721676519433974E-5</v>
      </c>
    </row>
    <row r="275" spans="7:21" x14ac:dyDescent="0.2">
      <c r="G275" s="8">
        <v>45852</v>
      </c>
      <c r="H275" s="5">
        <v>9.9398009999999995E-2</v>
      </c>
      <c r="I275" s="9">
        <v>2.423024E-2</v>
      </c>
      <c r="J275" s="10">
        <f t="shared" si="25"/>
        <v>1.09939801</v>
      </c>
      <c r="K275" s="10">
        <f t="shared" si="26"/>
        <v>1.0242302400000001</v>
      </c>
      <c r="L275" s="11">
        <f t="shared" si="28"/>
        <v>1.0733895242147897</v>
      </c>
      <c r="M275" s="9">
        <f>IF(G275&lt;&gt;"",J275/MAX(J$3:J275)-1,"")</f>
        <v>0</v>
      </c>
      <c r="N275" s="9">
        <f>IF(G275&lt;&gt;"",K275/MAX(K$3:K275)-1,"")</f>
        <v>0</v>
      </c>
      <c r="O275" s="16">
        <f t="shared" si="29"/>
        <v>9.8295721001351311E-4</v>
      </c>
      <c r="P275" s="16">
        <f t="shared" si="29"/>
        <v>5.9345647740904894E-5</v>
      </c>
      <c r="Q275" s="16">
        <f t="shared" si="29"/>
        <v>9.2355675319866215E-4</v>
      </c>
      <c r="R275" s="5">
        <f t="shared" si="24"/>
        <v>4.9874432711184122E-2</v>
      </c>
      <c r="S275" s="5">
        <f t="shared" si="27"/>
        <v>4.3060288426645235E-2</v>
      </c>
      <c r="T275" s="5">
        <f t="shared" si="30"/>
        <v>3.0333368454481904E-3</v>
      </c>
      <c r="U275" s="5">
        <f t="shared" si="30"/>
        <v>9.271097337939137E-5</v>
      </c>
    </row>
    <row r="276" spans="7:21" x14ac:dyDescent="0.2">
      <c r="G276" s="8">
        <v>45853</v>
      </c>
      <c r="H276" s="5">
        <v>9.9334770000000003E-2</v>
      </c>
      <c r="I276" s="9">
        <v>2.4419759999999999E-2</v>
      </c>
      <c r="J276" s="10">
        <f t="shared" si="25"/>
        <v>1.09933477</v>
      </c>
      <c r="K276" s="10">
        <f t="shared" si="26"/>
        <v>1.02441976</v>
      </c>
      <c r="L276" s="11">
        <f t="shared" si="28"/>
        <v>1.073129212189347</v>
      </c>
      <c r="M276" s="9">
        <f>IF(G276&lt;&gt;"",J276/MAX(J$3:J276)-1,"")</f>
        <v>-5.7522389002695462E-5</v>
      </c>
      <c r="N276" s="9">
        <f>IF(G276&lt;&gt;"",K276/MAX(K$3:K276)-1,"")</f>
        <v>0</v>
      </c>
      <c r="O276" s="16">
        <f t="shared" si="29"/>
        <v>-5.7522389002695462E-5</v>
      </c>
      <c r="P276" s="16">
        <f t="shared" si="29"/>
        <v>1.8503652069479237E-4</v>
      </c>
      <c r="Q276" s="16">
        <f t="shared" si="29"/>
        <v>-2.4251403574404584E-4</v>
      </c>
      <c r="R276" s="5">
        <f t="shared" si="24"/>
        <v>4.986134824414442E-2</v>
      </c>
      <c r="S276" s="5">
        <f t="shared" si="27"/>
        <v>4.3060288426645235E-2</v>
      </c>
      <c r="T276" s="5">
        <f t="shared" si="30"/>
        <v>3.0327435291091684E-3</v>
      </c>
      <c r="U276" s="5">
        <f t="shared" si="30"/>
        <v>9.2918096791700584E-5</v>
      </c>
    </row>
    <row r="277" spans="7:21" x14ac:dyDescent="0.2">
      <c r="G277" s="8">
        <v>45854</v>
      </c>
      <c r="H277" s="5">
        <v>9.9727179999999999E-2</v>
      </c>
      <c r="I277" s="9">
        <v>2.4490609999999999E-2</v>
      </c>
      <c r="J277" s="10">
        <f t="shared" si="25"/>
        <v>1.0997271799999999</v>
      </c>
      <c r="K277" s="10">
        <f t="shared" si="26"/>
        <v>1.02449061</v>
      </c>
      <c r="L277" s="11">
        <f t="shared" si="28"/>
        <v>1.073438027899543</v>
      </c>
      <c r="M277" s="9">
        <f>IF(G277&lt;&gt;"",J277/MAX(J$3:J277)-1,"")</f>
        <v>0</v>
      </c>
      <c r="N277" s="9">
        <f>IF(G277&lt;&gt;"",K277/MAX(K$3:K277)-1,"")</f>
        <v>0</v>
      </c>
      <c r="O277" s="16">
        <f t="shared" si="29"/>
        <v>3.569522321211771E-4</v>
      </c>
      <c r="P277" s="16">
        <f t="shared" si="29"/>
        <v>6.9161102476122949E-5</v>
      </c>
      <c r="Q277" s="16">
        <f t="shared" si="29"/>
        <v>2.8777122706968861E-4</v>
      </c>
      <c r="R277" s="5">
        <f t="shared" si="24"/>
        <v>4.9325423489195094E-2</v>
      </c>
      <c r="S277" s="5">
        <f t="shared" si="27"/>
        <v>4.3060288426645235E-2</v>
      </c>
      <c r="T277" s="5">
        <f t="shared" si="30"/>
        <v>3.0315566143704546E-3</v>
      </c>
      <c r="U277" s="5">
        <f t="shared" si="30"/>
        <v>9.2817274698066434E-5</v>
      </c>
    </row>
    <row r="278" spans="7:21" x14ac:dyDescent="0.2">
      <c r="G278" s="8">
        <v>45855</v>
      </c>
      <c r="H278" s="5">
        <v>0.10104868</v>
      </c>
      <c r="I278" s="9">
        <v>2.4568E-2</v>
      </c>
      <c r="J278" s="10">
        <f t="shared" si="25"/>
        <v>1.1010486799999999</v>
      </c>
      <c r="K278" s="10">
        <f t="shared" si="26"/>
        <v>1.0245679999999999</v>
      </c>
      <c r="L278" s="11">
        <f t="shared" si="28"/>
        <v>1.0746467584386785</v>
      </c>
      <c r="M278" s="9">
        <f>IF(G278&lt;&gt;"",J278/MAX(J$3:J278)-1,"")</f>
        <v>0</v>
      </c>
      <c r="N278" s="9">
        <f>IF(G278&lt;&gt;"",K278/MAX(K$3:K278)-1,"")</f>
        <v>0</v>
      </c>
      <c r="O278" s="16">
        <f t="shared" si="29"/>
        <v>1.201661670306331E-3</v>
      </c>
      <c r="P278" s="16">
        <f t="shared" si="29"/>
        <v>7.5539979814909231E-5</v>
      </c>
      <c r="Q278" s="16">
        <f t="shared" si="29"/>
        <v>1.1260366297072277E-3</v>
      </c>
      <c r="R278" s="5">
        <f t="shared" si="24"/>
        <v>4.9297601962693442E-2</v>
      </c>
      <c r="S278" s="5">
        <f t="shared" si="27"/>
        <v>4.3060288426645235E-2</v>
      </c>
      <c r="T278" s="5">
        <f t="shared" si="30"/>
        <v>3.0305594781494896E-3</v>
      </c>
      <c r="U278" s="5">
        <f t="shared" si="30"/>
        <v>9.2754035241195135E-5</v>
      </c>
    </row>
    <row r="279" spans="7:21" x14ac:dyDescent="0.2">
      <c r="G279" s="8">
        <v>45856</v>
      </c>
      <c r="H279" s="5">
        <v>0.10329963</v>
      </c>
      <c r="I279" s="9">
        <v>2.459182E-2</v>
      </c>
      <c r="J279" s="10">
        <f t="shared" si="25"/>
        <v>1.10329963</v>
      </c>
      <c r="K279" s="10">
        <f t="shared" si="26"/>
        <v>1.0245918199999999</v>
      </c>
      <c r="L279" s="11">
        <f t="shared" si="28"/>
        <v>1.0768186983964014</v>
      </c>
      <c r="M279" s="9">
        <f>IF(G279&lt;&gt;"",J279/MAX(J$3:J279)-1,"")</f>
        <v>0</v>
      </c>
      <c r="N279" s="9">
        <f>IF(G279&lt;&gt;"",K279/MAX(K$3:K279)-1,"")</f>
        <v>0</v>
      </c>
      <c r="O279" s="16">
        <f t="shared" si="29"/>
        <v>2.0443691917420015E-3</v>
      </c>
      <c r="P279" s="16">
        <f t="shared" si="29"/>
        <v>2.3248822918597867E-5</v>
      </c>
      <c r="Q279" s="16">
        <f t="shared" si="29"/>
        <v>2.0210733812462411E-3</v>
      </c>
      <c r="R279" s="5">
        <f t="shared" si="24"/>
        <v>4.9074544798889445E-2</v>
      </c>
      <c r="S279" s="5">
        <f t="shared" si="27"/>
        <v>4.3060288426645235E-2</v>
      </c>
      <c r="T279" s="5">
        <f t="shared" si="30"/>
        <v>3.0323139071401035E-3</v>
      </c>
      <c r="U279" s="5">
        <f t="shared" si="30"/>
        <v>9.2816576786651752E-5</v>
      </c>
    </row>
    <row r="280" spans="7:21" x14ac:dyDescent="0.2">
      <c r="G280" s="8">
        <v>45859</v>
      </c>
      <c r="H280" s="5">
        <v>0.10574351</v>
      </c>
      <c r="I280" s="9">
        <v>2.459921E-2</v>
      </c>
      <c r="J280" s="10">
        <f t="shared" si="25"/>
        <v>1.1057435099999999</v>
      </c>
      <c r="K280" s="10">
        <f t="shared" si="26"/>
        <v>1.0245992100000001</v>
      </c>
      <c r="L280" s="11">
        <f t="shared" si="28"/>
        <v>1.0791961375804691</v>
      </c>
      <c r="M280" s="9">
        <f>IF(G280&lt;&gt;"",J280/MAX(J$3:J280)-1,"")</f>
        <v>0</v>
      </c>
      <c r="N280" s="9">
        <f>IF(G280&lt;&gt;"",K280/MAX(K$3:K280)-1,"")</f>
        <v>0</v>
      </c>
      <c r="O280" s="16">
        <f t="shared" si="29"/>
        <v>2.2150646420500131E-3</v>
      </c>
      <c r="P280" s="16">
        <f t="shared" si="29"/>
        <v>7.2126283421347637E-6</v>
      </c>
      <c r="Q280" s="16">
        <f t="shared" si="29"/>
        <v>2.2078360894068894E-3</v>
      </c>
      <c r="R280" s="5">
        <f t="shared" si="24"/>
        <v>4.8965208829605603E-2</v>
      </c>
      <c r="S280" s="5">
        <f t="shared" si="27"/>
        <v>4.3060288426645235E-2</v>
      </c>
      <c r="T280" s="5">
        <f t="shared" ref="T280:U295" si="31">IF($G280&lt;&gt;"",_xlfn.STDEV.S(O36:O280),"")</f>
        <v>3.0331845311679685E-3</v>
      </c>
      <c r="U280" s="5">
        <f t="shared" si="31"/>
        <v>9.2938039236871236E-5</v>
      </c>
    </row>
    <row r="281" spans="7:21" x14ac:dyDescent="0.2">
      <c r="G281" s="8">
        <v>45860</v>
      </c>
      <c r="H281" s="5">
        <v>0.10714447000000001</v>
      </c>
      <c r="I281" s="9">
        <v>2.470994E-2</v>
      </c>
      <c r="J281" s="10">
        <f t="shared" si="25"/>
        <v>1.1071444699999999</v>
      </c>
      <c r="K281" s="10">
        <f t="shared" si="26"/>
        <v>1.0247099399999999</v>
      </c>
      <c r="L281" s="11">
        <f t="shared" si="28"/>
        <v>1.0804466969452839</v>
      </c>
      <c r="M281" s="9">
        <f>IF(G281&lt;&gt;"",J281/MAX(J$3:J281)-1,"")</f>
        <v>0</v>
      </c>
      <c r="N281" s="9">
        <f>IF(G281&lt;&gt;"",K281/MAX(K$3:K281)-1,"")</f>
        <v>0</v>
      </c>
      <c r="O281" s="16">
        <f t="shared" si="29"/>
        <v>1.2669846011577057E-3</v>
      </c>
      <c r="P281" s="16">
        <f t="shared" si="29"/>
        <v>1.0807152584058066E-4</v>
      </c>
      <c r="Q281" s="16">
        <f t="shared" si="29"/>
        <v>1.1587878433465537E-3</v>
      </c>
      <c r="R281" s="5">
        <f t="shared" si="24"/>
        <v>4.8975833379920071E-2</v>
      </c>
      <c r="S281" s="5">
        <f t="shared" si="27"/>
        <v>4.3060288426645235E-2</v>
      </c>
      <c r="T281" s="5">
        <f t="shared" si="31"/>
        <v>3.0311877089819346E-3</v>
      </c>
      <c r="U281" s="5">
        <f t="shared" si="31"/>
        <v>9.2946925733429354E-5</v>
      </c>
    </row>
    <row r="282" spans="7:21" x14ac:dyDescent="0.2">
      <c r="G282" s="8">
        <v>45861</v>
      </c>
      <c r="H282" s="5">
        <v>0.10857058999999999</v>
      </c>
      <c r="I282" s="9">
        <v>2.4749609999999998E-2</v>
      </c>
      <c r="J282" s="10">
        <f t="shared" si="25"/>
        <v>1.10857059</v>
      </c>
      <c r="K282" s="10">
        <f t="shared" si="26"/>
        <v>1.02474961</v>
      </c>
      <c r="L282" s="11">
        <f t="shared" si="28"/>
        <v>1.0817965473536506</v>
      </c>
      <c r="M282" s="9">
        <f>IF(G282&lt;&gt;"",J282/MAX(J$3:J282)-1,"")</f>
        <v>0</v>
      </c>
      <c r="N282" s="9">
        <f>IF(G282&lt;&gt;"",K282/MAX(K$3:K282)-1,"")</f>
        <v>0</v>
      </c>
      <c r="O282" s="16">
        <f t="shared" si="29"/>
        <v>1.2881065106165046E-3</v>
      </c>
      <c r="P282" s="16">
        <f t="shared" si="29"/>
        <v>3.8713394348466323E-5</v>
      </c>
      <c r="Q282" s="16">
        <f t="shared" si="29"/>
        <v>1.2493447498920229E-3</v>
      </c>
      <c r="R282" s="5">
        <f t="shared" si="24"/>
        <v>4.895555354230794E-2</v>
      </c>
      <c r="S282" s="5">
        <f t="shared" si="27"/>
        <v>4.3060288426645235E-2</v>
      </c>
      <c r="T282" s="5">
        <f t="shared" si="31"/>
        <v>3.0307845276259134E-3</v>
      </c>
      <c r="U282" s="5">
        <f t="shared" si="31"/>
        <v>9.2839867085257161E-5</v>
      </c>
    </row>
    <row r="283" spans="7:21" x14ac:dyDescent="0.2">
      <c r="G283" s="8">
        <v>45862</v>
      </c>
      <c r="H283" s="5">
        <v>0.10855373</v>
      </c>
      <c r="I283" s="9">
        <v>2.4799700000000001E-2</v>
      </c>
      <c r="J283" s="10">
        <f t="shared" si="25"/>
        <v>1.1085537299999999</v>
      </c>
      <c r="K283" s="10">
        <f t="shared" si="26"/>
        <v>1.0247997</v>
      </c>
      <c r="L283" s="11">
        <f t="shared" si="28"/>
        <v>1.0817272194751812</v>
      </c>
      <c r="M283" s="9">
        <f>IF(G283&lt;&gt;"",J283/MAX(J$3:J283)-1,"")</f>
        <v>-1.5208774391317625E-5</v>
      </c>
      <c r="N283" s="9">
        <f>IF(G283&lt;&gt;"",K283/MAX(K$3:K283)-1,"")</f>
        <v>0</v>
      </c>
      <c r="O283" s="16">
        <f t="shared" si="29"/>
        <v>-1.5208774391317625E-5</v>
      </c>
      <c r="P283" s="16">
        <f t="shared" si="29"/>
        <v>4.8880233289416708E-5</v>
      </c>
      <c r="Q283" s="16">
        <f t="shared" si="29"/>
        <v>-6.4085875148056637E-5</v>
      </c>
      <c r="R283" s="5">
        <f t="shared" si="24"/>
        <v>4.8954678231528881E-2</v>
      </c>
      <c r="S283" s="5">
        <f t="shared" si="27"/>
        <v>4.3060288426645235E-2</v>
      </c>
      <c r="T283" s="5">
        <f t="shared" si="31"/>
        <v>3.0272222019682173E-3</v>
      </c>
      <c r="U283" s="5">
        <f t="shared" si="31"/>
        <v>9.2852787040270912E-5</v>
      </c>
    </row>
    <row r="284" spans="7:21" x14ac:dyDescent="0.2">
      <c r="G284" s="8">
        <v>45863</v>
      </c>
      <c r="H284" s="5">
        <v>0.10801189999999999</v>
      </c>
      <c r="I284" s="9">
        <v>2.508312E-2</v>
      </c>
      <c r="J284" s="10">
        <f t="shared" si="25"/>
        <v>1.1080118999999999</v>
      </c>
      <c r="K284" s="10">
        <f t="shared" si="26"/>
        <v>1.0250831199999999</v>
      </c>
      <c r="L284" s="11">
        <f t="shared" si="28"/>
        <v>1.0808995664663759</v>
      </c>
      <c r="M284" s="9">
        <f>IF(G284&lt;&gt;"",J284/MAX(J$3:J284)-1,"")</f>
        <v>-5.0397331937168666E-4</v>
      </c>
      <c r="N284" s="9">
        <f>IF(G284&lt;&gt;"",K284/MAX(K$3:K284)-1,"")</f>
        <v>0</v>
      </c>
      <c r="O284" s="16">
        <f t="shared" si="29"/>
        <v>-4.8877197860308641E-4</v>
      </c>
      <c r="P284" s="16">
        <f t="shared" si="29"/>
        <v>2.7656136121034791E-4</v>
      </c>
      <c r="Q284" s="16">
        <f t="shared" si="29"/>
        <v>-7.6512173670451045E-4</v>
      </c>
      <c r="R284" s="5">
        <f t="shared" si="24"/>
        <v>4.8972237522036118E-2</v>
      </c>
      <c r="S284" s="5">
        <f t="shared" si="27"/>
        <v>4.3060288426645235E-2</v>
      </c>
      <c r="T284" s="5">
        <f t="shared" si="31"/>
        <v>3.0273027222355959E-3</v>
      </c>
      <c r="U284" s="5">
        <f t="shared" si="31"/>
        <v>9.3626620403251682E-5</v>
      </c>
    </row>
    <row r="285" spans="7:21" x14ac:dyDescent="0.2">
      <c r="G285" s="8">
        <v>45866</v>
      </c>
      <c r="H285" s="5">
        <v>0.10914142</v>
      </c>
      <c r="I285" s="9">
        <v>2.511064E-2</v>
      </c>
      <c r="J285" s="10">
        <f t="shared" si="25"/>
        <v>1.10914142</v>
      </c>
      <c r="K285" s="10">
        <f t="shared" si="26"/>
        <v>1.0251106400000001</v>
      </c>
      <c r="L285" s="11">
        <f t="shared" si="28"/>
        <v>1.0819724005596119</v>
      </c>
      <c r="M285" s="9">
        <f>IF(G285&lt;&gt;"",J285/MAX(J$3:J285)-1,"")</f>
        <v>0</v>
      </c>
      <c r="N285" s="9">
        <f>IF(G285&lt;&gt;"",K285/MAX(K$3:K285)-1,"")</f>
        <v>0</v>
      </c>
      <c r="O285" s="16">
        <f t="shared" si="29"/>
        <v>1.0194114341190996E-3</v>
      </c>
      <c r="P285" s="16">
        <f t="shared" si="29"/>
        <v>2.6846603424779403E-5</v>
      </c>
      <c r="Q285" s="16">
        <f t="shared" si="29"/>
        <v>9.9253818441535913E-4</v>
      </c>
      <c r="R285" s="5">
        <f t="shared" si="24"/>
        <v>4.8952199607208612E-2</v>
      </c>
      <c r="S285" s="5">
        <f t="shared" si="27"/>
        <v>4.3060288426645235E-2</v>
      </c>
      <c r="T285" s="5">
        <f t="shared" si="31"/>
        <v>3.019747825332081E-3</v>
      </c>
      <c r="U285" s="5">
        <f t="shared" si="31"/>
        <v>9.370581398853433E-5</v>
      </c>
    </row>
    <row r="286" spans="7:21" x14ac:dyDescent="0.2">
      <c r="G286" s="8">
        <v>45867</v>
      </c>
      <c r="H286" s="5">
        <v>0.10905988</v>
      </c>
      <c r="I286" s="9">
        <v>2.5166150000000002E-2</v>
      </c>
      <c r="J286" s="10">
        <f t="shared" si="25"/>
        <v>1.10905988</v>
      </c>
      <c r="K286" s="10">
        <f t="shared" si="26"/>
        <v>1.02516615</v>
      </c>
      <c r="L286" s="11">
        <f t="shared" si="28"/>
        <v>1.0818342763268178</v>
      </c>
      <c r="M286" s="9">
        <f>IF(G286&lt;&gt;"",J286/MAX(J$3:J286)-1,"")</f>
        <v>-7.3516324004985201E-5</v>
      </c>
      <c r="N286" s="9">
        <f>IF(G286&lt;&gt;"",K286/MAX(K$3:K286)-1,"")</f>
        <v>0</v>
      </c>
      <c r="O286" s="16">
        <f t="shared" si="29"/>
        <v>-7.3516324004985201E-5</v>
      </c>
      <c r="P286" s="16">
        <f t="shared" si="29"/>
        <v>5.4150252503326612E-5</v>
      </c>
      <c r="Q286" s="16">
        <f t="shared" si="29"/>
        <v>-1.2765966370542614E-4</v>
      </c>
      <c r="R286" s="5">
        <f t="shared" si="24"/>
        <v>4.8952729509488022E-2</v>
      </c>
      <c r="S286" s="5">
        <f t="shared" si="27"/>
        <v>4.3060288426645235E-2</v>
      </c>
      <c r="T286" s="5">
        <f t="shared" si="31"/>
        <v>3.0086549615781742E-3</v>
      </c>
      <c r="U286" s="5">
        <f t="shared" si="31"/>
        <v>9.3729174699555722E-5</v>
      </c>
    </row>
    <row r="287" spans="7:21" x14ac:dyDescent="0.2">
      <c r="G287" s="8">
        <v>45868</v>
      </c>
      <c r="H287" s="5">
        <v>0.10785061999999999</v>
      </c>
      <c r="I287" s="9">
        <v>2.5232999999999998E-2</v>
      </c>
      <c r="J287" s="10">
        <f t="shared" si="25"/>
        <v>1.10785062</v>
      </c>
      <c r="K287" s="10">
        <f t="shared" si="26"/>
        <v>1.0252330000000001</v>
      </c>
      <c r="L287" s="11">
        <f t="shared" si="28"/>
        <v>1.0805842379244521</v>
      </c>
      <c r="M287" s="9">
        <f>IF(G287&lt;&gt;"",J287/MAX(J$3:J287)-1,"")</f>
        <v>-1.1637830638405733E-3</v>
      </c>
      <c r="N287" s="9">
        <f>IF(G287&lt;&gt;"",K287/MAX(K$3:K287)-1,"")</f>
        <v>0</v>
      </c>
      <c r="O287" s="16">
        <f t="shared" si="29"/>
        <v>-1.0903468981313669E-3</v>
      </c>
      <c r="P287" s="16">
        <f t="shared" si="29"/>
        <v>6.5208941984806756E-5</v>
      </c>
      <c r="Q287" s="16">
        <f t="shared" si="29"/>
        <v>-1.1554804924558404E-3</v>
      </c>
      <c r="R287" s="5">
        <f t="shared" si="24"/>
        <v>4.8971124437929274E-2</v>
      </c>
      <c r="S287" s="5">
        <f t="shared" si="27"/>
        <v>4.3060288426645235E-2</v>
      </c>
      <c r="T287" s="5">
        <f t="shared" si="31"/>
        <v>3.0063883663122687E-3</v>
      </c>
      <c r="U287" s="5">
        <f t="shared" si="31"/>
        <v>9.3699130141998657E-5</v>
      </c>
    </row>
    <row r="288" spans="7:21" x14ac:dyDescent="0.2">
      <c r="G288" s="8">
        <v>45869</v>
      </c>
      <c r="H288" s="5">
        <v>0.1045817</v>
      </c>
      <c r="I288" s="9">
        <v>2.539259E-2</v>
      </c>
      <c r="J288" s="10">
        <f t="shared" si="25"/>
        <v>1.1045817</v>
      </c>
      <c r="K288" s="10">
        <f t="shared" si="26"/>
        <v>1.02539259</v>
      </c>
      <c r="L288" s="11">
        <f t="shared" si="28"/>
        <v>1.0772280888045036</v>
      </c>
      <c r="M288" s="9">
        <f>IF(G288&lt;&gt;"",J288/MAX(J$3:J288)-1,"")</f>
        <v>-4.1110357234698247E-3</v>
      </c>
      <c r="N288" s="9">
        <f>IF(G288&lt;&gt;"",K288/MAX(K$3:K288)-1,"")</f>
        <v>0</v>
      </c>
      <c r="O288" s="16">
        <f t="shared" si="29"/>
        <v>-2.9506866187428704E-3</v>
      </c>
      <c r="P288" s="16">
        <f t="shared" si="29"/>
        <v>1.5566217630524903E-4</v>
      </c>
      <c r="Q288" s="16">
        <f t="shared" si="29"/>
        <v>-3.1058653292915794E-3</v>
      </c>
      <c r="R288" s="5">
        <f t="shared" si="24"/>
        <v>4.9172851793443467E-2</v>
      </c>
      <c r="S288" s="5">
        <f t="shared" si="27"/>
        <v>4.3060288426645235E-2</v>
      </c>
      <c r="T288" s="5">
        <f t="shared" si="31"/>
        <v>3.0119763229589989E-3</v>
      </c>
      <c r="U288" s="5">
        <f t="shared" si="31"/>
        <v>9.3730740127107482E-5</v>
      </c>
    </row>
    <row r="289" spans="7:21" x14ac:dyDescent="0.2">
      <c r="G289" s="8">
        <v>45870</v>
      </c>
      <c r="H289" s="5">
        <v>0.1027028</v>
      </c>
      <c r="I289" s="9">
        <v>2.5644110000000001E-2</v>
      </c>
      <c r="J289" s="10">
        <f t="shared" si="25"/>
        <v>1.1027028000000001</v>
      </c>
      <c r="K289" s="10">
        <f t="shared" si="26"/>
        <v>1.02564411</v>
      </c>
      <c r="L289" s="11">
        <f t="shared" si="28"/>
        <v>1.0751319968093027</v>
      </c>
      <c r="M289" s="9">
        <f>IF(G289&lt;&gt;"",J289/MAX(J$3:J289)-1,"")</f>
        <v>-5.8050487376082316E-3</v>
      </c>
      <c r="N289" s="9">
        <f>IF(G289&lt;&gt;"",K289/MAX(K$3:K289)-1,"")</f>
        <v>0</v>
      </c>
      <c r="O289" s="16">
        <f t="shared" si="29"/>
        <v>-1.7010059102010588E-3</v>
      </c>
      <c r="P289" s="16">
        <f t="shared" si="29"/>
        <v>2.4529141565188262E-4</v>
      </c>
      <c r="Q289" s="16">
        <f t="shared" si="29"/>
        <v>-1.9458200329023345E-3</v>
      </c>
      <c r="R289" s="5">
        <f t="shared" si="24"/>
        <v>4.9030525893226637E-2</v>
      </c>
      <c r="S289" s="5">
        <f t="shared" si="27"/>
        <v>4.3060288426645235E-2</v>
      </c>
      <c r="T289" s="5">
        <f t="shared" si="31"/>
        <v>3.0146429337916301E-3</v>
      </c>
      <c r="U289" s="5">
        <f t="shared" si="31"/>
        <v>9.425919129717605E-5</v>
      </c>
    </row>
    <row r="290" spans="7:21" x14ac:dyDescent="0.2">
      <c r="G290" s="8">
        <v>45873</v>
      </c>
      <c r="H290" s="5">
        <v>0.10634577000000001</v>
      </c>
      <c r="I290" s="9">
        <v>2.5753089999999999E-2</v>
      </c>
      <c r="J290" s="10">
        <f t="shared" si="25"/>
        <v>1.1063457699999999</v>
      </c>
      <c r="K290" s="10">
        <f t="shared" si="26"/>
        <v>1.02575309</v>
      </c>
      <c r="L290" s="11">
        <f t="shared" si="28"/>
        <v>1.0785692783045868</v>
      </c>
      <c r="M290" s="9">
        <f>IF(G290&lt;&gt;"",J290/MAX(J$3:J290)-1,"")</f>
        <v>-2.5205532401811892E-3</v>
      </c>
      <c r="N290" s="9">
        <f>IF(G290&lt;&gt;"",K290/MAX(K$3:K290)-1,"")</f>
        <v>0</v>
      </c>
      <c r="O290" s="16">
        <f t="shared" si="29"/>
        <v>3.3036734830089731E-3</v>
      </c>
      <c r="P290" s="16">
        <f t="shared" si="29"/>
        <v>1.062551804642542E-4</v>
      </c>
      <c r="Q290" s="16">
        <f t="shared" si="29"/>
        <v>3.1970785963817416E-3</v>
      </c>
      <c r="R290" s="5">
        <f t="shared" si="24"/>
        <v>4.9083032166023902E-2</v>
      </c>
      <c r="S290" s="5">
        <f t="shared" si="27"/>
        <v>4.3060288426645235E-2</v>
      </c>
      <c r="T290" s="5">
        <f t="shared" si="31"/>
        <v>3.0189075403706253E-3</v>
      </c>
      <c r="U290" s="5">
        <f t="shared" si="31"/>
        <v>9.4264989969498715E-5</v>
      </c>
    </row>
    <row r="291" spans="7:21" x14ac:dyDescent="0.2">
      <c r="G291" s="8">
        <v>45874</v>
      </c>
      <c r="H291" s="5">
        <v>0.1072142</v>
      </c>
      <c r="I291" s="9">
        <v>2.5833700000000001E-2</v>
      </c>
      <c r="J291" s="10">
        <f t="shared" si="25"/>
        <v>1.1072142</v>
      </c>
      <c r="K291" s="10">
        <f t="shared" si="26"/>
        <v>1.0258337</v>
      </c>
      <c r="L291" s="11">
        <f t="shared" si="28"/>
        <v>1.0793310845607822</v>
      </c>
      <c r="M291" s="9">
        <f>IF(G291&lt;&gt;"",J291/MAX(J$3:J291)-1,"")</f>
        <v>-1.7375782431784392E-3</v>
      </c>
      <c r="N291" s="9">
        <f>IF(G291&lt;&gt;"",K291/MAX(K$3:K291)-1,"")</f>
        <v>0</v>
      </c>
      <c r="O291" s="16">
        <f t="shared" si="29"/>
        <v>7.8495351412621872E-4</v>
      </c>
      <c r="P291" s="16">
        <f t="shared" si="29"/>
        <v>7.8586163459570813E-5</v>
      </c>
      <c r="Q291" s="16">
        <f t="shared" si="29"/>
        <v>7.0631184432845551E-4</v>
      </c>
      <c r="R291" s="5">
        <f t="shared" si="24"/>
        <v>4.9087729117552534E-2</v>
      </c>
      <c r="S291" s="5">
        <f t="shared" si="27"/>
        <v>4.3060288426645235E-2</v>
      </c>
      <c r="T291" s="5">
        <f t="shared" si="31"/>
        <v>2.9921791682243053E-3</v>
      </c>
      <c r="U291" s="5">
        <f t="shared" si="31"/>
        <v>9.4266719447115213E-5</v>
      </c>
    </row>
    <row r="292" spans="7:21" x14ac:dyDescent="0.2">
      <c r="G292" s="8">
        <v>45875</v>
      </c>
      <c r="H292" s="5">
        <v>0.10918232</v>
      </c>
      <c r="I292" s="9">
        <v>2.5911900000000002E-2</v>
      </c>
      <c r="J292" s="10">
        <f t="shared" si="25"/>
        <v>1.1091823199999999</v>
      </c>
      <c r="K292" s="10">
        <f t="shared" si="26"/>
        <v>1.0259119000000001</v>
      </c>
      <c r="L292" s="11">
        <f t="shared" si="28"/>
        <v>1.0811672230334786</v>
      </c>
      <c r="M292" s="9">
        <f>IF(G292&lt;&gt;"",J292/MAX(J$3:J292)-1,"")</f>
        <v>0</v>
      </c>
      <c r="N292" s="9">
        <f>IF(G292&lt;&gt;"",K292/MAX(K$3:K292)-1,"")</f>
        <v>0</v>
      </c>
      <c r="O292" s="16">
        <f t="shared" si="29"/>
        <v>1.7775422316657075E-3</v>
      </c>
      <c r="P292" s="16">
        <f t="shared" si="29"/>
        <v>7.623067949524831E-5</v>
      </c>
      <c r="Q292" s="16">
        <f t="shared" si="29"/>
        <v>1.7011818699204095E-3</v>
      </c>
      <c r="R292" s="5">
        <f t="shared" si="24"/>
        <v>4.9021446756666899E-2</v>
      </c>
      <c r="S292" s="5">
        <f t="shared" si="27"/>
        <v>4.3060288426645235E-2</v>
      </c>
      <c r="T292" s="5">
        <f t="shared" si="31"/>
        <v>2.9911586659102461E-3</v>
      </c>
      <c r="U292" s="5">
        <f t="shared" si="31"/>
        <v>9.4222534887696981E-5</v>
      </c>
    </row>
    <row r="293" spans="7:21" x14ac:dyDescent="0.2">
      <c r="G293" s="8">
        <v>45876</v>
      </c>
      <c r="H293" s="5">
        <v>0.10914210000000001</v>
      </c>
      <c r="I293" s="9">
        <v>2.5994070000000001E-2</v>
      </c>
      <c r="J293" s="10">
        <f t="shared" si="25"/>
        <v>1.1091420999999999</v>
      </c>
      <c r="K293" s="10">
        <f t="shared" si="26"/>
        <v>1.0259940700000001</v>
      </c>
      <c r="L293" s="11">
        <f t="shared" si="28"/>
        <v>1.0810414333096485</v>
      </c>
      <c r="M293" s="9">
        <f>IF(G293&lt;&gt;"",J293/MAX(J$3:J293)-1,"")</f>
        <v>-3.626094581099526E-5</v>
      </c>
      <c r="N293" s="9">
        <f>IF(G293&lt;&gt;"",K293/MAX(K$3:K293)-1,"")</f>
        <v>0</v>
      </c>
      <c r="O293" s="16">
        <f t="shared" si="29"/>
        <v>-3.626094581099526E-5</v>
      </c>
      <c r="P293" s="16">
        <f t="shared" si="29"/>
        <v>8.0094596816682184E-5</v>
      </c>
      <c r="Q293" s="16">
        <f t="shared" si="29"/>
        <v>-1.1634622392375782E-4</v>
      </c>
      <c r="R293" s="5">
        <f t="shared" si="24"/>
        <v>4.8974762430384143E-2</v>
      </c>
      <c r="S293" s="5">
        <f t="shared" si="27"/>
        <v>4.3060288426645235E-2</v>
      </c>
      <c r="T293" s="5">
        <f t="shared" si="31"/>
        <v>2.988505430155703E-3</v>
      </c>
      <c r="U293" s="5">
        <f t="shared" si="31"/>
        <v>9.4133776541799167E-5</v>
      </c>
    </row>
    <row r="294" spans="7:21" x14ac:dyDescent="0.2">
      <c r="G294" s="8">
        <v>45877</v>
      </c>
      <c r="H294" s="5">
        <v>0.10998518</v>
      </c>
      <c r="I294" s="9">
        <v>2.6157320000000001E-2</v>
      </c>
      <c r="J294" s="10">
        <f t="shared" si="25"/>
        <v>1.10998518</v>
      </c>
      <c r="K294" s="10">
        <f t="shared" si="26"/>
        <v>1.02615732</v>
      </c>
      <c r="L294" s="11">
        <f t="shared" si="28"/>
        <v>1.0816910412917973</v>
      </c>
      <c r="M294" s="9">
        <f>IF(G294&lt;&gt;"",J294/MAX(J$3:J294)-1,"")</f>
        <v>0</v>
      </c>
      <c r="N294" s="9">
        <f>IF(G294&lt;&gt;"",K294/MAX(K$3:K294)-1,"")</f>
        <v>0</v>
      </c>
      <c r="O294" s="16">
        <f t="shared" si="29"/>
        <v>7.601190145067882E-4</v>
      </c>
      <c r="P294" s="16">
        <f t="shared" si="29"/>
        <v>1.5911398006407396E-4</v>
      </c>
      <c r="Q294" s="16">
        <f t="shared" si="29"/>
        <v>6.0090942135304637E-4</v>
      </c>
      <c r="R294" s="5">
        <f t="shared" si="24"/>
        <v>4.8969807923794163E-2</v>
      </c>
      <c r="S294" s="5">
        <f t="shared" si="27"/>
        <v>4.3060288426645235E-2</v>
      </c>
      <c r="T294" s="5">
        <f t="shared" si="31"/>
        <v>2.9665030973750699E-3</v>
      </c>
      <c r="U294" s="5">
        <f t="shared" si="31"/>
        <v>9.4230554357690243E-5</v>
      </c>
    </row>
    <row r="295" spans="7:21" x14ac:dyDescent="0.2">
      <c r="G295" s="8">
        <v>45880</v>
      </c>
      <c r="H295" s="5">
        <v>0.10973027</v>
      </c>
      <c r="I295" s="9">
        <v>2.6220139999999999E-2</v>
      </c>
      <c r="J295" s="10">
        <f t="shared" si="25"/>
        <v>1.10973027</v>
      </c>
      <c r="K295" s="10">
        <f t="shared" si="26"/>
        <v>1.0262201399999999</v>
      </c>
      <c r="L295" s="11">
        <f t="shared" si="28"/>
        <v>1.0813764286481458</v>
      </c>
      <c r="M295" s="9">
        <f>IF(G295&lt;&gt;"",J295/MAX(J$3:J295)-1,"")</f>
        <v>-2.2965171480937574E-4</v>
      </c>
      <c r="N295" s="9">
        <f>IF(G295&lt;&gt;"",K295/MAX(K$3:K295)-1,"")</f>
        <v>0</v>
      </c>
      <c r="O295" s="16">
        <f t="shared" si="29"/>
        <v>-2.2965171480937574E-4</v>
      </c>
      <c r="P295" s="16">
        <f t="shared" si="29"/>
        <v>6.1218683310659827E-5</v>
      </c>
      <c r="Q295" s="16">
        <f t="shared" si="29"/>
        <v>-2.9085259250716256E-4</v>
      </c>
      <c r="R295" s="5">
        <f t="shared" si="24"/>
        <v>4.894248742329653E-2</v>
      </c>
      <c r="S295" s="5">
        <f t="shared" si="27"/>
        <v>4.3060288426645235E-2</v>
      </c>
      <c r="T295" s="5">
        <f t="shared" si="31"/>
        <v>2.9665139478284646E-3</v>
      </c>
      <c r="U295" s="5">
        <f t="shared" si="31"/>
        <v>9.4245871564873485E-5</v>
      </c>
    </row>
    <row r="296" spans="7:21" x14ac:dyDescent="0.2">
      <c r="G296" s="8">
        <v>45881</v>
      </c>
      <c r="H296" s="5">
        <v>0.11195731</v>
      </c>
      <c r="I296" s="9">
        <v>2.627212E-2</v>
      </c>
      <c r="J296" s="10">
        <f t="shared" si="25"/>
        <v>1.11195731</v>
      </c>
      <c r="K296" s="10">
        <f t="shared" si="26"/>
        <v>1.02627212</v>
      </c>
      <c r="L296" s="11">
        <f t="shared" si="28"/>
        <v>1.0834916863960018</v>
      </c>
      <c r="M296" s="9">
        <f>IF(G296&lt;&gt;"",J296/MAX(J$3:J296)-1,"")</f>
        <v>0</v>
      </c>
      <c r="N296" s="9">
        <f>IF(G296&lt;&gt;"",K296/MAX(K$3:K296)-1,"")</f>
        <v>0</v>
      </c>
      <c r="O296" s="16">
        <f t="shared" si="29"/>
        <v>2.0068300020328333E-3</v>
      </c>
      <c r="P296" s="16">
        <f t="shared" si="29"/>
        <v>5.0651900088460877E-5</v>
      </c>
      <c r="Q296" s="16">
        <f t="shared" si="29"/>
        <v>1.9560790228250191E-3</v>
      </c>
      <c r="R296" s="5">
        <f t="shared" si="24"/>
        <v>4.8843985690586872E-2</v>
      </c>
      <c r="S296" s="5">
        <f t="shared" si="27"/>
        <v>4.3060288426645235E-2</v>
      </c>
      <c r="T296" s="5">
        <f t="shared" ref="T296:U311" si="32">IF($G296&lt;&gt;"",_xlfn.STDEV.S(O52:O296),"")</f>
        <v>2.9672063129441025E-3</v>
      </c>
      <c r="U296" s="5">
        <f t="shared" si="32"/>
        <v>9.4276142749434306E-5</v>
      </c>
    </row>
    <row r="297" spans="7:21" x14ac:dyDescent="0.2">
      <c r="G297" s="8">
        <v>45882</v>
      </c>
      <c r="H297" s="5">
        <v>0.11502556</v>
      </c>
      <c r="I297" s="9">
        <v>2.631418E-2</v>
      </c>
      <c r="J297" s="10">
        <f t="shared" si="25"/>
        <v>1.1150255600000001</v>
      </c>
      <c r="K297" s="10">
        <f t="shared" si="26"/>
        <v>1.02631418</v>
      </c>
      <c r="L297" s="11">
        <f t="shared" si="28"/>
        <v>1.0864368647815039</v>
      </c>
      <c r="M297" s="9">
        <f>IF(G297&lt;&gt;"",J297/MAX(J$3:J297)-1,"")</f>
        <v>0</v>
      </c>
      <c r="N297" s="9">
        <f>IF(G297&lt;&gt;"",K297/MAX(K$3:K297)-1,"")</f>
        <v>0</v>
      </c>
      <c r="O297" s="16">
        <f t="shared" si="29"/>
        <v>2.7593235571248265E-3</v>
      </c>
      <c r="P297" s="16">
        <f t="shared" si="29"/>
        <v>4.0983282289630552E-5</v>
      </c>
      <c r="Q297" s="16">
        <f t="shared" si="29"/>
        <v>2.7182288728939685E-3</v>
      </c>
      <c r="R297" s="5">
        <f t="shared" si="24"/>
        <v>4.8953498198329795E-2</v>
      </c>
      <c r="S297" s="5">
        <f t="shared" si="27"/>
        <v>4.3060288426645235E-2</v>
      </c>
      <c r="T297" s="5">
        <f t="shared" si="32"/>
        <v>2.966222825695853E-3</v>
      </c>
      <c r="U297" s="5">
        <f t="shared" si="32"/>
        <v>9.4122373774996757E-5</v>
      </c>
    </row>
    <row r="298" spans="7:21" x14ac:dyDescent="0.2">
      <c r="G298" s="8">
        <v>45883</v>
      </c>
      <c r="H298" s="5">
        <v>0.11363579</v>
      </c>
      <c r="I298" s="9">
        <v>2.6370169999999998E-2</v>
      </c>
      <c r="J298" s="10">
        <f t="shared" si="25"/>
        <v>1.11363579</v>
      </c>
      <c r="K298" s="10">
        <f t="shared" si="26"/>
        <v>1.0263701700000001</v>
      </c>
      <c r="L298" s="11">
        <f t="shared" si="28"/>
        <v>1.0850235349298976</v>
      </c>
      <c r="M298" s="9">
        <f>IF(G298&lt;&gt;"",J298/MAX(J$3:J298)-1,"")</f>
        <v>-1.2464019210466359E-3</v>
      </c>
      <c r="N298" s="9">
        <f>IF(G298&lt;&gt;"",K298/MAX(K$3:K298)-1,"")</f>
        <v>0</v>
      </c>
      <c r="O298" s="16">
        <f t="shared" si="29"/>
        <v>-1.2464019210466359E-3</v>
      </c>
      <c r="P298" s="16">
        <f t="shared" si="29"/>
        <v>5.4554444526955237E-5</v>
      </c>
      <c r="Q298" s="16">
        <f t="shared" si="29"/>
        <v>-1.3008853964934231E-3</v>
      </c>
      <c r="R298" s="5">
        <f t="shared" si="24"/>
        <v>4.8991609716514381E-2</v>
      </c>
      <c r="S298" s="5">
        <f t="shared" si="27"/>
        <v>4.3060288426645235E-2</v>
      </c>
      <c r="T298" s="5">
        <f t="shared" si="32"/>
        <v>2.9681336425804328E-3</v>
      </c>
      <c r="U298" s="5">
        <f t="shared" si="32"/>
        <v>9.4145672688549219E-5</v>
      </c>
    </row>
    <row r="299" spans="7:21" x14ac:dyDescent="0.2">
      <c r="G299" s="8">
        <v>45884</v>
      </c>
      <c r="H299" s="5">
        <v>0.11365146</v>
      </c>
      <c r="I299" s="9">
        <v>2.6555450000000001E-2</v>
      </c>
      <c r="J299" s="10">
        <f t="shared" si="25"/>
        <v>1.11365146</v>
      </c>
      <c r="K299" s="10">
        <f t="shared" si="26"/>
        <v>1.02655545</v>
      </c>
      <c r="L299" s="11">
        <f t="shared" si="28"/>
        <v>1.0848429668363262</v>
      </c>
      <c r="M299" s="9">
        <f>IF(G299&lt;&gt;"",J299/MAX(J$3:J299)-1,"")</f>
        <v>-1.2323484315462929E-3</v>
      </c>
      <c r="N299" s="9">
        <f>IF(G299&lt;&gt;"",K299/MAX(K$3:K299)-1,"")</f>
        <v>0</v>
      </c>
      <c r="O299" s="16">
        <f t="shared" si="29"/>
        <v>1.4071027656159529E-5</v>
      </c>
      <c r="P299" s="16">
        <f t="shared" si="29"/>
        <v>1.8051966572629752E-4</v>
      </c>
      <c r="Q299" s="16">
        <f t="shared" si="29"/>
        <v>-1.664185962408915E-4</v>
      </c>
      <c r="R299" s="5">
        <f t="shared" si="24"/>
        <v>4.8959752081126823E-2</v>
      </c>
      <c r="S299" s="5">
        <f t="shared" si="27"/>
        <v>4.3060288426645235E-2</v>
      </c>
      <c r="T299" s="5">
        <f t="shared" si="32"/>
        <v>2.9680362617722201E-3</v>
      </c>
      <c r="U299" s="5">
        <f t="shared" si="32"/>
        <v>9.433381206784406E-5</v>
      </c>
    </row>
    <row r="300" spans="7:21" x14ac:dyDescent="0.2">
      <c r="G300" s="8">
        <v>45887</v>
      </c>
      <c r="H300" s="5">
        <v>0.11298919</v>
      </c>
      <c r="I300" s="9">
        <v>2.6640359999999998E-2</v>
      </c>
      <c r="J300" s="10">
        <f t="shared" si="25"/>
        <v>1.11298919</v>
      </c>
      <c r="K300" s="10">
        <f t="shared" si="26"/>
        <v>1.02664036</v>
      </c>
      <c r="L300" s="11">
        <f t="shared" si="28"/>
        <v>1.0841081583817724</v>
      </c>
      <c r="M300" s="9">
        <f>IF(G300&lt;&gt;"",J300/MAX(J$3:J300)-1,"")</f>
        <v>-1.8262989415239739E-3</v>
      </c>
      <c r="N300" s="9">
        <f>IF(G300&lt;&gt;"",K300/MAX(K$3:K300)-1,"")</f>
        <v>0</v>
      </c>
      <c r="O300" s="16">
        <f t="shared" si="29"/>
        <v>-5.9468336709234126E-4</v>
      </c>
      <c r="P300" s="16">
        <f t="shared" si="29"/>
        <v>8.2713505636711204E-5</v>
      </c>
      <c r="Q300" s="16">
        <f t="shared" si="29"/>
        <v>-6.7734084749304646E-4</v>
      </c>
      <c r="R300" s="5">
        <f t="shared" si="24"/>
        <v>4.8881757346321782E-2</v>
      </c>
      <c r="S300" s="5">
        <f t="shared" si="27"/>
        <v>4.3060288426645235E-2</v>
      </c>
      <c r="T300" s="5">
        <f t="shared" si="32"/>
        <v>2.9611914421534165E-3</v>
      </c>
      <c r="U300" s="5">
        <f t="shared" si="32"/>
        <v>9.4334110047641757E-5</v>
      </c>
    </row>
    <row r="301" spans="7:21" x14ac:dyDescent="0.2">
      <c r="G301" s="8">
        <v>45888</v>
      </c>
      <c r="H301" s="5">
        <v>0.11182523</v>
      </c>
      <c r="I301" s="9">
        <v>2.670691E-2</v>
      </c>
      <c r="J301" s="10">
        <f t="shared" si="25"/>
        <v>1.11182523</v>
      </c>
      <c r="K301" s="10">
        <f t="shared" si="26"/>
        <v>1.0267069099999999</v>
      </c>
      <c r="L301" s="11">
        <f t="shared" si="28"/>
        <v>1.0829042048621258</v>
      </c>
      <c r="M301" s="9">
        <f>IF(G301&lt;&gt;"",J301/MAX(J$3:J301)-1,"")</f>
        <v>-2.8701853256172249E-3</v>
      </c>
      <c r="N301" s="9">
        <f>IF(G301&lt;&gt;"",K301/MAX(K$3:K301)-1,"")</f>
        <v>0</v>
      </c>
      <c r="O301" s="16">
        <f t="shared" si="29"/>
        <v>-1.0457963208070353E-3</v>
      </c>
      <c r="P301" s="16">
        <f t="shared" si="29"/>
        <v>6.4823089557686231E-5</v>
      </c>
      <c r="Q301" s="16">
        <f t="shared" si="29"/>
        <v>-1.1105474212497191E-3</v>
      </c>
      <c r="R301" s="5">
        <f t="shared" si="24"/>
        <v>4.8918115544888931E-2</v>
      </c>
      <c r="S301" s="5">
        <f t="shared" si="27"/>
        <v>4.3060288426645235E-2</v>
      </c>
      <c r="T301" s="5">
        <f t="shared" si="32"/>
        <v>2.9624181692378846E-3</v>
      </c>
      <c r="U301" s="5">
        <f t="shared" si="32"/>
        <v>9.4342943302016968E-5</v>
      </c>
    </row>
    <row r="302" spans="7:21" x14ac:dyDescent="0.2">
      <c r="G302" s="8">
        <v>45889</v>
      </c>
      <c r="H302" s="5">
        <v>0.11353417</v>
      </c>
      <c r="I302" s="9">
        <v>2.6761150000000001E-2</v>
      </c>
      <c r="J302" s="10">
        <f t="shared" si="25"/>
        <v>1.1135341700000001</v>
      </c>
      <c r="K302" s="10">
        <f t="shared" si="26"/>
        <v>1.02676115</v>
      </c>
      <c r="L302" s="11">
        <f t="shared" si="28"/>
        <v>1.0845113978065883</v>
      </c>
      <c r="M302" s="9">
        <f>IF(G302&lt;&gt;"",J302/MAX(J$3:J302)-1,"")</f>
        <v>-1.3375388452978587E-3</v>
      </c>
      <c r="N302" s="9">
        <f>IF(G302&lt;&gt;"",K302/MAX(K$3:K302)-1,"")</f>
        <v>0</v>
      </c>
      <c r="O302" s="16">
        <f t="shared" si="29"/>
        <v>1.5370581219857904E-3</v>
      </c>
      <c r="P302" s="16">
        <f t="shared" si="29"/>
        <v>5.282909803350222E-5</v>
      </c>
      <c r="Q302" s="16">
        <f t="shared" si="29"/>
        <v>1.4841506176137553E-3</v>
      </c>
      <c r="R302" s="5">
        <f t="shared" si="24"/>
        <v>4.8903591812273377E-2</v>
      </c>
      <c r="S302" s="5">
        <f t="shared" si="27"/>
        <v>4.3060288426645235E-2</v>
      </c>
      <c r="T302" s="5">
        <f t="shared" si="32"/>
        <v>2.9602248139833265E-3</v>
      </c>
      <c r="U302" s="5">
        <f t="shared" si="32"/>
        <v>9.3980619722321208E-5</v>
      </c>
    </row>
    <row r="303" spans="7:21" x14ac:dyDescent="0.2">
      <c r="G303" s="8">
        <v>45890</v>
      </c>
      <c r="H303" s="5">
        <v>0.11208724</v>
      </c>
      <c r="I303" s="9">
        <v>2.683058E-2</v>
      </c>
      <c r="J303" s="10">
        <f t="shared" si="25"/>
        <v>1.1120872399999999</v>
      </c>
      <c r="K303" s="10">
        <f t="shared" si="26"/>
        <v>1.0268305799999999</v>
      </c>
      <c r="L303" s="11">
        <f t="shared" si="28"/>
        <v>1.0830289452423592</v>
      </c>
      <c r="M303" s="9">
        <f>IF(G303&lt;&gt;"",J303/MAX(J$3:J303)-1,"")</f>
        <v>-2.6352041651853675E-3</v>
      </c>
      <c r="N303" s="9">
        <f>IF(G303&lt;&gt;"",K303/MAX(K$3:K303)-1,"")</f>
        <v>0</v>
      </c>
      <c r="O303" s="16">
        <f t="shared" si="29"/>
        <v>-1.2994033223068246E-3</v>
      </c>
      <c r="P303" s="16">
        <f t="shared" si="29"/>
        <v>6.7620400323820107E-5</v>
      </c>
      <c r="Q303" s="16">
        <f t="shared" si="29"/>
        <v>-1.3669312901897213E-3</v>
      </c>
      <c r="R303" s="5">
        <f t="shared" si="24"/>
        <v>4.8854958436305392E-2</v>
      </c>
      <c r="S303" s="5">
        <f t="shared" si="27"/>
        <v>4.3060288426645235E-2</v>
      </c>
      <c r="T303" s="5">
        <f t="shared" si="32"/>
        <v>2.9617376732972976E-3</v>
      </c>
      <c r="U303" s="5">
        <f t="shared" si="32"/>
        <v>9.3988007593796044E-5</v>
      </c>
    </row>
    <row r="304" spans="7:21" x14ac:dyDescent="0.2">
      <c r="G304" s="8">
        <v>45891</v>
      </c>
      <c r="H304" s="5">
        <v>0.11387054000000001</v>
      </c>
      <c r="I304" s="9">
        <v>2.7005709999999999E-2</v>
      </c>
      <c r="J304" s="10">
        <f t="shared" si="25"/>
        <v>1.11387054</v>
      </c>
      <c r="K304" s="10">
        <f t="shared" si="26"/>
        <v>1.0270057100000001</v>
      </c>
      <c r="L304" s="11">
        <f t="shared" si="28"/>
        <v>1.0845806689818696</v>
      </c>
      <c r="M304" s="9">
        <f>IF(G304&lt;&gt;"",J304/MAX(J$3:J304)-1,"")</f>
        <v>-1.0358686306707332E-3</v>
      </c>
      <c r="N304" s="9">
        <f>IF(G304&lt;&gt;"",K304/MAX(K$3:K304)-1,"")</f>
        <v>0</v>
      </c>
      <c r="O304" s="16">
        <f t="shared" si="29"/>
        <v>1.6035612457885318E-3</v>
      </c>
      <c r="P304" s="16">
        <f t="shared" si="29"/>
        <v>1.7055393889831016E-4</v>
      </c>
      <c r="Q304" s="16">
        <f t="shared" si="29"/>
        <v>1.4327629435271216E-3</v>
      </c>
      <c r="R304" s="5">
        <f t="shared" si="24"/>
        <v>4.8753028836506576E-2</v>
      </c>
      <c r="S304" s="5">
        <f t="shared" si="27"/>
        <v>4.3060288426645235E-2</v>
      </c>
      <c r="T304" s="5">
        <f t="shared" si="32"/>
        <v>2.9598360896008285E-3</v>
      </c>
      <c r="U304" s="5">
        <f t="shared" si="32"/>
        <v>9.4131695427503802E-5</v>
      </c>
    </row>
    <row r="305" spans="7:21" x14ac:dyDescent="0.2">
      <c r="G305" s="8">
        <v>45894</v>
      </c>
      <c r="H305" s="5">
        <v>0.11565378</v>
      </c>
      <c r="I305" s="9">
        <v>2.698789E-2</v>
      </c>
      <c r="J305" s="10">
        <f t="shared" si="25"/>
        <v>1.1156537799999999</v>
      </c>
      <c r="K305" s="10">
        <f t="shared" si="26"/>
        <v>1.02698789</v>
      </c>
      <c r="L305" s="11">
        <f t="shared" si="28"/>
        <v>1.0863358671152392</v>
      </c>
      <c r="M305" s="9">
        <f>IF(G305&lt;&gt;"",J305/MAX(J$3:J305)-1,"")</f>
        <v>0</v>
      </c>
      <c r="N305" s="9">
        <f>IF(G305&lt;&gt;"",K305/MAX(K$3:K305)-1,"")</f>
        <v>-1.7351412778476849E-5</v>
      </c>
      <c r="O305" s="16">
        <f t="shared" si="29"/>
        <v>1.6009400877052826E-3</v>
      </c>
      <c r="P305" s="16">
        <f t="shared" si="29"/>
        <v>-1.7351412778476849E-5</v>
      </c>
      <c r="Q305" s="16">
        <f t="shared" si="29"/>
        <v>1.6183195806147577E-3</v>
      </c>
      <c r="R305" s="5">
        <f t="shared" si="24"/>
        <v>4.8593844052450513E-2</v>
      </c>
      <c r="S305" s="5">
        <f t="shared" si="27"/>
        <v>4.3060288426645235E-2</v>
      </c>
      <c r="T305" s="5">
        <f t="shared" si="32"/>
        <v>2.9581160684890423E-3</v>
      </c>
      <c r="U305" s="5">
        <f t="shared" si="32"/>
        <v>9.4357939396043285E-5</v>
      </c>
    </row>
    <row r="306" spans="7:21" x14ac:dyDescent="0.2">
      <c r="G306" s="8">
        <v>45895</v>
      </c>
      <c r="H306" s="5">
        <v>0.11636823</v>
      </c>
      <c r="I306" s="9">
        <v>2.7031260000000001E-2</v>
      </c>
      <c r="J306" s="10">
        <f t="shared" si="25"/>
        <v>1.11636823</v>
      </c>
      <c r="K306" s="10">
        <f t="shared" si="26"/>
        <v>1.02703126</v>
      </c>
      <c r="L306" s="11">
        <f t="shared" si="28"/>
        <v>1.0869856385870864</v>
      </c>
      <c r="M306" s="9">
        <f>IF(G306&lt;&gt;"",J306/MAX(J$3:J306)-1,"")</f>
        <v>0</v>
      </c>
      <c r="N306" s="9">
        <f>IF(G306&lt;&gt;"",K306/MAX(K$3:K306)-1,"")</f>
        <v>0</v>
      </c>
      <c r="O306" s="16">
        <f t="shared" si="29"/>
        <v>6.403868411579694E-4</v>
      </c>
      <c r="P306" s="16">
        <f t="shared" si="29"/>
        <v>4.2230293484823989E-5</v>
      </c>
      <c r="Q306" s="16">
        <f t="shared" si="29"/>
        <v>5.981312884133505E-4</v>
      </c>
      <c r="R306" s="5">
        <f t="shared" si="24"/>
        <v>4.8500372625890506E-2</v>
      </c>
      <c r="S306" s="5">
        <f t="shared" si="27"/>
        <v>4.3060288426645235E-2</v>
      </c>
      <c r="T306" s="5">
        <f t="shared" si="32"/>
        <v>2.9580918784697739E-3</v>
      </c>
      <c r="U306" s="5">
        <f t="shared" si="32"/>
        <v>9.4388499183071186E-5</v>
      </c>
    </row>
    <row r="307" spans="7:21" x14ac:dyDescent="0.2">
      <c r="G307" s="8">
        <v>45896</v>
      </c>
      <c r="H307" s="5">
        <v>0.11339392</v>
      </c>
      <c r="I307" s="9">
        <v>2.713115E-2</v>
      </c>
      <c r="J307" s="10">
        <f t="shared" si="25"/>
        <v>1.11339392</v>
      </c>
      <c r="K307" s="10">
        <f t="shared" si="26"/>
        <v>1.02713115</v>
      </c>
      <c r="L307" s="11">
        <f t="shared" si="28"/>
        <v>1.0839841825457246</v>
      </c>
      <c r="M307" s="9">
        <f>IF(G307&lt;&gt;"",J307/MAX(J$3:J307)-1,"")</f>
        <v>-2.6642732389472457E-3</v>
      </c>
      <c r="N307" s="9">
        <f>IF(G307&lt;&gt;"",K307/MAX(K$3:K307)-1,"")</f>
        <v>0</v>
      </c>
      <c r="O307" s="16">
        <f t="shared" si="29"/>
        <v>-2.6642732389472457E-3</v>
      </c>
      <c r="P307" s="16">
        <f t="shared" si="29"/>
        <v>9.726091492101574E-5</v>
      </c>
      <c r="Q307" s="16">
        <f t="shared" si="29"/>
        <v>-2.7612655906504857E-3</v>
      </c>
      <c r="R307" s="5">
        <f t="shared" si="24"/>
        <v>4.8581077535968235E-2</v>
      </c>
      <c r="S307" s="5">
        <f t="shared" si="27"/>
        <v>4.3060288426645235E-2</v>
      </c>
      <c r="T307" s="5">
        <f t="shared" si="32"/>
        <v>2.9607018861223422E-3</v>
      </c>
      <c r="U307" s="5">
        <f t="shared" si="32"/>
        <v>9.4203062332764837E-5</v>
      </c>
    </row>
    <row r="308" spans="7:21" x14ac:dyDescent="0.2">
      <c r="G308" s="8">
        <v>45897</v>
      </c>
      <c r="H308" s="5">
        <v>0.11555456</v>
      </c>
      <c r="I308" s="9">
        <v>2.7201289999999999E-2</v>
      </c>
      <c r="J308" s="10">
        <f t="shared" si="25"/>
        <v>1.1155545600000001</v>
      </c>
      <c r="K308" s="10">
        <f t="shared" si="26"/>
        <v>1.02720129</v>
      </c>
      <c r="L308" s="11">
        <f t="shared" si="28"/>
        <v>1.0860135894105041</v>
      </c>
      <c r="M308" s="9">
        <f>IF(G308&lt;&gt;"",J308/MAX(J$3:J308)-1,"")</f>
        <v>-7.2885449275095215E-4</v>
      </c>
      <c r="N308" s="9">
        <f>IF(G308&lt;&gt;"",K308/MAX(K$3:K308)-1,"")</f>
        <v>0</v>
      </c>
      <c r="O308" s="16">
        <f t="shared" si="29"/>
        <v>1.9405890055517183E-3</v>
      </c>
      <c r="P308" s="16">
        <f t="shared" si="29"/>
        <v>6.8287287363411053E-5</v>
      </c>
      <c r="Q308" s="16">
        <f t="shared" si="29"/>
        <v>1.8721738725129278E-3</v>
      </c>
      <c r="R308" s="5">
        <f t="shared" si="24"/>
        <v>4.8569007558546262E-2</v>
      </c>
      <c r="S308" s="5">
        <f t="shared" si="27"/>
        <v>4.3060288426645235E-2</v>
      </c>
      <c r="T308" s="5">
        <f t="shared" si="32"/>
        <v>2.958137147110464E-3</v>
      </c>
      <c r="U308" s="5">
        <f t="shared" si="32"/>
        <v>9.4209857280757293E-5</v>
      </c>
    </row>
    <row r="309" spans="7:21" x14ac:dyDescent="0.2">
      <c r="G309" s="8">
        <v>45898</v>
      </c>
      <c r="H309" s="5">
        <v>0.11538925</v>
      </c>
      <c r="I309" s="9">
        <v>2.7375300000000002E-2</v>
      </c>
      <c r="J309" s="10">
        <f t="shared" si="25"/>
        <v>1.11538925</v>
      </c>
      <c r="K309" s="10">
        <f t="shared" si="26"/>
        <v>1.0273753000000001</v>
      </c>
      <c r="L309" s="11">
        <f t="shared" si="28"/>
        <v>1.0856687424741474</v>
      </c>
      <c r="M309" s="9">
        <f>IF(G309&lt;&gt;"",J309/MAX(J$3:J309)-1,"")</f>
        <v>-8.7693287366297223E-4</v>
      </c>
      <c r="N309" s="9">
        <f>IF(G309&lt;&gt;"",K309/MAX(K$3:K309)-1,"")</f>
        <v>0</v>
      </c>
      <c r="O309" s="16">
        <f t="shared" si="29"/>
        <v>-1.4818638722613464E-4</v>
      </c>
      <c r="P309" s="16">
        <f t="shared" si="29"/>
        <v>1.6940204582494012E-4</v>
      </c>
      <c r="Q309" s="16">
        <f t="shared" si="29"/>
        <v>-3.1753464203321258E-4</v>
      </c>
      <c r="R309" s="5">
        <f t="shared" si="24"/>
        <v>4.8403763174999816E-2</v>
      </c>
      <c r="S309" s="5">
        <f t="shared" si="27"/>
        <v>4.3060288426645235E-2</v>
      </c>
      <c r="T309" s="5">
        <f t="shared" si="32"/>
        <v>2.9568836889414573E-3</v>
      </c>
      <c r="U309" s="5">
        <f t="shared" si="32"/>
        <v>9.4357622087994946E-5</v>
      </c>
    </row>
    <row r="310" spans="7:21" x14ac:dyDescent="0.2">
      <c r="G310" s="8">
        <v>45901</v>
      </c>
      <c r="H310" s="5">
        <v>0.11624224</v>
      </c>
      <c r="I310" s="9">
        <v>2.7445520000000001E-2</v>
      </c>
      <c r="J310" s="10">
        <f t="shared" si="25"/>
        <v>1.1162422400000001</v>
      </c>
      <c r="K310" s="10">
        <f t="shared" si="26"/>
        <v>1.0274455200000001</v>
      </c>
      <c r="L310" s="11">
        <f t="shared" si="28"/>
        <v>1.0864247478542706</v>
      </c>
      <c r="M310" s="9">
        <f>IF(G310&lt;&gt;"",J310/MAX(J$3:J310)-1,"")</f>
        <v>-1.1285702747010351E-4</v>
      </c>
      <c r="N310" s="9">
        <f>IF(G310&lt;&gt;"",K310/MAX(K$3:K310)-1,"")</f>
        <v>0</v>
      </c>
      <c r="O310" s="16">
        <f t="shared" si="29"/>
        <v>7.6474647751889613E-4</v>
      </c>
      <c r="P310" s="16">
        <f t="shared" si="29"/>
        <v>6.8348927602324139E-5</v>
      </c>
      <c r="Q310" s="16">
        <f t="shared" si="29"/>
        <v>6.9634995514400444E-4</v>
      </c>
      <c r="R310" s="5">
        <f t="shared" si="24"/>
        <v>4.8406966921575117E-2</v>
      </c>
      <c r="S310" s="5">
        <f t="shared" si="27"/>
        <v>4.3060288426645235E-2</v>
      </c>
      <c r="T310" s="5">
        <f t="shared" si="32"/>
        <v>2.956677470346173E-3</v>
      </c>
      <c r="U310" s="5">
        <f t="shared" si="32"/>
        <v>9.4359918966993399E-5</v>
      </c>
    </row>
    <row r="311" spans="7:21" x14ac:dyDescent="0.2">
      <c r="G311" s="8">
        <v>45902</v>
      </c>
      <c r="H311" s="5">
        <v>0.11329691</v>
      </c>
      <c r="I311" s="9">
        <v>2.7532549999999999E-2</v>
      </c>
      <c r="J311" s="10">
        <f t="shared" si="25"/>
        <v>1.1132969100000001</v>
      </c>
      <c r="K311" s="10">
        <f t="shared" si="26"/>
        <v>1.0275325500000001</v>
      </c>
      <c r="L311" s="11">
        <f t="shared" si="28"/>
        <v>1.0834663193881302</v>
      </c>
      <c r="M311" s="9">
        <f>IF(G311&lt;&gt;"",J311/MAX(J$3:J311)-1,"")</f>
        <v>-2.7511710898472375E-3</v>
      </c>
      <c r="N311" s="9">
        <f>IF(G311&lt;&gt;"",K311/MAX(K$3:K311)-1,"")</f>
        <v>0</v>
      </c>
      <c r="O311" s="16">
        <f t="shared" si="29"/>
        <v>-2.6386118482668586E-3</v>
      </c>
      <c r="P311" s="16">
        <f t="shared" si="29"/>
        <v>8.4705221158554167E-5</v>
      </c>
      <c r="Q311" s="16">
        <f t="shared" si="29"/>
        <v>-2.7230864097889107E-3</v>
      </c>
      <c r="R311" s="5">
        <f t="shared" si="24"/>
        <v>4.8572820823838583E-2</v>
      </c>
      <c r="S311" s="5">
        <f t="shared" si="27"/>
        <v>4.3060288426645235E-2</v>
      </c>
      <c r="T311" s="5">
        <f t="shared" si="32"/>
        <v>2.9607013967347202E-3</v>
      </c>
      <c r="U311" s="5">
        <f t="shared" si="32"/>
        <v>9.4359538717235571E-5</v>
      </c>
    </row>
    <row r="312" spans="7:21" x14ac:dyDescent="0.2">
      <c r="G312" s="8">
        <v>45903</v>
      </c>
      <c r="H312" s="5">
        <v>0.11413079</v>
      </c>
      <c r="I312" s="9">
        <v>2.7613749999999999E-2</v>
      </c>
      <c r="J312" s="10">
        <f t="shared" si="25"/>
        <v>1.1141307899999999</v>
      </c>
      <c r="K312" s="10">
        <f t="shared" si="26"/>
        <v>1.02761375</v>
      </c>
      <c r="L312" s="11">
        <f t="shared" si="28"/>
        <v>1.0841921782381756</v>
      </c>
      <c r="M312" s="9">
        <f>IF(G312&lt;&gt;"",J312/MAX(J$3:J312)-1,"")</f>
        <v>-2.0042132513928834E-3</v>
      </c>
      <c r="N312" s="9">
        <f>IF(G312&lt;&gt;"",K312/MAX(K$3:K312)-1,"")</f>
        <v>0</v>
      </c>
      <c r="O312" s="16">
        <f t="shared" si="29"/>
        <v>7.4901851654285423E-4</v>
      </c>
      <c r="P312" s="16">
        <f t="shared" si="29"/>
        <v>7.9024260593918427E-5</v>
      </c>
      <c r="Q312" s="16">
        <f t="shared" si="29"/>
        <v>6.6994131433206761E-4</v>
      </c>
      <c r="R312" s="5">
        <f t="shared" si="24"/>
        <v>4.8144555549381005E-2</v>
      </c>
      <c r="S312" s="5">
        <f t="shared" si="27"/>
        <v>4.3060288426645235E-2</v>
      </c>
      <c r="T312" s="5">
        <f t="shared" ref="T312:U327" si="33">IF($G312&lt;&gt;"",_xlfn.STDEV.S(O68:O312),"")</f>
        <v>2.9607629949388267E-3</v>
      </c>
      <c r="U312" s="5">
        <f t="shared" si="33"/>
        <v>9.3734287875545824E-5</v>
      </c>
    </row>
    <row r="313" spans="7:21" x14ac:dyDescent="0.2">
      <c r="G313" s="8">
        <v>45904</v>
      </c>
      <c r="H313" s="5">
        <v>0.11261417</v>
      </c>
      <c r="I313" s="9">
        <v>2.7693949999999998E-2</v>
      </c>
      <c r="J313" s="10">
        <f t="shared" si="25"/>
        <v>1.1126141700000001</v>
      </c>
      <c r="K313" s="10">
        <f t="shared" si="26"/>
        <v>1.02769395</v>
      </c>
      <c r="L313" s="11">
        <f t="shared" si="28"/>
        <v>1.0826318185487032</v>
      </c>
      <c r="M313" s="9">
        <f>IF(G313&lt;&gt;"",J313/MAX(J$3:J313)-1,"")</f>
        <v>-3.3627434919031307E-3</v>
      </c>
      <c r="N313" s="9">
        <f>IF(G313&lt;&gt;"",K313/MAX(K$3:K313)-1,"")</f>
        <v>0</v>
      </c>
      <c r="O313" s="16">
        <f t="shared" si="29"/>
        <v>-1.3612584928200944E-3</v>
      </c>
      <c r="P313" s="16">
        <f t="shared" si="29"/>
        <v>7.8044887974693111E-5</v>
      </c>
      <c r="Q313" s="16">
        <f t="shared" si="29"/>
        <v>-1.4391910592899126E-3</v>
      </c>
      <c r="R313" s="5">
        <f t="shared" si="24"/>
        <v>4.8109805251451337E-2</v>
      </c>
      <c r="S313" s="5">
        <f t="shared" si="27"/>
        <v>4.3060288426645235E-2</v>
      </c>
      <c r="T313" s="5">
        <f t="shared" si="33"/>
        <v>2.9616761154669558E-3</v>
      </c>
      <c r="U313" s="5">
        <f t="shared" si="33"/>
        <v>9.3632941357352272E-5</v>
      </c>
    </row>
    <row r="314" spans="7:21" x14ac:dyDescent="0.2">
      <c r="G314" s="8">
        <v>45905</v>
      </c>
      <c r="H314" s="5">
        <v>0.11615455</v>
      </c>
      <c r="I314" s="9">
        <v>2.7875049999999998E-2</v>
      </c>
      <c r="J314" s="10">
        <f t="shared" si="25"/>
        <v>1.1161545500000001</v>
      </c>
      <c r="K314" s="10">
        <f t="shared" si="26"/>
        <v>1.02787505</v>
      </c>
      <c r="L314" s="11">
        <f t="shared" si="28"/>
        <v>1.0858854390910646</v>
      </c>
      <c r="M314" s="9">
        <f>IF(G314&lt;&gt;"",J314/MAX(J$3:J314)-1,"")</f>
        <v>-1.9140637852066433E-4</v>
      </c>
      <c r="N314" s="9">
        <f>IF(G314&lt;&gt;"",K314/MAX(K$3:K314)-1,"")</f>
        <v>0</v>
      </c>
      <c r="O314" s="16">
        <f t="shared" si="29"/>
        <v>3.1820374892403969E-3</v>
      </c>
      <c r="P314" s="16">
        <f t="shared" si="29"/>
        <v>1.7621977827153579E-4</v>
      </c>
      <c r="Q314" s="16">
        <f t="shared" si="29"/>
        <v>3.0052881197626391E-3</v>
      </c>
      <c r="R314" s="5">
        <f t="shared" si="24"/>
        <v>4.8255842796272631E-2</v>
      </c>
      <c r="S314" s="5">
        <f t="shared" si="27"/>
        <v>4.3060288426645235E-2</v>
      </c>
      <c r="T314" s="5">
        <f t="shared" si="33"/>
        <v>2.9615125428882573E-3</v>
      </c>
      <c r="U314" s="5">
        <f t="shared" si="33"/>
        <v>9.3808102326014233E-5</v>
      </c>
    </row>
    <row r="315" spans="7:21" x14ac:dyDescent="0.2">
      <c r="G315" s="8">
        <v>45908</v>
      </c>
      <c r="H315" s="5">
        <v>0.11664267</v>
      </c>
      <c r="I315" s="9">
        <v>2.7944770000000001E-2</v>
      </c>
      <c r="J315" s="10">
        <f t="shared" si="25"/>
        <v>1.1166426700000001</v>
      </c>
      <c r="K315" s="10">
        <f t="shared" si="26"/>
        <v>1.02794477</v>
      </c>
      <c r="L315" s="11">
        <f t="shared" si="28"/>
        <v>1.0862866396995241</v>
      </c>
      <c r="M315" s="9">
        <f>IF(G315&lt;&gt;"",J315/MAX(J$3:J315)-1,"")</f>
        <v>0</v>
      </c>
      <c r="N315" s="9">
        <f>IF(G315&lt;&gt;"",K315/MAX(K$3:K315)-1,"")</f>
        <v>0</v>
      </c>
      <c r="O315" s="16">
        <f t="shared" si="29"/>
        <v>4.3732294958620521E-4</v>
      </c>
      <c r="P315" s="16">
        <f t="shared" si="29"/>
        <v>6.7829256094942281E-5</v>
      </c>
      <c r="Q315" s="16">
        <f t="shared" si="29"/>
        <v>3.6946863270892472E-4</v>
      </c>
      <c r="R315" s="5">
        <f t="shared" si="24"/>
        <v>4.8164988565027961E-2</v>
      </c>
      <c r="S315" s="5">
        <f t="shared" si="27"/>
        <v>4.3060288426645235E-2</v>
      </c>
      <c r="T315" s="5">
        <f t="shared" si="33"/>
        <v>2.9583844160921782E-3</v>
      </c>
      <c r="U315" s="5">
        <f t="shared" si="33"/>
        <v>9.3814868543307025E-5</v>
      </c>
    </row>
    <row r="316" spans="7:21" x14ac:dyDescent="0.2">
      <c r="G316" s="8">
        <v>45909</v>
      </c>
      <c r="H316" s="5">
        <v>0.11507091</v>
      </c>
      <c r="I316" s="9">
        <v>2.800161E-2</v>
      </c>
      <c r="J316" s="10">
        <f t="shared" si="25"/>
        <v>1.11507091</v>
      </c>
      <c r="K316" s="10">
        <f t="shared" si="26"/>
        <v>1.02800161</v>
      </c>
      <c r="L316" s="11">
        <f t="shared" si="28"/>
        <v>1.0846976299969024</v>
      </c>
      <c r="M316" s="9">
        <f>IF(G316&lt;&gt;"",J316/MAX(J$3:J316)-1,"")</f>
        <v>-1.4075765168458654E-3</v>
      </c>
      <c r="N316" s="9">
        <f>IF(G316&lt;&gt;"",K316/MAX(K$3:K316)-1,"")</f>
        <v>0</v>
      </c>
      <c r="O316" s="16">
        <f t="shared" si="29"/>
        <v>-1.4075765168458654E-3</v>
      </c>
      <c r="P316" s="16">
        <f t="shared" si="29"/>
        <v>5.5294799544691742E-5</v>
      </c>
      <c r="Q316" s="16">
        <f t="shared" si="29"/>
        <v>-1.4627904316867335E-3</v>
      </c>
      <c r="R316" s="5">
        <f t="shared" si="24"/>
        <v>4.7392503224324554E-2</v>
      </c>
      <c r="S316" s="5">
        <f t="shared" si="27"/>
        <v>4.3060288426645235E-2</v>
      </c>
      <c r="T316" s="5">
        <f t="shared" si="33"/>
        <v>2.9604109681592491E-3</v>
      </c>
      <c r="U316" s="5">
        <f t="shared" si="33"/>
        <v>9.3825331883555933E-5</v>
      </c>
    </row>
    <row r="317" spans="7:21" x14ac:dyDescent="0.2">
      <c r="G317" s="8">
        <v>45910</v>
      </c>
      <c r="H317" s="5">
        <v>0.11462530999999999</v>
      </c>
      <c r="I317" s="9">
        <v>2.8044369999999999E-2</v>
      </c>
      <c r="J317" s="10">
        <f t="shared" si="25"/>
        <v>1.1146253100000001</v>
      </c>
      <c r="K317" s="10">
        <f t="shared" si="26"/>
        <v>1.0280443699999999</v>
      </c>
      <c r="L317" s="11">
        <f t="shared" si="28"/>
        <v>1.0842190692606002</v>
      </c>
      <c r="M317" s="9">
        <f>IF(G317&lt;&gt;"",J317/MAX(J$3:J317)-1,"")</f>
        <v>-1.8066298684430437E-3</v>
      </c>
      <c r="N317" s="9">
        <f>IF(G317&lt;&gt;"",K317/MAX(K$3:K317)-1,"")</f>
        <v>0</v>
      </c>
      <c r="O317" s="16">
        <f t="shared" si="29"/>
        <v>-3.9961584147141238E-4</v>
      </c>
      <c r="P317" s="16">
        <f t="shared" si="29"/>
        <v>4.1595265594995823E-5</v>
      </c>
      <c r="Q317" s="16">
        <f t="shared" si="29"/>
        <v>-4.411927555365569E-4</v>
      </c>
      <c r="R317" s="5">
        <f t="shared" ref="R317:R380" si="34">IF(G317&lt;&gt;"",_xlfn.STDEV.S(Q196:Q317)*SQRT($B$5),"")</f>
        <v>4.7399448718260385E-2</v>
      </c>
      <c r="S317" s="5">
        <f t="shared" si="27"/>
        <v>4.3060288426645235E-2</v>
      </c>
      <c r="T317" s="5">
        <f t="shared" si="33"/>
        <v>2.9606422412760103E-3</v>
      </c>
      <c r="U317" s="5">
        <f t="shared" si="33"/>
        <v>9.3842919146491666E-5</v>
      </c>
    </row>
    <row r="318" spans="7:21" x14ac:dyDescent="0.2">
      <c r="G318" s="8">
        <v>45911</v>
      </c>
      <c r="H318" s="5">
        <v>0.11861368999999999</v>
      </c>
      <c r="I318" s="9">
        <v>2.80953E-2</v>
      </c>
      <c r="J318" s="10">
        <f t="shared" si="25"/>
        <v>1.1186136900000001</v>
      </c>
      <c r="K318" s="10">
        <f t="shared" si="26"/>
        <v>1.0280952999999999</v>
      </c>
      <c r="L318" s="11">
        <f t="shared" si="28"/>
        <v>1.0880447464354717</v>
      </c>
      <c r="M318" s="9">
        <f>IF(G318&lt;&gt;"",J318/MAX(J$3:J318)-1,"")</f>
        <v>0</v>
      </c>
      <c r="N318" s="9">
        <f>IF(G318&lt;&gt;"",K318/MAX(K$3:K318)-1,"")</f>
        <v>0</v>
      </c>
      <c r="O318" s="16">
        <f t="shared" si="29"/>
        <v>3.5782248655380489E-3</v>
      </c>
      <c r="P318" s="16">
        <f t="shared" si="29"/>
        <v>4.9540663308089705E-5</v>
      </c>
      <c r="Q318" s="16">
        <f t="shared" si="29"/>
        <v>3.5285093975339077E-3</v>
      </c>
      <c r="R318" s="5">
        <f t="shared" si="34"/>
        <v>4.7612331983300824E-2</v>
      </c>
      <c r="S318" s="5">
        <f t="shared" si="27"/>
        <v>4.3060288426645235E-2</v>
      </c>
      <c r="T318" s="5">
        <f t="shared" si="33"/>
        <v>2.958936519878606E-3</v>
      </c>
      <c r="U318" s="5">
        <f t="shared" si="33"/>
        <v>9.3671591070143166E-5</v>
      </c>
    </row>
    <row r="319" spans="7:21" x14ac:dyDescent="0.2">
      <c r="G319" s="8">
        <v>45912</v>
      </c>
      <c r="H319" s="5">
        <v>0.11880151999999999</v>
      </c>
      <c r="I319" s="9">
        <v>2.8280429999999999E-2</v>
      </c>
      <c r="J319" s="10">
        <f t="shared" si="25"/>
        <v>1.1188015199999999</v>
      </c>
      <c r="K319" s="10">
        <f t="shared" si="26"/>
        <v>1.0282804299999999</v>
      </c>
      <c r="L319" s="11">
        <f t="shared" si="28"/>
        <v>1.0880315207399212</v>
      </c>
      <c r="M319" s="9">
        <f>IF(G319&lt;&gt;"",J319/MAX(J$3:J319)-1,"")</f>
        <v>0</v>
      </c>
      <c r="N319" s="9">
        <f>IF(G319&lt;&gt;"",K319/MAX(K$3:K319)-1,"")</f>
        <v>0</v>
      </c>
      <c r="O319" s="16">
        <f t="shared" si="29"/>
        <v>1.6791319619890999E-4</v>
      </c>
      <c r="P319" s="16">
        <f t="shared" si="29"/>
        <v>1.8007085529903044E-4</v>
      </c>
      <c r="Q319" s="16">
        <f t="shared" si="29"/>
        <v>-1.215547025412711E-5</v>
      </c>
      <c r="R319" s="5">
        <f t="shared" si="34"/>
        <v>4.7548676354054548E-2</v>
      </c>
      <c r="S319" s="5">
        <f t="shared" si="27"/>
        <v>4.3060288426645235E-2</v>
      </c>
      <c r="T319" s="5">
        <f t="shared" si="33"/>
        <v>2.9587737961161605E-3</v>
      </c>
      <c r="U319" s="5">
        <f t="shared" si="33"/>
        <v>9.3775998758823979E-5</v>
      </c>
    </row>
    <row r="320" spans="7:21" x14ac:dyDescent="0.2">
      <c r="G320" s="8"/>
      <c r="H320" s="5"/>
      <c r="I320" s="9"/>
      <c r="J320" s="10" t="str">
        <f t="shared" si="25"/>
        <v/>
      </c>
      <c r="K320" s="10" t="str">
        <f t="shared" si="26"/>
        <v/>
      </c>
      <c r="L320" s="11" t="str">
        <f t="shared" si="28"/>
        <v/>
      </c>
      <c r="M320" s="9" t="str">
        <f>IF(G320&lt;&gt;"",J320/MAX(J$3:J320)-1,"")</f>
        <v/>
      </c>
      <c r="N320" s="9" t="str">
        <f>IF(G320&lt;&gt;"",K320/MAX(K$3:K320)-1,"")</f>
        <v/>
      </c>
      <c r="O320" s="16" t="str">
        <f t="shared" si="29"/>
        <v/>
      </c>
      <c r="P320" s="16" t="str">
        <f t="shared" si="29"/>
        <v/>
      </c>
      <c r="Q320" s="16" t="str">
        <f t="shared" si="29"/>
        <v/>
      </c>
      <c r="R320" s="5" t="str">
        <f t="shared" si="34"/>
        <v/>
      </c>
      <c r="S320" s="5" t="str">
        <f t="shared" si="27"/>
        <v/>
      </c>
      <c r="T320" s="5" t="str">
        <f t="shared" si="33"/>
        <v/>
      </c>
      <c r="U320" s="5" t="str">
        <f t="shared" si="33"/>
        <v/>
      </c>
    </row>
    <row r="321" spans="7:21" x14ac:dyDescent="0.2">
      <c r="G321" s="8"/>
      <c r="H321" s="5"/>
      <c r="I321" s="9"/>
      <c r="J321" s="10" t="str">
        <f t="shared" si="25"/>
        <v/>
      </c>
      <c r="K321" s="10" t="str">
        <f t="shared" si="26"/>
        <v/>
      </c>
      <c r="L321" s="11" t="str">
        <f t="shared" si="28"/>
        <v/>
      </c>
      <c r="M321" s="9" t="str">
        <f>IF(G321&lt;&gt;"",J321/MAX(J$3:J321)-1,"")</f>
        <v/>
      </c>
      <c r="N321" s="9" t="str">
        <f>IF(G321&lt;&gt;"",K321/MAX(K$3:K321)-1,"")</f>
        <v/>
      </c>
      <c r="O321" s="16" t="str">
        <f t="shared" si="29"/>
        <v/>
      </c>
      <c r="P321" s="16" t="str">
        <f t="shared" si="29"/>
        <v/>
      </c>
      <c r="Q321" s="16" t="str">
        <f t="shared" si="29"/>
        <v/>
      </c>
      <c r="R321" s="5" t="str">
        <f t="shared" si="34"/>
        <v/>
      </c>
      <c r="S321" s="5" t="str">
        <f t="shared" si="27"/>
        <v/>
      </c>
      <c r="T321" s="5" t="str">
        <f t="shared" si="33"/>
        <v/>
      </c>
      <c r="U321" s="5" t="str">
        <f t="shared" si="33"/>
        <v/>
      </c>
    </row>
    <row r="322" spans="7:21" x14ac:dyDescent="0.2">
      <c r="G322" s="8"/>
      <c r="H322" s="5"/>
      <c r="I322" s="9"/>
      <c r="J322" s="10" t="str">
        <f t="shared" si="25"/>
        <v/>
      </c>
      <c r="K322" s="10" t="str">
        <f t="shared" si="26"/>
        <v/>
      </c>
      <c r="L322" s="11" t="str">
        <f t="shared" si="28"/>
        <v/>
      </c>
      <c r="M322" s="9" t="str">
        <f>IF(G322&lt;&gt;"",J322/MAX(J$3:J322)-1,"")</f>
        <v/>
      </c>
      <c r="N322" s="9" t="str">
        <f>IF(G322&lt;&gt;"",K322/MAX(K$3:K322)-1,"")</f>
        <v/>
      </c>
      <c r="O322" s="16" t="str">
        <f t="shared" si="29"/>
        <v/>
      </c>
      <c r="P322" s="16" t="str">
        <f t="shared" si="29"/>
        <v/>
      </c>
      <c r="Q322" s="16" t="str">
        <f t="shared" si="29"/>
        <v/>
      </c>
      <c r="R322" s="5" t="str">
        <f t="shared" si="34"/>
        <v/>
      </c>
      <c r="S322" s="5" t="str">
        <f t="shared" si="27"/>
        <v/>
      </c>
      <c r="T322" s="5" t="str">
        <f t="shared" si="33"/>
        <v/>
      </c>
      <c r="U322" s="5" t="str">
        <f t="shared" si="33"/>
        <v/>
      </c>
    </row>
    <row r="323" spans="7:21" x14ac:dyDescent="0.2">
      <c r="G323" s="8"/>
      <c r="H323" s="5"/>
      <c r="I323" s="9"/>
      <c r="J323" s="10" t="str">
        <f t="shared" si="25"/>
        <v/>
      </c>
      <c r="K323" s="10" t="str">
        <f t="shared" si="26"/>
        <v/>
      </c>
      <c r="L323" s="11" t="str">
        <f t="shared" si="28"/>
        <v/>
      </c>
      <c r="M323" s="9" t="str">
        <f>IF(G323&lt;&gt;"",J323/MAX(J$3:J323)-1,"")</f>
        <v/>
      </c>
      <c r="N323" s="9" t="str">
        <f>IF(G323&lt;&gt;"",K323/MAX(K$3:K323)-1,"")</f>
        <v/>
      </c>
      <c r="O323" s="16" t="str">
        <f t="shared" si="29"/>
        <v/>
      </c>
      <c r="P323" s="16" t="str">
        <f t="shared" si="29"/>
        <v/>
      </c>
      <c r="Q323" s="16" t="str">
        <f t="shared" si="29"/>
        <v/>
      </c>
      <c r="R323" s="5" t="str">
        <f t="shared" si="34"/>
        <v/>
      </c>
      <c r="S323" s="5" t="str">
        <f t="shared" si="27"/>
        <v/>
      </c>
      <c r="T323" s="5" t="str">
        <f t="shared" si="33"/>
        <v/>
      </c>
      <c r="U323" s="5" t="str">
        <f t="shared" si="33"/>
        <v/>
      </c>
    </row>
    <row r="324" spans="7:21" x14ac:dyDescent="0.2">
      <c r="G324" s="8"/>
      <c r="H324" s="5"/>
      <c r="I324" s="9"/>
      <c r="J324" s="10" t="str">
        <f t="shared" ref="J324:J387" si="35">IF(G324&lt;&gt;"",1+H324,"")</f>
        <v/>
      </c>
      <c r="K324" s="10" t="str">
        <f t="shared" ref="K324:K387" si="36">IF(G324&lt;&gt;"",1+I324,"")</f>
        <v/>
      </c>
      <c r="L324" s="11" t="str">
        <f t="shared" si="28"/>
        <v/>
      </c>
      <c r="M324" s="9" t="str">
        <f>IF(G324&lt;&gt;"",J324/MAX(J$3:J324)-1,"")</f>
        <v/>
      </c>
      <c r="N324" s="9" t="str">
        <f>IF(G324&lt;&gt;"",K324/MAX(K$3:K324)-1,"")</f>
        <v/>
      </c>
      <c r="O324" s="16" t="str">
        <f t="shared" si="29"/>
        <v/>
      </c>
      <c r="P324" s="16" t="str">
        <f t="shared" si="29"/>
        <v/>
      </c>
      <c r="Q324" s="16" t="str">
        <f t="shared" si="29"/>
        <v/>
      </c>
      <c r="R324" s="5" t="str">
        <f t="shared" si="34"/>
        <v/>
      </c>
      <c r="S324" s="5" t="str">
        <f t="shared" ref="S324:S387" si="37">IF(R324&lt;&gt;"",B$12,"")</f>
        <v/>
      </c>
      <c r="T324" s="5" t="str">
        <f t="shared" si="33"/>
        <v/>
      </c>
      <c r="U324" s="5" t="str">
        <f t="shared" si="33"/>
        <v/>
      </c>
    </row>
    <row r="325" spans="7:21" x14ac:dyDescent="0.2">
      <c r="G325" s="8"/>
      <c r="H325" s="5"/>
      <c r="I325" s="9"/>
      <c r="J325" s="10" t="str">
        <f t="shared" si="35"/>
        <v/>
      </c>
      <c r="K325" s="10" t="str">
        <f t="shared" si="36"/>
        <v/>
      </c>
      <c r="L325" s="11" t="str">
        <f t="shared" ref="L325:L388" si="38">IF(G325&lt;&gt;"",J325/K325,"")</f>
        <v/>
      </c>
      <c r="M325" s="9" t="str">
        <f>IF(G325&lt;&gt;"",J325/MAX(J$3:J325)-1,"")</f>
        <v/>
      </c>
      <c r="N325" s="9" t="str">
        <f>IF(G325&lt;&gt;"",K325/MAX(K$3:K325)-1,"")</f>
        <v/>
      </c>
      <c r="O325" s="16" t="str">
        <f t="shared" ref="O325:Q388" si="39">IF($G325&lt;&gt;"",J325/J324-1,"")</f>
        <v/>
      </c>
      <c r="P325" s="16" t="str">
        <f t="shared" si="39"/>
        <v/>
      </c>
      <c r="Q325" s="16" t="str">
        <f t="shared" si="39"/>
        <v/>
      </c>
      <c r="R325" s="5" t="str">
        <f t="shared" si="34"/>
        <v/>
      </c>
      <c r="S325" s="5" t="str">
        <f t="shared" si="37"/>
        <v/>
      </c>
      <c r="T325" s="5" t="str">
        <f t="shared" si="33"/>
        <v/>
      </c>
      <c r="U325" s="5" t="str">
        <f t="shared" si="33"/>
        <v/>
      </c>
    </row>
    <row r="326" spans="7:21" x14ac:dyDescent="0.2">
      <c r="G326" s="8"/>
      <c r="H326" s="5"/>
      <c r="I326" s="9"/>
      <c r="J326" s="10" t="str">
        <f t="shared" si="35"/>
        <v/>
      </c>
      <c r="K326" s="10" t="str">
        <f t="shared" si="36"/>
        <v/>
      </c>
      <c r="L326" s="11" t="str">
        <f t="shared" si="38"/>
        <v/>
      </c>
      <c r="M326" s="9" t="str">
        <f>IF(G326&lt;&gt;"",J326/MAX(J$3:J326)-1,"")</f>
        <v/>
      </c>
      <c r="N326" s="9" t="str">
        <f>IF(G326&lt;&gt;"",K326/MAX(K$3:K326)-1,"")</f>
        <v/>
      </c>
      <c r="O326" s="16" t="str">
        <f t="shared" si="39"/>
        <v/>
      </c>
      <c r="P326" s="16" t="str">
        <f t="shared" si="39"/>
        <v/>
      </c>
      <c r="Q326" s="16" t="str">
        <f t="shared" si="39"/>
        <v/>
      </c>
      <c r="R326" s="5" t="str">
        <f t="shared" si="34"/>
        <v/>
      </c>
      <c r="S326" s="5" t="str">
        <f t="shared" si="37"/>
        <v/>
      </c>
      <c r="T326" s="5" t="str">
        <f t="shared" si="33"/>
        <v/>
      </c>
      <c r="U326" s="5" t="str">
        <f t="shared" si="33"/>
        <v/>
      </c>
    </row>
    <row r="327" spans="7:21" x14ac:dyDescent="0.2">
      <c r="G327" s="8"/>
      <c r="H327" s="5"/>
      <c r="I327" s="9"/>
      <c r="J327" s="10" t="str">
        <f t="shared" si="35"/>
        <v/>
      </c>
      <c r="K327" s="10" t="str">
        <f t="shared" si="36"/>
        <v/>
      </c>
      <c r="L327" s="11" t="str">
        <f t="shared" si="38"/>
        <v/>
      </c>
      <c r="M327" s="9" t="str">
        <f>IF(G327&lt;&gt;"",J327/MAX(J$3:J327)-1,"")</f>
        <v/>
      </c>
      <c r="N327" s="9" t="str">
        <f>IF(G327&lt;&gt;"",K327/MAX(K$3:K327)-1,"")</f>
        <v/>
      </c>
      <c r="O327" s="16" t="str">
        <f t="shared" si="39"/>
        <v/>
      </c>
      <c r="P327" s="16" t="str">
        <f t="shared" si="39"/>
        <v/>
      </c>
      <c r="Q327" s="16" t="str">
        <f t="shared" si="39"/>
        <v/>
      </c>
      <c r="R327" s="5" t="str">
        <f t="shared" si="34"/>
        <v/>
      </c>
      <c r="S327" s="5" t="str">
        <f t="shared" si="37"/>
        <v/>
      </c>
      <c r="T327" s="5" t="str">
        <f t="shared" si="33"/>
        <v/>
      </c>
      <c r="U327" s="5" t="str">
        <f t="shared" si="33"/>
        <v/>
      </c>
    </row>
    <row r="328" spans="7:21" x14ac:dyDescent="0.2">
      <c r="G328" s="8"/>
      <c r="H328" s="5"/>
      <c r="I328" s="9"/>
      <c r="J328" s="10" t="str">
        <f t="shared" si="35"/>
        <v/>
      </c>
      <c r="K328" s="10" t="str">
        <f t="shared" si="36"/>
        <v/>
      </c>
      <c r="L328" s="11" t="str">
        <f t="shared" si="38"/>
        <v/>
      </c>
      <c r="M328" s="9" t="str">
        <f>IF(G328&lt;&gt;"",J328/MAX(J$3:J328)-1,"")</f>
        <v/>
      </c>
      <c r="N328" s="9" t="str">
        <f>IF(G328&lt;&gt;"",K328/MAX(K$3:K328)-1,"")</f>
        <v/>
      </c>
      <c r="O328" s="16" t="str">
        <f t="shared" si="39"/>
        <v/>
      </c>
      <c r="P328" s="16" t="str">
        <f t="shared" si="39"/>
        <v/>
      </c>
      <c r="Q328" s="16" t="str">
        <f t="shared" si="39"/>
        <v/>
      </c>
      <c r="R328" s="5" t="str">
        <f t="shared" si="34"/>
        <v/>
      </c>
      <c r="S328" s="5" t="str">
        <f t="shared" si="37"/>
        <v/>
      </c>
      <c r="T328" s="5" t="str">
        <f t="shared" ref="T328:U343" si="40">IF($G328&lt;&gt;"",_xlfn.STDEV.S(O84:O328),"")</f>
        <v/>
      </c>
      <c r="U328" s="5" t="str">
        <f t="shared" si="40"/>
        <v/>
      </c>
    </row>
    <row r="329" spans="7:21" x14ac:dyDescent="0.2">
      <c r="G329" s="8"/>
      <c r="H329" s="5"/>
      <c r="I329" s="9"/>
      <c r="J329" s="10" t="str">
        <f t="shared" si="35"/>
        <v/>
      </c>
      <c r="K329" s="10" t="str">
        <f t="shared" si="36"/>
        <v/>
      </c>
      <c r="L329" s="11" t="str">
        <f t="shared" si="38"/>
        <v/>
      </c>
      <c r="M329" s="9" t="str">
        <f>IF(G329&lt;&gt;"",J329/MAX(J$3:J329)-1,"")</f>
        <v/>
      </c>
      <c r="N329" s="9" t="str">
        <f>IF(G329&lt;&gt;"",K329/MAX(K$3:K329)-1,"")</f>
        <v/>
      </c>
      <c r="O329" s="16" t="str">
        <f t="shared" si="39"/>
        <v/>
      </c>
      <c r="P329" s="16" t="str">
        <f t="shared" si="39"/>
        <v/>
      </c>
      <c r="Q329" s="16" t="str">
        <f t="shared" si="39"/>
        <v/>
      </c>
      <c r="R329" s="5" t="str">
        <f t="shared" si="34"/>
        <v/>
      </c>
      <c r="S329" s="5" t="str">
        <f t="shared" si="37"/>
        <v/>
      </c>
      <c r="T329" s="5" t="str">
        <f t="shared" si="40"/>
        <v/>
      </c>
      <c r="U329" s="5" t="str">
        <f t="shared" si="40"/>
        <v/>
      </c>
    </row>
    <row r="330" spans="7:21" x14ac:dyDescent="0.2">
      <c r="G330" s="8"/>
      <c r="H330" s="5"/>
      <c r="I330" s="9"/>
      <c r="J330" s="10" t="str">
        <f t="shared" si="35"/>
        <v/>
      </c>
      <c r="K330" s="10" t="str">
        <f t="shared" si="36"/>
        <v/>
      </c>
      <c r="L330" s="11" t="str">
        <f t="shared" si="38"/>
        <v/>
      </c>
      <c r="M330" s="9" t="str">
        <f>IF(G330&lt;&gt;"",J330/MAX(J$3:J330)-1,"")</f>
        <v/>
      </c>
      <c r="N330" s="9" t="str">
        <f>IF(G330&lt;&gt;"",K330/MAX(K$3:K330)-1,"")</f>
        <v/>
      </c>
      <c r="O330" s="16" t="str">
        <f t="shared" si="39"/>
        <v/>
      </c>
      <c r="P330" s="16" t="str">
        <f t="shared" si="39"/>
        <v/>
      </c>
      <c r="Q330" s="16" t="str">
        <f t="shared" si="39"/>
        <v/>
      </c>
      <c r="R330" s="5" t="str">
        <f t="shared" si="34"/>
        <v/>
      </c>
      <c r="S330" s="5" t="str">
        <f t="shared" si="37"/>
        <v/>
      </c>
      <c r="T330" s="5" t="str">
        <f t="shared" si="40"/>
        <v/>
      </c>
      <c r="U330" s="5" t="str">
        <f t="shared" si="40"/>
        <v/>
      </c>
    </row>
    <row r="331" spans="7:21" x14ac:dyDescent="0.2">
      <c r="G331" s="8"/>
      <c r="H331" s="5"/>
      <c r="I331" s="9"/>
      <c r="J331" s="10" t="str">
        <f t="shared" si="35"/>
        <v/>
      </c>
      <c r="K331" s="10" t="str">
        <f t="shared" si="36"/>
        <v/>
      </c>
      <c r="L331" s="11" t="str">
        <f t="shared" si="38"/>
        <v/>
      </c>
      <c r="M331" s="9" t="str">
        <f>IF(G331&lt;&gt;"",J331/MAX(J$3:J331)-1,"")</f>
        <v/>
      </c>
      <c r="N331" s="9" t="str">
        <f>IF(G331&lt;&gt;"",K331/MAX(K$3:K331)-1,"")</f>
        <v/>
      </c>
      <c r="O331" s="16" t="str">
        <f t="shared" si="39"/>
        <v/>
      </c>
      <c r="P331" s="16" t="str">
        <f t="shared" si="39"/>
        <v/>
      </c>
      <c r="Q331" s="16" t="str">
        <f t="shared" si="39"/>
        <v/>
      </c>
      <c r="R331" s="5" t="str">
        <f t="shared" si="34"/>
        <v/>
      </c>
      <c r="S331" s="5" t="str">
        <f t="shared" si="37"/>
        <v/>
      </c>
      <c r="T331" s="5" t="str">
        <f t="shared" si="40"/>
        <v/>
      </c>
      <c r="U331" s="5" t="str">
        <f t="shared" si="40"/>
        <v/>
      </c>
    </row>
    <row r="332" spans="7:21" x14ac:dyDescent="0.2">
      <c r="G332" s="8"/>
      <c r="H332" s="5"/>
      <c r="I332" s="9"/>
      <c r="J332" s="10" t="str">
        <f t="shared" si="35"/>
        <v/>
      </c>
      <c r="K332" s="10" t="str">
        <f t="shared" si="36"/>
        <v/>
      </c>
      <c r="L332" s="11" t="str">
        <f t="shared" si="38"/>
        <v/>
      </c>
      <c r="M332" s="9" t="str">
        <f>IF(G332&lt;&gt;"",J332/MAX(J$3:J332)-1,"")</f>
        <v/>
      </c>
      <c r="N332" s="9" t="str">
        <f>IF(G332&lt;&gt;"",K332/MAX(K$3:K332)-1,"")</f>
        <v/>
      </c>
      <c r="O332" s="16" t="str">
        <f t="shared" si="39"/>
        <v/>
      </c>
      <c r="P332" s="16" t="str">
        <f t="shared" si="39"/>
        <v/>
      </c>
      <c r="Q332" s="16" t="str">
        <f t="shared" si="39"/>
        <v/>
      </c>
      <c r="R332" s="5" t="str">
        <f t="shared" si="34"/>
        <v/>
      </c>
      <c r="S332" s="5" t="str">
        <f t="shared" si="37"/>
        <v/>
      </c>
      <c r="T332" s="5" t="str">
        <f t="shared" si="40"/>
        <v/>
      </c>
      <c r="U332" s="5" t="str">
        <f t="shared" si="40"/>
        <v/>
      </c>
    </row>
    <row r="333" spans="7:21" x14ac:dyDescent="0.2">
      <c r="G333" s="8"/>
      <c r="H333" s="5"/>
      <c r="I333" s="9"/>
      <c r="J333" s="10" t="str">
        <f t="shared" si="35"/>
        <v/>
      </c>
      <c r="K333" s="10" t="str">
        <f t="shared" si="36"/>
        <v/>
      </c>
      <c r="L333" s="11" t="str">
        <f t="shared" si="38"/>
        <v/>
      </c>
      <c r="M333" s="9" t="str">
        <f>IF(G333&lt;&gt;"",J333/MAX(J$3:J333)-1,"")</f>
        <v/>
      </c>
      <c r="N333" s="9" t="str">
        <f>IF(G333&lt;&gt;"",K333/MAX(K$3:K333)-1,"")</f>
        <v/>
      </c>
      <c r="O333" s="16" t="str">
        <f t="shared" si="39"/>
        <v/>
      </c>
      <c r="P333" s="16" t="str">
        <f t="shared" si="39"/>
        <v/>
      </c>
      <c r="Q333" s="16" t="str">
        <f t="shared" si="39"/>
        <v/>
      </c>
      <c r="R333" s="5" t="str">
        <f t="shared" si="34"/>
        <v/>
      </c>
      <c r="S333" s="5" t="str">
        <f t="shared" si="37"/>
        <v/>
      </c>
      <c r="T333" s="5" t="str">
        <f t="shared" si="40"/>
        <v/>
      </c>
      <c r="U333" s="5" t="str">
        <f t="shared" si="40"/>
        <v/>
      </c>
    </row>
    <row r="334" spans="7:21" x14ac:dyDescent="0.2">
      <c r="G334" s="8"/>
      <c r="H334" s="5"/>
      <c r="I334" s="9"/>
      <c r="J334" s="10" t="str">
        <f t="shared" si="35"/>
        <v/>
      </c>
      <c r="K334" s="10" t="str">
        <f t="shared" si="36"/>
        <v/>
      </c>
      <c r="L334" s="11" t="str">
        <f t="shared" si="38"/>
        <v/>
      </c>
      <c r="M334" s="9" t="str">
        <f>IF(G334&lt;&gt;"",J334/MAX(J$3:J334)-1,"")</f>
        <v/>
      </c>
      <c r="N334" s="9" t="str">
        <f>IF(G334&lt;&gt;"",K334/MAX(K$3:K334)-1,"")</f>
        <v/>
      </c>
      <c r="O334" s="16" t="str">
        <f t="shared" si="39"/>
        <v/>
      </c>
      <c r="P334" s="16" t="str">
        <f t="shared" si="39"/>
        <v/>
      </c>
      <c r="Q334" s="16" t="str">
        <f t="shared" si="39"/>
        <v/>
      </c>
      <c r="R334" s="5" t="str">
        <f t="shared" si="34"/>
        <v/>
      </c>
      <c r="S334" s="5" t="str">
        <f t="shared" si="37"/>
        <v/>
      </c>
      <c r="T334" s="5" t="str">
        <f t="shared" si="40"/>
        <v/>
      </c>
      <c r="U334" s="5" t="str">
        <f t="shared" si="40"/>
        <v/>
      </c>
    </row>
    <row r="335" spans="7:21" x14ac:dyDescent="0.2">
      <c r="G335" s="8"/>
      <c r="H335" s="5"/>
      <c r="I335" s="9"/>
      <c r="J335" s="10" t="str">
        <f t="shared" si="35"/>
        <v/>
      </c>
      <c r="K335" s="10" t="str">
        <f t="shared" si="36"/>
        <v/>
      </c>
      <c r="L335" s="11" t="str">
        <f t="shared" si="38"/>
        <v/>
      </c>
      <c r="M335" s="9" t="str">
        <f>IF(G335&lt;&gt;"",J335/MAX(J$3:J335)-1,"")</f>
        <v/>
      </c>
      <c r="N335" s="9" t="str">
        <f>IF(G335&lt;&gt;"",K335/MAX(K$3:K335)-1,"")</f>
        <v/>
      </c>
      <c r="O335" s="16" t="str">
        <f t="shared" si="39"/>
        <v/>
      </c>
      <c r="P335" s="16" t="str">
        <f t="shared" si="39"/>
        <v/>
      </c>
      <c r="Q335" s="16" t="str">
        <f t="shared" si="39"/>
        <v/>
      </c>
      <c r="R335" s="5" t="str">
        <f t="shared" si="34"/>
        <v/>
      </c>
      <c r="S335" s="5" t="str">
        <f t="shared" si="37"/>
        <v/>
      </c>
      <c r="T335" s="5" t="str">
        <f t="shared" si="40"/>
        <v/>
      </c>
      <c r="U335" s="5" t="str">
        <f t="shared" si="40"/>
        <v/>
      </c>
    </row>
    <row r="336" spans="7:21" x14ac:dyDescent="0.2">
      <c r="G336" s="8"/>
      <c r="H336" s="5"/>
      <c r="I336" s="9"/>
      <c r="J336" s="10" t="str">
        <f t="shared" si="35"/>
        <v/>
      </c>
      <c r="K336" s="10" t="str">
        <f t="shared" si="36"/>
        <v/>
      </c>
      <c r="L336" s="11" t="str">
        <f t="shared" si="38"/>
        <v/>
      </c>
      <c r="M336" s="9" t="str">
        <f>IF(G336&lt;&gt;"",J336/MAX(J$3:J336)-1,"")</f>
        <v/>
      </c>
      <c r="N336" s="9" t="str">
        <f>IF(G336&lt;&gt;"",K336/MAX(K$3:K336)-1,"")</f>
        <v/>
      </c>
      <c r="O336" s="16" t="str">
        <f t="shared" si="39"/>
        <v/>
      </c>
      <c r="P336" s="16" t="str">
        <f t="shared" si="39"/>
        <v/>
      </c>
      <c r="Q336" s="16" t="str">
        <f t="shared" si="39"/>
        <v/>
      </c>
      <c r="R336" s="5" t="str">
        <f t="shared" si="34"/>
        <v/>
      </c>
      <c r="S336" s="5" t="str">
        <f t="shared" si="37"/>
        <v/>
      </c>
      <c r="T336" s="5" t="str">
        <f t="shared" si="40"/>
        <v/>
      </c>
      <c r="U336" s="5" t="str">
        <f t="shared" si="40"/>
        <v/>
      </c>
    </row>
    <row r="337" spans="7:21" x14ac:dyDescent="0.2">
      <c r="G337" s="8"/>
      <c r="H337" s="5"/>
      <c r="I337" s="9"/>
      <c r="J337" s="10" t="str">
        <f t="shared" si="35"/>
        <v/>
      </c>
      <c r="K337" s="10" t="str">
        <f t="shared" si="36"/>
        <v/>
      </c>
      <c r="L337" s="11" t="str">
        <f t="shared" si="38"/>
        <v/>
      </c>
      <c r="M337" s="9" t="str">
        <f>IF(G337&lt;&gt;"",J337/MAX(J$3:J337)-1,"")</f>
        <v/>
      </c>
      <c r="N337" s="9" t="str">
        <f>IF(G337&lt;&gt;"",K337/MAX(K$3:K337)-1,"")</f>
        <v/>
      </c>
      <c r="O337" s="16" t="str">
        <f t="shared" si="39"/>
        <v/>
      </c>
      <c r="P337" s="16" t="str">
        <f t="shared" si="39"/>
        <v/>
      </c>
      <c r="Q337" s="16" t="str">
        <f t="shared" si="39"/>
        <v/>
      </c>
      <c r="R337" s="5" t="str">
        <f t="shared" si="34"/>
        <v/>
      </c>
      <c r="S337" s="5" t="str">
        <f t="shared" si="37"/>
        <v/>
      </c>
      <c r="T337" s="5" t="str">
        <f t="shared" si="40"/>
        <v/>
      </c>
      <c r="U337" s="5" t="str">
        <f t="shared" si="40"/>
        <v/>
      </c>
    </row>
    <row r="338" spans="7:21" x14ac:dyDescent="0.2">
      <c r="G338" s="8"/>
      <c r="H338" s="5"/>
      <c r="I338" s="9"/>
      <c r="J338" s="10" t="str">
        <f t="shared" si="35"/>
        <v/>
      </c>
      <c r="K338" s="10" t="str">
        <f t="shared" si="36"/>
        <v/>
      </c>
      <c r="L338" s="11" t="str">
        <f t="shared" si="38"/>
        <v/>
      </c>
      <c r="M338" s="9" t="str">
        <f>IF(G338&lt;&gt;"",J338/MAX(J$3:J338)-1,"")</f>
        <v/>
      </c>
      <c r="N338" s="9" t="str">
        <f>IF(G338&lt;&gt;"",K338/MAX(K$3:K338)-1,"")</f>
        <v/>
      </c>
      <c r="O338" s="16" t="str">
        <f t="shared" si="39"/>
        <v/>
      </c>
      <c r="P338" s="16" t="str">
        <f t="shared" si="39"/>
        <v/>
      </c>
      <c r="Q338" s="16" t="str">
        <f t="shared" si="39"/>
        <v/>
      </c>
      <c r="R338" s="5" t="str">
        <f t="shared" si="34"/>
        <v/>
      </c>
      <c r="S338" s="5" t="str">
        <f t="shared" si="37"/>
        <v/>
      </c>
      <c r="T338" s="5" t="str">
        <f t="shared" si="40"/>
        <v/>
      </c>
      <c r="U338" s="5" t="str">
        <f t="shared" si="40"/>
        <v/>
      </c>
    </row>
    <row r="339" spans="7:21" x14ac:dyDescent="0.2">
      <c r="G339" s="8"/>
      <c r="H339" s="5"/>
      <c r="I339" s="9"/>
      <c r="J339" s="10" t="str">
        <f t="shared" si="35"/>
        <v/>
      </c>
      <c r="K339" s="10" t="str">
        <f t="shared" si="36"/>
        <v/>
      </c>
      <c r="L339" s="11" t="str">
        <f t="shared" si="38"/>
        <v/>
      </c>
      <c r="M339" s="9" t="str">
        <f>IF(G339&lt;&gt;"",J339/MAX(J$3:J339)-1,"")</f>
        <v/>
      </c>
      <c r="N339" s="9" t="str">
        <f>IF(G339&lt;&gt;"",K339/MAX(K$3:K339)-1,"")</f>
        <v/>
      </c>
      <c r="O339" s="16" t="str">
        <f t="shared" si="39"/>
        <v/>
      </c>
      <c r="P339" s="16" t="str">
        <f t="shared" si="39"/>
        <v/>
      </c>
      <c r="Q339" s="16" t="str">
        <f t="shared" si="39"/>
        <v/>
      </c>
      <c r="R339" s="5" t="str">
        <f t="shared" si="34"/>
        <v/>
      </c>
      <c r="S339" s="5" t="str">
        <f t="shared" si="37"/>
        <v/>
      </c>
      <c r="T339" s="5" t="str">
        <f t="shared" si="40"/>
        <v/>
      </c>
      <c r="U339" s="5" t="str">
        <f t="shared" si="40"/>
        <v/>
      </c>
    </row>
    <row r="340" spans="7:21" x14ac:dyDescent="0.2">
      <c r="G340" s="8"/>
      <c r="H340" s="5"/>
      <c r="I340" s="9"/>
      <c r="J340" s="10" t="str">
        <f t="shared" si="35"/>
        <v/>
      </c>
      <c r="K340" s="10" t="str">
        <f t="shared" si="36"/>
        <v/>
      </c>
      <c r="L340" s="11" t="str">
        <f t="shared" si="38"/>
        <v/>
      </c>
      <c r="M340" s="9" t="str">
        <f>IF(G340&lt;&gt;"",J340/MAX(J$3:J340)-1,"")</f>
        <v/>
      </c>
      <c r="N340" s="9" t="str">
        <f>IF(G340&lt;&gt;"",K340/MAX(K$3:K340)-1,"")</f>
        <v/>
      </c>
      <c r="O340" s="16" t="str">
        <f t="shared" si="39"/>
        <v/>
      </c>
      <c r="P340" s="16" t="str">
        <f t="shared" si="39"/>
        <v/>
      </c>
      <c r="Q340" s="16" t="str">
        <f t="shared" si="39"/>
        <v/>
      </c>
      <c r="R340" s="5" t="str">
        <f t="shared" si="34"/>
        <v/>
      </c>
      <c r="S340" s="5" t="str">
        <f t="shared" si="37"/>
        <v/>
      </c>
      <c r="T340" s="5" t="str">
        <f t="shared" si="40"/>
        <v/>
      </c>
      <c r="U340" s="5" t="str">
        <f t="shared" si="40"/>
        <v/>
      </c>
    </row>
    <row r="341" spans="7:21" x14ac:dyDescent="0.2">
      <c r="G341" s="8"/>
      <c r="H341" s="5"/>
      <c r="I341" s="9"/>
      <c r="J341" s="10" t="str">
        <f t="shared" si="35"/>
        <v/>
      </c>
      <c r="K341" s="10" t="str">
        <f t="shared" si="36"/>
        <v/>
      </c>
      <c r="L341" s="11" t="str">
        <f t="shared" si="38"/>
        <v/>
      </c>
      <c r="M341" s="9" t="str">
        <f>IF(G341&lt;&gt;"",J341/MAX(J$3:J341)-1,"")</f>
        <v/>
      </c>
      <c r="N341" s="9" t="str">
        <f>IF(G341&lt;&gt;"",K341/MAX(K$3:K341)-1,"")</f>
        <v/>
      </c>
      <c r="O341" s="16" t="str">
        <f t="shared" si="39"/>
        <v/>
      </c>
      <c r="P341" s="16" t="str">
        <f t="shared" si="39"/>
        <v/>
      </c>
      <c r="Q341" s="16" t="str">
        <f t="shared" si="39"/>
        <v/>
      </c>
      <c r="R341" s="5" t="str">
        <f t="shared" si="34"/>
        <v/>
      </c>
      <c r="S341" s="5" t="str">
        <f t="shared" si="37"/>
        <v/>
      </c>
      <c r="T341" s="5" t="str">
        <f t="shared" si="40"/>
        <v/>
      </c>
      <c r="U341" s="5" t="str">
        <f t="shared" si="40"/>
        <v/>
      </c>
    </row>
    <row r="342" spans="7:21" x14ac:dyDescent="0.2">
      <c r="G342" s="8"/>
      <c r="H342" s="5"/>
      <c r="I342" s="9"/>
      <c r="J342" s="10" t="str">
        <f t="shared" si="35"/>
        <v/>
      </c>
      <c r="K342" s="10" t="str">
        <f t="shared" si="36"/>
        <v/>
      </c>
      <c r="L342" s="11" t="str">
        <f t="shared" si="38"/>
        <v/>
      </c>
      <c r="M342" s="9" t="str">
        <f>IF(G342&lt;&gt;"",J342/MAX(J$3:J342)-1,"")</f>
        <v/>
      </c>
      <c r="N342" s="9" t="str">
        <f>IF(G342&lt;&gt;"",K342/MAX(K$3:K342)-1,"")</f>
        <v/>
      </c>
      <c r="O342" s="16" t="str">
        <f t="shared" si="39"/>
        <v/>
      </c>
      <c r="P342" s="16" t="str">
        <f t="shared" si="39"/>
        <v/>
      </c>
      <c r="Q342" s="16" t="str">
        <f t="shared" si="39"/>
        <v/>
      </c>
      <c r="R342" s="5" t="str">
        <f t="shared" si="34"/>
        <v/>
      </c>
      <c r="S342" s="5" t="str">
        <f t="shared" si="37"/>
        <v/>
      </c>
      <c r="T342" s="5" t="str">
        <f t="shared" si="40"/>
        <v/>
      </c>
      <c r="U342" s="5" t="str">
        <f t="shared" si="40"/>
        <v/>
      </c>
    </row>
    <row r="343" spans="7:21" x14ac:dyDescent="0.2">
      <c r="G343" s="8"/>
      <c r="H343" s="5"/>
      <c r="I343" s="9"/>
      <c r="J343" s="10" t="str">
        <f t="shared" si="35"/>
        <v/>
      </c>
      <c r="K343" s="10" t="str">
        <f t="shared" si="36"/>
        <v/>
      </c>
      <c r="L343" s="11" t="str">
        <f t="shared" si="38"/>
        <v/>
      </c>
      <c r="M343" s="9" t="str">
        <f>IF(G343&lt;&gt;"",J343/MAX(J$3:J343)-1,"")</f>
        <v/>
      </c>
      <c r="N343" s="9" t="str">
        <f>IF(G343&lt;&gt;"",K343/MAX(K$3:K343)-1,"")</f>
        <v/>
      </c>
      <c r="O343" s="16" t="str">
        <f t="shared" si="39"/>
        <v/>
      </c>
      <c r="P343" s="16" t="str">
        <f t="shared" si="39"/>
        <v/>
      </c>
      <c r="Q343" s="16" t="str">
        <f t="shared" si="39"/>
        <v/>
      </c>
      <c r="R343" s="5" t="str">
        <f t="shared" si="34"/>
        <v/>
      </c>
      <c r="S343" s="5" t="str">
        <f t="shared" si="37"/>
        <v/>
      </c>
      <c r="T343" s="5" t="str">
        <f t="shared" si="40"/>
        <v/>
      </c>
      <c r="U343" s="5" t="str">
        <f t="shared" si="40"/>
        <v/>
      </c>
    </row>
    <row r="344" spans="7:21" x14ac:dyDescent="0.2">
      <c r="G344" s="8"/>
      <c r="H344" s="5"/>
      <c r="I344" s="9"/>
      <c r="J344" s="10" t="str">
        <f t="shared" si="35"/>
        <v/>
      </c>
      <c r="K344" s="10" t="str">
        <f t="shared" si="36"/>
        <v/>
      </c>
      <c r="L344" s="11" t="str">
        <f t="shared" si="38"/>
        <v/>
      </c>
      <c r="M344" s="9" t="str">
        <f>IF(G344&lt;&gt;"",J344/MAX(J$3:J344)-1,"")</f>
        <v/>
      </c>
      <c r="N344" s="9" t="str">
        <f>IF(G344&lt;&gt;"",K344/MAX(K$3:K344)-1,"")</f>
        <v/>
      </c>
      <c r="O344" s="16" t="str">
        <f t="shared" si="39"/>
        <v/>
      </c>
      <c r="P344" s="16" t="str">
        <f t="shared" si="39"/>
        <v/>
      </c>
      <c r="Q344" s="16" t="str">
        <f t="shared" si="39"/>
        <v/>
      </c>
      <c r="R344" s="5" t="str">
        <f t="shared" si="34"/>
        <v/>
      </c>
      <c r="S344" s="5" t="str">
        <f t="shared" si="37"/>
        <v/>
      </c>
      <c r="T344" s="5" t="str">
        <f t="shared" ref="T344:U359" si="41">IF($G344&lt;&gt;"",_xlfn.STDEV.S(O100:O344),"")</f>
        <v/>
      </c>
      <c r="U344" s="5" t="str">
        <f t="shared" si="41"/>
        <v/>
      </c>
    </row>
    <row r="345" spans="7:21" x14ac:dyDescent="0.2">
      <c r="G345" s="8"/>
      <c r="H345" s="5"/>
      <c r="I345" s="9"/>
      <c r="J345" s="10" t="str">
        <f t="shared" si="35"/>
        <v/>
      </c>
      <c r="K345" s="10" t="str">
        <f t="shared" si="36"/>
        <v/>
      </c>
      <c r="L345" s="11" t="str">
        <f t="shared" si="38"/>
        <v/>
      </c>
      <c r="M345" s="9" t="str">
        <f>IF(G345&lt;&gt;"",J345/MAX(J$3:J345)-1,"")</f>
        <v/>
      </c>
      <c r="N345" s="9" t="str">
        <f>IF(G345&lt;&gt;"",K345/MAX(K$3:K345)-1,"")</f>
        <v/>
      </c>
      <c r="O345" s="16" t="str">
        <f t="shared" si="39"/>
        <v/>
      </c>
      <c r="P345" s="16" t="str">
        <f t="shared" si="39"/>
        <v/>
      </c>
      <c r="Q345" s="16" t="str">
        <f t="shared" si="39"/>
        <v/>
      </c>
      <c r="R345" s="5" t="str">
        <f t="shared" si="34"/>
        <v/>
      </c>
      <c r="S345" s="5" t="str">
        <f t="shared" si="37"/>
        <v/>
      </c>
      <c r="T345" s="5" t="str">
        <f t="shared" si="41"/>
        <v/>
      </c>
      <c r="U345" s="5" t="str">
        <f t="shared" si="41"/>
        <v/>
      </c>
    </row>
    <row r="346" spans="7:21" x14ac:dyDescent="0.2">
      <c r="G346" s="8"/>
      <c r="H346" s="5"/>
      <c r="I346" s="9"/>
      <c r="J346" s="10" t="str">
        <f t="shared" si="35"/>
        <v/>
      </c>
      <c r="K346" s="10" t="str">
        <f t="shared" si="36"/>
        <v/>
      </c>
      <c r="L346" s="11" t="str">
        <f t="shared" si="38"/>
        <v/>
      </c>
      <c r="M346" s="9" t="str">
        <f>IF(G346&lt;&gt;"",J346/MAX(J$3:J346)-1,"")</f>
        <v/>
      </c>
      <c r="N346" s="9" t="str">
        <f>IF(G346&lt;&gt;"",K346/MAX(K$3:K346)-1,"")</f>
        <v/>
      </c>
      <c r="O346" s="16" t="str">
        <f t="shared" si="39"/>
        <v/>
      </c>
      <c r="P346" s="16" t="str">
        <f t="shared" si="39"/>
        <v/>
      </c>
      <c r="Q346" s="16" t="str">
        <f t="shared" si="39"/>
        <v/>
      </c>
      <c r="R346" s="5" t="str">
        <f t="shared" si="34"/>
        <v/>
      </c>
      <c r="S346" s="5" t="str">
        <f t="shared" si="37"/>
        <v/>
      </c>
      <c r="T346" s="5" t="str">
        <f t="shared" si="41"/>
        <v/>
      </c>
      <c r="U346" s="5" t="str">
        <f t="shared" si="41"/>
        <v/>
      </c>
    </row>
    <row r="347" spans="7:21" x14ac:dyDescent="0.2">
      <c r="G347" s="8"/>
      <c r="H347" s="5"/>
      <c r="I347" s="9"/>
      <c r="J347" s="10" t="str">
        <f t="shared" si="35"/>
        <v/>
      </c>
      <c r="K347" s="10" t="str">
        <f t="shared" si="36"/>
        <v/>
      </c>
      <c r="L347" s="11" t="str">
        <f t="shared" si="38"/>
        <v/>
      </c>
      <c r="M347" s="9" t="str">
        <f>IF(G347&lt;&gt;"",J347/MAX(J$3:J347)-1,"")</f>
        <v/>
      </c>
      <c r="N347" s="9" t="str">
        <f>IF(G347&lt;&gt;"",K347/MAX(K$3:K347)-1,"")</f>
        <v/>
      </c>
      <c r="O347" s="16" t="str">
        <f t="shared" si="39"/>
        <v/>
      </c>
      <c r="P347" s="16" t="str">
        <f t="shared" si="39"/>
        <v/>
      </c>
      <c r="Q347" s="16" t="str">
        <f t="shared" si="39"/>
        <v/>
      </c>
      <c r="R347" s="5" t="str">
        <f t="shared" si="34"/>
        <v/>
      </c>
      <c r="S347" s="5" t="str">
        <f t="shared" si="37"/>
        <v/>
      </c>
      <c r="T347" s="5" t="str">
        <f t="shared" si="41"/>
        <v/>
      </c>
      <c r="U347" s="5" t="str">
        <f t="shared" si="41"/>
        <v/>
      </c>
    </row>
    <row r="348" spans="7:21" x14ac:dyDescent="0.2">
      <c r="G348" s="8"/>
      <c r="H348" s="5"/>
      <c r="I348" s="9"/>
      <c r="J348" s="10" t="str">
        <f t="shared" si="35"/>
        <v/>
      </c>
      <c r="K348" s="10" t="str">
        <f t="shared" si="36"/>
        <v/>
      </c>
      <c r="L348" s="11" t="str">
        <f t="shared" si="38"/>
        <v/>
      </c>
      <c r="M348" s="9" t="str">
        <f>IF(G348&lt;&gt;"",J348/MAX(J$3:J348)-1,"")</f>
        <v/>
      </c>
      <c r="N348" s="9" t="str">
        <f>IF(G348&lt;&gt;"",K348/MAX(K$3:K348)-1,"")</f>
        <v/>
      </c>
      <c r="O348" s="16" t="str">
        <f t="shared" si="39"/>
        <v/>
      </c>
      <c r="P348" s="16" t="str">
        <f t="shared" si="39"/>
        <v/>
      </c>
      <c r="Q348" s="16" t="str">
        <f t="shared" si="39"/>
        <v/>
      </c>
      <c r="R348" s="5" t="str">
        <f t="shared" si="34"/>
        <v/>
      </c>
      <c r="S348" s="5" t="str">
        <f t="shared" si="37"/>
        <v/>
      </c>
      <c r="T348" s="5" t="str">
        <f t="shared" si="41"/>
        <v/>
      </c>
      <c r="U348" s="5" t="str">
        <f t="shared" si="41"/>
        <v/>
      </c>
    </row>
    <row r="349" spans="7:21" x14ac:dyDescent="0.2">
      <c r="G349" s="8"/>
      <c r="H349" s="5"/>
      <c r="I349" s="9"/>
      <c r="J349" s="10" t="str">
        <f t="shared" si="35"/>
        <v/>
      </c>
      <c r="K349" s="10" t="str">
        <f t="shared" si="36"/>
        <v/>
      </c>
      <c r="L349" s="11" t="str">
        <f t="shared" si="38"/>
        <v/>
      </c>
      <c r="M349" s="9" t="str">
        <f>IF(G349&lt;&gt;"",J349/MAX(J$3:J349)-1,"")</f>
        <v/>
      </c>
      <c r="N349" s="9" t="str">
        <f>IF(G349&lt;&gt;"",K349/MAX(K$3:K349)-1,"")</f>
        <v/>
      </c>
      <c r="O349" s="16" t="str">
        <f t="shared" si="39"/>
        <v/>
      </c>
      <c r="P349" s="16" t="str">
        <f t="shared" si="39"/>
        <v/>
      </c>
      <c r="Q349" s="16" t="str">
        <f t="shared" si="39"/>
        <v/>
      </c>
      <c r="R349" s="5" t="str">
        <f t="shared" si="34"/>
        <v/>
      </c>
      <c r="S349" s="5" t="str">
        <f t="shared" si="37"/>
        <v/>
      </c>
      <c r="T349" s="5" t="str">
        <f t="shared" si="41"/>
        <v/>
      </c>
      <c r="U349" s="5" t="str">
        <f t="shared" si="41"/>
        <v/>
      </c>
    </row>
    <row r="350" spans="7:21" x14ac:dyDescent="0.2">
      <c r="G350" s="8"/>
      <c r="H350" s="5"/>
      <c r="I350" s="9"/>
      <c r="J350" s="10" t="str">
        <f t="shared" si="35"/>
        <v/>
      </c>
      <c r="K350" s="10" t="str">
        <f t="shared" si="36"/>
        <v/>
      </c>
      <c r="L350" s="11" t="str">
        <f t="shared" si="38"/>
        <v/>
      </c>
      <c r="M350" s="9" t="str">
        <f>IF(G350&lt;&gt;"",J350/MAX(J$3:J350)-1,"")</f>
        <v/>
      </c>
      <c r="N350" s="9" t="str">
        <f>IF(G350&lt;&gt;"",K350/MAX(K$3:K350)-1,"")</f>
        <v/>
      </c>
      <c r="O350" s="16" t="str">
        <f t="shared" si="39"/>
        <v/>
      </c>
      <c r="P350" s="16" t="str">
        <f t="shared" si="39"/>
        <v/>
      </c>
      <c r="Q350" s="16" t="str">
        <f t="shared" si="39"/>
        <v/>
      </c>
      <c r="R350" s="5" t="str">
        <f t="shared" si="34"/>
        <v/>
      </c>
      <c r="S350" s="5" t="str">
        <f t="shared" si="37"/>
        <v/>
      </c>
      <c r="T350" s="5" t="str">
        <f t="shared" si="41"/>
        <v/>
      </c>
      <c r="U350" s="5" t="str">
        <f t="shared" si="41"/>
        <v/>
      </c>
    </row>
    <row r="351" spans="7:21" x14ac:dyDescent="0.2">
      <c r="G351" s="8"/>
      <c r="H351" s="5"/>
      <c r="I351" s="9"/>
      <c r="J351" s="10" t="str">
        <f t="shared" si="35"/>
        <v/>
      </c>
      <c r="K351" s="10" t="str">
        <f t="shared" si="36"/>
        <v/>
      </c>
      <c r="L351" s="11" t="str">
        <f t="shared" si="38"/>
        <v/>
      </c>
      <c r="M351" s="9" t="str">
        <f>IF(G351&lt;&gt;"",J351/MAX(J$3:J351)-1,"")</f>
        <v/>
      </c>
      <c r="N351" s="9" t="str">
        <f>IF(G351&lt;&gt;"",K351/MAX(K$3:K351)-1,"")</f>
        <v/>
      </c>
      <c r="O351" s="16" t="str">
        <f t="shared" si="39"/>
        <v/>
      </c>
      <c r="P351" s="16" t="str">
        <f t="shared" si="39"/>
        <v/>
      </c>
      <c r="Q351" s="16" t="str">
        <f t="shared" si="39"/>
        <v/>
      </c>
      <c r="R351" s="5" t="str">
        <f t="shared" si="34"/>
        <v/>
      </c>
      <c r="S351" s="5" t="str">
        <f t="shared" si="37"/>
        <v/>
      </c>
      <c r="T351" s="5" t="str">
        <f t="shared" si="41"/>
        <v/>
      </c>
      <c r="U351" s="5" t="str">
        <f t="shared" si="41"/>
        <v/>
      </c>
    </row>
    <row r="352" spans="7:21" x14ac:dyDescent="0.2">
      <c r="G352" s="8"/>
      <c r="H352" s="5"/>
      <c r="I352" s="9"/>
      <c r="J352" s="10" t="str">
        <f t="shared" si="35"/>
        <v/>
      </c>
      <c r="K352" s="10" t="str">
        <f t="shared" si="36"/>
        <v/>
      </c>
      <c r="L352" s="11" t="str">
        <f t="shared" si="38"/>
        <v/>
      </c>
      <c r="M352" s="9" t="str">
        <f>IF(G352&lt;&gt;"",J352/MAX(J$3:J352)-1,"")</f>
        <v/>
      </c>
      <c r="N352" s="9" t="str">
        <f>IF(G352&lt;&gt;"",K352/MAX(K$3:K352)-1,"")</f>
        <v/>
      </c>
      <c r="O352" s="16" t="str">
        <f t="shared" si="39"/>
        <v/>
      </c>
      <c r="P352" s="16" t="str">
        <f t="shared" si="39"/>
        <v/>
      </c>
      <c r="Q352" s="16" t="str">
        <f t="shared" si="39"/>
        <v/>
      </c>
      <c r="R352" s="5" t="str">
        <f t="shared" si="34"/>
        <v/>
      </c>
      <c r="S352" s="5" t="str">
        <f t="shared" si="37"/>
        <v/>
      </c>
      <c r="T352" s="5" t="str">
        <f t="shared" si="41"/>
        <v/>
      </c>
      <c r="U352" s="5" t="str">
        <f t="shared" si="41"/>
        <v/>
      </c>
    </row>
    <row r="353" spans="7:21" x14ac:dyDescent="0.2">
      <c r="G353" s="8"/>
      <c r="H353" s="5"/>
      <c r="I353" s="9"/>
      <c r="J353" s="10" t="str">
        <f t="shared" si="35"/>
        <v/>
      </c>
      <c r="K353" s="10" t="str">
        <f t="shared" si="36"/>
        <v/>
      </c>
      <c r="L353" s="11" t="str">
        <f t="shared" si="38"/>
        <v/>
      </c>
      <c r="M353" s="9" t="str">
        <f>IF(G353&lt;&gt;"",J353/MAX(J$3:J353)-1,"")</f>
        <v/>
      </c>
      <c r="N353" s="9" t="str">
        <f>IF(G353&lt;&gt;"",K353/MAX(K$3:K353)-1,"")</f>
        <v/>
      </c>
      <c r="O353" s="16" t="str">
        <f t="shared" si="39"/>
        <v/>
      </c>
      <c r="P353" s="16" t="str">
        <f t="shared" si="39"/>
        <v/>
      </c>
      <c r="Q353" s="16" t="str">
        <f t="shared" si="39"/>
        <v/>
      </c>
      <c r="R353" s="5" t="str">
        <f t="shared" si="34"/>
        <v/>
      </c>
      <c r="S353" s="5" t="str">
        <f t="shared" si="37"/>
        <v/>
      </c>
      <c r="T353" s="5" t="str">
        <f t="shared" si="41"/>
        <v/>
      </c>
      <c r="U353" s="5" t="str">
        <f t="shared" si="41"/>
        <v/>
      </c>
    </row>
    <row r="354" spans="7:21" x14ac:dyDescent="0.2">
      <c r="G354" s="8"/>
      <c r="H354" s="5"/>
      <c r="I354" s="9"/>
      <c r="J354" s="10" t="str">
        <f t="shared" si="35"/>
        <v/>
      </c>
      <c r="K354" s="10" t="str">
        <f t="shared" si="36"/>
        <v/>
      </c>
      <c r="L354" s="11" t="str">
        <f t="shared" si="38"/>
        <v/>
      </c>
      <c r="M354" s="9" t="str">
        <f>IF(G354&lt;&gt;"",J354/MAX(J$3:J354)-1,"")</f>
        <v/>
      </c>
      <c r="N354" s="9" t="str">
        <f>IF(G354&lt;&gt;"",K354/MAX(K$3:K354)-1,"")</f>
        <v/>
      </c>
      <c r="O354" s="16" t="str">
        <f t="shared" si="39"/>
        <v/>
      </c>
      <c r="P354" s="16" t="str">
        <f t="shared" si="39"/>
        <v/>
      </c>
      <c r="Q354" s="16" t="str">
        <f t="shared" si="39"/>
        <v/>
      </c>
      <c r="R354" s="5" t="str">
        <f t="shared" si="34"/>
        <v/>
      </c>
      <c r="S354" s="5" t="str">
        <f t="shared" si="37"/>
        <v/>
      </c>
      <c r="T354" s="5" t="str">
        <f t="shared" si="41"/>
        <v/>
      </c>
      <c r="U354" s="5" t="str">
        <f t="shared" si="41"/>
        <v/>
      </c>
    </row>
    <row r="355" spans="7:21" x14ac:dyDescent="0.2">
      <c r="G355" s="8"/>
      <c r="H355" s="5"/>
      <c r="I355" s="9"/>
      <c r="J355" s="10" t="str">
        <f t="shared" si="35"/>
        <v/>
      </c>
      <c r="K355" s="10" t="str">
        <f t="shared" si="36"/>
        <v/>
      </c>
      <c r="L355" s="11" t="str">
        <f t="shared" si="38"/>
        <v/>
      </c>
      <c r="M355" s="9" t="str">
        <f>IF(G355&lt;&gt;"",J355/MAX(J$3:J355)-1,"")</f>
        <v/>
      </c>
      <c r="N355" s="9" t="str">
        <f>IF(G355&lt;&gt;"",K355/MAX(K$3:K355)-1,"")</f>
        <v/>
      </c>
      <c r="O355" s="16" t="str">
        <f t="shared" si="39"/>
        <v/>
      </c>
      <c r="P355" s="16" t="str">
        <f t="shared" si="39"/>
        <v/>
      </c>
      <c r="Q355" s="16" t="str">
        <f t="shared" si="39"/>
        <v/>
      </c>
      <c r="R355" s="5" t="str">
        <f t="shared" si="34"/>
        <v/>
      </c>
      <c r="S355" s="5" t="str">
        <f t="shared" si="37"/>
        <v/>
      </c>
      <c r="T355" s="5" t="str">
        <f t="shared" si="41"/>
        <v/>
      </c>
      <c r="U355" s="5" t="str">
        <f t="shared" si="41"/>
        <v/>
      </c>
    </row>
    <row r="356" spans="7:21" x14ac:dyDescent="0.2">
      <c r="G356" s="8"/>
      <c r="H356" s="5"/>
      <c r="I356" s="9"/>
      <c r="J356" s="10" t="str">
        <f t="shared" si="35"/>
        <v/>
      </c>
      <c r="K356" s="10" t="str">
        <f t="shared" si="36"/>
        <v/>
      </c>
      <c r="L356" s="11" t="str">
        <f t="shared" si="38"/>
        <v/>
      </c>
      <c r="M356" s="9" t="str">
        <f>IF(G356&lt;&gt;"",J356/MAX(J$3:J356)-1,"")</f>
        <v/>
      </c>
      <c r="N356" s="9" t="str">
        <f>IF(G356&lt;&gt;"",K356/MAX(K$3:K356)-1,"")</f>
        <v/>
      </c>
      <c r="O356" s="16" t="str">
        <f t="shared" si="39"/>
        <v/>
      </c>
      <c r="P356" s="16" t="str">
        <f t="shared" si="39"/>
        <v/>
      </c>
      <c r="Q356" s="16" t="str">
        <f t="shared" si="39"/>
        <v/>
      </c>
      <c r="R356" s="5" t="str">
        <f t="shared" si="34"/>
        <v/>
      </c>
      <c r="S356" s="5" t="str">
        <f t="shared" si="37"/>
        <v/>
      </c>
      <c r="T356" s="5" t="str">
        <f t="shared" si="41"/>
        <v/>
      </c>
      <c r="U356" s="5" t="str">
        <f t="shared" si="41"/>
        <v/>
      </c>
    </row>
    <row r="357" spans="7:21" x14ac:dyDescent="0.2">
      <c r="G357" s="8"/>
      <c r="H357" s="5"/>
      <c r="I357" s="9"/>
      <c r="J357" s="10" t="str">
        <f t="shared" si="35"/>
        <v/>
      </c>
      <c r="K357" s="10" t="str">
        <f t="shared" si="36"/>
        <v/>
      </c>
      <c r="L357" s="11" t="str">
        <f t="shared" si="38"/>
        <v/>
      </c>
      <c r="M357" s="9" t="str">
        <f>IF(G357&lt;&gt;"",J357/MAX(J$3:J357)-1,"")</f>
        <v/>
      </c>
      <c r="N357" s="9" t="str">
        <f>IF(G357&lt;&gt;"",K357/MAX(K$3:K357)-1,"")</f>
        <v/>
      </c>
      <c r="O357" s="16" t="str">
        <f t="shared" si="39"/>
        <v/>
      </c>
      <c r="P357" s="16" t="str">
        <f t="shared" si="39"/>
        <v/>
      </c>
      <c r="Q357" s="16" t="str">
        <f t="shared" si="39"/>
        <v/>
      </c>
      <c r="R357" s="5" t="str">
        <f t="shared" si="34"/>
        <v/>
      </c>
      <c r="S357" s="5" t="str">
        <f t="shared" si="37"/>
        <v/>
      </c>
      <c r="T357" s="5" t="str">
        <f t="shared" si="41"/>
        <v/>
      </c>
      <c r="U357" s="5" t="str">
        <f t="shared" si="41"/>
        <v/>
      </c>
    </row>
    <row r="358" spans="7:21" x14ac:dyDescent="0.2">
      <c r="G358" s="8"/>
      <c r="H358" s="5"/>
      <c r="I358" s="9"/>
      <c r="J358" s="10" t="str">
        <f t="shared" si="35"/>
        <v/>
      </c>
      <c r="K358" s="10" t="str">
        <f t="shared" si="36"/>
        <v/>
      </c>
      <c r="L358" s="11" t="str">
        <f t="shared" si="38"/>
        <v/>
      </c>
      <c r="M358" s="9" t="str">
        <f>IF(G358&lt;&gt;"",J358/MAX(J$3:J358)-1,"")</f>
        <v/>
      </c>
      <c r="N358" s="9" t="str">
        <f>IF(G358&lt;&gt;"",K358/MAX(K$3:K358)-1,"")</f>
        <v/>
      </c>
      <c r="O358" s="16" t="str">
        <f t="shared" si="39"/>
        <v/>
      </c>
      <c r="P358" s="16" t="str">
        <f t="shared" si="39"/>
        <v/>
      </c>
      <c r="Q358" s="16" t="str">
        <f t="shared" si="39"/>
        <v/>
      </c>
      <c r="R358" s="5" t="str">
        <f t="shared" si="34"/>
        <v/>
      </c>
      <c r="S358" s="5" t="str">
        <f t="shared" si="37"/>
        <v/>
      </c>
      <c r="T358" s="5" t="str">
        <f t="shared" si="41"/>
        <v/>
      </c>
      <c r="U358" s="5" t="str">
        <f t="shared" si="41"/>
        <v/>
      </c>
    </row>
    <row r="359" spans="7:21" x14ac:dyDescent="0.2">
      <c r="G359" s="8"/>
      <c r="H359" s="5"/>
      <c r="I359" s="9"/>
      <c r="J359" s="10" t="str">
        <f t="shared" si="35"/>
        <v/>
      </c>
      <c r="K359" s="10" t="str">
        <f t="shared" si="36"/>
        <v/>
      </c>
      <c r="L359" s="11" t="str">
        <f t="shared" si="38"/>
        <v/>
      </c>
      <c r="M359" s="9" t="str">
        <f>IF(G359&lt;&gt;"",J359/MAX(J$3:J359)-1,"")</f>
        <v/>
      </c>
      <c r="N359" s="9" t="str">
        <f>IF(G359&lt;&gt;"",K359/MAX(K$3:K359)-1,"")</f>
        <v/>
      </c>
      <c r="O359" s="16" t="str">
        <f t="shared" si="39"/>
        <v/>
      </c>
      <c r="P359" s="16" t="str">
        <f t="shared" si="39"/>
        <v/>
      </c>
      <c r="Q359" s="16" t="str">
        <f t="shared" si="39"/>
        <v/>
      </c>
      <c r="R359" s="5" t="str">
        <f t="shared" si="34"/>
        <v/>
      </c>
      <c r="S359" s="5" t="str">
        <f t="shared" si="37"/>
        <v/>
      </c>
      <c r="T359" s="5" t="str">
        <f t="shared" si="41"/>
        <v/>
      </c>
      <c r="U359" s="5" t="str">
        <f t="shared" si="41"/>
        <v/>
      </c>
    </row>
    <row r="360" spans="7:21" x14ac:dyDescent="0.2">
      <c r="G360" s="8"/>
      <c r="H360" s="5"/>
      <c r="I360" s="9"/>
      <c r="J360" s="10" t="str">
        <f t="shared" si="35"/>
        <v/>
      </c>
      <c r="K360" s="10" t="str">
        <f t="shared" si="36"/>
        <v/>
      </c>
      <c r="L360" s="11" t="str">
        <f t="shared" si="38"/>
        <v/>
      </c>
      <c r="M360" s="9" t="str">
        <f>IF(G360&lt;&gt;"",J360/MAX(J$3:J360)-1,"")</f>
        <v/>
      </c>
      <c r="N360" s="9" t="str">
        <f>IF(G360&lt;&gt;"",K360/MAX(K$3:K360)-1,"")</f>
        <v/>
      </c>
      <c r="O360" s="16" t="str">
        <f t="shared" si="39"/>
        <v/>
      </c>
      <c r="P360" s="16" t="str">
        <f t="shared" si="39"/>
        <v/>
      </c>
      <c r="Q360" s="16" t="str">
        <f t="shared" si="39"/>
        <v/>
      </c>
      <c r="R360" s="5" t="str">
        <f t="shared" si="34"/>
        <v/>
      </c>
      <c r="S360" s="5" t="str">
        <f t="shared" si="37"/>
        <v/>
      </c>
      <c r="T360" s="5" t="str">
        <f t="shared" ref="T360:U375" si="42">IF($G360&lt;&gt;"",_xlfn.STDEV.S(O116:O360),"")</f>
        <v/>
      </c>
      <c r="U360" s="5" t="str">
        <f t="shared" si="42"/>
        <v/>
      </c>
    </row>
    <row r="361" spans="7:21" x14ac:dyDescent="0.2">
      <c r="G361" s="8"/>
      <c r="H361" s="5"/>
      <c r="I361" s="9"/>
      <c r="J361" s="10" t="str">
        <f t="shared" si="35"/>
        <v/>
      </c>
      <c r="K361" s="10" t="str">
        <f t="shared" si="36"/>
        <v/>
      </c>
      <c r="L361" s="11" t="str">
        <f t="shared" si="38"/>
        <v/>
      </c>
      <c r="M361" s="9" t="str">
        <f>IF(G361&lt;&gt;"",J361/MAX(J$3:J361)-1,"")</f>
        <v/>
      </c>
      <c r="N361" s="9" t="str">
        <f>IF(G361&lt;&gt;"",K361/MAX(K$3:K361)-1,"")</f>
        <v/>
      </c>
      <c r="O361" s="16" t="str">
        <f t="shared" si="39"/>
        <v/>
      </c>
      <c r="P361" s="16" t="str">
        <f t="shared" si="39"/>
        <v/>
      </c>
      <c r="Q361" s="16" t="str">
        <f t="shared" si="39"/>
        <v/>
      </c>
      <c r="R361" s="5" t="str">
        <f t="shared" si="34"/>
        <v/>
      </c>
      <c r="S361" s="5" t="str">
        <f t="shared" si="37"/>
        <v/>
      </c>
      <c r="T361" s="5" t="str">
        <f t="shared" si="42"/>
        <v/>
      </c>
      <c r="U361" s="5" t="str">
        <f t="shared" si="42"/>
        <v/>
      </c>
    </row>
    <row r="362" spans="7:21" x14ac:dyDescent="0.2">
      <c r="G362" s="8"/>
      <c r="H362" s="5"/>
      <c r="I362" s="9"/>
      <c r="J362" s="10" t="str">
        <f t="shared" si="35"/>
        <v/>
      </c>
      <c r="K362" s="10" t="str">
        <f t="shared" si="36"/>
        <v/>
      </c>
      <c r="L362" s="11" t="str">
        <f t="shared" si="38"/>
        <v/>
      </c>
      <c r="M362" s="9" t="str">
        <f>IF(G362&lt;&gt;"",J362/MAX(J$3:J362)-1,"")</f>
        <v/>
      </c>
      <c r="N362" s="9" t="str">
        <f>IF(G362&lt;&gt;"",K362/MAX(K$3:K362)-1,"")</f>
        <v/>
      </c>
      <c r="O362" s="16" t="str">
        <f t="shared" si="39"/>
        <v/>
      </c>
      <c r="P362" s="16" t="str">
        <f t="shared" si="39"/>
        <v/>
      </c>
      <c r="Q362" s="16" t="str">
        <f t="shared" si="39"/>
        <v/>
      </c>
      <c r="R362" s="5" t="str">
        <f t="shared" si="34"/>
        <v/>
      </c>
      <c r="S362" s="5" t="str">
        <f t="shared" si="37"/>
        <v/>
      </c>
      <c r="T362" s="5" t="str">
        <f t="shared" si="42"/>
        <v/>
      </c>
      <c r="U362" s="5" t="str">
        <f t="shared" si="42"/>
        <v/>
      </c>
    </row>
    <row r="363" spans="7:21" x14ac:dyDescent="0.2">
      <c r="G363" s="8"/>
      <c r="H363" s="5"/>
      <c r="I363" s="9"/>
      <c r="J363" s="10" t="str">
        <f t="shared" si="35"/>
        <v/>
      </c>
      <c r="K363" s="10" t="str">
        <f t="shared" si="36"/>
        <v/>
      </c>
      <c r="L363" s="11" t="str">
        <f t="shared" si="38"/>
        <v/>
      </c>
      <c r="M363" s="9" t="str">
        <f>IF(G363&lt;&gt;"",J363/MAX(J$3:J363)-1,"")</f>
        <v/>
      </c>
      <c r="N363" s="9" t="str">
        <f>IF(G363&lt;&gt;"",K363/MAX(K$3:K363)-1,"")</f>
        <v/>
      </c>
      <c r="O363" s="16" t="str">
        <f t="shared" si="39"/>
        <v/>
      </c>
      <c r="P363" s="16" t="str">
        <f t="shared" si="39"/>
        <v/>
      </c>
      <c r="Q363" s="16" t="str">
        <f t="shared" si="39"/>
        <v/>
      </c>
      <c r="R363" s="5" t="str">
        <f t="shared" si="34"/>
        <v/>
      </c>
      <c r="S363" s="5" t="str">
        <f t="shared" si="37"/>
        <v/>
      </c>
      <c r="T363" s="5" t="str">
        <f t="shared" si="42"/>
        <v/>
      </c>
      <c r="U363" s="5" t="str">
        <f t="shared" si="42"/>
        <v/>
      </c>
    </row>
    <row r="364" spans="7:21" x14ac:dyDescent="0.2">
      <c r="G364" s="8"/>
      <c r="H364" s="5"/>
      <c r="I364" s="9"/>
      <c r="J364" s="10" t="str">
        <f t="shared" si="35"/>
        <v/>
      </c>
      <c r="K364" s="10" t="str">
        <f t="shared" si="36"/>
        <v/>
      </c>
      <c r="L364" s="11" t="str">
        <f t="shared" si="38"/>
        <v/>
      </c>
      <c r="M364" s="9" t="str">
        <f>IF(G364&lt;&gt;"",J364/MAX(J$3:J364)-1,"")</f>
        <v/>
      </c>
      <c r="N364" s="9" t="str">
        <f>IF(G364&lt;&gt;"",K364/MAX(K$3:K364)-1,"")</f>
        <v/>
      </c>
      <c r="O364" s="16" t="str">
        <f t="shared" si="39"/>
        <v/>
      </c>
      <c r="P364" s="16" t="str">
        <f t="shared" si="39"/>
        <v/>
      </c>
      <c r="Q364" s="16" t="str">
        <f t="shared" si="39"/>
        <v/>
      </c>
      <c r="R364" s="5" t="str">
        <f t="shared" si="34"/>
        <v/>
      </c>
      <c r="S364" s="5" t="str">
        <f t="shared" si="37"/>
        <v/>
      </c>
      <c r="T364" s="5" t="str">
        <f t="shared" si="42"/>
        <v/>
      </c>
      <c r="U364" s="5" t="str">
        <f t="shared" si="42"/>
        <v/>
      </c>
    </row>
    <row r="365" spans="7:21" x14ac:dyDescent="0.2">
      <c r="G365" s="8"/>
      <c r="H365" s="5"/>
      <c r="I365" s="9"/>
      <c r="J365" s="10" t="str">
        <f t="shared" si="35"/>
        <v/>
      </c>
      <c r="K365" s="10" t="str">
        <f t="shared" si="36"/>
        <v/>
      </c>
      <c r="L365" s="11" t="str">
        <f t="shared" si="38"/>
        <v/>
      </c>
      <c r="M365" s="9" t="str">
        <f>IF(G365&lt;&gt;"",J365/MAX(J$3:J365)-1,"")</f>
        <v/>
      </c>
      <c r="N365" s="9" t="str">
        <f>IF(G365&lt;&gt;"",K365/MAX(K$3:K365)-1,"")</f>
        <v/>
      </c>
      <c r="O365" s="16" t="str">
        <f t="shared" si="39"/>
        <v/>
      </c>
      <c r="P365" s="16" t="str">
        <f t="shared" si="39"/>
        <v/>
      </c>
      <c r="Q365" s="16" t="str">
        <f t="shared" si="39"/>
        <v/>
      </c>
      <c r="R365" s="5" t="str">
        <f t="shared" si="34"/>
        <v/>
      </c>
      <c r="S365" s="5" t="str">
        <f t="shared" si="37"/>
        <v/>
      </c>
      <c r="T365" s="5" t="str">
        <f t="shared" si="42"/>
        <v/>
      </c>
      <c r="U365" s="5" t="str">
        <f t="shared" si="42"/>
        <v/>
      </c>
    </row>
    <row r="366" spans="7:21" x14ac:dyDescent="0.2">
      <c r="G366" s="8"/>
      <c r="H366" s="5"/>
      <c r="I366" s="9"/>
      <c r="J366" s="10" t="str">
        <f t="shared" si="35"/>
        <v/>
      </c>
      <c r="K366" s="10" t="str">
        <f t="shared" si="36"/>
        <v/>
      </c>
      <c r="L366" s="11" t="str">
        <f t="shared" si="38"/>
        <v/>
      </c>
      <c r="M366" s="9" t="str">
        <f>IF(G366&lt;&gt;"",J366/MAX(J$3:J366)-1,"")</f>
        <v/>
      </c>
      <c r="N366" s="9" t="str">
        <f>IF(G366&lt;&gt;"",K366/MAX(K$3:K366)-1,"")</f>
        <v/>
      </c>
      <c r="O366" s="16" t="str">
        <f t="shared" si="39"/>
        <v/>
      </c>
      <c r="P366" s="16" t="str">
        <f t="shared" si="39"/>
        <v/>
      </c>
      <c r="Q366" s="16" t="str">
        <f t="shared" si="39"/>
        <v/>
      </c>
      <c r="R366" s="5" t="str">
        <f t="shared" si="34"/>
        <v/>
      </c>
      <c r="S366" s="5" t="str">
        <f t="shared" si="37"/>
        <v/>
      </c>
      <c r="T366" s="5" t="str">
        <f t="shared" si="42"/>
        <v/>
      </c>
      <c r="U366" s="5" t="str">
        <f t="shared" si="42"/>
        <v/>
      </c>
    </row>
    <row r="367" spans="7:21" x14ac:dyDescent="0.2">
      <c r="G367" s="8"/>
      <c r="H367" s="5"/>
      <c r="I367" s="9"/>
      <c r="J367" s="10" t="str">
        <f t="shared" si="35"/>
        <v/>
      </c>
      <c r="K367" s="10" t="str">
        <f t="shared" si="36"/>
        <v/>
      </c>
      <c r="L367" s="11" t="str">
        <f t="shared" si="38"/>
        <v/>
      </c>
      <c r="M367" s="9" t="str">
        <f>IF(G367&lt;&gt;"",J367/MAX(J$3:J367)-1,"")</f>
        <v/>
      </c>
      <c r="N367" s="9" t="str">
        <f>IF(G367&lt;&gt;"",K367/MAX(K$3:K367)-1,"")</f>
        <v/>
      </c>
      <c r="O367" s="16" t="str">
        <f t="shared" si="39"/>
        <v/>
      </c>
      <c r="P367" s="16" t="str">
        <f t="shared" si="39"/>
        <v/>
      </c>
      <c r="Q367" s="16" t="str">
        <f t="shared" si="39"/>
        <v/>
      </c>
      <c r="R367" s="5" t="str">
        <f t="shared" si="34"/>
        <v/>
      </c>
      <c r="S367" s="5" t="str">
        <f t="shared" si="37"/>
        <v/>
      </c>
      <c r="T367" s="5" t="str">
        <f t="shared" si="42"/>
        <v/>
      </c>
      <c r="U367" s="5" t="str">
        <f t="shared" si="42"/>
        <v/>
      </c>
    </row>
    <row r="368" spans="7:21" x14ac:dyDescent="0.2">
      <c r="G368" s="8"/>
      <c r="H368" s="5"/>
      <c r="I368" s="9"/>
      <c r="J368" s="10" t="str">
        <f t="shared" si="35"/>
        <v/>
      </c>
      <c r="K368" s="10" t="str">
        <f t="shared" si="36"/>
        <v/>
      </c>
      <c r="L368" s="11" t="str">
        <f t="shared" si="38"/>
        <v/>
      </c>
      <c r="M368" s="9" t="str">
        <f>IF(G368&lt;&gt;"",J368/MAX(J$3:J368)-1,"")</f>
        <v/>
      </c>
      <c r="N368" s="9" t="str">
        <f>IF(G368&lt;&gt;"",K368/MAX(K$3:K368)-1,"")</f>
        <v/>
      </c>
      <c r="O368" s="16" t="str">
        <f t="shared" si="39"/>
        <v/>
      </c>
      <c r="P368" s="16" t="str">
        <f t="shared" si="39"/>
        <v/>
      </c>
      <c r="Q368" s="16" t="str">
        <f t="shared" si="39"/>
        <v/>
      </c>
      <c r="R368" s="5" t="str">
        <f t="shared" si="34"/>
        <v/>
      </c>
      <c r="S368" s="5" t="str">
        <f t="shared" si="37"/>
        <v/>
      </c>
      <c r="T368" s="5" t="str">
        <f t="shared" si="42"/>
        <v/>
      </c>
      <c r="U368" s="5" t="str">
        <f t="shared" si="42"/>
        <v/>
      </c>
    </row>
    <row r="369" spans="7:21" x14ac:dyDescent="0.2">
      <c r="G369" s="8"/>
      <c r="H369" s="5"/>
      <c r="I369" s="9"/>
      <c r="J369" s="10" t="str">
        <f t="shared" si="35"/>
        <v/>
      </c>
      <c r="K369" s="10" t="str">
        <f t="shared" si="36"/>
        <v/>
      </c>
      <c r="L369" s="11" t="str">
        <f t="shared" si="38"/>
        <v/>
      </c>
      <c r="M369" s="9" t="str">
        <f>IF(G369&lt;&gt;"",J369/MAX(J$3:J369)-1,"")</f>
        <v/>
      </c>
      <c r="N369" s="9" t="str">
        <f>IF(G369&lt;&gt;"",K369/MAX(K$3:K369)-1,"")</f>
        <v/>
      </c>
      <c r="O369" s="16" t="str">
        <f t="shared" si="39"/>
        <v/>
      </c>
      <c r="P369" s="16" t="str">
        <f t="shared" si="39"/>
        <v/>
      </c>
      <c r="Q369" s="16" t="str">
        <f t="shared" si="39"/>
        <v/>
      </c>
      <c r="R369" s="5" t="str">
        <f t="shared" si="34"/>
        <v/>
      </c>
      <c r="S369" s="5" t="str">
        <f t="shared" si="37"/>
        <v/>
      </c>
      <c r="T369" s="5" t="str">
        <f t="shared" si="42"/>
        <v/>
      </c>
      <c r="U369" s="5" t="str">
        <f t="shared" si="42"/>
        <v/>
      </c>
    </row>
    <row r="370" spans="7:21" x14ac:dyDescent="0.2">
      <c r="G370" s="8"/>
      <c r="H370" s="5"/>
      <c r="I370" s="9"/>
      <c r="J370" s="10" t="str">
        <f t="shared" si="35"/>
        <v/>
      </c>
      <c r="K370" s="10" t="str">
        <f t="shared" si="36"/>
        <v/>
      </c>
      <c r="L370" s="11" t="str">
        <f t="shared" si="38"/>
        <v/>
      </c>
      <c r="M370" s="9" t="str">
        <f>IF(G370&lt;&gt;"",J370/MAX(J$3:J370)-1,"")</f>
        <v/>
      </c>
      <c r="N370" s="9" t="str">
        <f>IF(G370&lt;&gt;"",K370/MAX(K$3:K370)-1,"")</f>
        <v/>
      </c>
      <c r="O370" s="16" t="str">
        <f t="shared" si="39"/>
        <v/>
      </c>
      <c r="P370" s="16" t="str">
        <f t="shared" si="39"/>
        <v/>
      </c>
      <c r="Q370" s="16" t="str">
        <f t="shared" si="39"/>
        <v/>
      </c>
      <c r="R370" s="5" t="str">
        <f t="shared" si="34"/>
        <v/>
      </c>
      <c r="S370" s="5" t="str">
        <f t="shared" si="37"/>
        <v/>
      </c>
      <c r="T370" s="5" t="str">
        <f t="shared" si="42"/>
        <v/>
      </c>
      <c r="U370" s="5" t="str">
        <f t="shared" si="42"/>
        <v/>
      </c>
    </row>
    <row r="371" spans="7:21" x14ac:dyDescent="0.2">
      <c r="G371" s="8"/>
      <c r="H371" s="5"/>
      <c r="I371" s="9"/>
      <c r="J371" s="10" t="str">
        <f t="shared" si="35"/>
        <v/>
      </c>
      <c r="K371" s="10" t="str">
        <f t="shared" si="36"/>
        <v/>
      </c>
      <c r="L371" s="11" t="str">
        <f t="shared" si="38"/>
        <v/>
      </c>
      <c r="M371" s="9" t="str">
        <f>IF(G371&lt;&gt;"",J371/MAX(J$3:J371)-1,"")</f>
        <v/>
      </c>
      <c r="N371" s="9" t="str">
        <f>IF(G371&lt;&gt;"",K371/MAX(K$3:K371)-1,"")</f>
        <v/>
      </c>
      <c r="O371" s="16" t="str">
        <f t="shared" si="39"/>
        <v/>
      </c>
      <c r="P371" s="16" t="str">
        <f t="shared" si="39"/>
        <v/>
      </c>
      <c r="Q371" s="16" t="str">
        <f t="shared" si="39"/>
        <v/>
      </c>
      <c r="R371" s="5" t="str">
        <f t="shared" si="34"/>
        <v/>
      </c>
      <c r="S371" s="5" t="str">
        <f t="shared" si="37"/>
        <v/>
      </c>
      <c r="T371" s="5" t="str">
        <f t="shared" si="42"/>
        <v/>
      </c>
      <c r="U371" s="5" t="str">
        <f t="shared" si="42"/>
        <v/>
      </c>
    </row>
    <row r="372" spans="7:21" x14ac:dyDescent="0.2">
      <c r="G372" s="8"/>
      <c r="H372" s="5"/>
      <c r="I372" s="9"/>
      <c r="J372" s="10" t="str">
        <f t="shared" si="35"/>
        <v/>
      </c>
      <c r="K372" s="10" t="str">
        <f t="shared" si="36"/>
        <v/>
      </c>
      <c r="L372" s="11" t="str">
        <f t="shared" si="38"/>
        <v/>
      </c>
      <c r="M372" s="9" t="str">
        <f>IF(G372&lt;&gt;"",J372/MAX(J$3:J372)-1,"")</f>
        <v/>
      </c>
      <c r="N372" s="9" t="str">
        <f>IF(G372&lt;&gt;"",K372/MAX(K$3:K372)-1,"")</f>
        <v/>
      </c>
      <c r="O372" s="16" t="str">
        <f t="shared" si="39"/>
        <v/>
      </c>
      <c r="P372" s="16" t="str">
        <f t="shared" si="39"/>
        <v/>
      </c>
      <c r="Q372" s="16" t="str">
        <f t="shared" si="39"/>
        <v/>
      </c>
      <c r="R372" s="5" t="str">
        <f t="shared" si="34"/>
        <v/>
      </c>
      <c r="S372" s="5" t="str">
        <f t="shared" si="37"/>
        <v/>
      </c>
      <c r="T372" s="5" t="str">
        <f t="shared" si="42"/>
        <v/>
      </c>
      <c r="U372" s="5" t="str">
        <f t="shared" si="42"/>
        <v/>
      </c>
    </row>
    <row r="373" spans="7:21" x14ac:dyDescent="0.2">
      <c r="G373" s="8"/>
      <c r="H373" s="5"/>
      <c r="I373" s="9"/>
      <c r="J373" s="10" t="str">
        <f t="shared" si="35"/>
        <v/>
      </c>
      <c r="K373" s="10" t="str">
        <f t="shared" si="36"/>
        <v/>
      </c>
      <c r="L373" s="11" t="str">
        <f t="shared" si="38"/>
        <v/>
      </c>
      <c r="M373" s="9" t="str">
        <f>IF(G373&lt;&gt;"",J373/MAX(J$3:J373)-1,"")</f>
        <v/>
      </c>
      <c r="N373" s="9" t="str">
        <f>IF(G373&lt;&gt;"",K373/MAX(K$3:K373)-1,"")</f>
        <v/>
      </c>
      <c r="O373" s="16" t="str">
        <f t="shared" si="39"/>
        <v/>
      </c>
      <c r="P373" s="16" t="str">
        <f t="shared" si="39"/>
        <v/>
      </c>
      <c r="Q373" s="16" t="str">
        <f t="shared" si="39"/>
        <v/>
      </c>
      <c r="R373" s="5" t="str">
        <f t="shared" si="34"/>
        <v/>
      </c>
      <c r="S373" s="5" t="str">
        <f t="shared" si="37"/>
        <v/>
      </c>
      <c r="T373" s="5" t="str">
        <f t="shared" si="42"/>
        <v/>
      </c>
      <c r="U373" s="5" t="str">
        <f t="shared" si="42"/>
        <v/>
      </c>
    </row>
    <row r="374" spans="7:21" x14ac:dyDescent="0.2">
      <c r="G374" s="8"/>
      <c r="H374" s="5"/>
      <c r="I374" s="9"/>
      <c r="J374" s="10" t="str">
        <f t="shared" si="35"/>
        <v/>
      </c>
      <c r="K374" s="10" t="str">
        <f t="shared" si="36"/>
        <v/>
      </c>
      <c r="L374" s="11" t="str">
        <f t="shared" si="38"/>
        <v/>
      </c>
      <c r="M374" s="9" t="str">
        <f>IF(G374&lt;&gt;"",J374/MAX(J$3:J374)-1,"")</f>
        <v/>
      </c>
      <c r="N374" s="9" t="str">
        <f>IF(G374&lt;&gt;"",K374/MAX(K$3:K374)-1,"")</f>
        <v/>
      </c>
      <c r="O374" s="16" t="str">
        <f t="shared" si="39"/>
        <v/>
      </c>
      <c r="P374" s="16" t="str">
        <f t="shared" si="39"/>
        <v/>
      </c>
      <c r="Q374" s="16" t="str">
        <f t="shared" si="39"/>
        <v/>
      </c>
      <c r="R374" s="5" t="str">
        <f t="shared" si="34"/>
        <v/>
      </c>
      <c r="S374" s="5" t="str">
        <f t="shared" si="37"/>
        <v/>
      </c>
      <c r="T374" s="5" t="str">
        <f t="shared" si="42"/>
        <v/>
      </c>
      <c r="U374" s="5" t="str">
        <f t="shared" si="42"/>
        <v/>
      </c>
    </row>
    <row r="375" spans="7:21" x14ac:dyDescent="0.2">
      <c r="G375" s="8"/>
      <c r="H375" s="5"/>
      <c r="I375" s="9"/>
      <c r="J375" s="10" t="str">
        <f t="shared" si="35"/>
        <v/>
      </c>
      <c r="K375" s="10" t="str">
        <f t="shared" si="36"/>
        <v/>
      </c>
      <c r="L375" s="11" t="str">
        <f t="shared" si="38"/>
        <v/>
      </c>
      <c r="M375" s="9" t="str">
        <f>IF(G375&lt;&gt;"",J375/MAX(J$3:J375)-1,"")</f>
        <v/>
      </c>
      <c r="N375" s="9" t="str">
        <f>IF(G375&lt;&gt;"",K375/MAX(K$3:K375)-1,"")</f>
        <v/>
      </c>
      <c r="O375" s="16" t="str">
        <f t="shared" si="39"/>
        <v/>
      </c>
      <c r="P375" s="16" t="str">
        <f t="shared" si="39"/>
        <v/>
      </c>
      <c r="Q375" s="16" t="str">
        <f t="shared" si="39"/>
        <v/>
      </c>
      <c r="R375" s="5" t="str">
        <f t="shared" si="34"/>
        <v/>
      </c>
      <c r="S375" s="5" t="str">
        <f t="shared" si="37"/>
        <v/>
      </c>
      <c r="T375" s="5" t="str">
        <f t="shared" si="42"/>
        <v/>
      </c>
      <c r="U375" s="5" t="str">
        <f t="shared" si="42"/>
        <v/>
      </c>
    </row>
    <row r="376" spans="7:21" x14ac:dyDescent="0.2">
      <c r="G376" s="8"/>
      <c r="H376" s="5"/>
      <c r="I376" s="9"/>
      <c r="J376" s="10" t="str">
        <f t="shared" si="35"/>
        <v/>
      </c>
      <c r="K376" s="10" t="str">
        <f t="shared" si="36"/>
        <v/>
      </c>
      <c r="L376" s="11" t="str">
        <f t="shared" si="38"/>
        <v/>
      </c>
      <c r="M376" s="9" t="str">
        <f>IF(G376&lt;&gt;"",J376/MAX(J$3:J376)-1,"")</f>
        <v/>
      </c>
      <c r="N376" s="9" t="str">
        <f>IF(G376&lt;&gt;"",K376/MAX(K$3:K376)-1,"")</f>
        <v/>
      </c>
      <c r="O376" s="16" t="str">
        <f t="shared" si="39"/>
        <v/>
      </c>
      <c r="P376" s="16" t="str">
        <f t="shared" si="39"/>
        <v/>
      </c>
      <c r="Q376" s="16" t="str">
        <f t="shared" si="39"/>
        <v/>
      </c>
      <c r="R376" s="5" t="str">
        <f t="shared" si="34"/>
        <v/>
      </c>
      <c r="S376" s="5" t="str">
        <f t="shared" si="37"/>
        <v/>
      </c>
      <c r="T376" s="5" t="str">
        <f t="shared" ref="T376:U391" si="43">IF($G376&lt;&gt;"",_xlfn.STDEV.S(O132:O376),"")</f>
        <v/>
      </c>
      <c r="U376" s="5" t="str">
        <f t="shared" si="43"/>
        <v/>
      </c>
    </row>
    <row r="377" spans="7:21" x14ac:dyDescent="0.2">
      <c r="G377" s="8"/>
      <c r="H377" s="5"/>
      <c r="I377" s="9"/>
      <c r="J377" s="10" t="str">
        <f t="shared" si="35"/>
        <v/>
      </c>
      <c r="K377" s="10" t="str">
        <f t="shared" si="36"/>
        <v/>
      </c>
      <c r="L377" s="11" t="str">
        <f t="shared" si="38"/>
        <v/>
      </c>
      <c r="M377" s="9" t="str">
        <f>IF(G377&lt;&gt;"",J377/MAX(J$3:J377)-1,"")</f>
        <v/>
      </c>
      <c r="N377" s="9" t="str">
        <f>IF(G377&lt;&gt;"",K377/MAX(K$3:K377)-1,"")</f>
        <v/>
      </c>
      <c r="O377" s="16" t="str">
        <f t="shared" si="39"/>
        <v/>
      </c>
      <c r="P377" s="16" t="str">
        <f t="shared" si="39"/>
        <v/>
      </c>
      <c r="Q377" s="16" t="str">
        <f t="shared" si="39"/>
        <v/>
      </c>
      <c r="R377" s="5" t="str">
        <f t="shared" si="34"/>
        <v/>
      </c>
      <c r="S377" s="5" t="str">
        <f t="shared" si="37"/>
        <v/>
      </c>
      <c r="T377" s="5" t="str">
        <f t="shared" si="43"/>
        <v/>
      </c>
      <c r="U377" s="5" t="str">
        <f t="shared" si="43"/>
        <v/>
      </c>
    </row>
    <row r="378" spans="7:21" x14ac:dyDescent="0.2">
      <c r="G378" s="8"/>
      <c r="H378" s="5"/>
      <c r="I378" s="9"/>
      <c r="J378" s="10" t="str">
        <f t="shared" si="35"/>
        <v/>
      </c>
      <c r="K378" s="10" t="str">
        <f t="shared" si="36"/>
        <v/>
      </c>
      <c r="L378" s="11" t="str">
        <f t="shared" si="38"/>
        <v/>
      </c>
      <c r="M378" s="9" t="str">
        <f>IF(G378&lt;&gt;"",J378/MAX(J$3:J378)-1,"")</f>
        <v/>
      </c>
      <c r="N378" s="9" t="str">
        <f>IF(G378&lt;&gt;"",K378/MAX(K$3:K378)-1,"")</f>
        <v/>
      </c>
      <c r="O378" s="16" t="str">
        <f t="shared" si="39"/>
        <v/>
      </c>
      <c r="P378" s="16" t="str">
        <f t="shared" si="39"/>
        <v/>
      </c>
      <c r="Q378" s="16" t="str">
        <f t="shared" si="39"/>
        <v/>
      </c>
      <c r="R378" s="5" t="str">
        <f t="shared" si="34"/>
        <v/>
      </c>
      <c r="S378" s="5" t="str">
        <f t="shared" si="37"/>
        <v/>
      </c>
      <c r="T378" s="5" t="str">
        <f t="shared" si="43"/>
        <v/>
      </c>
      <c r="U378" s="5" t="str">
        <f t="shared" si="43"/>
        <v/>
      </c>
    </row>
    <row r="379" spans="7:21" x14ac:dyDescent="0.2">
      <c r="G379" s="8"/>
      <c r="H379" s="5"/>
      <c r="I379" s="9"/>
      <c r="J379" s="10" t="str">
        <f t="shared" si="35"/>
        <v/>
      </c>
      <c r="K379" s="10" t="str">
        <f t="shared" si="36"/>
        <v/>
      </c>
      <c r="L379" s="11" t="str">
        <f t="shared" si="38"/>
        <v/>
      </c>
      <c r="M379" s="9" t="str">
        <f>IF(G379&lt;&gt;"",J379/MAX(J$3:J379)-1,"")</f>
        <v/>
      </c>
      <c r="N379" s="9" t="str">
        <f>IF(G379&lt;&gt;"",K379/MAX(K$3:K379)-1,"")</f>
        <v/>
      </c>
      <c r="O379" s="16" t="str">
        <f t="shared" si="39"/>
        <v/>
      </c>
      <c r="P379" s="16" t="str">
        <f t="shared" si="39"/>
        <v/>
      </c>
      <c r="Q379" s="16" t="str">
        <f t="shared" si="39"/>
        <v/>
      </c>
      <c r="R379" s="5" t="str">
        <f t="shared" si="34"/>
        <v/>
      </c>
      <c r="S379" s="5" t="str">
        <f t="shared" si="37"/>
        <v/>
      </c>
      <c r="T379" s="5" t="str">
        <f t="shared" si="43"/>
        <v/>
      </c>
      <c r="U379" s="5" t="str">
        <f t="shared" si="43"/>
        <v/>
      </c>
    </row>
    <row r="380" spans="7:21" x14ac:dyDescent="0.2">
      <c r="G380" s="8"/>
      <c r="H380" s="5"/>
      <c r="I380" s="9"/>
      <c r="J380" s="10" t="str">
        <f t="shared" si="35"/>
        <v/>
      </c>
      <c r="K380" s="10" t="str">
        <f t="shared" si="36"/>
        <v/>
      </c>
      <c r="L380" s="11" t="str">
        <f t="shared" si="38"/>
        <v/>
      </c>
      <c r="M380" s="9" t="str">
        <f>IF(G380&lt;&gt;"",J380/MAX(J$3:J380)-1,"")</f>
        <v/>
      </c>
      <c r="N380" s="9" t="str">
        <f>IF(G380&lt;&gt;"",K380/MAX(K$3:K380)-1,"")</f>
        <v/>
      </c>
      <c r="O380" s="16" t="str">
        <f t="shared" si="39"/>
        <v/>
      </c>
      <c r="P380" s="16" t="str">
        <f t="shared" si="39"/>
        <v/>
      </c>
      <c r="Q380" s="16" t="str">
        <f t="shared" si="39"/>
        <v/>
      </c>
      <c r="R380" s="5" t="str">
        <f t="shared" si="34"/>
        <v/>
      </c>
      <c r="S380" s="5" t="str">
        <f t="shared" si="37"/>
        <v/>
      </c>
      <c r="T380" s="5" t="str">
        <f t="shared" si="43"/>
        <v/>
      </c>
      <c r="U380" s="5" t="str">
        <f t="shared" si="43"/>
        <v/>
      </c>
    </row>
    <row r="381" spans="7:21" x14ac:dyDescent="0.2">
      <c r="G381" s="8"/>
      <c r="H381" s="5"/>
      <c r="I381" s="9"/>
      <c r="J381" s="10" t="str">
        <f t="shared" si="35"/>
        <v/>
      </c>
      <c r="K381" s="10" t="str">
        <f t="shared" si="36"/>
        <v/>
      </c>
      <c r="L381" s="11" t="str">
        <f t="shared" si="38"/>
        <v/>
      </c>
      <c r="M381" s="9" t="str">
        <f>IF(G381&lt;&gt;"",J381/MAX(J$3:J381)-1,"")</f>
        <v/>
      </c>
      <c r="N381" s="9" t="str">
        <f>IF(G381&lt;&gt;"",K381/MAX(K$3:K381)-1,"")</f>
        <v/>
      </c>
      <c r="O381" s="16" t="str">
        <f t="shared" si="39"/>
        <v/>
      </c>
      <c r="P381" s="16" t="str">
        <f t="shared" si="39"/>
        <v/>
      </c>
      <c r="Q381" s="16" t="str">
        <f t="shared" si="39"/>
        <v/>
      </c>
      <c r="R381" s="5" t="str">
        <f t="shared" ref="R381:R444" si="44">IF(G381&lt;&gt;"",_xlfn.STDEV.S(Q260:Q381)*SQRT($B$5),"")</f>
        <v/>
      </c>
      <c r="S381" s="5" t="str">
        <f t="shared" si="37"/>
        <v/>
      </c>
      <c r="T381" s="5" t="str">
        <f t="shared" si="43"/>
        <v/>
      </c>
      <c r="U381" s="5" t="str">
        <f t="shared" si="43"/>
        <v/>
      </c>
    </row>
    <row r="382" spans="7:21" x14ac:dyDescent="0.2">
      <c r="G382" s="8"/>
      <c r="H382" s="5"/>
      <c r="I382" s="9"/>
      <c r="J382" s="10" t="str">
        <f t="shared" si="35"/>
        <v/>
      </c>
      <c r="K382" s="10" t="str">
        <f t="shared" si="36"/>
        <v/>
      </c>
      <c r="L382" s="11" t="str">
        <f t="shared" si="38"/>
        <v/>
      </c>
      <c r="M382" s="9" t="str">
        <f>IF(G382&lt;&gt;"",J382/MAX(J$3:J382)-1,"")</f>
        <v/>
      </c>
      <c r="N382" s="9" t="str">
        <f>IF(G382&lt;&gt;"",K382/MAX(K$3:K382)-1,"")</f>
        <v/>
      </c>
      <c r="O382" s="16" t="str">
        <f t="shared" si="39"/>
        <v/>
      </c>
      <c r="P382" s="16" t="str">
        <f t="shared" si="39"/>
        <v/>
      </c>
      <c r="Q382" s="16" t="str">
        <f t="shared" si="39"/>
        <v/>
      </c>
      <c r="R382" s="5" t="str">
        <f t="shared" si="44"/>
        <v/>
      </c>
      <c r="S382" s="5" t="str">
        <f t="shared" si="37"/>
        <v/>
      </c>
      <c r="T382" s="5" t="str">
        <f t="shared" si="43"/>
        <v/>
      </c>
      <c r="U382" s="5" t="str">
        <f t="shared" si="43"/>
        <v/>
      </c>
    </row>
    <row r="383" spans="7:21" x14ac:dyDescent="0.2">
      <c r="G383" s="8"/>
      <c r="H383" s="5"/>
      <c r="I383" s="9"/>
      <c r="J383" s="10" t="str">
        <f t="shared" si="35"/>
        <v/>
      </c>
      <c r="K383" s="10" t="str">
        <f t="shared" si="36"/>
        <v/>
      </c>
      <c r="L383" s="11" t="str">
        <f t="shared" si="38"/>
        <v/>
      </c>
      <c r="M383" s="9" t="str">
        <f>IF(G383&lt;&gt;"",J383/MAX(J$3:J383)-1,"")</f>
        <v/>
      </c>
      <c r="N383" s="9" t="str">
        <f>IF(G383&lt;&gt;"",K383/MAX(K$3:K383)-1,"")</f>
        <v/>
      </c>
      <c r="O383" s="16" t="str">
        <f t="shared" si="39"/>
        <v/>
      </c>
      <c r="P383" s="16" t="str">
        <f t="shared" si="39"/>
        <v/>
      </c>
      <c r="Q383" s="16" t="str">
        <f t="shared" si="39"/>
        <v/>
      </c>
      <c r="R383" s="5" t="str">
        <f t="shared" si="44"/>
        <v/>
      </c>
      <c r="S383" s="5" t="str">
        <f t="shared" si="37"/>
        <v/>
      </c>
      <c r="T383" s="5" t="str">
        <f t="shared" si="43"/>
        <v/>
      </c>
      <c r="U383" s="5" t="str">
        <f t="shared" si="43"/>
        <v/>
      </c>
    </row>
    <row r="384" spans="7:21" x14ac:dyDescent="0.2">
      <c r="G384" s="8"/>
      <c r="H384" s="5"/>
      <c r="I384" s="9"/>
      <c r="J384" s="10" t="str">
        <f t="shared" si="35"/>
        <v/>
      </c>
      <c r="K384" s="10" t="str">
        <f t="shared" si="36"/>
        <v/>
      </c>
      <c r="L384" s="11" t="str">
        <f t="shared" si="38"/>
        <v/>
      </c>
      <c r="M384" s="9" t="str">
        <f>IF(G384&lt;&gt;"",J384/MAX(J$3:J384)-1,"")</f>
        <v/>
      </c>
      <c r="N384" s="9" t="str">
        <f>IF(G384&lt;&gt;"",K384/MAX(K$3:K384)-1,"")</f>
        <v/>
      </c>
      <c r="O384" s="16" t="str">
        <f t="shared" si="39"/>
        <v/>
      </c>
      <c r="P384" s="16" t="str">
        <f t="shared" si="39"/>
        <v/>
      </c>
      <c r="Q384" s="16" t="str">
        <f t="shared" si="39"/>
        <v/>
      </c>
      <c r="R384" s="5" t="str">
        <f t="shared" si="44"/>
        <v/>
      </c>
      <c r="S384" s="5" t="str">
        <f t="shared" si="37"/>
        <v/>
      </c>
      <c r="T384" s="5" t="str">
        <f t="shared" si="43"/>
        <v/>
      </c>
      <c r="U384" s="5" t="str">
        <f t="shared" si="43"/>
        <v/>
      </c>
    </row>
    <row r="385" spans="7:21" x14ac:dyDescent="0.2">
      <c r="G385" s="8"/>
      <c r="H385" s="5"/>
      <c r="I385" s="9"/>
      <c r="J385" s="10" t="str">
        <f t="shared" si="35"/>
        <v/>
      </c>
      <c r="K385" s="10" t="str">
        <f t="shared" si="36"/>
        <v/>
      </c>
      <c r="L385" s="11" t="str">
        <f t="shared" si="38"/>
        <v/>
      </c>
      <c r="M385" s="9" t="str">
        <f>IF(G385&lt;&gt;"",J385/MAX(J$3:J385)-1,"")</f>
        <v/>
      </c>
      <c r="N385" s="9" t="str">
        <f>IF(G385&lt;&gt;"",K385/MAX(K$3:K385)-1,"")</f>
        <v/>
      </c>
      <c r="O385" s="16" t="str">
        <f t="shared" si="39"/>
        <v/>
      </c>
      <c r="P385" s="16" t="str">
        <f t="shared" si="39"/>
        <v/>
      </c>
      <c r="Q385" s="16" t="str">
        <f t="shared" si="39"/>
        <v/>
      </c>
      <c r="R385" s="5" t="str">
        <f t="shared" si="44"/>
        <v/>
      </c>
      <c r="S385" s="5" t="str">
        <f t="shared" si="37"/>
        <v/>
      </c>
      <c r="T385" s="5" t="str">
        <f t="shared" si="43"/>
        <v/>
      </c>
      <c r="U385" s="5" t="str">
        <f t="shared" si="43"/>
        <v/>
      </c>
    </row>
    <row r="386" spans="7:21" x14ac:dyDescent="0.2">
      <c r="G386" s="8"/>
      <c r="H386" s="5"/>
      <c r="I386" s="9"/>
      <c r="J386" s="10" t="str">
        <f t="shared" si="35"/>
        <v/>
      </c>
      <c r="K386" s="10" t="str">
        <f t="shared" si="36"/>
        <v/>
      </c>
      <c r="L386" s="11" t="str">
        <f t="shared" si="38"/>
        <v/>
      </c>
      <c r="M386" s="9" t="str">
        <f>IF(G386&lt;&gt;"",J386/MAX(J$3:J386)-1,"")</f>
        <v/>
      </c>
      <c r="N386" s="9" t="str">
        <f>IF(G386&lt;&gt;"",K386/MAX(K$3:K386)-1,"")</f>
        <v/>
      </c>
      <c r="O386" s="16" t="str">
        <f t="shared" si="39"/>
        <v/>
      </c>
      <c r="P386" s="16" t="str">
        <f t="shared" si="39"/>
        <v/>
      </c>
      <c r="Q386" s="16" t="str">
        <f t="shared" si="39"/>
        <v/>
      </c>
      <c r="R386" s="5" t="str">
        <f t="shared" si="44"/>
        <v/>
      </c>
      <c r="S386" s="5" t="str">
        <f t="shared" si="37"/>
        <v/>
      </c>
      <c r="T386" s="5" t="str">
        <f t="shared" si="43"/>
        <v/>
      </c>
      <c r="U386" s="5" t="str">
        <f t="shared" si="43"/>
        <v/>
      </c>
    </row>
    <row r="387" spans="7:21" x14ac:dyDescent="0.2">
      <c r="G387" s="8"/>
      <c r="H387" s="5"/>
      <c r="I387" s="9"/>
      <c r="J387" s="10" t="str">
        <f t="shared" si="35"/>
        <v/>
      </c>
      <c r="K387" s="10" t="str">
        <f t="shared" si="36"/>
        <v/>
      </c>
      <c r="L387" s="11" t="str">
        <f t="shared" si="38"/>
        <v/>
      </c>
      <c r="M387" s="9" t="str">
        <f>IF(G387&lt;&gt;"",J387/MAX(J$3:J387)-1,"")</f>
        <v/>
      </c>
      <c r="N387" s="9" t="str">
        <f>IF(G387&lt;&gt;"",K387/MAX(K$3:K387)-1,"")</f>
        <v/>
      </c>
      <c r="O387" s="16" t="str">
        <f t="shared" si="39"/>
        <v/>
      </c>
      <c r="P387" s="16" t="str">
        <f t="shared" si="39"/>
        <v/>
      </c>
      <c r="Q387" s="16" t="str">
        <f t="shared" si="39"/>
        <v/>
      </c>
      <c r="R387" s="5" t="str">
        <f t="shared" si="44"/>
        <v/>
      </c>
      <c r="S387" s="5" t="str">
        <f t="shared" si="37"/>
        <v/>
      </c>
      <c r="T387" s="5" t="str">
        <f t="shared" si="43"/>
        <v/>
      </c>
      <c r="U387" s="5" t="str">
        <f t="shared" si="43"/>
        <v/>
      </c>
    </row>
    <row r="388" spans="7:21" x14ac:dyDescent="0.2">
      <c r="G388" s="8"/>
      <c r="H388" s="5"/>
      <c r="I388" s="9"/>
      <c r="J388" s="10" t="str">
        <f t="shared" ref="J388:J451" si="45">IF(G388&lt;&gt;"",1+H388,"")</f>
        <v/>
      </c>
      <c r="K388" s="10" t="str">
        <f t="shared" ref="K388:K451" si="46">IF(G388&lt;&gt;"",1+I388,"")</f>
        <v/>
      </c>
      <c r="L388" s="11" t="str">
        <f t="shared" si="38"/>
        <v/>
      </c>
      <c r="M388" s="9" t="str">
        <f>IF(G388&lt;&gt;"",J388/MAX(J$3:J388)-1,"")</f>
        <v/>
      </c>
      <c r="N388" s="9" t="str">
        <f>IF(G388&lt;&gt;"",K388/MAX(K$3:K388)-1,"")</f>
        <v/>
      </c>
      <c r="O388" s="16" t="str">
        <f t="shared" si="39"/>
        <v/>
      </c>
      <c r="P388" s="16" t="str">
        <f t="shared" si="39"/>
        <v/>
      </c>
      <c r="Q388" s="16" t="str">
        <f t="shared" si="39"/>
        <v/>
      </c>
      <c r="R388" s="5" t="str">
        <f t="shared" si="44"/>
        <v/>
      </c>
      <c r="S388" s="5" t="str">
        <f t="shared" ref="S388:S451" si="47">IF(R388&lt;&gt;"",B$12,"")</f>
        <v/>
      </c>
      <c r="T388" s="5" t="str">
        <f t="shared" si="43"/>
        <v/>
      </c>
      <c r="U388" s="5" t="str">
        <f t="shared" si="43"/>
        <v/>
      </c>
    </row>
    <row r="389" spans="7:21" x14ac:dyDescent="0.2">
      <c r="G389" s="8"/>
      <c r="H389" s="5"/>
      <c r="I389" s="9"/>
      <c r="J389" s="10" t="str">
        <f t="shared" si="45"/>
        <v/>
      </c>
      <c r="K389" s="10" t="str">
        <f t="shared" si="46"/>
        <v/>
      </c>
      <c r="L389" s="11" t="str">
        <f t="shared" ref="L389:L452" si="48">IF(G389&lt;&gt;"",J389/K389,"")</f>
        <v/>
      </c>
      <c r="M389" s="9" t="str">
        <f>IF(G389&lt;&gt;"",J389/MAX(J$3:J389)-1,"")</f>
        <v/>
      </c>
      <c r="N389" s="9" t="str">
        <f>IF(G389&lt;&gt;"",K389/MAX(K$3:K389)-1,"")</f>
        <v/>
      </c>
      <c r="O389" s="16" t="str">
        <f t="shared" ref="O389:Q452" si="49">IF($G389&lt;&gt;"",J389/J388-1,"")</f>
        <v/>
      </c>
      <c r="P389" s="16" t="str">
        <f t="shared" si="49"/>
        <v/>
      </c>
      <c r="Q389" s="16" t="str">
        <f t="shared" si="49"/>
        <v/>
      </c>
      <c r="R389" s="5" t="str">
        <f t="shared" si="44"/>
        <v/>
      </c>
      <c r="S389" s="5" t="str">
        <f t="shared" si="47"/>
        <v/>
      </c>
      <c r="T389" s="5" t="str">
        <f t="shared" si="43"/>
        <v/>
      </c>
      <c r="U389" s="5" t="str">
        <f t="shared" si="43"/>
        <v/>
      </c>
    </row>
    <row r="390" spans="7:21" x14ac:dyDescent="0.2">
      <c r="G390" s="8"/>
      <c r="H390" s="5"/>
      <c r="I390" s="9"/>
      <c r="J390" s="10" t="str">
        <f t="shared" si="45"/>
        <v/>
      </c>
      <c r="K390" s="10" t="str">
        <f t="shared" si="46"/>
        <v/>
      </c>
      <c r="L390" s="11" t="str">
        <f t="shared" si="48"/>
        <v/>
      </c>
      <c r="M390" s="9" t="str">
        <f>IF(G390&lt;&gt;"",J390/MAX(J$3:J390)-1,"")</f>
        <v/>
      </c>
      <c r="N390" s="9" t="str">
        <f>IF(G390&lt;&gt;"",K390/MAX(K$3:K390)-1,"")</f>
        <v/>
      </c>
      <c r="O390" s="16" t="str">
        <f t="shared" si="49"/>
        <v/>
      </c>
      <c r="P390" s="16" t="str">
        <f t="shared" si="49"/>
        <v/>
      </c>
      <c r="Q390" s="16" t="str">
        <f t="shared" si="49"/>
        <v/>
      </c>
      <c r="R390" s="5" t="str">
        <f t="shared" si="44"/>
        <v/>
      </c>
      <c r="S390" s="5" t="str">
        <f t="shared" si="47"/>
        <v/>
      </c>
      <c r="T390" s="5" t="str">
        <f t="shared" si="43"/>
        <v/>
      </c>
      <c r="U390" s="5" t="str">
        <f t="shared" si="43"/>
        <v/>
      </c>
    </row>
    <row r="391" spans="7:21" x14ac:dyDescent="0.2">
      <c r="G391" s="8"/>
      <c r="H391" s="5"/>
      <c r="I391" s="9"/>
      <c r="J391" s="10" t="str">
        <f t="shared" si="45"/>
        <v/>
      </c>
      <c r="K391" s="10" t="str">
        <f t="shared" si="46"/>
        <v/>
      </c>
      <c r="L391" s="11" t="str">
        <f t="shared" si="48"/>
        <v/>
      </c>
      <c r="M391" s="9" t="str">
        <f>IF(G391&lt;&gt;"",J391/MAX(J$3:J391)-1,"")</f>
        <v/>
      </c>
      <c r="N391" s="9" t="str">
        <f>IF(G391&lt;&gt;"",K391/MAX(K$3:K391)-1,"")</f>
        <v/>
      </c>
      <c r="O391" s="16" t="str">
        <f t="shared" si="49"/>
        <v/>
      </c>
      <c r="P391" s="16" t="str">
        <f t="shared" si="49"/>
        <v/>
      </c>
      <c r="Q391" s="16" t="str">
        <f t="shared" si="49"/>
        <v/>
      </c>
      <c r="R391" s="5" t="str">
        <f t="shared" si="44"/>
        <v/>
      </c>
      <c r="S391" s="5" t="str">
        <f t="shared" si="47"/>
        <v/>
      </c>
      <c r="T391" s="5" t="str">
        <f t="shared" si="43"/>
        <v/>
      </c>
      <c r="U391" s="5" t="str">
        <f t="shared" si="43"/>
        <v/>
      </c>
    </row>
    <row r="392" spans="7:21" x14ac:dyDescent="0.2">
      <c r="G392" s="8"/>
      <c r="H392" s="5"/>
      <c r="I392" s="9"/>
      <c r="J392" s="10" t="str">
        <f t="shared" si="45"/>
        <v/>
      </c>
      <c r="K392" s="10" t="str">
        <f t="shared" si="46"/>
        <v/>
      </c>
      <c r="L392" s="11" t="str">
        <f t="shared" si="48"/>
        <v/>
      </c>
      <c r="M392" s="9" t="str">
        <f>IF(G392&lt;&gt;"",J392/MAX(J$3:J392)-1,"")</f>
        <v/>
      </c>
      <c r="N392" s="9" t="str">
        <f>IF(G392&lt;&gt;"",K392/MAX(K$3:K392)-1,"")</f>
        <v/>
      </c>
      <c r="O392" s="16" t="str">
        <f t="shared" si="49"/>
        <v/>
      </c>
      <c r="P392" s="16" t="str">
        <f t="shared" si="49"/>
        <v/>
      </c>
      <c r="Q392" s="16" t="str">
        <f t="shared" si="49"/>
        <v/>
      </c>
      <c r="R392" s="5" t="str">
        <f t="shared" si="44"/>
        <v/>
      </c>
      <c r="S392" s="5" t="str">
        <f t="shared" si="47"/>
        <v/>
      </c>
      <c r="T392" s="5" t="str">
        <f t="shared" ref="T392:U407" si="50">IF($G392&lt;&gt;"",_xlfn.STDEV.S(O148:O392),"")</f>
        <v/>
      </c>
      <c r="U392" s="5" t="str">
        <f t="shared" si="50"/>
        <v/>
      </c>
    </row>
    <row r="393" spans="7:21" x14ac:dyDescent="0.2">
      <c r="G393" s="8"/>
      <c r="H393" s="5"/>
      <c r="I393" s="9"/>
      <c r="J393" s="10" t="str">
        <f t="shared" si="45"/>
        <v/>
      </c>
      <c r="K393" s="10" t="str">
        <f t="shared" si="46"/>
        <v/>
      </c>
      <c r="L393" s="11" t="str">
        <f t="shared" si="48"/>
        <v/>
      </c>
      <c r="M393" s="9" t="str">
        <f>IF(G393&lt;&gt;"",J393/MAX(J$3:J393)-1,"")</f>
        <v/>
      </c>
      <c r="N393" s="9" t="str">
        <f>IF(G393&lt;&gt;"",K393/MAX(K$3:K393)-1,"")</f>
        <v/>
      </c>
      <c r="O393" s="16" t="str">
        <f t="shared" si="49"/>
        <v/>
      </c>
      <c r="P393" s="16" t="str">
        <f t="shared" si="49"/>
        <v/>
      </c>
      <c r="Q393" s="16" t="str">
        <f t="shared" si="49"/>
        <v/>
      </c>
      <c r="R393" s="5" t="str">
        <f t="shared" si="44"/>
        <v/>
      </c>
      <c r="S393" s="5" t="str">
        <f t="shared" si="47"/>
        <v/>
      </c>
      <c r="T393" s="5" t="str">
        <f t="shared" si="50"/>
        <v/>
      </c>
      <c r="U393" s="5" t="str">
        <f t="shared" si="50"/>
        <v/>
      </c>
    </row>
    <row r="394" spans="7:21" x14ac:dyDescent="0.2">
      <c r="G394" s="8"/>
      <c r="H394" s="5"/>
      <c r="I394" s="9"/>
      <c r="J394" s="10" t="str">
        <f t="shared" si="45"/>
        <v/>
      </c>
      <c r="K394" s="10" t="str">
        <f t="shared" si="46"/>
        <v/>
      </c>
      <c r="L394" s="11" t="str">
        <f t="shared" si="48"/>
        <v/>
      </c>
      <c r="M394" s="9" t="str">
        <f>IF(G394&lt;&gt;"",J394/MAX(J$3:J394)-1,"")</f>
        <v/>
      </c>
      <c r="N394" s="9" t="str">
        <f>IF(G394&lt;&gt;"",K394/MAX(K$3:K394)-1,"")</f>
        <v/>
      </c>
      <c r="O394" s="16" t="str">
        <f t="shared" si="49"/>
        <v/>
      </c>
      <c r="P394" s="16" t="str">
        <f t="shared" si="49"/>
        <v/>
      </c>
      <c r="Q394" s="16" t="str">
        <f t="shared" si="49"/>
        <v/>
      </c>
      <c r="R394" s="5" t="str">
        <f t="shared" si="44"/>
        <v/>
      </c>
      <c r="S394" s="5" t="str">
        <f t="shared" si="47"/>
        <v/>
      </c>
      <c r="T394" s="5" t="str">
        <f t="shared" si="50"/>
        <v/>
      </c>
      <c r="U394" s="5" t="str">
        <f t="shared" si="50"/>
        <v/>
      </c>
    </row>
    <row r="395" spans="7:21" x14ac:dyDescent="0.2">
      <c r="G395" s="8"/>
      <c r="H395" s="5"/>
      <c r="I395" s="9"/>
      <c r="J395" s="10" t="str">
        <f t="shared" si="45"/>
        <v/>
      </c>
      <c r="K395" s="10" t="str">
        <f t="shared" si="46"/>
        <v/>
      </c>
      <c r="L395" s="11" t="str">
        <f t="shared" si="48"/>
        <v/>
      </c>
      <c r="M395" s="9" t="str">
        <f>IF(G395&lt;&gt;"",J395/MAX(J$3:J395)-1,"")</f>
        <v/>
      </c>
      <c r="N395" s="9" t="str">
        <f>IF(G395&lt;&gt;"",K395/MAX(K$3:K395)-1,"")</f>
        <v/>
      </c>
      <c r="O395" s="16" t="str">
        <f t="shared" si="49"/>
        <v/>
      </c>
      <c r="P395" s="16" t="str">
        <f t="shared" si="49"/>
        <v/>
      </c>
      <c r="Q395" s="16" t="str">
        <f t="shared" si="49"/>
        <v/>
      </c>
      <c r="R395" s="5" t="str">
        <f t="shared" si="44"/>
        <v/>
      </c>
      <c r="S395" s="5" t="str">
        <f t="shared" si="47"/>
        <v/>
      </c>
      <c r="T395" s="5" t="str">
        <f t="shared" si="50"/>
        <v/>
      </c>
      <c r="U395" s="5" t="str">
        <f t="shared" si="50"/>
        <v/>
      </c>
    </row>
    <row r="396" spans="7:21" x14ac:dyDescent="0.2">
      <c r="G396" s="8"/>
      <c r="H396" s="5"/>
      <c r="I396" s="9"/>
      <c r="J396" s="10" t="str">
        <f t="shared" si="45"/>
        <v/>
      </c>
      <c r="K396" s="10" t="str">
        <f t="shared" si="46"/>
        <v/>
      </c>
      <c r="L396" s="11" t="str">
        <f t="shared" si="48"/>
        <v/>
      </c>
      <c r="M396" s="9" t="str">
        <f>IF(G396&lt;&gt;"",J396/MAX(J$3:J396)-1,"")</f>
        <v/>
      </c>
      <c r="N396" s="9" t="str">
        <f>IF(G396&lt;&gt;"",K396/MAX(K$3:K396)-1,"")</f>
        <v/>
      </c>
      <c r="O396" s="16" t="str">
        <f t="shared" si="49"/>
        <v/>
      </c>
      <c r="P396" s="16" t="str">
        <f t="shared" si="49"/>
        <v/>
      </c>
      <c r="Q396" s="16" t="str">
        <f t="shared" si="49"/>
        <v/>
      </c>
      <c r="R396" s="5" t="str">
        <f t="shared" si="44"/>
        <v/>
      </c>
      <c r="S396" s="5" t="str">
        <f t="shared" si="47"/>
        <v/>
      </c>
      <c r="T396" s="5" t="str">
        <f t="shared" si="50"/>
        <v/>
      </c>
      <c r="U396" s="5" t="str">
        <f t="shared" si="50"/>
        <v/>
      </c>
    </row>
    <row r="397" spans="7:21" x14ac:dyDescent="0.2">
      <c r="G397" s="8"/>
      <c r="H397" s="5"/>
      <c r="I397" s="9"/>
      <c r="J397" s="10" t="str">
        <f t="shared" si="45"/>
        <v/>
      </c>
      <c r="K397" s="10" t="str">
        <f t="shared" si="46"/>
        <v/>
      </c>
      <c r="L397" s="11" t="str">
        <f t="shared" si="48"/>
        <v/>
      </c>
      <c r="M397" s="9" t="str">
        <f>IF(G397&lt;&gt;"",J397/MAX(J$3:J397)-1,"")</f>
        <v/>
      </c>
      <c r="N397" s="9" t="str">
        <f>IF(G397&lt;&gt;"",K397/MAX(K$3:K397)-1,"")</f>
        <v/>
      </c>
      <c r="O397" s="16" t="str">
        <f t="shared" si="49"/>
        <v/>
      </c>
      <c r="P397" s="16" t="str">
        <f t="shared" si="49"/>
        <v/>
      </c>
      <c r="Q397" s="16" t="str">
        <f t="shared" si="49"/>
        <v/>
      </c>
      <c r="R397" s="5" t="str">
        <f t="shared" si="44"/>
        <v/>
      </c>
      <c r="S397" s="5" t="str">
        <f t="shared" si="47"/>
        <v/>
      </c>
      <c r="T397" s="5" t="str">
        <f t="shared" si="50"/>
        <v/>
      </c>
      <c r="U397" s="5" t="str">
        <f t="shared" si="50"/>
        <v/>
      </c>
    </row>
    <row r="398" spans="7:21" x14ac:dyDescent="0.2">
      <c r="G398" s="8"/>
      <c r="H398" s="5"/>
      <c r="I398" s="9"/>
      <c r="J398" s="10" t="str">
        <f t="shared" si="45"/>
        <v/>
      </c>
      <c r="K398" s="10" t="str">
        <f t="shared" si="46"/>
        <v/>
      </c>
      <c r="L398" s="11" t="str">
        <f t="shared" si="48"/>
        <v/>
      </c>
      <c r="M398" s="9" t="str">
        <f>IF(G398&lt;&gt;"",J398/MAX(J$3:J398)-1,"")</f>
        <v/>
      </c>
      <c r="N398" s="9" t="str">
        <f>IF(G398&lt;&gt;"",K398/MAX(K$3:K398)-1,"")</f>
        <v/>
      </c>
      <c r="O398" s="16" t="str">
        <f t="shared" si="49"/>
        <v/>
      </c>
      <c r="P398" s="16" t="str">
        <f t="shared" si="49"/>
        <v/>
      </c>
      <c r="Q398" s="16" t="str">
        <f t="shared" si="49"/>
        <v/>
      </c>
      <c r="R398" s="5" t="str">
        <f t="shared" si="44"/>
        <v/>
      </c>
      <c r="S398" s="5" t="str">
        <f t="shared" si="47"/>
        <v/>
      </c>
      <c r="T398" s="5" t="str">
        <f t="shared" si="50"/>
        <v/>
      </c>
      <c r="U398" s="5" t="str">
        <f t="shared" si="50"/>
        <v/>
      </c>
    </row>
    <row r="399" spans="7:21" x14ac:dyDescent="0.2">
      <c r="G399" s="8"/>
      <c r="H399" s="5"/>
      <c r="I399" s="9"/>
      <c r="J399" s="10" t="str">
        <f t="shared" si="45"/>
        <v/>
      </c>
      <c r="K399" s="10" t="str">
        <f t="shared" si="46"/>
        <v/>
      </c>
      <c r="L399" s="11" t="str">
        <f t="shared" si="48"/>
        <v/>
      </c>
      <c r="M399" s="9" t="str">
        <f>IF(G399&lt;&gt;"",J399/MAX(J$3:J399)-1,"")</f>
        <v/>
      </c>
      <c r="N399" s="9" t="str">
        <f>IF(G399&lt;&gt;"",K399/MAX(K$3:K399)-1,"")</f>
        <v/>
      </c>
      <c r="O399" s="16" t="str">
        <f t="shared" si="49"/>
        <v/>
      </c>
      <c r="P399" s="16" t="str">
        <f t="shared" si="49"/>
        <v/>
      </c>
      <c r="Q399" s="16" t="str">
        <f t="shared" si="49"/>
        <v/>
      </c>
      <c r="R399" s="5" t="str">
        <f t="shared" si="44"/>
        <v/>
      </c>
      <c r="S399" s="5" t="str">
        <f t="shared" si="47"/>
        <v/>
      </c>
      <c r="T399" s="5" t="str">
        <f t="shared" si="50"/>
        <v/>
      </c>
      <c r="U399" s="5" t="str">
        <f t="shared" si="50"/>
        <v/>
      </c>
    </row>
    <row r="400" spans="7:21" x14ac:dyDescent="0.2">
      <c r="G400" s="8"/>
      <c r="H400" s="5"/>
      <c r="I400" s="9"/>
      <c r="J400" s="10" t="str">
        <f t="shared" si="45"/>
        <v/>
      </c>
      <c r="K400" s="10" t="str">
        <f t="shared" si="46"/>
        <v/>
      </c>
      <c r="L400" s="11" t="str">
        <f t="shared" si="48"/>
        <v/>
      </c>
      <c r="M400" s="9" t="str">
        <f>IF(G400&lt;&gt;"",J400/MAX(J$3:J400)-1,"")</f>
        <v/>
      </c>
      <c r="N400" s="9" t="str">
        <f>IF(G400&lt;&gt;"",K400/MAX(K$3:K400)-1,"")</f>
        <v/>
      </c>
      <c r="O400" s="16" t="str">
        <f t="shared" si="49"/>
        <v/>
      </c>
      <c r="P400" s="16" t="str">
        <f t="shared" si="49"/>
        <v/>
      </c>
      <c r="Q400" s="16" t="str">
        <f t="shared" si="49"/>
        <v/>
      </c>
      <c r="R400" s="5" t="str">
        <f t="shared" si="44"/>
        <v/>
      </c>
      <c r="S400" s="5" t="str">
        <f t="shared" si="47"/>
        <v/>
      </c>
      <c r="T400" s="5" t="str">
        <f t="shared" si="50"/>
        <v/>
      </c>
      <c r="U400" s="5" t="str">
        <f t="shared" si="50"/>
        <v/>
      </c>
    </row>
    <row r="401" spans="7:21" x14ac:dyDescent="0.2">
      <c r="G401" s="8"/>
      <c r="H401" s="5"/>
      <c r="I401" s="9"/>
      <c r="J401" s="10" t="str">
        <f t="shared" si="45"/>
        <v/>
      </c>
      <c r="K401" s="10" t="str">
        <f t="shared" si="46"/>
        <v/>
      </c>
      <c r="L401" s="11" t="str">
        <f t="shared" si="48"/>
        <v/>
      </c>
      <c r="M401" s="9" t="str">
        <f>IF(G401&lt;&gt;"",J401/MAX(J$3:J401)-1,"")</f>
        <v/>
      </c>
      <c r="N401" s="9" t="str">
        <f>IF(G401&lt;&gt;"",K401/MAX(K$3:K401)-1,"")</f>
        <v/>
      </c>
      <c r="O401" s="16" t="str">
        <f t="shared" si="49"/>
        <v/>
      </c>
      <c r="P401" s="16" t="str">
        <f t="shared" si="49"/>
        <v/>
      </c>
      <c r="Q401" s="16" t="str">
        <f t="shared" si="49"/>
        <v/>
      </c>
      <c r="R401" s="5" t="str">
        <f t="shared" si="44"/>
        <v/>
      </c>
      <c r="S401" s="5" t="str">
        <f t="shared" si="47"/>
        <v/>
      </c>
      <c r="T401" s="5" t="str">
        <f t="shared" si="50"/>
        <v/>
      </c>
      <c r="U401" s="5" t="str">
        <f t="shared" si="50"/>
        <v/>
      </c>
    </row>
    <row r="402" spans="7:21" x14ac:dyDescent="0.2">
      <c r="G402" s="8"/>
      <c r="H402" s="5"/>
      <c r="I402" s="9"/>
      <c r="J402" s="10" t="str">
        <f t="shared" si="45"/>
        <v/>
      </c>
      <c r="K402" s="10" t="str">
        <f t="shared" si="46"/>
        <v/>
      </c>
      <c r="L402" s="11" t="str">
        <f t="shared" si="48"/>
        <v/>
      </c>
      <c r="M402" s="9" t="str">
        <f>IF(G402&lt;&gt;"",J402/MAX(J$3:J402)-1,"")</f>
        <v/>
      </c>
      <c r="N402" s="9" t="str">
        <f>IF(G402&lt;&gt;"",K402/MAX(K$3:K402)-1,"")</f>
        <v/>
      </c>
      <c r="O402" s="16" t="str">
        <f t="shared" si="49"/>
        <v/>
      </c>
      <c r="P402" s="16" t="str">
        <f t="shared" si="49"/>
        <v/>
      </c>
      <c r="Q402" s="16" t="str">
        <f t="shared" si="49"/>
        <v/>
      </c>
      <c r="R402" s="5" t="str">
        <f t="shared" si="44"/>
        <v/>
      </c>
      <c r="S402" s="5" t="str">
        <f t="shared" si="47"/>
        <v/>
      </c>
      <c r="T402" s="5" t="str">
        <f t="shared" si="50"/>
        <v/>
      </c>
      <c r="U402" s="5" t="str">
        <f t="shared" si="50"/>
        <v/>
      </c>
    </row>
    <row r="403" spans="7:21" x14ac:dyDescent="0.2">
      <c r="G403" s="8"/>
      <c r="H403" s="5"/>
      <c r="I403" s="9"/>
      <c r="J403" s="10" t="str">
        <f t="shared" si="45"/>
        <v/>
      </c>
      <c r="K403" s="10" t="str">
        <f t="shared" si="46"/>
        <v/>
      </c>
      <c r="L403" s="11" t="str">
        <f t="shared" si="48"/>
        <v/>
      </c>
      <c r="M403" s="9" t="str">
        <f>IF(G403&lt;&gt;"",J403/MAX(J$3:J403)-1,"")</f>
        <v/>
      </c>
      <c r="N403" s="9" t="str">
        <f>IF(G403&lt;&gt;"",K403/MAX(K$3:K403)-1,"")</f>
        <v/>
      </c>
      <c r="O403" s="16" t="str">
        <f t="shared" si="49"/>
        <v/>
      </c>
      <c r="P403" s="16" t="str">
        <f t="shared" si="49"/>
        <v/>
      </c>
      <c r="Q403" s="16" t="str">
        <f t="shared" si="49"/>
        <v/>
      </c>
      <c r="R403" s="5" t="str">
        <f t="shared" si="44"/>
        <v/>
      </c>
      <c r="S403" s="5" t="str">
        <f t="shared" si="47"/>
        <v/>
      </c>
      <c r="T403" s="5" t="str">
        <f t="shared" si="50"/>
        <v/>
      </c>
      <c r="U403" s="5" t="str">
        <f t="shared" si="50"/>
        <v/>
      </c>
    </row>
    <row r="404" spans="7:21" x14ac:dyDescent="0.2">
      <c r="G404" s="8"/>
      <c r="H404" s="5"/>
      <c r="I404" s="9"/>
      <c r="J404" s="10" t="str">
        <f t="shared" si="45"/>
        <v/>
      </c>
      <c r="K404" s="10" t="str">
        <f t="shared" si="46"/>
        <v/>
      </c>
      <c r="L404" s="11" t="str">
        <f t="shared" si="48"/>
        <v/>
      </c>
      <c r="M404" s="9" t="str">
        <f>IF(G404&lt;&gt;"",J404/MAX(J$3:J404)-1,"")</f>
        <v/>
      </c>
      <c r="N404" s="9" t="str">
        <f>IF(G404&lt;&gt;"",K404/MAX(K$3:K404)-1,"")</f>
        <v/>
      </c>
      <c r="O404" s="16" t="str">
        <f t="shared" si="49"/>
        <v/>
      </c>
      <c r="P404" s="16" t="str">
        <f t="shared" si="49"/>
        <v/>
      </c>
      <c r="Q404" s="16" t="str">
        <f t="shared" si="49"/>
        <v/>
      </c>
      <c r="R404" s="5" t="str">
        <f t="shared" si="44"/>
        <v/>
      </c>
      <c r="S404" s="5" t="str">
        <f t="shared" si="47"/>
        <v/>
      </c>
      <c r="T404" s="5" t="str">
        <f t="shared" si="50"/>
        <v/>
      </c>
      <c r="U404" s="5" t="str">
        <f t="shared" si="50"/>
        <v/>
      </c>
    </row>
    <row r="405" spans="7:21" x14ac:dyDescent="0.2">
      <c r="G405" s="8"/>
      <c r="H405" s="5"/>
      <c r="I405" s="9"/>
      <c r="J405" s="10" t="str">
        <f t="shared" si="45"/>
        <v/>
      </c>
      <c r="K405" s="10" t="str">
        <f t="shared" si="46"/>
        <v/>
      </c>
      <c r="L405" s="11" t="str">
        <f t="shared" si="48"/>
        <v/>
      </c>
      <c r="M405" s="9" t="str">
        <f>IF(G405&lt;&gt;"",J405/MAX(J$3:J405)-1,"")</f>
        <v/>
      </c>
      <c r="N405" s="9" t="str">
        <f>IF(G405&lt;&gt;"",K405/MAX(K$3:K405)-1,"")</f>
        <v/>
      </c>
      <c r="O405" s="16" t="str">
        <f t="shared" si="49"/>
        <v/>
      </c>
      <c r="P405" s="16" t="str">
        <f t="shared" si="49"/>
        <v/>
      </c>
      <c r="Q405" s="16" t="str">
        <f t="shared" si="49"/>
        <v/>
      </c>
      <c r="R405" s="5" t="str">
        <f t="shared" si="44"/>
        <v/>
      </c>
      <c r="S405" s="5" t="str">
        <f t="shared" si="47"/>
        <v/>
      </c>
      <c r="T405" s="5" t="str">
        <f t="shared" si="50"/>
        <v/>
      </c>
      <c r="U405" s="5" t="str">
        <f t="shared" si="50"/>
        <v/>
      </c>
    </row>
    <row r="406" spans="7:21" x14ac:dyDescent="0.2">
      <c r="G406" s="8"/>
      <c r="H406" s="5"/>
      <c r="I406" s="9"/>
      <c r="J406" s="10" t="str">
        <f t="shared" si="45"/>
        <v/>
      </c>
      <c r="K406" s="10" t="str">
        <f t="shared" si="46"/>
        <v/>
      </c>
      <c r="L406" s="11" t="str">
        <f t="shared" si="48"/>
        <v/>
      </c>
      <c r="M406" s="9" t="str">
        <f>IF(G406&lt;&gt;"",J406/MAX(J$3:J406)-1,"")</f>
        <v/>
      </c>
      <c r="N406" s="9" t="str">
        <f>IF(G406&lt;&gt;"",K406/MAX(K$3:K406)-1,"")</f>
        <v/>
      </c>
      <c r="O406" s="16" t="str">
        <f t="shared" si="49"/>
        <v/>
      </c>
      <c r="P406" s="16" t="str">
        <f t="shared" si="49"/>
        <v/>
      </c>
      <c r="Q406" s="16" t="str">
        <f t="shared" si="49"/>
        <v/>
      </c>
      <c r="R406" s="5" t="str">
        <f t="shared" si="44"/>
        <v/>
      </c>
      <c r="S406" s="5" t="str">
        <f t="shared" si="47"/>
        <v/>
      </c>
      <c r="T406" s="5" t="str">
        <f t="shared" si="50"/>
        <v/>
      </c>
      <c r="U406" s="5" t="str">
        <f t="shared" si="50"/>
        <v/>
      </c>
    </row>
    <row r="407" spans="7:21" x14ac:dyDescent="0.2">
      <c r="G407" s="8"/>
      <c r="H407" s="5"/>
      <c r="I407" s="9"/>
      <c r="J407" s="10" t="str">
        <f t="shared" si="45"/>
        <v/>
      </c>
      <c r="K407" s="10" t="str">
        <f t="shared" si="46"/>
        <v/>
      </c>
      <c r="L407" s="11" t="str">
        <f t="shared" si="48"/>
        <v/>
      </c>
      <c r="M407" s="9" t="str">
        <f>IF(G407&lt;&gt;"",J407/MAX(J$3:J407)-1,"")</f>
        <v/>
      </c>
      <c r="N407" s="9" t="str">
        <f>IF(G407&lt;&gt;"",K407/MAX(K$3:K407)-1,"")</f>
        <v/>
      </c>
      <c r="O407" s="16" t="str">
        <f t="shared" si="49"/>
        <v/>
      </c>
      <c r="P407" s="16" t="str">
        <f t="shared" si="49"/>
        <v/>
      </c>
      <c r="Q407" s="16" t="str">
        <f t="shared" si="49"/>
        <v/>
      </c>
      <c r="R407" s="5" t="str">
        <f t="shared" si="44"/>
        <v/>
      </c>
      <c r="S407" s="5" t="str">
        <f t="shared" si="47"/>
        <v/>
      </c>
      <c r="T407" s="5" t="str">
        <f t="shared" si="50"/>
        <v/>
      </c>
      <c r="U407" s="5" t="str">
        <f t="shared" si="50"/>
        <v/>
      </c>
    </row>
    <row r="408" spans="7:21" x14ac:dyDescent="0.2">
      <c r="G408" s="8"/>
      <c r="H408" s="5"/>
      <c r="I408" s="9"/>
      <c r="J408" s="10" t="str">
        <f t="shared" si="45"/>
        <v/>
      </c>
      <c r="K408" s="10" t="str">
        <f t="shared" si="46"/>
        <v/>
      </c>
      <c r="L408" s="11" t="str">
        <f t="shared" si="48"/>
        <v/>
      </c>
      <c r="M408" s="9" t="str">
        <f>IF(G408&lt;&gt;"",J408/MAX(J$3:J408)-1,"")</f>
        <v/>
      </c>
      <c r="N408" s="9" t="str">
        <f>IF(G408&lt;&gt;"",K408/MAX(K$3:K408)-1,"")</f>
        <v/>
      </c>
      <c r="O408" s="16" t="str">
        <f t="shared" si="49"/>
        <v/>
      </c>
      <c r="P408" s="16" t="str">
        <f t="shared" si="49"/>
        <v/>
      </c>
      <c r="Q408" s="16" t="str">
        <f t="shared" si="49"/>
        <v/>
      </c>
      <c r="R408" s="5" t="str">
        <f t="shared" si="44"/>
        <v/>
      </c>
      <c r="S408" s="5" t="str">
        <f t="shared" si="47"/>
        <v/>
      </c>
      <c r="T408" s="5" t="str">
        <f t="shared" ref="T408:U423" si="51">IF($G408&lt;&gt;"",_xlfn.STDEV.S(O164:O408),"")</f>
        <v/>
      </c>
      <c r="U408" s="5" t="str">
        <f t="shared" si="51"/>
        <v/>
      </c>
    </row>
    <row r="409" spans="7:21" x14ac:dyDescent="0.2">
      <c r="G409" s="8"/>
      <c r="H409" s="5"/>
      <c r="I409" s="9"/>
      <c r="J409" s="10" t="str">
        <f t="shared" si="45"/>
        <v/>
      </c>
      <c r="K409" s="10" t="str">
        <f t="shared" si="46"/>
        <v/>
      </c>
      <c r="L409" s="11" t="str">
        <f t="shared" si="48"/>
        <v/>
      </c>
      <c r="M409" s="9" t="str">
        <f>IF(G409&lt;&gt;"",J409/MAX(J$3:J409)-1,"")</f>
        <v/>
      </c>
      <c r="N409" s="9" t="str">
        <f>IF(G409&lt;&gt;"",K409/MAX(K$3:K409)-1,"")</f>
        <v/>
      </c>
      <c r="O409" s="16" t="str">
        <f t="shared" si="49"/>
        <v/>
      </c>
      <c r="P409" s="16" t="str">
        <f t="shared" si="49"/>
        <v/>
      </c>
      <c r="Q409" s="16" t="str">
        <f t="shared" si="49"/>
        <v/>
      </c>
      <c r="R409" s="5" t="str">
        <f t="shared" si="44"/>
        <v/>
      </c>
      <c r="S409" s="5" t="str">
        <f t="shared" si="47"/>
        <v/>
      </c>
      <c r="T409" s="5" t="str">
        <f t="shared" si="51"/>
        <v/>
      </c>
      <c r="U409" s="5" t="str">
        <f t="shared" si="51"/>
        <v/>
      </c>
    </row>
    <row r="410" spans="7:21" x14ac:dyDescent="0.2">
      <c r="G410" s="8"/>
      <c r="H410" s="5"/>
      <c r="I410" s="9"/>
      <c r="J410" s="10" t="str">
        <f t="shared" si="45"/>
        <v/>
      </c>
      <c r="K410" s="10" t="str">
        <f t="shared" si="46"/>
        <v/>
      </c>
      <c r="L410" s="11" t="str">
        <f t="shared" si="48"/>
        <v/>
      </c>
      <c r="M410" s="9" t="str">
        <f>IF(G410&lt;&gt;"",J410/MAX(J$3:J410)-1,"")</f>
        <v/>
      </c>
      <c r="N410" s="9" t="str">
        <f>IF(G410&lt;&gt;"",K410/MAX(K$3:K410)-1,"")</f>
        <v/>
      </c>
      <c r="O410" s="16" t="str">
        <f t="shared" si="49"/>
        <v/>
      </c>
      <c r="P410" s="16" t="str">
        <f t="shared" si="49"/>
        <v/>
      </c>
      <c r="Q410" s="16" t="str">
        <f t="shared" si="49"/>
        <v/>
      </c>
      <c r="R410" s="5" t="str">
        <f t="shared" si="44"/>
        <v/>
      </c>
      <c r="S410" s="5" t="str">
        <f t="shared" si="47"/>
        <v/>
      </c>
      <c r="T410" s="5" t="str">
        <f t="shared" si="51"/>
        <v/>
      </c>
      <c r="U410" s="5" t="str">
        <f t="shared" si="51"/>
        <v/>
      </c>
    </row>
    <row r="411" spans="7:21" x14ac:dyDescent="0.2">
      <c r="G411" s="8"/>
      <c r="H411" s="5"/>
      <c r="I411" s="9"/>
      <c r="J411" s="10" t="str">
        <f t="shared" si="45"/>
        <v/>
      </c>
      <c r="K411" s="10" t="str">
        <f t="shared" si="46"/>
        <v/>
      </c>
      <c r="L411" s="11" t="str">
        <f t="shared" si="48"/>
        <v/>
      </c>
      <c r="M411" s="9" t="str">
        <f>IF(G411&lt;&gt;"",J411/MAX(J$3:J411)-1,"")</f>
        <v/>
      </c>
      <c r="N411" s="9" t="str">
        <f>IF(G411&lt;&gt;"",K411/MAX(K$3:K411)-1,"")</f>
        <v/>
      </c>
      <c r="O411" s="16" t="str">
        <f t="shared" si="49"/>
        <v/>
      </c>
      <c r="P411" s="16" t="str">
        <f t="shared" si="49"/>
        <v/>
      </c>
      <c r="Q411" s="16" t="str">
        <f t="shared" si="49"/>
        <v/>
      </c>
      <c r="R411" s="5" t="str">
        <f t="shared" si="44"/>
        <v/>
      </c>
      <c r="S411" s="5" t="str">
        <f t="shared" si="47"/>
        <v/>
      </c>
      <c r="T411" s="5" t="str">
        <f t="shared" si="51"/>
        <v/>
      </c>
      <c r="U411" s="5" t="str">
        <f t="shared" si="51"/>
        <v/>
      </c>
    </row>
    <row r="412" spans="7:21" x14ac:dyDescent="0.2">
      <c r="G412" s="8"/>
      <c r="H412" s="5"/>
      <c r="I412" s="9"/>
      <c r="J412" s="10" t="str">
        <f t="shared" si="45"/>
        <v/>
      </c>
      <c r="K412" s="10" t="str">
        <f t="shared" si="46"/>
        <v/>
      </c>
      <c r="L412" s="11" t="str">
        <f t="shared" si="48"/>
        <v/>
      </c>
      <c r="M412" s="9" t="str">
        <f>IF(G412&lt;&gt;"",J412/MAX(J$3:J412)-1,"")</f>
        <v/>
      </c>
      <c r="N412" s="9" t="str">
        <f>IF(G412&lt;&gt;"",K412/MAX(K$3:K412)-1,"")</f>
        <v/>
      </c>
      <c r="O412" s="16" t="str">
        <f t="shared" si="49"/>
        <v/>
      </c>
      <c r="P412" s="16" t="str">
        <f t="shared" si="49"/>
        <v/>
      </c>
      <c r="Q412" s="16" t="str">
        <f t="shared" si="49"/>
        <v/>
      </c>
      <c r="R412" s="5" t="str">
        <f t="shared" si="44"/>
        <v/>
      </c>
      <c r="S412" s="5" t="str">
        <f t="shared" si="47"/>
        <v/>
      </c>
      <c r="T412" s="5" t="str">
        <f t="shared" si="51"/>
        <v/>
      </c>
      <c r="U412" s="5" t="str">
        <f t="shared" si="51"/>
        <v/>
      </c>
    </row>
    <row r="413" spans="7:21" x14ac:dyDescent="0.2">
      <c r="G413" s="8"/>
      <c r="H413" s="5"/>
      <c r="I413" s="9"/>
      <c r="J413" s="10" t="str">
        <f t="shared" si="45"/>
        <v/>
      </c>
      <c r="K413" s="10" t="str">
        <f t="shared" si="46"/>
        <v/>
      </c>
      <c r="L413" s="11" t="str">
        <f t="shared" si="48"/>
        <v/>
      </c>
      <c r="M413" s="9" t="str">
        <f>IF(G413&lt;&gt;"",J413/MAX(J$3:J413)-1,"")</f>
        <v/>
      </c>
      <c r="N413" s="9" t="str">
        <f>IF(G413&lt;&gt;"",K413/MAX(K$3:K413)-1,"")</f>
        <v/>
      </c>
      <c r="O413" s="16" t="str">
        <f t="shared" si="49"/>
        <v/>
      </c>
      <c r="P413" s="16" t="str">
        <f t="shared" si="49"/>
        <v/>
      </c>
      <c r="Q413" s="16" t="str">
        <f t="shared" si="49"/>
        <v/>
      </c>
      <c r="R413" s="5" t="str">
        <f t="shared" si="44"/>
        <v/>
      </c>
      <c r="S413" s="5" t="str">
        <f t="shared" si="47"/>
        <v/>
      </c>
      <c r="T413" s="5" t="str">
        <f t="shared" si="51"/>
        <v/>
      </c>
      <c r="U413" s="5" t="str">
        <f t="shared" si="51"/>
        <v/>
      </c>
    </row>
    <row r="414" spans="7:21" x14ac:dyDescent="0.2">
      <c r="G414" s="8"/>
      <c r="H414" s="5"/>
      <c r="I414" s="9"/>
      <c r="J414" s="10" t="str">
        <f t="shared" si="45"/>
        <v/>
      </c>
      <c r="K414" s="10" t="str">
        <f t="shared" si="46"/>
        <v/>
      </c>
      <c r="L414" s="11" t="str">
        <f t="shared" si="48"/>
        <v/>
      </c>
      <c r="M414" s="9" t="str">
        <f>IF(G414&lt;&gt;"",J414/MAX(J$3:J414)-1,"")</f>
        <v/>
      </c>
      <c r="N414" s="9" t="str">
        <f>IF(G414&lt;&gt;"",K414/MAX(K$3:K414)-1,"")</f>
        <v/>
      </c>
      <c r="O414" s="16" t="str">
        <f t="shared" si="49"/>
        <v/>
      </c>
      <c r="P414" s="16" t="str">
        <f t="shared" si="49"/>
        <v/>
      </c>
      <c r="Q414" s="16" t="str">
        <f t="shared" si="49"/>
        <v/>
      </c>
      <c r="R414" s="5" t="str">
        <f t="shared" si="44"/>
        <v/>
      </c>
      <c r="S414" s="5" t="str">
        <f t="shared" si="47"/>
        <v/>
      </c>
      <c r="T414" s="5" t="str">
        <f t="shared" si="51"/>
        <v/>
      </c>
      <c r="U414" s="5" t="str">
        <f t="shared" si="51"/>
        <v/>
      </c>
    </row>
    <row r="415" spans="7:21" x14ac:dyDescent="0.2">
      <c r="G415" s="8"/>
      <c r="H415" s="5"/>
      <c r="I415" s="9"/>
      <c r="J415" s="10" t="str">
        <f t="shared" si="45"/>
        <v/>
      </c>
      <c r="K415" s="10" t="str">
        <f t="shared" si="46"/>
        <v/>
      </c>
      <c r="L415" s="11" t="str">
        <f t="shared" si="48"/>
        <v/>
      </c>
      <c r="M415" s="9" t="str">
        <f>IF(G415&lt;&gt;"",J415/MAX(J$3:J415)-1,"")</f>
        <v/>
      </c>
      <c r="N415" s="9" t="str">
        <f>IF(G415&lt;&gt;"",K415/MAX(K$3:K415)-1,"")</f>
        <v/>
      </c>
      <c r="O415" s="16" t="str">
        <f t="shared" si="49"/>
        <v/>
      </c>
      <c r="P415" s="16" t="str">
        <f t="shared" si="49"/>
        <v/>
      </c>
      <c r="Q415" s="16" t="str">
        <f t="shared" si="49"/>
        <v/>
      </c>
      <c r="R415" s="5" t="str">
        <f t="shared" si="44"/>
        <v/>
      </c>
      <c r="S415" s="5" t="str">
        <f t="shared" si="47"/>
        <v/>
      </c>
      <c r="T415" s="5" t="str">
        <f t="shared" si="51"/>
        <v/>
      </c>
      <c r="U415" s="5" t="str">
        <f t="shared" si="51"/>
        <v/>
      </c>
    </row>
    <row r="416" spans="7:21" x14ac:dyDescent="0.2">
      <c r="G416" s="8"/>
      <c r="H416" s="5"/>
      <c r="I416" s="9"/>
      <c r="J416" s="10" t="str">
        <f t="shared" si="45"/>
        <v/>
      </c>
      <c r="K416" s="10" t="str">
        <f t="shared" si="46"/>
        <v/>
      </c>
      <c r="L416" s="11" t="str">
        <f t="shared" si="48"/>
        <v/>
      </c>
      <c r="M416" s="9" t="str">
        <f>IF(G416&lt;&gt;"",J416/MAX(J$3:J416)-1,"")</f>
        <v/>
      </c>
      <c r="N416" s="9" t="str">
        <f>IF(G416&lt;&gt;"",K416/MAX(K$3:K416)-1,"")</f>
        <v/>
      </c>
      <c r="O416" s="16" t="str">
        <f t="shared" si="49"/>
        <v/>
      </c>
      <c r="P416" s="16" t="str">
        <f t="shared" si="49"/>
        <v/>
      </c>
      <c r="Q416" s="16" t="str">
        <f t="shared" si="49"/>
        <v/>
      </c>
      <c r="R416" s="5" t="str">
        <f t="shared" si="44"/>
        <v/>
      </c>
      <c r="S416" s="5" t="str">
        <f t="shared" si="47"/>
        <v/>
      </c>
      <c r="T416" s="5" t="str">
        <f t="shared" si="51"/>
        <v/>
      </c>
      <c r="U416" s="5" t="str">
        <f t="shared" si="51"/>
        <v/>
      </c>
    </row>
    <row r="417" spans="7:21" x14ac:dyDescent="0.2">
      <c r="G417" s="8"/>
      <c r="H417" s="5"/>
      <c r="I417" s="9"/>
      <c r="J417" s="10" t="str">
        <f t="shared" si="45"/>
        <v/>
      </c>
      <c r="K417" s="10" t="str">
        <f t="shared" si="46"/>
        <v/>
      </c>
      <c r="L417" s="11" t="str">
        <f t="shared" si="48"/>
        <v/>
      </c>
      <c r="M417" s="9" t="str">
        <f>IF(G417&lt;&gt;"",J417/MAX(J$3:J417)-1,"")</f>
        <v/>
      </c>
      <c r="N417" s="9" t="str">
        <f>IF(G417&lt;&gt;"",K417/MAX(K$3:K417)-1,"")</f>
        <v/>
      </c>
      <c r="O417" s="16" t="str">
        <f t="shared" si="49"/>
        <v/>
      </c>
      <c r="P417" s="16" t="str">
        <f t="shared" si="49"/>
        <v/>
      </c>
      <c r="Q417" s="16" t="str">
        <f t="shared" si="49"/>
        <v/>
      </c>
      <c r="R417" s="5" t="str">
        <f t="shared" si="44"/>
        <v/>
      </c>
      <c r="S417" s="5" t="str">
        <f t="shared" si="47"/>
        <v/>
      </c>
      <c r="T417" s="5" t="str">
        <f t="shared" si="51"/>
        <v/>
      </c>
      <c r="U417" s="5" t="str">
        <f t="shared" si="51"/>
        <v/>
      </c>
    </row>
    <row r="418" spans="7:21" x14ac:dyDescent="0.2">
      <c r="G418" s="8"/>
      <c r="H418" s="5"/>
      <c r="I418" s="9"/>
      <c r="J418" s="10" t="str">
        <f t="shared" si="45"/>
        <v/>
      </c>
      <c r="K418" s="10" t="str">
        <f t="shared" si="46"/>
        <v/>
      </c>
      <c r="L418" s="11" t="str">
        <f t="shared" si="48"/>
        <v/>
      </c>
      <c r="M418" s="9" t="str">
        <f>IF(G418&lt;&gt;"",J418/MAX(J$3:J418)-1,"")</f>
        <v/>
      </c>
      <c r="N418" s="9" t="str">
        <f>IF(G418&lt;&gt;"",K418/MAX(K$3:K418)-1,"")</f>
        <v/>
      </c>
      <c r="O418" s="16" t="str">
        <f t="shared" si="49"/>
        <v/>
      </c>
      <c r="P418" s="16" t="str">
        <f t="shared" si="49"/>
        <v/>
      </c>
      <c r="Q418" s="16" t="str">
        <f t="shared" si="49"/>
        <v/>
      </c>
      <c r="R418" s="5" t="str">
        <f t="shared" si="44"/>
        <v/>
      </c>
      <c r="S418" s="5" t="str">
        <f t="shared" si="47"/>
        <v/>
      </c>
      <c r="T418" s="5" t="str">
        <f t="shared" si="51"/>
        <v/>
      </c>
      <c r="U418" s="5" t="str">
        <f t="shared" si="51"/>
        <v/>
      </c>
    </row>
    <row r="419" spans="7:21" x14ac:dyDescent="0.2">
      <c r="G419" s="8"/>
      <c r="H419" s="5"/>
      <c r="I419" s="9"/>
      <c r="J419" s="10" t="str">
        <f t="shared" si="45"/>
        <v/>
      </c>
      <c r="K419" s="10" t="str">
        <f t="shared" si="46"/>
        <v/>
      </c>
      <c r="L419" s="11" t="str">
        <f t="shared" si="48"/>
        <v/>
      </c>
      <c r="M419" s="9" t="str">
        <f>IF(G419&lt;&gt;"",J419/MAX(J$3:J419)-1,"")</f>
        <v/>
      </c>
      <c r="N419" s="9" t="str">
        <f>IF(G419&lt;&gt;"",K419/MAX(K$3:K419)-1,"")</f>
        <v/>
      </c>
      <c r="O419" s="16" t="str">
        <f t="shared" si="49"/>
        <v/>
      </c>
      <c r="P419" s="16" t="str">
        <f t="shared" si="49"/>
        <v/>
      </c>
      <c r="Q419" s="16" t="str">
        <f t="shared" si="49"/>
        <v/>
      </c>
      <c r="R419" s="5" t="str">
        <f t="shared" si="44"/>
        <v/>
      </c>
      <c r="S419" s="5" t="str">
        <f t="shared" si="47"/>
        <v/>
      </c>
      <c r="T419" s="5" t="str">
        <f t="shared" si="51"/>
        <v/>
      </c>
      <c r="U419" s="5" t="str">
        <f t="shared" si="51"/>
        <v/>
      </c>
    </row>
    <row r="420" spans="7:21" x14ac:dyDescent="0.2">
      <c r="G420" s="8"/>
      <c r="H420" s="5"/>
      <c r="I420" s="9"/>
      <c r="J420" s="10" t="str">
        <f t="shared" si="45"/>
        <v/>
      </c>
      <c r="K420" s="10" t="str">
        <f t="shared" si="46"/>
        <v/>
      </c>
      <c r="L420" s="11" t="str">
        <f t="shared" si="48"/>
        <v/>
      </c>
      <c r="M420" s="9" t="str">
        <f>IF(G420&lt;&gt;"",J420/MAX(J$3:J420)-1,"")</f>
        <v/>
      </c>
      <c r="N420" s="9" t="str">
        <f>IF(G420&lt;&gt;"",K420/MAX(K$3:K420)-1,"")</f>
        <v/>
      </c>
      <c r="O420" s="16" t="str">
        <f t="shared" si="49"/>
        <v/>
      </c>
      <c r="P420" s="16" t="str">
        <f t="shared" si="49"/>
        <v/>
      </c>
      <c r="Q420" s="16" t="str">
        <f t="shared" si="49"/>
        <v/>
      </c>
      <c r="R420" s="5" t="str">
        <f t="shared" si="44"/>
        <v/>
      </c>
      <c r="S420" s="5" t="str">
        <f t="shared" si="47"/>
        <v/>
      </c>
      <c r="T420" s="5" t="str">
        <f t="shared" si="51"/>
        <v/>
      </c>
      <c r="U420" s="5" t="str">
        <f t="shared" si="51"/>
        <v/>
      </c>
    </row>
    <row r="421" spans="7:21" x14ac:dyDescent="0.2">
      <c r="G421" s="8"/>
      <c r="H421" s="5"/>
      <c r="I421" s="9"/>
      <c r="J421" s="10" t="str">
        <f t="shared" si="45"/>
        <v/>
      </c>
      <c r="K421" s="10" t="str">
        <f t="shared" si="46"/>
        <v/>
      </c>
      <c r="L421" s="11" t="str">
        <f t="shared" si="48"/>
        <v/>
      </c>
      <c r="M421" s="9" t="str">
        <f>IF(G421&lt;&gt;"",J421/MAX(J$3:J421)-1,"")</f>
        <v/>
      </c>
      <c r="N421" s="9" t="str">
        <f>IF(G421&lt;&gt;"",K421/MAX(K$3:K421)-1,"")</f>
        <v/>
      </c>
      <c r="O421" s="16" t="str">
        <f t="shared" si="49"/>
        <v/>
      </c>
      <c r="P421" s="16" t="str">
        <f t="shared" si="49"/>
        <v/>
      </c>
      <c r="Q421" s="16" t="str">
        <f t="shared" si="49"/>
        <v/>
      </c>
      <c r="R421" s="5" t="str">
        <f t="shared" si="44"/>
        <v/>
      </c>
      <c r="S421" s="5" t="str">
        <f t="shared" si="47"/>
        <v/>
      </c>
      <c r="T421" s="5" t="str">
        <f t="shared" si="51"/>
        <v/>
      </c>
      <c r="U421" s="5" t="str">
        <f t="shared" si="51"/>
        <v/>
      </c>
    </row>
    <row r="422" spans="7:21" x14ac:dyDescent="0.2">
      <c r="G422" s="8"/>
      <c r="H422" s="5"/>
      <c r="I422" s="9"/>
      <c r="J422" s="10" t="str">
        <f t="shared" si="45"/>
        <v/>
      </c>
      <c r="K422" s="10" t="str">
        <f t="shared" si="46"/>
        <v/>
      </c>
      <c r="L422" s="11" t="str">
        <f t="shared" si="48"/>
        <v/>
      </c>
      <c r="M422" s="9" t="str">
        <f>IF(G422&lt;&gt;"",J422/MAX(J$3:J422)-1,"")</f>
        <v/>
      </c>
      <c r="N422" s="9" t="str">
        <f>IF(G422&lt;&gt;"",K422/MAX(K$3:K422)-1,"")</f>
        <v/>
      </c>
      <c r="O422" s="16" t="str">
        <f t="shared" si="49"/>
        <v/>
      </c>
      <c r="P422" s="16" t="str">
        <f t="shared" si="49"/>
        <v/>
      </c>
      <c r="Q422" s="16" t="str">
        <f t="shared" si="49"/>
        <v/>
      </c>
      <c r="R422" s="5" t="str">
        <f t="shared" si="44"/>
        <v/>
      </c>
      <c r="S422" s="5" t="str">
        <f t="shared" si="47"/>
        <v/>
      </c>
      <c r="T422" s="5" t="str">
        <f t="shared" si="51"/>
        <v/>
      </c>
      <c r="U422" s="5" t="str">
        <f t="shared" si="51"/>
        <v/>
      </c>
    </row>
    <row r="423" spans="7:21" x14ac:dyDescent="0.2">
      <c r="G423" s="8"/>
      <c r="H423" s="5"/>
      <c r="I423" s="9"/>
      <c r="J423" s="10" t="str">
        <f t="shared" si="45"/>
        <v/>
      </c>
      <c r="K423" s="10" t="str">
        <f t="shared" si="46"/>
        <v/>
      </c>
      <c r="L423" s="11" t="str">
        <f t="shared" si="48"/>
        <v/>
      </c>
      <c r="M423" s="9" t="str">
        <f>IF(G423&lt;&gt;"",J423/MAX(J$3:J423)-1,"")</f>
        <v/>
      </c>
      <c r="N423" s="9" t="str">
        <f>IF(G423&lt;&gt;"",K423/MAX(K$3:K423)-1,"")</f>
        <v/>
      </c>
      <c r="O423" s="16" t="str">
        <f t="shared" si="49"/>
        <v/>
      </c>
      <c r="P423" s="16" t="str">
        <f t="shared" si="49"/>
        <v/>
      </c>
      <c r="Q423" s="16" t="str">
        <f t="shared" si="49"/>
        <v/>
      </c>
      <c r="R423" s="5" t="str">
        <f t="shared" si="44"/>
        <v/>
      </c>
      <c r="S423" s="5" t="str">
        <f t="shared" si="47"/>
        <v/>
      </c>
      <c r="T423" s="5" t="str">
        <f t="shared" si="51"/>
        <v/>
      </c>
      <c r="U423" s="5" t="str">
        <f t="shared" si="51"/>
        <v/>
      </c>
    </row>
    <row r="424" spans="7:21" x14ac:dyDescent="0.2">
      <c r="G424" s="8"/>
      <c r="H424" s="5"/>
      <c r="I424" s="9"/>
      <c r="J424" s="10" t="str">
        <f t="shared" si="45"/>
        <v/>
      </c>
      <c r="K424" s="10" t="str">
        <f t="shared" si="46"/>
        <v/>
      </c>
      <c r="L424" s="11" t="str">
        <f t="shared" si="48"/>
        <v/>
      </c>
      <c r="M424" s="9" t="str">
        <f>IF(G424&lt;&gt;"",J424/MAX(J$3:J424)-1,"")</f>
        <v/>
      </c>
      <c r="N424" s="9" t="str">
        <f>IF(G424&lt;&gt;"",K424/MAX(K$3:K424)-1,"")</f>
        <v/>
      </c>
      <c r="O424" s="16" t="str">
        <f t="shared" si="49"/>
        <v/>
      </c>
      <c r="P424" s="16" t="str">
        <f t="shared" si="49"/>
        <v/>
      </c>
      <c r="Q424" s="16" t="str">
        <f t="shared" si="49"/>
        <v/>
      </c>
      <c r="R424" s="5" t="str">
        <f t="shared" si="44"/>
        <v/>
      </c>
      <c r="S424" s="5" t="str">
        <f t="shared" si="47"/>
        <v/>
      </c>
      <c r="T424" s="5" t="str">
        <f t="shared" ref="T424:U439" si="52">IF($G424&lt;&gt;"",_xlfn.STDEV.S(O180:O424),"")</f>
        <v/>
      </c>
      <c r="U424" s="5" t="str">
        <f t="shared" si="52"/>
        <v/>
      </c>
    </row>
    <row r="425" spans="7:21" x14ac:dyDescent="0.2">
      <c r="G425" s="8"/>
      <c r="H425" s="5"/>
      <c r="I425" s="9"/>
      <c r="J425" s="10" t="str">
        <f t="shared" si="45"/>
        <v/>
      </c>
      <c r="K425" s="10" t="str">
        <f t="shared" si="46"/>
        <v/>
      </c>
      <c r="L425" s="11" t="str">
        <f t="shared" si="48"/>
        <v/>
      </c>
      <c r="M425" s="9" t="str">
        <f>IF(G425&lt;&gt;"",J425/MAX(J$3:J425)-1,"")</f>
        <v/>
      </c>
      <c r="N425" s="9" t="str">
        <f>IF(G425&lt;&gt;"",K425/MAX(K$3:K425)-1,"")</f>
        <v/>
      </c>
      <c r="O425" s="16" t="str">
        <f t="shared" si="49"/>
        <v/>
      </c>
      <c r="P425" s="16" t="str">
        <f t="shared" si="49"/>
        <v/>
      </c>
      <c r="Q425" s="16" t="str">
        <f t="shared" si="49"/>
        <v/>
      </c>
      <c r="R425" s="5" t="str">
        <f t="shared" si="44"/>
        <v/>
      </c>
      <c r="S425" s="5" t="str">
        <f t="shared" si="47"/>
        <v/>
      </c>
      <c r="T425" s="5" t="str">
        <f t="shared" si="52"/>
        <v/>
      </c>
      <c r="U425" s="5" t="str">
        <f t="shared" si="52"/>
        <v/>
      </c>
    </row>
    <row r="426" spans="7:21" x14ac:dyDescent="0.2">
      <c r="G426" s="8"/>
      <c r="H426" s="5"/>
      <c r="I426" s="9"/>
      <c r="J426" s="10" t="str">
        <f t="shared" si="45"/>
        <v/>
      </c>
      <c r="K426" s="10" t="str">
        <f t="shared" si="46"/>
        <v/>
      </c>
      <c r="L426" s="11" t="str">
        <f t="shared" si="48"/>
        <v/>
      </c>
      <c r="M426" s="9" t="str">
        <f>IF(G426&lt;&gt;"",J426/MAX(J$3:J426)-1,"")</f>
        <v/>
      </c>
      <c r="N426" s="9" t="str">
        <f>IF(G426&lt;&gt;"",K426/MAX(K$3:K426)-1,"")</f>
        <v/>
      </c>
      <c r="O426" s="16" t="str">
        <f t="shared" si="49"/>
        <v/>
      </c>
      <c r="P426" s="16" t="str">
        <f t="shared" si="49"/>
        <v/>
      </c>
      <c r="Q426" s="16" t="str">
        <f t="shared" si="49"/>
        <v/>
      </c>
      <c r="R426" s="5" t="str">
        <f t="shared" si="44"/>
        <v/>
      </c>
      <c r="S426" s="5" t="str">
        <f t="shared" si="47"/>
        <v/>
      </c>
      <c r="T426" s="5" t="str">
        <f t="shared" si="52"/>
        <v/>
      </c>
      <c r="U426" s="5" t="str">
        <f t="shared" si="52"/>
        <v/>
      </c>
    </row>
    <row r="427" spans="7:21" x14ac:dyDescent="0.2">
      <c r="G427" s="8"/>
      <c r="H427" s="5"/>
      <c r="I427" s="9"/>
      <c r="J427" s="10" t="str">
        <f t="shared" si="45"/>
        <v/>
      </c>
      <c r="K427" s="10" t="str">
        <f t="shared" si="46"/>
        <v/>
      </c>
      <c r="L427" s="11" t="str">
        <f t="shared" si="48"/>
        <v/>
      </c>
      <c r="M427" s="9" t="str">
        <f>IF(G427&lt;&gt;"",J427/MAX(J$3:J427)-1,"")</f>
        <v/>
      </c>
      <c r="N427" s="9" t="str">
        <f>IF(G427&lt;&gt;"",K427/MAX(K$3:K427)-1,"")</f>
        <v/>
      </c>
      <c r="O427" s="16" t="str">
        <f t="shared" si="49"/>
        <v/>
      </c>
      <c r="P427" s="16" t="str">
        <f t="shared" si="49"/>
        <v/>
      </c>
      <c r="Q427" s="16" t="str">
        <f t="shared" si="49"/>
        <v/>
      </c>
      <c r="R427" s="5" t="str">
        <f t="shared" si="44"/>
        <v/>
      </c>
      <c r="S427" s="5" t="str">
        <f t="shared" si="47"/>
        <v/>
      </c>
      <c r="T427" s="5" t="str">
        <f t="shared" si="52"/>
        <v/>
      </c>
      <c r="U427" s="5" t="str">
        <f t="shared" si="52"/>
        <v/>
      </c>
    </row>
    <row r="428" spans="7:21" x14ac:dyDescent="0.2">
      <c r="G428" s="8"/>
      <c r="H428" s="5"/>
      <c r="I428" s="9"/>
      <c r="J428" s="10" t="str">
        <f t="shared" si="45"/>
        <v/>
      </c>
      <c r="K428" s="10" t="str">
        <f t="shared" si="46"/>
        <v/>
      </c>
      <c r="L428" s="11" t="str">
        <f t="shared" si="48"/>
        <v/>
      </c>
      <c r="M428" s="9" t="str">
        <f>IF(G428&lt;&gt;"",J428/MAX(J$3:J428)-1,"")</f>
        <v/>
      </c>
      <c r="N428" s="9" t="str">
        <f>IF(G428&lt;&gt;"",K428/MAX(K$3:K428)-1,"")</f>
        <v/>
      </c>
      <c r="O428" s="16" t="str">
        <f t="shared" si="49"/>
        <v/>
      </c>
      <c r="P428" s="16" t="str">
        <f t="shared" si="49"/>
        <v/>
      </c>
      <c r="Q428" s="16" t="str">
        <f t="shared" si="49"/>
        <v/>
      </c>
      <c r="R428" s="5" t="str">
        <f t="shared" si="44"/>
        <v/>
      </c>
      <c r="S428" s="5" t="str">
        <f t="shared" si="47"/>
        <v/>
      </c>
      <c r="T428" s="5" t="str">
        <f t="shared" si="52"/>
        <v/>
      </c>
      <c r="U428" s="5" t="str">
        <f t="shared" si="52"/>
        <v/>
      </c>
    </row>
    <row r="429" spans="7:21" x14ac:dyDescent="0.2">
      <c r="G429" s="8"/>
      <c r="H429" s="5"/>
      <c r="I429" s="9"/>
      <c r="J429" s="10" t="str">
        <f t="shared" si="45"/>
        <v/>
      </c>
      <c r="K429" s="10" t="str">
        <f t="shared" si="46"/>
        <v/>
      </c>
      <c r="L429" s="11" t="str">
        <f t="shared" si="48"/>
        <v/>
      </c>
      <c r="M429" s="9" t="str">
        <f>IF(G429&lt;&gt;"",J429/MAX(J$3:J429)-1,"")</f>
        <v/>
      </c>
      <c r="N429" s="9" t="str">
        <f>IF(G429&lt;&gt;"",K429/MAX(K$3:K429)-1,"")</f>
        <v/>
      </c>
      <c r="O429" s="16" t="str">
        <f t="shared" si="49"/>
        <v/>
      </c>
      <c r="P429" s="16" t="str">
        <f t="shared" si="49"/>
        <v/>
      </c>
      <c r="Q429" s="16" t="str">
        <f t="shared" si="49"/>
        <v/>
      </c>
      <c r="R429" s="5" t="str">
        <f t="shared" si="44"/>
        <v/>
      </c>
      <c r="S429" s="5" t="str">
        <f t="shared" si="47"/>
        <v/>
      </c>
      <c r="T429" s="5" t="str">
        <f t="shared" si="52"/>
        <v/>
      </c>
      <c r="U429" s="5" t="str">
        <f t="shared" si="52"/>
        <v/>
      </c>
    </row>
    <row r="430" spans="7:21" x14ac:dyDescent="0.2">
      <c r="G430" s="8"/>
      <c r="H430" s="5"/>
      <c r="I430" s="9"/>
      <c r="J430" s="10" t="str">
        <f t="shared" si="45"/>
        <v/>
      </c>
      <c r="K430" s="10" t="str">
        <f t="shared" si="46"/>
        <v/>
      </c>
      <c r="L430" s="11" t="str">
        <f t="shared" si="48"/>
        <v/>
      </c>
      <c r="M430" s="9" t="str">
        <f>IF(G430&lt;&gt;"",J430/MAX(J$3:J430)-1,"")</f>
        <v/>
      </c>
      <c r="N430" s="9" t="str">
        <f>IF(G430&lt;&gt;"",K430/MAX(K$3:K430)-1,"")</f>
        <v/>
      </c>
      <c r="O430" s="16" t="str">
        <f t="shared" si="49"/>
        <v/>
      </c>
      <c r="P430" s="16" t="str">
        <f t="shared" si="49"/>
        <v/>
      </c>
      <c r="Q430" s="16" t="str">
        <f t="shared" si="49"/>
        <v/>
      </c>
      <c r="R430" s="5" t="str">
        <f t="shared" si="44"/>
        <v/>
      </c>
      <c r="S430" s="5" t="str">
        <f t="shared" si="47"/>
        <v/>
      </c>
      <c r="T430" s="5" t="str">
        <f t="shared" si="52"/>
        <v/>
      </c>
      <c r="U430" s="5" t="str">
        <f t="shared" si="52"/>
        <v/>
      </c>
    </row>
    <row r="431" spans="7:21" x14ac:dyDescent="0.2">
      <c r="G431" s="8"/>
      <c r="H431" s="5"/>
      <c r="I431" s="9"/>
      <c r="J431" s="10" t="str">
        <f t="shared" si="45"/>
        <v/>
      </c>
      <c r="K431" s="10" t="str">
        <f t="shared" si="46"/>
        <v/>
      </c>
      <c r="L431" s="11" t="str">
        <f t="shared" si="48"/>
        <v/>
      </c>
      <c r="M431" s="9" t="str">
        <f>IF(G431&lt;&gt;"",J431/MAX(J$3:J431)-1,"")</f>
        <v/>
      </c>
      <c r="N431" s="9" t="str">
        <f>IF(G431&lt;&gt;"",K431/MAX(K$3:K431)-1,"")</f>
        <v/>
      </c>
      <c r="O431" s="16" t="str">
        <f t="shared" si="49"/>
        <v/>
      </c>
      <c r="P431" s="16" t="str">
        <f t="shared" si="49"/>
        <v/>
      </c>
      <c r="Q431" s="16" t="str">
        <f t="shared" si="49"/>
        <v/>
      </c>
      <c r="R431" s="5" t="str">
        <f t="shared" si="44"/>
        <v/>
      </c>
      <c r="S431" s="5" t="str">
        <f t="shared" si="47"/>
        <v/>
      </c>
      <c r="T431" s="5" t="str">
        <f t="shared" si="52"/>
        <v/>
      </c>
      <c r="U431" s="5" t="str">
        <f t="shared" si="52"/>
        <v/>
      </c>
    </row>
    <row r="432" spans="7:21" x14ac:dyDescent="0.2">
      <c r="G432" s="8"/>
      <c r="H432" s="5"/>
      <c r="I432" s="9"/>
      <c r="J432" s="10" t="str">
        <f t="shared" si="45"/>
        <v/>
      </c>
      <c r="K432" s="10" t="str">
        <f t="shared" si="46"/>
        <v/>
      </c>
      <c r="L432" s="11" t="str">
        <f t="shared" si="48"/>
        <v/>
      </c>
      <c r="M432" s="9" t="str">
        <f>IF(G432&lt;&gt;"",J432/MAX(J$3:J432)-1,"")</f>
        <v/>
      </c>
      <c r="N432" s="9" t="str">
        <f>IF(G432&lt;&gt;"",K432/MAX(K$3:K432)-1,"")</f>
        <v/>
      </c>
      <c r="O432" s="16" t="str">
        <f t="shared" si="49"/>
        <v/>
      </c>
      <c r="P432" s="16" t="str">
        <f t="shared" si="49"/>
        <v/>
      </c>
      <c r="Q432" s="16" t="str">
        <f t="shared" si="49"/>
        <v/>
      </c>
      <c r="R432" s="5" t="str">
        <f t="shared" si="44"/>
        <v/>
      </c>
      <c r="S432" s="5" t="str">
        <f t="shared" si="47"/>
        <v/>
      </c>
      <c r="T432" s="5" t="str">
        <f t="shared" si="52"/>
        <v/>
      </c>
      <c r="U432" s="5" t="str">
        <f t="shared" si="52"/>
        <v/>
      </c>
    </row>
    <row r="433" spans="7:21" x14ac:dyDescent="0.2">
      <c r="G433" s="8"/>
      <c r="H433" s="5"/>
      <c r="I433" s="9"/>
      <c r="J433" s="10" t="str">
        <f t="shared" si="45"/>
        <v/>
      </c>
      <c r="K433" s="10" t="str">
        <f t="shared" si="46"/>
        <v/>
      </c>
      <c r="L433" s="11" t="str">
        <f t="shared" si="48"/>
        <v/>
      </c>
      <c r="M433" s="9" t="str">
        <f>IF(G433&lt;&gt;"",J433/MAX(J$3:J433)-1,"")</f>
        <v/>
      </c>
      <c r="N433" s="9" t="str">
        <f>IF(G433&lt;&gt;"",K433/MAX(K$3:K433)-1,"")</f>
        <v/>
      </c>
      <c r="O433" s="16" t="str">
        <f t="shared" si="49"/>
        <v/>
      </c>
      <c r="P433" s="16" t="str">
        <f t="shared" si="49"/>
        <v/>
      </c>
      <c r="Q433" s="16" t="str">
        <f t="shared" si="49"/>
        <v/>
      </c>
      <c r="R433" s="5" t="str">
        <f t="shared" si="44"/>
        <v/>
      </c>
      <c r="S433" s="5" t="str">
        <f t="shared" si="47"/>
        <v/>
      </c>
      <c r="T433" s="5" t="str">
        <f t="shared" si="52"/>
        <v/>
      </c>
      <c r="U433" s="5" t="str">
        <f t="shared" si="52"/>
        <v/>
      </c>
    </row>
    <row r="434" spans="7:21" x14ac:dyDescent="0.2">
      <c r="G434" s="8"/>
      <c r="H434" s="5"/>
      <c r="I434" s="9"/>
      <c r="J434" s="10" t="str">
        <f t="shared" si="45"/>
        <v/>
      </c>
      <c r="K434" s="10" t="str">
        <f t="shared" si="46"/>
        <v/>
      </c>
      <c r="L434" s="11" t="str">
        <f t="shared" si="48"/>
        <v/>
      </c>
      <c r="M434" s="9" t="str">
        <f>IF(G434&lt;&gt;"",J434/MAX(J$3:J434)-1,"")</f>
        <v/>
      </c>
      <c r="N434" s="9" t="str">
        <f>IF(G434&lt;&gt;"",K434/MAX(K$3:K434)-1,"")</f>
        <v/>
      </c>
      <c r="O434" s="16" t="str">
        <f t="shared" si="49"/>
        <v/>
      </c>
      <c r="P434" s="16" t="str">
        <f t="shared" si="49"/>
        <v/>
      </c>
      <c r="Q434" s="16" t="str">
        <f t="shared" si="49"/>
        <v/>
      </c>
      <c r="R434" s="5" t="str">
        <f t="shared" si="44"/>
        <v/>
      </c>
      <c r="S434" s="5" t="str">
        <f t="shared" si="47"/>
        <v/>
      </c>
      <c r="T434" s="5" t="str">
        <f t="shared" si="52"/>
        <v/>
      </c>
      <c r="U434" s="5" t="str">
        <f t="shared" si="52"/>
        <v/>
      </c>
    </row>
    <row r="435" spans="7:21" x14ac:dyDescent="0.2">
      <c r="G435" s="8"/>
      <c r="H435" s="5"/>
      <c r="I435" s="9"/>
      <c r="J435" s="10" t="str">
        <f t="shared" si="45"/>
        <v/>
      </c>
      <c r="K435" s="10" t="str">
        <f t="shared" si="46"/>
        <v/>
      </c>
      <c r="L435" s="11" t="str">
        <f t="shared" si="48"/>
        <v/>
      </c>
      <c r="M435" s="9" t="str">
        <f>IF(G435&lt;&gt;"",J435/MAX(J$3:J435)-1,"")</f>
        <v/>
      </c>
      <c r="N435" s="9" t="str">
        <f>IF(G435&lt;&gt;"",K435/MAX(K$3:K435)-1,"")</f>
        <v/>
      </c>
      <c r="O435" s="16" t="str">
        <f t="shared" si="49"/>
        <v/>
      </c>
      <c r="P435" s="16" t="str">
        <f t="shared" si="49"/>
        <v/>
      </c>
      <c r="Q435" s="16" t="str">
        <f t="shared" si="49"/>
        <v/>
      </c>
      <c r="R435" s="5" t="str">
        <f t="shared" si="44"/>
        <v/>
      </c>
      <c r="S435" s="5" t="str">
        <f t="shared" si="47"/>
        <v/>
      </c>
      <c r="T435" s="5" t="str">
        <f t="shared" si="52"/>
        <v/>
      </c>
      <c r="U435" s="5" t="str">
        <f t="shared" si="52"/>
        <v/>
      </c>
    </row>
    <row r="436" spans="7:21" x14ac:dyDescent="0.2">
      <c r="G436" s="8"/>
      <c r="H436" s="5"/>
      <c r="I436" s="9"/>
      <c r="J436" s="10" t="str">
        <f t="shared" si="45"/>
        <v/>
      </c>
      <c r="K436" s="10" t="str">
        <f t="shared" si="46"/>
        <v/>
      </c>
      <c r="L436" s="11" t="str">
        <f t="shared" si="48"/>
        <v/>
      </c>
      <c r="M436" s="9" t="str">
        <f>IF(G436&lt;&gt;"",J436/MAX(J$3:J436)-1,"")</f>
        <v/>
      </c>
      <c r="N436" s="9" t="str">
        <f>IF(G436&lt;&gt;"",K436/MAX(K$3:K436)-1,"")</f>
        <v/>
      </c>
      <c r="O436" s="16" t="str">
        <f t="shared" si="49"/>
        <v/>
      </c>
      <c r="P436" s="16" t="str">
        <f t="shared" si="49"/>
        <v/>
      </c>
      <c r="Q436" s="16" t="str">
        <f t="shared" si="49"/>
        <v/>
      </c>
      <c r="R436" s="5" t="str">
        <f t="shared" si="44"/>
        <v/>
      </c>
      <c r="S436" s="5" t="str">
        <f t="shared" si="47"/>
        <v/>
      </c>
      <c r="T436" s="5" t="str">
        <f t="shared" si="52"/>
        <v/>
      </c>
      <c r="U436" s="5" t="str">
        <f t="shared" si="52"/>
        <v/>
      </c>
    </row>
    <row r="437" spans="7:21" x14ac:dyDescent="0.2">
      <c r="G437" s="8"/>
      <c r="H437" s="5"/>
      <c r="I437" s="9"/>
      <c r="J437" s="10" t="str">
        <f t="shared" si="45"/>
        <v/>
      </c>
      <c r="K437" s="10" t="str">
        <f t="shared" si="46"/>
        <v/>
      </c>
      <c r="L437" s="11" t="str">
        <f t="shared" si="48"/>
        <v/>
      </c>
      <c r="M437" s="9" t="str">
        <f>IF(G437&lt;&gt;"",J437/MAX(J$3:J437)-1,"")</f>
        <v/>
      </c>
      <c r="N437" s="9" t="str">
        <f>IF(G437&lt;&gt;"",K437/MAX(K$3:K437)-1,"")</f>
        <v/>
      </c>
      <c r="O437" s="16" t="str">
        <f t="shared" si="49"/>
        <v/>
      </c>
      <c r="P437" s="16" t="str">
        <f t="shared" si="49"/>
        <v/>
      </c>
      <c r="Q437" s="16" t="str">
        <f t="shared" si="49"/>
        <v/>
      </c>
      <c r="R437" s="5" t="str">
        <f t="shared" si="44"/>
        <v/>
      </c>
      <c r="S437" s="5" t="str">
        <f t="shared" si="47"/>
        <v/>
      </c>
      <c r="T437" s="5" t="str">
        <f t="shared" si="52"/>
        <v/>
      </c>
      <c r="U437" s="5" t="str">
        <f t="shared" si="52"/>
        <v/>
      </c>
    </row>
    <row r="438" spans="7:21" x14ac:dyDescent="0.2">
      <c r="G438" s="8"/>
      <c r="H438" s="5"/>
      <c r="I438" s="9"/>
      <c r="J438" s="10" t="str">
        <f t="shared" si="45"/>
        <v/>
      </c>
      <c r="K438" s="10" t="str">
        <f t="shared" si="46"/>
        <v/>
      </c>
      <c r="L438" s="11" t="str">
        <f t="shared" si="48"/>
        <v/>
      </c>
      <c r="M438" s="9" t="str">
        <f>IF(G438&lt;&gt;"",J438/MAX(J$3:J438)-1,"")</f>
        <v/>
      </c>
      <c r="N438" s="9" t="str">
        <f>IF(G438&lt;&gt;"",K438/MAX(K$3:K438)-1,"")</f>
        <v/>
      </c>
      <c r="O438" s="16" t="str">
        <f t="shared" si="49"/>
        <v/>
      </c>
      <c r="P438" s="16" t="str">
        <f t="shared" si="49"/>
        <v/>
      </c>
      <c r="Q438" s="16" t="str">
        <f t="shared" si="49"/>
        <v/>
      </c>
      <c r="R438" s="5" t="str">
        <f t="shared" si="44"/>
        <v/>
      </c>
      <c r="S438" s="5" t="str">
        <f t="shared" si="47"/>
        <v/>
      </c>
      <c r="T438" s="5" t="str">
        <f t="shared" si="52"/>
        <v/>
      </c>
      <c r="U438" s="5" t="str">
        <f t="shared" si="52"/>
        <v/>
      </c>
    </row>
    <row r="439" spans="7:21" x14ac:dyDescent="0.2">
      <c r="G439" s="8"/>
      <c r="H439" s="5"/>
      <c r="I439" s="9"/>
      <c r="J439" s="10" t="str">
        <f t="shared" si="45"/>
        <v/>
      </c>
      <c r="K439" s="10" t="str">
        <f t="shared" si="46"/>
        <v/>
      </c>
      <c r="L439" s="11" t="str">
        <f t="shared" si="48"/>
        <v/>
      </c>
      <c r="M439" s="9" t="str">
        <f>IF(G439&lt;&gt;"",J439/MAX(J$3:J439)-1,"")</f>
        <v/>
      </c>
      <c r="N439" s="9" t="str">
        <f>IF(G439&lt;&gt;"",K439/MAX(K$3:K439)-1,"")</f>
        <v/>
      </c>
      <c r="O439" s="16" t="str">
        <f t="shared" si="49"/>
        <v/>
      </c>
      <c r="P439" s="16" t="str">
        <f t="shared" si="49"/>
        <v/>
      </c>
      <c r="Q439" s="16" t="str">
        <f t="shared" si="49"/>
        <v/>
      </c>
      <c r="R439" s="5" t="str">
        <f t="shared" si="44"/>
        <v/>
      </c>
      <c r="S439" s="5" t="str">
        <f t="shared" si="47"/>
        <v/>
      </c>
      <c r="T439" s="5" t="str">
        <f t="shared" si="52"/>
        <v/>
      </c>
      <c r="U439" s="5" t="str">
        <f t="shared" si="52"/>
        <v/>
      </c>
    </row>
    <row r="440" spans="7:21" x14ac:dyDescent="0.2">
      <c r="G440" s="8"/>
      <c r="H440" s="5"/>
      <c r="I440" s="9"/>
      <c r="J440" s="10" t="str">
        <f t="shared" si="45"/>
        <v/>
      </c>
      <c r="K440" s="10" t="str">
        <f t="shared" si="46"/>
        <v/>
      </c>
      <c r="L440" s="11" t="str">
        <f t="shared" si="48"/>
        <v/>
      </c>
      <c r="M440" s="9" t="str">
        <f>IF(G440&lt;&gt;"",J440/MAX(J$3:J440)-1,"")</f>
        <v/>
      </c>
      <c r="N440" s="9" t="str">
        <f>IF(G440&lt;&gt;"",K440/MAX(K$3:K440)-1,"")</f>
        <v/>
      </c>
      <c r="O440" s="16" t="str">
        <f t="shared" si="49"/>
        <v/>
      </c>
      <c r="P440" s="16" t="str">
        <f t="shared" si="49"/>
        <v/>
      </c>
      <c r="Q440" s="16" t="str">
        <f t="shared" si="49"/>
        <v/>
      </c>
      <c r="R440" s="5" t="str">
        <f t="shared" si="44"/>
        <v/>
      </c>
      <c r="S440" s="5" t="str">
        <f t="shared" si="47"/>
        <v/>
      </c>
      <c r="T440" s="5" t="str">
        <f t="shared" ref="T440:U455" si="53">IF($G440&lt;&gt;"",_xlfn.STDEV.S(O196:O440),"")</f>
        <v/>
      </c>
      <c r="U440" s="5" t="str">
        <f t="shared" si="53"/>
        <v/>
      </c>
    </row>
    <row r="441" spans="7:21" x14ac:dyDescent="0.2">
      <c r="G441" s="8"/>
      <c r="H441" s="5"/>
      <c r="I441" s="9"/>
      <c r="J441" s="10" t="str">
        <f t="shared" si="45"/>
        <v/>
      </c>
      <c r="K441" s="10" t="str">
        <f t="shared" si="46"/>
        <v/>
      </c>
      <c r="L441" s="11" t="str">
        <f t="shared" si="48"/>
        <v/>
      </c>
      <c r="M441" s="9" t="str">
        <f>IF(G441&lt;&gt;"",J441/MAX(J$3:J441)-1,"")</f>
        <v/>
      </c>
      <c r="N441" s="9" t="str">
        <f>IF(G441&lt;&gt;"",K441/MAX(K$3:K441)-1,"")</f>
        <v/>
      </c>
      <c r="O441" s="16" t="str">
        <f t="shared" si="49"/>
        <v/>
      </c>
      <c r="P441" s="16" t="str">
        <f t="shared" si="49"/>
        <v/>
      </c>
      <c r="Q441" s="16" t="str">
        <f t="shared" si="49"/>
        <v/>
      </c>
      <c r="R441" s="5" t="str">
        <f t="shared" si="44"/>
        <v/>
      </c>
      <c r="S441" s="5" t="str">
        <f t="shared" si="47"/>
        <v/>
      </c>
      <c r="T441" s="5" t="str">
        <f t="shared" si="53"/>
        <v/>
      </c>
      <c r="U441" s="5" t="str">
        <f t="shared" si="53"/>
        <v/>
      </c>
    </row>
    <row r="442" spans="7:21" x14ac:dyDescent="0.2">
      <c r="G442" s="8"/>
      <c r="H442" s="5"/>
      <c r="I442" s="9"/>
      <c r="J442" s="10" t="str">
        <f t="shared" si="45"/>
        <v/>
      </c>
      <c r="K442" s="10" t="str">
        <f t="shared" si="46"/>
        <v/>
      </c>
      <c r="L442" s="11" t="str">
        <f t="shared" si="48"/>
        <v/>
      </c>
      <c r="M442" s="9" t="str">
        <f>IF(G442&lt;&gt;"",J442/MAX(J$3:J442)-1,"")</f>
        <v/>
      </c>
      <c r="N442" s="9" t="str">
        <f>IF(G442&lt;&gt;"",K442/MAX(K$3:K442)-1,"")</f>
        <v/>
      </c>
      <c r="O442" s="16" t="str">
        <f t="shared" si="49"/>
        <v/>
      </c>
      <c r="P442" s="16" t="str">
        <f t="shared" si="49"/>
        <v/>
      </c>
      <c r="Q442" s="16" t="str">
        <f t="shared" si="49"/>
        <v/>
      </c>
      <c r="R442" s="5" t="str">
        <f t="shared" si="44"/>
        <v/>
      </c>
      <c r="S442" s="5" t="str">
        <f t="shared" si="47"/>
        <v/>
      </c>
      <c r="T442" s="5" t="str">
        <f t="shared" si="53"/>
        <v/>
      </c>
      <c r="U442" s="5" t="str">
        <f t="shared" si="53"/>
        <v/>
      </c>
    </row>
    <row r="443" spans="7:21" x14ac:dyDescent="0.2">
      <c r="G443" s="8"/>
      <c r="H443" s="5"/>
      <c r="I443" s="9"/>
      <c r="J443" s="10" t="str">
        <f t="shared" si="45"/>
        <v/>
      </c>
      <c r="K443" s="10" t="str">
        <f t="shared" si="46"/>
        <v/>
      </c>
      <c r="L443" s="11" t="str">
        <f t="shared" si="48"/>
        <v/>
      </c>
      <c r="M443" s="9" t="str">
        <f>IF(G443&lt;&gt;"",J443/MAX(J$3:J443)-1,"")</f>
        <v/>
      </c>
      <c r="N443" s="9" t="str">
        <f>IF(G443&lt;&gt;"",K443/MAX(K$3:K443)-1,"")</f>
        <v/>
      </c>
      <c r="O443" s="16" t="str">
        <f t="shared" si="49"/>
        <v/>
      </c>
      <c r="P443" s="16" t="str">
        <f t="shared" si="49"/>
        <v/>
      </c>
      <c r="Q443" s="16" t="str">
        <f t="shared" si="49"/>
        <v/>
      </c>
      <c r="R443" s="5" t="str">
        <f t="shared" si="44"/>
        <v/>
      </c>
      <c r="S443" s="5" t="str">
        <f t="shared" si="47"/>
        <v/>
      </c>
      <c r="T443" s="5" t="str">
        <f t="shared" si="53"/>
        <v/>
      </c>
      <c r="U443" s="5" t="str">
        <f t="shared" si="53"/>
        <v/>
      </c>
    </row>
    <row r="444" spans="7:21" x14ac:dyDescent="0.2">
      <c r="G444" s="8"/>
      <c r="H444" s="5"/>
      <c r="I444" s="9"/>
      <c r="J444" s="10" t="str">
        <f t="shared" si="45"/>
        <v/>
      </c>
      <c r="K444" s="10" t="str">
        <f t="shared" si="46"/>
        <v/>
      </c>
      <c r="L444" s="11" t="str">
        <f t="shared" si="48"/>
        <v/>
      </c>
      <c r="M444" s="9" t="str">
        <f>IF(G444&lt;&gt;"",J444/MAX(J$3:J444)-1,"")</f>
        <v/>
      </c>
      <c r="N444" s="9" t="str">
        <f>IF(G444&lt;&gt;"",K444/MAX(K$3:K444)-1,"")</f>
        <v/>
      </c>
      <c r="O444" s="16" t="str">
        <f t="shared" si="49"/>
        <v/>
      </c>
      <c r="P444" s="16" t="str">
        <f t="shared" si="49"/>
        <v/>
      </c>
      <c r="Q444" s="16" t="str">
        <f t="shared" si="49"/>
        <v/>
      </c>
      <c r="R444" s="5" t="str">
        <f t="shared" si="44"/>
        <v/>
      </c>
      <c r="S444" s="5" t="str">
        <f t="shared" si="47"/>
        <v/>
      </c>
      <c r="T444" s="5" t="str">
        <f t="shared" si="53"/>
        <v/>
      </c>
      <c r="U444" s="5" t="str">
        <f t="shared" si="53"/>
        <v/>
      </c>
    </row>
    <row r="445" spans="7:21" x14ac:dyDescent="0.2">
      <c r="G445" s="8"/>
      <c r="H445" s="5"/>
      <c r="I445" s="9"/>
      <c r="J445" s="10" t="str">
        <f t="shared" si="45"/>
        <v/>
      </c>
      <c r="K445" s="10" t="str">
        <f t="shared" si="46"/>
        <v/>
      </c>
      <c r="L445" s="11" t="str">
        <f t="shared" si="48"/>
        <v/>
      </c>
      <c r="M445" s="9" t="str">
        <f>IF(G445&lt;&gt;"",J445/MAX(J$3:J445)-1,"")</f>
        <v/>
      </c>
      <c r="N445" s="9" t="str">
        <f>IF(G445&lt;&gt;"",K445/MAX(K$3:K445)-1,"")</f>
        <v/>
      </c>
      <c r="O445" s="16" t="str">
        <f t="shared" si="49"/>
        <v/>
      </c>
      <c r="P445" s="16" t="str">
        <f t="shared" si="49"/>
        <v/>
      </c>
      <c r="Q445" s="16" t="str">
        <f t="shared" si="49"/>
        <v/>
      </c>
      <c r="R445" s="5" t="str">
        <f t="shared" ref="R445:R508" si="54">IF(G445&lt;&gt;"",_xlfn.STDEV.S(Q324:Q445)*SQRT($B$5),"")</f>
        <v/>
      </c>
      <c r="S445" s="5" t="str">
        <f t="shared" si="47"/>
        <v/>
      </c>
      <c r="T445" s="5" t="str">
        <f t="shared" si="53"/>
        <v/>
      </c>
      <c r="U445" s="5" t="str">
        <f t="shared" si="53"/>
        <v/>
      </c>
    </row>
    <row r="446" spans="7:21" x14ac:dyDescent="0.2">
      <c r="G446" s="8"/>
      <c r="H446" s="5"/>
      <c r="I446" s="9"/>
      <c r="J446" s="10" t="str">
        <f t="shared" si="45"/>
        <v/>
      </c>
      <c r="K446" s="10" t="str">
        <f t="shared" si="46"/>
        <v/>
      </c>
      <c r="L446" s="11" t="str">
        <f t="shared" si="48"/>
        <v/>
      </c>
      <c r="M446" s="9" t="str">
        <f>IF(G446&lt;&gt;"",J446/MAX(J$3:J446)-1,"")</f>
        <v/>
      </c>
      <c r="N446" s="9" t="str">
        <f>IF(G446&lt;&gt;"",K446/MAX(K$3:K446)-1,"")</f>
        <v/>
      </c>
      <c r="O446" s="16" t="str">
        <f t="shared" si="49"/>
        <v/>
      </c>
      <c r="P446" s="16" t="str">
        <f t="shared" si="49"/>
        <v/>
      </c>
      <c r="Q446" s="16" t="str">
        <f t="shared" si="49"/>
        <v/>
      </c>
      <c r="R446" s="5" t="str">
        <f t="shared" si="54"/>
        <v/>
      </c>
      <c r="S446" s="5" t="str">
        <f t="shared" si="47"/>
        <v/>
      </c>
      <c r="T446" s="5" t="str">
        <f t="shared" si="53"/>
        <v/>
      </c>
      <c r="U446" s="5" t="str">
        <f t="shared" si="53"/>
        <v/>
      </c>
    </row>
    <row r="447" spans="7:21" x14ac:dyDescent="0.2">
      <c r="G447" s="8"/>
      <c r="H447" s="5"/>
      <c r="I447" s="9"/>
      <c r="J447" s="10" t="str">
        <f t="shared" si="45"/>
        <v/>
      </c>
      <c r="K447" s="10" t="str">
        <f t="shared" si="46"/>
        <v/>
      </c>
      <c r="L447" s="11" t="str">
        <f t="shared" si="48"/>
        <v/>
      </c>
      <c r="M447" s="9" t="str">
        <f>IF(G447&lt;&gt;"",J447/MAX(J$3:J447)-1,"")</f>
        <v/>
      </c>
      <c r="N447" s="9" t="str">
        <f>IF(G447&lt;&gt;"",K447/MAX(K$3:K447)-1,"")</f>
        <v/>
      </c>
      <c r="O447" s="16" t="str">
        <f t="shared" si="49"/>
        <v/>
      </c>
      <c r="P447" s="16" t="str">
        <f t="shared" si="49"/>
        <v/>
      </c>
      <c r="Q447" s="16" t="str">
        <f t="shared" si="49"/>
        <v/>
      </c>
      <c r="R447" s="5" t="str">
        <f t="shared" si="54"/>
        <v/>
      </c>
      <c r="S447" s="5" t="str">
        <f t="shared" si="47"/>
        <v/>
      </c>
      <c r="T447" s="5" t="str">
        <f t="shared" si="53"/>
        <v/>
      </c>
      <c r="U447" s="5" t="str">
        <f t="shared" si="53"/>
        <v/>
      </c>
    </row>
    <row r="448" spans="7:21" x14ac:dyDescent="0.2">
      <c r="G448" s="8"/>
      <c r="H448" s="5"/>
      <c r="I448" s="9"/>
      <c r="J448" s="10" t="str">
        <f t="shared" si="45"/>
        <v/>
      </c>
      <c r="K448" s="10" t="str">
        <f t="shared" si="46"/>
        <v/>
      </c>
      <c r="L448" s="11" t="str">
        <f t="shared" si="48"/>
        <v/>
      </c>
      <c r="M448" s="9" t="str">
        <f>IF(G448&lt;&gt;"",J448/MAX(J$3:J448)-1,"")</f>
        <v/>
      </c>
      <c r="N448" s="9" t="str">
        <f>IF(G448&lt;&gt;"",K448/MAX(K$3:K448)-1,"")</f>
        <v/>
      </c>
      <c r="O448" s="16" t="str">
        <f t="shared" si="49"/>
        <v/>
      </c>
      <c r="P448" s="16" t="str">
        <f t="shared" si="49"/>
        <v/>
      </c>
      <c r="Q448" s="16" t="str">
        <f t="shared" si="49"/>
        <v/>
      </c>
      <c r="R448" s="5" t="str">
        <f t="shared" si="54"/>
        <v/>
      </c>
      <c r="S448" s="5" t="str">
        <f t="shared" si="47"/>
        <v/>
      </c>
      <c r="T448" s="5" t="str">
        <f t="shared" si="53"/>
        <v/>
      </c>
      <c r="U448" s="5" t="str">
        <f t="shared" si="53"/>
        <v/>
      </c>
    </row>
    <row r="449" spans="7:21" x14ac:dyDescent="0.2">
      <c r="G449" s="8"/>
      <c r="H449" s="5"/>
      <c r="I449" s="9"/>
      <c r="J449" s="10" t="str">
        <f t="shared" si="45"/>
        <v/>
      </c>
      <c r="K449" s="10" t="str">
        <f t="shared" si="46"/>
        <v/>
      </c>
      <c r="L449" s="11" t="str">
        <f t="shared" si="48"/>
        <v/>
      </c>
      <c r="M449" s="9" t="str">
        <f>IF(G449&lt;&gt;"",J449/MAX(J$3:J449)-1,"")</f>
        <v/>
      </c>
      <c r="N449" s="9" t="str">
        <f>IF(G449&lt;&gt;"",K449/MAX(K$3:K449)-1,"")</f>
        <v/>
      </c>
      <c r="O449" s="16" t="str">
        <f t="shared" si="49"/>
        <v/>
      </c>
      <c r="P449" s="16" t="str">
        <f t="shared" si="49"/>
        <v/>
      </c>
      <c r="Q449" s="16" t="str">
        <f t="shared" si="49"/>
        <v/>
      </c>
      <c r="R449" s="5" t="str">
        <f t="shared" si="54"/>
        <v/>
      </c>
      <c r="S449" s="5" t="str">
        <f t="shared" si="47"/>
        <v/>
      </c>
      <c r="T449" s="5" t="str">
        <f t="shared" si="53"/>
        <v/>
      </c>
      <c r="U449" s="5" t="str">
        <f t="shared" si="53"/>
        <v/>
      </c>
    </row>
    <row r="450" spans="7:21" x14ac:dyDescent="0.2">
      <c r="G450" s="8"/>
      <c r="H450" s="5"/>
      <c r="I450" s="9"/>
      <c r="J450" s="10" t="str">
        <f t="shared" si="45"/>
        <v/>
      </c>
      <c r="K450" s="10" t="str">
        <f t="shared" si="46"/>
        <v/>
      </c>
      <c r="L450" s="11" t="str">
        <f t="shared" si="48"/>
        <v/>
      </c>
      <c r="M450" s="9" t="str">
        <f>IF(G450&lt;&gt;"",J450/MAX(J$3:J450)-1,"")</f>
        <v/>
      </c>
      <c r="N450" s="9" t="str">
        <f>IF(G450&lt;&gt;"",K450/MAX(K$3:K450)-1,"")</f>
        <v/>
      </c>
      <c r="O450" s="16" t="str">
        <f t="shared" si="49"/>
        <v/>
      </c>
      <c r="P450" s="16" t="str">
        <f t="shared" si="49"/>
        <v/>
      </c>
      <c r="Q450" s="16" t="str">
        <f t="shared" si="49"/>
        <v/>
      </c>
      <c r="R450" s="5" t="str">
        <f t="shared" si="54"/>
        <v/>
      </c>
      <c r="S450" s="5" t="str">
        <f t="shared" si="47"/>
        <v/>
      </c>
      <c r="T450" s="5" t="str">
        <f t="shared" si="53"/>
        <v/>
      </c>
      <c r="U450" s="5" t="str">
        <f t="shared" si="53"/>
        <v/>
      </c>
    </row>
    <row r="451" spans="7:21" x14ac:dyDescent="0.2">
      <c r="G451" s="8"/>
      <c r="H451" s="5"/>
      <c r="I451" s="9"/>
      <c r="J451" s="10" t="str">
        <f t="shared" si="45"/>
        <v/>
      </c>
      <c r="K451" s="10" t="str">
        <f t="shared" si="46"/>
        <v/>
      </c>
      <c r="L451" s="11" t="str">
        <f t="shared" si="48"/>
        <v/>
      </c>
      <c r="M451" s="9" t="str">
        <f>IF(G451&lt;&gt;"",J451/MAX(J$3:J451)-1,"")</f>
        <v/>
      </c>
      <c r="N451" s="9" t="str">
        <f>IF(G451&lt;&gt;"",K451/MAX(K$3:K451)-1,"")</f>
        <v/>
      </c>
      <c r="O451" s="16" t="str">
        <f t="shared" si="49"/>
        <v/>
      </c>
      <c r="P451" s="16" t="str">
        <f t="shared" si="49"/>
        <v/>
      </c>
      <c r="Q451" s="16" t="str">
        <f t="shared" si="49"/>
        <v/>
      </c>
      <c r="R451" s="5" t="str">
        <f t="shared" si="54"/>
        <v/>
      </c>
      <c r="S451" s="5" t="str">
        <f t="shared" si="47"/>
        <v/>
      </c>
      <c r="T451" s="5" t="str">
        <f t="shared" si="53"/>
        <v/>
      </c>
      <c r="U451" s="5" t="str">
        <f t="shared" si="53"/>
        <v/>
      </c>
    </row>
    <row r="452" spans="7:21" x14ac:dyDescent="0.2">
      <c r="G452" s="8"/>
      <c r="H452" s="5"/>
      <c r="I452" s="9"/>
      <c r="J452" s="10" t="str">
        <f t="shared" ref="J452:J515" si="55">IF(G452&lt;&gt;"",1+H452,"")</f>
        <v/>
      </c>
      <c r="K452" s="10" t="str">
        <f t="shared" ref="K452:K515" si="56">IF(G452&lt;&gt;"",1+I452,"")</f>
        <v/>
      </c>
      <c r="L452" s="11" t="str">
        <f t="shared" si="48"/>
        <v/>
      </c>
      <c r="M452" s="9" t="str">
        <f>IF(G452&lt;&gt;"",J452/MAX(J$3:J452)-1,"")</f>
        <v/>
      </c>
      <c r="N452" s="9" t="str">
        <f>IF(G452&lt;&gt;"",K452/MAX(K$3:K452)-1,"")</f>
        <v/>
      </c>
      <c r="O452" s="16" t="str">
        <f t="shared" si="49"/>
        <v/>
      </c>
      <c r="P452" s="16" t="str">
        <f t="shared" si="49"/>
        <v/>
      </c>
      <c r="Q452" s="16" t="str">
        <f t="shared" si="49"/>
        <v/>
      </c>
      <c r="R452" s="5" t="str">
        <f t="shared" si="54"/>
        <v/>
      </c>
      <c r="S452" s="5" t="str">
        <f t="shared" ref="S452:S515" si="57">IF(R452&lt;&gt;"",B$12,"")</f>
        <v/>
      </c>
      <c r="T452" s="5" t="str">
        <f t="shared" si="53"/>
        <v/>
      </c>
      <c r="U452" s="5" t="str">
        <f t="shared" si="53"/>
        <v/>
      </c>
    </row>
    <row r="453" spans="7:21" x14ac:dyDescent="0.2">
      <c r="G453" s="8"/>
      <c r="H453" s="5"/>
      <c r="I453" s="9"/>
      <c r="J453" s="10" t="str">
        <f t="shared" si="55"/>
        <v/>
      </c>
      <c r="K453" s="10" t="str">
        <f t="shared" si="56"/>
        <v/>
      </c>
      <c r="L453" s="11" t="str">
        <f t="shared" ref="L453:L516" si="58">IF(G453&lt;&gt;"",J453/K453,"")</f>
        <v/>
      </c>
      <c r="M453" s="9" t="str">
        <f>IF(G453&lt;&gt;"",J453/MAX(J$3:J453)-1,"")</f>
        <v/>
      </c>
      <c r="N453" s="9" t="str">
        <f>IF(G453&lt;&gt;"",K453/MAX(K$3:K453)-1,"")</f>
        <v/>
      </c>
      <c r="O453" s="16" t="str">
        <f t="shared" ref="O453:Q516" si="59">IF($G453&lt;&gt;"",J453/J452-1,"")</f>
        <v/>
      </c>
      <c r="P453" s="16" t="str">
        <f t="shared" si="59"/>
        <v/>
      </c>
      <c r="Q453" s="16" t="str">
        <f t="shared" si="59"/>
        <v/>
      </c>
      <c r="R453" s="5" t="str">
        <f t="shared" si="54"/>
        <v/>
      </c>
      <c r="S453" s="5" t="str">
        <f t="shared" si="57"/>
        <v/>
      </c>
      <c r="T453" s="5" t="str">
        <f t="shared" si="53"/>
        <v/>
      </c>
      <c r="U453" s="5" t="str">
        <f t="shared" si="53"/>
        <v/>
      </c>
    </row>
    <row r="454" spans="7:21" x14ac:dyDescent="0.2">
      <c r="G454" s="8"/>
      <c r="H454" s="5"/>
      <c r="I454" s="9"/>
      <c r="J454" s="10" t="str">
        <f t="shared" si="55"/>
        <v/>
      </c>
      <c r="K454" s="10" t="str">
        <f t="shared" si="56"/>
        <v/>
      </c>
      <c r="L454" s="11" t="str">
        <f t="shared" si="58"/>
        <v/>
      </c>
      <c r="M454" s="9" t="str">
        <f>IF(G454&lt;&gt;"",J454/MAX(J$3:J454)-1,"")</f>
        <v/>
      </c>
      <c r="N454" s="9" t="str">
        <f>IF(G454&lt;&gt;"",K454/MAX(K$3:K454)-1,"")</f>
        <v/>
      </c>
      <c r="O454" s="16" t="str">
        <f t="shared" si="59"/>
        <v/>
      </c>
      <c r="P454" s="16" t="str">
        <f t="shared" si="59"/>
        <v/>
      </c>
      <c r="Q454" s="16" t="str">
        <f t="shared" si="59"/>
        <v/>
      </c>
      <c r="R454" s="5" t="str">
        <f t="shared" si="54"/>
        <v/>
      </c>
      <c r="S454" s="5" t="str">
        <f t="shared" si="57"/>
        <v/>
      </c>
      <c r="T454" s="5" t="str">
        <f t="shared" si="53"/>
        <v/>
      </c>
      <c r="U454" s="5" t="str">
        <f t="shared" si="53"/>
        <v/>
      </c>
    </row>
    <row r="455" spans="7:21" x14ac:dyDescent="0.2">
      <c r="G455" s="8"/>
      <c r="H455" s="5"/>
      <c r="I455" s="9"/>
      <c r="J455" s="10" t="str">
        <f t="shared" si="55"/>
        <v/>
      </c>
      <c r="K455" s="10" t="str">
        <f t="shared" si="56"/>
        <v/>
      </c>
      <c r="L455" s="11" t="str">
        <f t="shared" si="58"/>
        <v/>
      </c>
      <c r="M455" s="9" t="str">
        <f>IF(G455&lt;&gt;"",J455/MAX(J$3:J455)-1,"")</f>
        <v/>
      </c>
      <c r="N455" s="9" t="str">
        <f>IF(G455&lt;&gt;"",K455/MAX(K$3:K455)-1,"")</f>
        <v/>
      </c>
      <c r="O455" s="16" t="str">
        <f t="shared" si="59"/>
        <v/>
      </c>
      <c r="P455" s="16" t="str">
        <f t="shared" si="59"/>
        <v/>
      </c>
      <c r="Q455" s="16" t="str">
        <f t="shared" si="59"/>
        <v/>
      </c>
      <c r="R455" s="5" t="str">
        <f t="shared" si="54"/>
        <v/>
      </c>
      <c r="S455" s="5" t="str">
        <f t="shared" si="57"/>
        <v/>
      </c>
      <c r="T455" s="5" t="str">
        <f t="shared" si="53"/>
        <v/>
      </c>
      <c r="U455" s="5" t="str">
        <f t="shared" si="53"/>
        <v/>
      </c>
    </row>
    <row r="456" spans="7:21" x14ac:dyDescent="0.2">
      <c r="G456" s="8"/>
      <c r="H456" s="5"/>
      <c r="I456" s="9"/>
      <c r="J456" s="10" t="str">
        <f t="shared" si="55"/>
        <v/>
      </c>
      <c r="K456" s="10" t="str">
        <f t="shared" si="56"/>
        <v/>
      </c>
      <c r="L456" s="11" t="str">
        <f t="shared" si="58"/>
        <v/>
      </c>
      <c r="M456" s="9" t="str">
        <f>IF(G456&lt;&gt;"",J456/MAX(J$3:J456)-1,"")</f>
        <v/>
      </c>
      <c r="N456" s="9" t="str">
        <f>IF(G456&lt;&gt;"",K456/MAX(K$3:K456)-1,"")</f>
        <v/>
      </c>
      <c r="O456" s="16" t="str">
        <f t="shared" si="59"/>
        <v/>
      </c>
      <c r="P456" s="16" t="str">
        <f t="shared" si="59"/>
        <v/>
      </c>
      <c r="Q456" s="16" t="str">
        <f t="shared" si="59"/>
        <v/>
      </c>
      <c r="R456" s="5" t="str">
        <f t="shared" si="54"/>
        <v/>
      </c>
      <c r="S456" s="5" t="str">
        <f t="shared" si="57"/>
        <v/>
      </c>
      <c r="T456" s="5" t="str">
        <f t="shared" ref="T456:U471" si="60">IF($G456&lt;&gt;"",_xlfn.STDEV.S(O212:O456),"")</f>
        <v/>
      </c>
      <c r="U456" s="5" t="str">
        <f t="shared" si="60"/>
        <v/>
      </c>
    </row>
    <row r="457" spans="7:21" x14ac:dyDescent="0.2">
      <c r="G457" s="8"/>
      <c r="H457" s="5"/>
      <c r="I457" s="9"/>
      <c r="J457" s="10" t="str">
        <f t="shared" si="55"/>
        <v/>
      </c>
      <c r="K457" s="10" t="str">
        <f t="shared" si="56"/>
        <v/>
      </c>
      <c r="L457" s="11" t="str">
        <f t="shared" si="58"/>
        <v/>
      </c>
      <c r="M457" s="9" t="str">
        <f>IF(G457&lt;&gt;"",J457/MAX(J$3:J457)-1,"")</f>
        <v/>
      </c>
      <c r="N457" s="9" t="str">
        <f>IF(G457&lt;&gt;"",K457/MAX(K$3:K457)-1,"")</f>
        <v/>
      </c>
      <c r="O457" s="16" t="str">
        <f t="shared" si="59"/>
        <v/>
      </c>
      <c r="P457" s="16" t="str">
        <f t="shared" si="59"/>
        <v/>
      </c>
      <c r="Q457" s="16" t="str">
        <f t="shared" si="59"/>
        <v/>
      </c>
      <c r="R457" s="5" t="str">
        <f t="shared" si="54"/>
        <v/>
      </c>
      <c r="S457" s="5" t="str">
        <f t="shared" si="57"/>
        <v/>
      </c>
      <c r="T457" s="5" t="str">
        <f t="shared" si="60"/>
        <v/>
      </c>
      <c r="U457" s="5" t="str">
        <f t="shared" si="60"/>
        <v/>
      </c>
    </row>
    <row r="458" spans="7:21" x14ac:dyDescent="0.2">
      <c r="G458" s="8"/>
      <c r="H458" s="5"/>
      <c r="I458" s="9"/>
      <c r="J458" s="10" t="str">
        <f t="shared" si="55"/>
        <v/>
      </c>
      <c r="K458" s="10" t="str">
        <f t="shared" si="56"/>
        <v/>
      </c>
      <c r="L458" s="11" t="str">
        <f t="shared" si="58"/>
        <v/>
      </c>
      <c r="M458" s="9" t="str">
        <f>IF(G458&lt;&gt;"",J458/MAX(J$3:J458)-1,"")</f>
        <v/>
      </c>
      <c r="N458" s="9" t="str">
        <f>IF(G458&lt;&gt;"",K458/MAX(K$3:K458)-1,"")</f>
        <v/>
      </c>
      <c r="O458" s="16" t="str">
        <f t="shared" si="59"/>
        <v/>
      </c>
      <c r="P458" s="16" t="str">
        <f t="shared" si="59"/>
        <v/>
      </c>
      <c r="Q458" s="16" t="str">
        <f t="shared" si="59"/>
        <v/>
      </c>
      <c r="R458" s="5" t="str">
        <f t="shared" si="54"/>
        <v/>
      </c>
      <c r="S458" s="5" t="str">
        <f t="shared" si="57"/>
        <v/>
      </c>
      <c r="T458" s="5" t="str">
        <f t="shared" si="60"/>
        <v/>
      </c>
      <c r="U458" s="5" t="str">
        <f t="shared" si="60"/>
        <v/>
      </c>
    </row>
    <row r="459" spans="7:21" x14ac:dyDescent="0.2">
      <c r="G459" s="8"/>
      <c r="H459" s="5"/>
      <c r="I459" s="9"/>
      <c r="J459" s="10" t="str">
        <f t="shared" si="55"/>
        <v/>
      </c>
      <c r="K459" s="10" t="str">
        <f t="shared" si="56"/>
        <v/>
      </c>
      <c r="L459" s="11" t="str">
        <f t="shared" si="58"/>
        <v/>
      </c>
      <c r="M459" s="9" t="str">
        <f>IF(G459&lt;&gt;"",J459/MAX(J$3:J459)-1,"")</f>
        <v/>
      </c>
      <c r="N459" s="9" t="str">
        <f>IF(G459&lt;&gt;"",K459/MAX(K$3:K459)-1,"")</f>
        <v/>
      </c>
      <c r="O459" s="16" t="str">
        <f t="shared" si="59"/>
        <v/>
      </c>
      <c r="P459" s="16" t="str">
        <f t="shared" si="59"/>
        <v/>
      </c>
      <c r="Q459" s="16" t="str">
        <f t="shared" si="59"/>
        <v/>
      </c>
      <c r="R459" s="5" t="str">
        <f t="shared" si="54"/>
        <v/>
      </c>
      <c r="S459" s="5" t="str">
        <f t="shared" si="57"/>
        <v/>
      </c>
      <c r="T459" s="5" t="str">
        <f t="shared" si="60"/>
        <v/>
      </c>
      <c r="U459" s="5" t="str">
        <f t="shared" si="60"/>
        <v/>
      </c>
    </row>
    <row r="460" spans="7:21" x14ac:dyDescent="0.2">
      <c r="G460" s="8"/>
      <c r="H460" s="5"/>
      <c r="I460" s="9"/>
      <c r="J460" s="10" t="str">
        <f t="shared" si="55"/>
        <v/>
      </c>
      <c r="K460" s="10" t="str">
        <f t="shared" si="56"/>
        <v/>
      </c>
      <c r="L460" s="11" t="str">
        <f t="shared" si="58"/>
        <v/>
      </c>
      <c r="M460" s="9" t="str">
        <f>IF(G460&lt;&gt;"",J460/MAX(J$3:J460)-1,"")</f>
        <v/>
      </c>
      <c r="N460" s="9" t="str">
        <f>IF(G460&lt;&gt;"",K460/MAX(K$3:K460)-1,"")</f>
        <v/>
      </c>
      <c r="O460" s="16" t="str">
        <f t="shared" si="59"/>
        <v/>
      </c>
      <c r="P460" s="16" t="str">
        <f t="shared" si="59"/>
        <v/>
      </c>
      <c r="Q460" s="16" t="str">
        <f t="shared" si="59"/>
        <v/>
      </c>
      <c r="R460" s="5" t="str">
        <f t="shared" si="54"/>
        <v/>
      </c>
      <c r="S460" s="5" t="str">
        <f t="shared" si="57"/>
        <v/>
      </c>
      <c r="T460" s="5" t="str">
        <f t="shared" si="60"/>
        <v/>
      </c>
      <c r="U460" s="5" t="str">
        <f t="shared" si="60"/>
        <v/>
      </c>
    </row>
    <row r="461" spans="7:21" x14ac:dyDescent="0.2">
      <c r="G461" s="8"/>
      <c r="H461" s="5"/>
      <c r="I461" s="9"/>
      <c r="J461" s="10" t="str">
        <f t="shared" si="55"/>
        <v/>
      </c>
      <c r="K461" s="10" t="str">
        <f t="shared" si="56"/>
        <v/>
      </c>
      <c r="L461" s="11" t="str">
        <f t="shared" si="58"/>
        <v/>
      </c>
      <c r="M461" s="9" t="str">
        <f>IF(G461&lt;&gt;"",J461/MAX(J$3:J461)-1,"")</f>
        <v/>
      </c>
      <c r="N461" s="9" t="str">
        <f>IF(G461&lt;&gt;"",K461/MAX(K$3:K461)-1,"")</f>
        <v/>
      </c>
      <c r="O461" s="16" t="str">
        <f t="shared" si="59"/>
        <v/>
      </c>
      <c r="P461" s="16" t="str">
        <f t="shared" si="59"/>
        <v/>
      </c>
      <c r="Q461" s="16" t="str">
        <f t="shared" si="59"/>
        <v/>
      </c>
      <c r="R461" s="5" t="str">
        <f t="shared" si="54"/>
        <v/>
      </c>
      <c r="S461" s="5" t="str">
        <f t="shared" si="57"/>
        <v/>
      </c>
      <c r="T461" s="5" t="str">
        <f t="shared" si="60"/>
        <v/>
      </c>
      <c r="U461" s="5" t="str">
        <f t="shared" si="60"/>
        <v/>
      </c>
    </row>
    <row r="462" spans="7:21" x14ac:dyDescent="0.2">
      <c r="G462" s="8"/>
      <c r="H462" s="5"/>
      <c r="I462" s="9"/>
      <c r="J462" s="10" t="str">
        <f t="shared" si="55"/>
        <v/>
      </c>
      <c r="K462" s="10" t="str">
        <f t="shared" si="56"/>
        <v/>
      </c>
      <c r="L462" s="11" t="str">
        <f t="shared" si="58"/>
        <v/>
      </c>
      <c r="M462" s="9" t="str">
        <f>IF(G462&lt;&gt;"",J462/MAX(J$3:J462)-1,"")</f>
        <v/>
      </c>
      <c r="N462" s="9" t="str">
        <f>IF(G462&lt;&gt;"",K462/MAX(K$3:K462)-1,"")</f>
        <v/>
      </c>
      <c r="O462" s="16" t="str">
        <f t="shared" si="59"/>
        <v/>
      </c>
      <c r="P462" s="16" t="str">
        <f t="shared" si="59"/>
        <v/>
      </c>
      <c r="Q462" s="16" t="str">
        <f t="shared" si="59"/>
        <v/>
      </c>
      <c r="R462" s="5" t="str">
        <f t="shared" si="54"/>
        <v/>
      </c>
      <c r="S462" s="5" t="str">
        <f t="shared" si="57"/>
        <v/>
      </c>
      <c r="T462" s="5" t="str">
        <f t="shared" si="60"/>
        <v/>
      </c>
      <c r="U462" s="5" t="str">
        <f t="shared" si="60"/>
        <v/>
      </c>
    </row>
    <row r="463" spans="7:21" x14ac:dyDescent="0.2">
      <c r="G463" s="8"/>
      <c r="H463" s="5"/>
      <c r="I463" s="9"/>
      <c r="J463" s="10" t="str">
        <f t="shared" si="55"/>
        <v/>
      </c>
      <c r="K463" s="10" t="str">
        <f t="shared" si="56"/>
        <v/>
      </c>
      <c r="L463" s="11" t="str">
        <f t="shared" si="58"/>
        <v/>
      </c>
      <c r="M463" s="9" t="str">
        <f>IF(G463&lt;&gt;"",J463/MAX(J$3:J463)-1,"")</f>
        <v/>
      </c>
      <c r="N463" s="9" t="str">
        <f>IF(G463&lt;&gt;"",K463/MAX(K$3:K463)-1,"")</f>
        <v/>
      </c>
      <c r="O463" s="16" t="str">
        <f t="shared" si="59"/>
        <v/>
      </c>
      <c r="P463" s="16" t="str">
        <f t="shared" si="59"/>
        <v/>
      </c>
      <c r="Q463" s="16" t="str">
        <f t="shared" si="59"/>
        <v/>
      </c>
      <c r="R463" s="5" t="str">
        <f t="shared" si="54"/>
        <v/>
      </c>
      <c r="S463" s="5" t="str">
        <f t="shared" si="57"/>
        <v/>
      </c>
      <c r="T463" s="5" t="str">
        <f t="shared" si="60"/>
        <v/>
      </c>
      <c r="U463" s="5" t="str">
        <f t="shared" si="60"/>
        <v/>
      </c>
    </row>
    <row r="464" spans="7:21" x14ac:dyDescent="0.2">
      <c r="G464" s="8"/>
      <c r="H464" s="5"/>
      <c r="I464" s="9"/>
      <c r="J464" s="10" t="str">
        <f t="shared" si="55"/>
        <v/>
      </c>
      <c r="K464" s="10" t="str">
        <f t="shared" si="56"/>
        <v/>
      </c>
      <c r="L464" s="11" t="str">
        <f t="shared" si="58"/>
        <v/>
      </c>
      <c r="M464" s="9" t="str">
        <f>IF(G464&lt;&gt;"",J464/MAX(J$3:J464)-1,"")</f>
        <v/>
      </c>
      <c r="N464" s="9" t="str">
        <f>IF(G464&lt;&gt;"",K464/MAX(K$3:K464)-1,"")</f>
        <v/>
      </c>
      <c r="O464" s="16" t="str">
        <f t="shared" si="59"/>
        <v/>
      </c>
      <c r="P464" s="16" t="str">
        <f t="shared" si="59"/>
        <v/>
      </c>
      <c r="Q464" s="16" t="str">
        <f t="shared" si="59"/>
        <v/>
      </c>
      <c r="R464" s="5" t="str">
        <f t="shared" si="54"/>
        <v/>
      </c>
      <c r="S464" s="5" t="str">
        <f t="shared" si="57"/>
        <v/>
      </c>
      <c r="T464" s="5" t="str">
        <f t="shared" si="60"/>
        <v/>
      </c>
      <c r="U464" s="5" t="str">
        <f t="shared" si="60"/>
        <v/>
      </c>
    </row>
    <row r="465" spans="7:21" x14ac:dyDescent="0.2">
      <c r="G465" s="8"/>
      <c r="H465" s="5"/>
      <c r="I465" s="9"/>
      <c r="J465" s="10" t="str">
        <f t="shared" si="55"/>
        <v/>
      </c>
      <c r="K465" s="10" t="str">
        <f t="shared" si="56"/>
        <v/>
      </c>
      <c r="L465" s="11" t="str">
        <f t="shared" si="58"/>
        <v/>
      </c>
      <c r="M465" s="9" t="str">
        <f>IF(G465&lt;&gt;"",J465/MAX(J$3:J465)-1,"")</f>
        <v/>
      </c>
      <c r="N465" s="9" t="str">
        <f>IF(G465&lt;&gt;"",K465/MAX(K$3:K465)-1,"")</f>
        <v/>
      </c>
      <c r="O465" s="16" t="str">
        <f t="shared" si="59"/>
        <v/>
      </c>
      <c r="P465" s="16" t="str">
        <f t="shared" si="59"/>
        <v/>
      </c>
      <c r="Q465" s="16" t="str">
        <f t="shared" si="59"/>
        <v/>
      </c>
      <c r="R465" s="5" t="str">
        <f t="shared" si="54"/>
        <v/>
      </c>
      <c r="S465" s="5" t="str">
        <f t="shared" si="57"/>
        <v/>
      </c>
      <c r="T465" s="5" t="str">
        <f t="shared" si="60"/>
        <v/>
      </c>
      <c r="U465" s="5" t="str">
        <f t="shared" si="60"/>
        <v/>
      </c>
    </row>
    <row r="466" spans="7:21" x14ac:dyDescent="0.2">
      <c r="G466" s="8"/>
      <c r="H466" s="5"/>
      <c r="I466" s="9"/>
      <c r="J466" s="10" t="str">
        <f t="shared" si="55"/>
        <v/>
      </c>
      <c r="K466" s="10" t="str">
        <f t="shared" si="56"/>
        <v/>
      </c>
      <c r="L466" s="11" t="str">
        <f t="shared" si="58"/>
        <v/>
      </c>
      <c r="M466" s="9" t="str">
        <f>IF(G466&lt;&gt;"",J466/MAX(J$3:J466)-1,"")</f>
        <v/>
      </c>
      <c r="N466" s="9" t="str">
        <f>IF(G466&lt;&gt;"",K466/MAX(K$3:K466)-1,"")</f>
        <v/>
      </c>
      <c r="O466" s="16" t="str">
        <f t="shared" si="59"/>
        <v/>
      </c>
      <c r="P466" s="16" t="str">
        <f t="shared" si="59"/>
        <v/>
      </c>
      <c r="Q466" s="16" t="str">
        <f t="shared" si="59"/>
        <v/>
      </c>
      <c r="R466" s="5" t="str">
        <f t="shared" si="54"/>
        <v/>
      </c>
      <c r="S466" s="5" t="str">
        <f t="shared" si="57"/>
        <v/>
      </c>
      <c r="T466" s="5" t="str">
        <f t="shared" si="60"/>
        <v/>
      </c>
      <c r="U466" s="5" t="str">
        <f t="shared" si="60"/>
        <v/>
      </c>
    </row>
    <row r="467" spans="7:21" x14ac:dyDescent="0.2">
      <c r="G467" s="8"/>
      <c r="H467" s="5"/>
      <c r="I467" s="9"/>
      <c r="J467" s="10" t="str">
        <f t="shared" si="55"/>
        <v/>
      </c>
      <c r="K467" s="10" t="str">
        <f t="shared" si="56"/>
        <v/>
      </c>
      <c r="L467" s="11" t="str">
        <f t="shared" si="58"/>
        <v/>
      </c>
      <c r="M467" s="9" t="str">
        <f>IF(G467&lt;&gt;"",J467/MAX(J$3:J467)-1,"")</f>
        <v/>
      </c>
      <c r="N467" s="9" t="str">
        <f>IF(G467&lt;&gt;"",K467/MAX(K$3:K467)-1,"")</f>
        <v/>
      </c>
      <c r="O467" s="16" t="str">
        <f t="shared" si="59"/>
        <v/>
      </c>
      <c r="P467" s="16" t="str">
        <f t="shared" si="59"/>
        <v/>
      </c>
      <c r="Q467" s="16" t="str">
        <f t="shared" si="59"/>
        <v/>
      </c>
      <c r="R467" s="5" t="str">
        <f t="shared" si="54"/>
        <v/>
      </c>
      <c r="S467" s="5" t="str">
        <f t="shared" si="57"/>
        <v/>
      </c>
      <c r="T467" s="5" t="str">
        <f t="shared" si="60"/>
        <v/>
      </c>
      <c r="U467" s="5" t="str">
        <f t="shared" si="60"/>
        <v/>
      </c>
    </row>
    <row r="468" spans="7:21" x14ac:dyDescent="0.2">
      <c r="G468" s="8"/>
      <c r="H468" s="5"/>
      <c r="I468" s="9"/>
      <c r="J468" s="10" t="str">
        <f t="shared" si="55"/>
        <v/>
      </c>
      <c r="K468" s="10" t="str">
        <f t="shared" si="56"/>
        <v/>
      </c>
      <c r="L468" s="11" t="str">
        <f t="shared" si="58"/>
        <v/>
      </c>
      <c r="M468" s="9" t="str">
        <f>IF(G468&lt;&gt;"",J468/MAX(J$3:J468)-1,"")</f>
        <v/>
      </c>
      <c r="N468" s="9" t="str">
        <f>IF(G468&lt;&gt;"",K468/MAX(K$3:K468)-1,"")</f>
        <v/>
      </c>
      <c r="O468" s="16" t="str">
        <f t="shared" si="59"/>
        <v/>
      </c>
      <c r="P468" s="16" t="str">
        <f t="shared" si="59"/>
        <v/>
      </c>
      <c r="Q468" s="16" t="str">
        <f t="shared" si="59"/>
        <v/>
      </c>
      <c r="R468" s="5" t="str">
        <f t="shared" si="54"/>
        <v/>
      </c>
      <c r="S468" s="5" t="str">
        <f t="shared" si="57"/>
        <v/>
      </c>
      <c r="T468" s="5" t="str">
        <f t="shared" si="60"/>
        <v/>
      </c>
      <c r="U468" s="5" t="str">
        <f t="shared" si="60"/>
        <v/>
      </c>
    </row>
    <row r="469" spans="7:21" x14ac:dyDescent="0.2">
      <c r="G469" s="8"/>
      <c r="H469" s="5"/>
      <c r="I469" s="9"/>
      <c r="J469" s="10" t="str">
        <f t="shared" si="55"/>
        <v/>
      </c>
      <c r="K469" s="10" t="str">
        <f t="shared" si="56"/>
        <v/>
      </c>
      <c r="L469" s="11" t="str">
        <f t="shared" si="58"/>
        <v/>
      </c>
      <c r="M469" s="9" t="str">
        <f>IF(G469&lt;&gt;"",J469/MAX(J$3:J469)-1,"")</f>
        <v/>
      </c>
      <c r="N469" s="9" t="str">
        <f>IF(G469&lt;&gt;"",K469/MAX(K$3:K469)-1,"")</f>
        <v/>
      </c>
      <c r="O469" s="16" t="str">
        <f t="shared" si="59"/>
        <v/>
      </c>
      <c r="P469" s="16" t="str">
        <f t="shared" si="59"/>
        <v/>
      </c>
      <c r="Q469" s="16" t="str">
        <f t="shared" si="59"/>
        <v/>
      </c>
      <c r="R469" s="5" t="str">
        <f t="shared" si="54"/>
        <v/>
      </c>
      <c r="S469" s="5" t="str">
        <f t="shared" si="57"/>
        <v/>
      </c>
      <c r="T469" s="5" t="str">
        <f t="shared" si="60"/>
        <v/>
      </c>
      <c r="U469" s="5" t="str">
        <f t="shared" si="60"/>
        <v/>
      </c>
    </row>
    <row r="470" spans="7:21" x14ac:dyDescent="0.2">
      <c r="G470" s="8"/>
      <c r="H470" s="5"/>
      <c r="I470" s="9"/>
      <c r="J470" s="10" t="str">
        <f t="shared" si="55"/>
        <v/>
      </c>
      <c r="K470" s="10" t="str">
        <f t="shared" si="56"/>
        <v/>
      </c>
      <c r="L470" s="11" t="str">
        <f t="shared" si="58"/>
        <v/>
      </c>
      <c r="M470" s="9" t="str">
        <f>IF(G470&lt;&gt;"",J470/MAX(J$3:J470)-1,"")</f>
        <v/>
      </c>
      <c r="N470" s="9" t="str">
        <f>IF(G470&lt;&gt;"",K470/MAX(K$3:K470)-1,"")</f>
        <v/>
      </c>
      <c r="O470" s="16" t="str">
        <f t="shared" si="59"/>
        <v/>
      </c>
      <c r="P470" s="16" t="str">
        <f t="shared" si="59"/>
        <v/>
      </c>
      <c r="Q470" s="16" t="str">
        <f t="shared" si="59"/>
        <v/>
      </c>
      <c r="R470" s="5" t="str">
        <f t="shared" si="54"/>
        <v/>
      </c>
      <c r="S470" s="5" t="str">
        <f t="shared" si="57"/>
        <v/>
      </c>
      <c r="T470" s="5" t="str">
        <f t="shared" si="60"/>
        <v/>
      </c>
      <c r="U470" s="5" t="str">
        <f t="shared" si="60"/>
        <v/>
      </c>
    </row>
    <row r="471" spans="7:21" x14ac:dyDescent="0.2">
      <c r="G471" s="8"/>
      <c r="H471" s="5"/>
      <c r="I471" s="9"/>
      <c r="J471" s="10" t="str">
        <f t="shared" si="55"/>
        <v/>
      </c>
      <c r="K471" s="10" t="str">
        <f t="shared" si="56"/>
        <v/>
      </c>
      <c r="L471" s="11" t="str">
        <f t="shared" si="58"/>
        <v/>
      </c>
      <c r="M471" s="9" t="str">
        <f>IF(G471&lt;&gt;"",J471/MAX(J$3:J471)-1,"")</f>
        <v/>
      </c>
      <c r="N471" s="9" t="str">
        <f>IF(G471&lt;&gt;"",K471/MAX(K$3:K471)-1,"")</f>
        <v/>
      </c>
      <c r="O471" s="16" t="str">
        <f t="shared" si="59"/>
        <v/>
      </c>
      <c r="P471" s="16" t="str">
        <f t="shared" si="59"/>
        <v/>
      </c>
      <c r="Q471" s="16" t="str">
        <f t="shared" si="59"/>
        <v/>
      </c>
      <c r="R471" s="5" t="str">
        <f t="shared" si="54"/>
        <v/>
      </c>
      <c r="S471" s="5" t="str">
        <f t="shared" si="57"/>
        <v/>
      </c>
      <c r="T471" s="5" t="str">
        <f t="shared" si="60"/>
        <v/>
      </c>
      <c r="U471" s="5" t="str">
        <f t="shared" si="60"/>
        <v/>
      </c>
    </row>
    <row r="472" spans="7:21" x14ac:dyDescent="0.2">
      <c r="G472" s="8"/>
      <c r="H472" s="5"/>
      <c r="I472" s="9"/>
      <c r="J472" s="10" t="str">
        <f t="shared" si="55"/>
        <v/>
      </c>
      <c r="K472" s="10" t="str">
        <f t="shared" si="56"/>
        <v/>
      </c>
      <c r="L472" s="11" t="str">
        <f t="shared" si="58"/>
        <v/>
      </c>
      <c r="M472" s="9" t="str">
        <f>IF(G472&lt;&gt;"",J472/MAX(J$3:J472)-1,"")</f>
        <v/>
      </c>
      <c r="N472" s="9" t="str">
        <f>IF(G472&lt;&gt;"",K472/MAX(K$3:K472)-1,"")</f>
        <v/>
      </c>
      <c r="O472" s="16" t="str">
        <f t="shared" si="59"/>
        <v/>
      </c>
      <c r="P472" s="16" t="str">
        <f t="shared" si="59"/>
        <v/>
      </c>
      <c r="Q472" s="16" t="str">
        <f t="shared" si="59"/>
        <v/>
      </c>
      <c r="R472" s="5" t="str">
        <f t="shared" si="54"/>
        <v/>
      </c>
      <c r="S472" s="5" t="str">
        <f t="shared" si="57"/>
        <v/>
      </c>
      <c r="T472" s="5" t="str">
        <f t="shared" ref="T472:U487" si="61">IF($G472&lt;&gt;"",_xlfn.STDEV.S(O228:O472),"")</f>
        <v/>
      </c>
      <c r="U472" s="5" t="str">
        <f t="shared" si="61"/>
        <v/>
      </c>
    </row>
    <row r="473" spans="7:21" x14ac:dyDescent="0.2">
      <c r="G473" s="8"/>
      <c r="H473" s="5"/>
      <c r="I473" s="9"/>
      <c r="J473" s="10" t="str">
        <f t="shared" si="55"/>
        <v/>
      </c>
      <c r="K473" s="10" t="str">
        <f t="shared" si="56"/>
        <v/>
      </c>
      <c r="L473" s="11" t="str">
        <f t="shared" si="58"/>
        <v/>
      </c>
      <c r="M473" s="9" t="str">
        <f>IF(G473&lt;&gt;"",J473/MAX(J$3:J473)-1,"")</f>
        <v/>
      </c>
      <c r="N473" s="9" t="str">
        <f>IF(G473&lt;&gt;"",K473/MAX(K$3:K473)-1,"")</f>
        <v/>
      </c>
      <c r="O473" s="16" t="str">
        <f t="shared" si="59"/>
        <v/>
      </c>
      <c r="P473" s="16" t="str">
        <f t="shared" si="59"/>
        <v/>
      </c>
      <c r="Q473" s="16" t="str">
        <f t="shared" si="59"/>
        <v/>
      </c>
      <c r="R473" s="5" t="str">
        <f t="shared" si="54"/>
        <v/>
      </c>
      <c r="S473" s="5" t="str">
        <f t="shared" si="57"/>
        <v/>
      </c>
      <c r="T473" s="5" t="str">
        <f t="shared" si="61"/>
        <v/>
      </c>
      <c r="U473" s="5" t="str">
        <f t="shared" si="61"/>
        <v/>
      </c>
    </row>
    <row r="474" spans="7:21" x14ac:dyDescent="0.2">
      <c r="G474" s="8"/>
      <c r="H474" s="5"/>
      <c r="I474" s="9"/>
      <c r="J474" s="10" t="str">
        <f t="shared" si="55"/>
        <v/>
      </c>
      <c r="K474" s="10" t="str">
        <f t="shared" si="56"/>
        <v/>
      </c>
      <c r="L474" s="11" t="str">
        <f t="shared" si="58"/>
        <v/>
      </c>
      <c r="M474" s="9" t="str">
        <f>IF(G474&lt;&gt;"",J474/MAX(J$3:J474)-1,"")</f>
        <v/>
      </c>
      <c r="N474" s="9" t="str">
        <f>IF(G474&lt;&gt;"",K474/MAX(K$3:K474)-1,"")</f>
        <v/>
      </c>
      <c r="O474" s="16" t="str">
        <f t="shared" si="59"/>
        <v/>
      </c>
      <c r="P474" s="16" t="str">
        <f t="shared" si="59"/>
        <v/>
      </c>
      <c r="Q474" s="16" t="str">
        <f t="shared" si="59"/>
        <v/>
      </c>
      <c r="R474" s="5" t="str">
        <f t="shared" si="54"/>
        <v/>
      </c>
      <c r="S474" s="5" t="str">
        <f t="shared" si="57"/>
        <v/>
      </c>
      <c r="T474" s="5" t="str">
        <f t="shared" si="61"/>
        <v/>
      </c>
      <c r="U474" s="5" t="str">
        <f t="shared" si="61"/>
        <v/>
      </c>
    </row>
    <row r="475" spans="7:21" x14ac:dyDescent="0.2">
      <c r="G475" s="8"/>
      <c r="H475" s="5"/>
      <c r="I475" s="9"/>
      <c r="J475" s="10" t="str">
        <f t="shared" si="55"/>
        <v/>
      </c>
      <c r="K475" s="10" t="str">
        <f t="shared" si="56"/>
        <v/>
      </c>
      <c r="L475" s="11" t="str">
        <f t="shared" si="58"/>
        <v/>
      </c>
      <c r="M475" s="9" t="str">
        <f>IF(G475&lt;&gt;"",J475/MAX(J$3:J475)-1,"")</f>
        <v/>
      </c>
      <c r="N475" s="9" t="str">
        <f>IF(G475&lt;&gt;"",K475/MAX(K$3:K475)-1,"")</f>
        <v/>
      </c>
      <c r="O475" s="16" t="str">
        <f t="shared" si="59"/>
        <v/>
      </c>
      <c r="P475" s="16" t="str">
        <f t="shared" si="59"/>
        <v/>
      </c>
      <c r="Q475" s="16" t="str">
        <f t="shared" si="59"/>
        <v/>
      </c>
      <c r="R475" s="5" t="str">
        <f t="shared" si="54"/>
        <v/>
      </c>
      <c r="S475" s="5" t="str">
        <f t="shared" si="57"/>
        <v/>
      </c>
      <c r="T475" s="5" t="str">
        <f t="shared" si="61"/>
        <v/>
      </c>
      <c r="U475" s="5" t="str">
        <f t="shared" si="61"/>
        <v/>
      </c>
    </row>
    <row r="476" spans="7:21" x14ac:dyDescent="0.2">
      <c r="G476" s="8"/>
      <c r="H476" s="5"/>
      <c r="I476" s="9"/>
      <c r="J476" s="10" t="str">
        <f t="shared" si="55"/>
        <v/>
      </c>
      <c r="K476" s="10" t="str">
        <f t="shared" si="56"/>
        <v/>
      </c>
      <c r="L476" s="11" t="str">
        <f t="shared" si="58"/>
        <v/>
      </c>
      <c r="M476" s="9" t="str">
        <f>IF(G476&lt;&gt;"",J476/MAX(J$3:J476)-1,"")</f>
        <v/>
      </c>
      <c r="N476" s="9" t="str">
        <f>IF(G476&lt;&gt;"",K476/MAX(K$3:K476)-1,"")</f>
        <v/>
      </c>
      <c r="O476" s="16" t="str">
        <f t="shared" si="59"/>
        <v/>
      </c>
      <c r="P476" s="16" t="str">
        <f t="shared" si="59"/>
        <v/>
      </c>
      <c r="Q476" s="16" t="str">
        <f t="shared" si="59"/>
        <v/>
      </c>
      <c r="R476" s="5" t="str">
        <f t="shared" si="54"/>
        <v/>
      </c>
      <c r="S476" s="5" t="str">
        <f t="shared" si="57"/>
        <v/>
      </c>
      <c r="T476" s="5" t="str">
        <f t="shared" si="61"/>
        <v/>
      </c>
      <c r="U476" s="5" t="str">
        <f t="shared" si="61"/>
        <v/>
      </c>
    </row>
    <row r="477" spans="7:21" x14ac:dyDescent="0.2">
      <c r="G477" s="8"/>
      <c r="H477" s="5"/>
      <c r="I477" s="9"/>
      <c r="J477" s="10" t="str">
        <f t="shared" si="55"/>
        <v/>
      </c>
      <c r="K477" s="10" t="str">
        <f t="shared" si="56"/>
        <v/>
      </c>
      <c r="L477" s="11" t="str">
        <f t="shared" si="58"/>
        <v/>
      </c>
      <c r="M477" s="9" t="str">
        <f>IF(G477&lt;&gt;"",J477/MAX(J$3:J477)-1,"")</f>
        <v/>
      </c>
      <c r="N477" s="9" t="str">
        <f>IF(G477&lt;&gt;"",K477/MAX(K$3:K477)-1,"")</f>
        <v/>
      </c>
      <c r="O477" s="16" t="str">
        <f t="shared" si="59"/>
        <v/>
      </c>
      <c r="P477" s="16" t="str">
        <f t="shared" si="59"/>
        <v/>
      </c>
      <c r="Q477" s="16" t="str">
        <f t="shared" si="59"/>
        <v/>
      </c>
      <c r="R477" s="5" t="str">
        <f t="shared" si="54"/>
        <v/>
      </c>
      <c r="S477" s="5" t="str">
        <f t="shared" si="57"/>
        <v/>
      </c>
      <c r="T477" s="5" t="str">
        <f t="shared" si="61"/>
        <v/>
      </c>
      <c r="U477" s="5" t="str">
        <f t="shared" si="61"/>
        <v/>
      </c>
    </row>
    <row r="478" spans="7:21" x14ac:dyDescent="0.2">
      <c r="G478" s="8"/>
      <c r="H478" s="5"/>
      <c r="I478" s="9"/>
      <c r="J478" s="10" t="str">
        <f t="shared" si="55"/>
        <v/>
      </c>
      <c r="K478" s="10" t="str">
        <f t="shared" si="56"/>
        <v/>
      </c>
      <c r="L478" s="11" t="str">
        <f t="shared" si="58"/>
        <v/>
      </c>
      <c r="M478" s="9" t="str">
        <f>IF(G478&lt;&gt;"",J478/MAX(J$3:J478)-1,"")</f>
        <v/>
      </c>
      <c r="N478" s="9" t="str">
        <f>IF(G478&lt;&gt;"",K478/MAX(K$3:K478)-1,"")</f>
        <v/>
      </c>
      <c r="O478" s="16" t="str">
        <f t="shared" si="59"/>
        <v/>
      </c>
      <c r="P478" s="16" t="str">
        <f t="shared" si="59"/>
        <v/>
      </c>
      <c r="Q478" s="16" t="str">
        <f t="shared" si="59"/>
        <v/>
      </c>
      <c r="R478" s="5" t="str">
        <f t="shared" si="54"/>
        <v/>
      </c>
      <c r="S478" s="5" t="str">
        <f t="shared" si="57"/>
        <v/>
      </c>
      <c r="T478" s="5" t="str">
        <f t="shared" si="61"/>
        <v/>
      </c>
      <c r="U478" s="5" t="str">
        <f t="shared" si="61"/>
        <v/>
      </c>
    </row>
    <row r="479" spans="7:21" x14ac:dyDescent="0.2">
      <c r="G479" s="8"/>
      <c r="H479" s="5"/>
      <c r="I479" s="9"/>
      <c r="J479" s="10" t="str">
        <f t="shared" si="55"/>
        <v/>
      </c>
      <c r="K479" s="10" t="str">
        <f t="shared" si="56"/>
        <v/>
      </c>
      <c r="L479" s="11" t="str">
        <f t="shared" si="58"/>
        <v/>
      </c>
      <c r="M479" s="9" t="str">
        <f>IF(G479&lt;&gt;"",J479/MAX(J$3:J479)-1,"")</f>
        <v/>
      </c>
      <c r="N479" s="9" t="str">
        <f>IF(G479&lt;&gt;"",K479/MAX(K$3:K479)-1,"")</f>
        <v/>
      </c>
      <c r="O479" s="16" t="str">
        <f t="shared" si="59"/>
        <v/>
      </c>
      <c r="P479" s="16" t="str">
        <f t="shared" si="59"/>
        <v/>
      </c>
      <c r="Q479" s="16" t="str">
        <f t="shared" si="59"/>
        <v/>
      </c>
      <c r="R479" s="5" t="str">
        <f t="shared" si="54"/>
        <v/>
      </c>
      <c r="S479" s="5" t="str">
        <f t="shared" si="57"/>
        <v/>
      </c>
      <c r="T479" s="5" t="str">
        <f t="shared" si="61"/>
        <v/>
      </c>
      <c r="U479" s="5" t="str">
        <f t="shared" si="61"/>
        <v/>
      </c>
    </row>
    <row r="480" spans="7:21" x14ac:dyDescent="0.2">
      <c r="G480" s="8"/>
      <c r="H480" s="5"/>
      <c r="I480" s="9"/>
      <c r="J480" s="10" t="str">
        <f t="shared" si="55"/>
        <v/>
      </c>
      <c r="K480" s="10" t="str">
        <f t="shared" si="56"/>
        <v/>
      </c>
      <c r="L480" s="11" t="str">
        <f t="shared" si="58"/>
        <v/>
      </c>
      <c r="M480" s="9" t="str">
        <f>IF(G480&lt;&gt;"",J480/MAX(J$3:J480)-1,"")</f>
        <v/>
      </c>
      <c r="N480" s="9" t="str">
        <f>IF(G480&lt;&gt;"",K480/MAX(K$3:K480)-1,"")</f>
        <v/>
      </c>
      <c r="O480" s="16" t="str">
        <f t="shared" si="59"/>
        <v/>
      </c>
      <c r="P480" s="16" t="str">
        <f t="shared" si="59"/>
        <v/>
      </c>
      <c r="Q480" s="16" t="str">
        <f t="shared" si="59"/>
        <v/>
      </c>
      <c r="R480" s="5" t="str">
        <f t="shared" si="54"/>
        <v/>
      </c>
      <c r="S480" s="5" t="str">
        <f t="shared" si="57"/>
        <v/>
      </c>
      <c r="T480" s="5" t="str">
        <f t="shared" si="61"/>
        <v/>
      </c>
      <c r="U480" s="5" t="str">
        <f t="shared" si="61"/>
        <v/>
      </c>
    </row>
    <row r="481" spans="7:21" x14ac:dyDescent="0.2">
      <c r="G481" s="8"/>
      <c r="H481" s="5"/>
      <c r="I481" s="9"/>
      <c r="J481" s="10" t="str">
        <f t="shared" si="55"/>
        <v/>
      </c>
      <c r="K481" s="10" t="str">
        <f t="shared" si="56"/>
        <v/>
      </c>
      <c r="L481" s="11" t="str">
        <f t="shared" si="58"/>
        <v/>
      </c>
      <c r="M481" s="9" t="str">
        <f>IF(G481&lt;&gt;"",J481/MAX(J$3:J481)-1,"")</f>
        <v/>
      </c>
      <c r="N481" s="9" t="str">
        <f>IF(G481&lt;&gt;"",K481/MAX(K$3:K481)-1,"")</f>
        <v/>
      </c>
      <c r="O481" s="16" t="str">
        <f t="shared" si="59"/>
        <v/>
      </c>
      <c r="P481" s="16" t="str">
        <f t="shared" si="59"/>
        <v/>
      </c>
      <c r="Q481" s="16" t="str">
        <f t="shared" si="59"/>
        <v/>
      </c>
      <c r="R481" s="5" t="str">
        <f t="shared" si="54"/>
        <v/>
      </c>
      <c r="S481" s="5" t="str">
        <f t="shared" si="57"/>
        <v/>
      </c>
      <c r="T481" s="5" t="str">
        <f t="shared" si="61"/>
        <v/>
      </c>
      <c r="U481" s="5" t="str">
        <f t="shared" si="61"/>
        <v/>
      </c>
    </row>
    <row r="482" spans="7:21" x14ac:dyDescent="0.2">
      <c r="G482" s="8"/>
      <c r="H482" s="5"/>
      <c r="I482" s="9"/>
      <c r="J482" s="10" t="str">
        <f t="shared" si="55"/>
        <v/>
      </c>
      <c r="K482" s="10" t="str">
        <f t="shared" si="56"/>
        <v/>
      </c>
      <c r="L482" s="11" t="str">
        <f t="shared" si="58"/>
        <v/>
      </c>
      <c r="M482" s="9" t="str">
        <f>IF(G482&lt;&gt;"",J482/MAX(J$3:J482)-1,"")</f>
        <v/>
      </c>
      <c r="N482" s="9" t="str">
        <f>IF(G482&lt;&gt;"",K482/MAX(K$3:K482)-1,"")</f>
        <v/>
      </c>
      <c r="O482" s="16" t="str">
        <f t="shared" si="59"/>
        <v/>
      </c>
      <c r="P482" s="16" t="str">
        <f t="shared" si="59"/>
        <v/>
      </c>
      <c r="Q482" s="16" t="str">
        <f t="shared" si="59"/>
        <v/>
      </c>
      <c r="R482" s="5" t="str">
        <f t="shared" si="54"/>
        <v/>
      </c>
      <c r="S482" s="5" t="str">
        <f t="shared" si="57"/>
        <v/>
      </c>
      <c r="T482" s="5" t="str">
        <f t="shared" si="61"/>
        <v/>
      </c>
      <c r="U482" s="5" t="str">
        <f t="shared" si="61"/>
        <v/>
      </c>
    </row>
    <row r="483" spans="7:21" x14ac:dyDescent="0.2">
      <c r="G483" s="8"/>
      <c r="H483" s="5"/>
      <c r="I483" s="9"/>
      <c r="J483" s="10" t="str">
        <f t="shared" si="55"/>
        <v/>
      </c>
      <c r="K483" s="10" t="str">
        <f t="shared" si="56"/>
        <v/>
      </c>
      <c r="L483" s="11" t="str">
        <f t="shared" si="58"/>
        <v/>
      </c>
      <c r="M483" s="9" t="str">
        <f>IF(G483&lt;&gt;"",J483/MAX(J$3:J483)-1,"")</f>
        <v/>
      </c>
      <c r="N483" s="9" t="str">
        <f>IF(G483&lt;&gt;"",K483/MAX(K$3:K483)-1,"")</f>
        <v/>
      </c>
      <c r="O483" s="16" t="str">
        <f t="shared" si="59"/>
        <v/>
      </c>
      <c r="P483" s="16" t="str">
        <f t="shared" si="59"/>
        <v/>
      </c>
      <c r="Q483" s="16" t="str">
        <f t="shared" si="59"/>
        <v/>
      </c>
      <c r="R483" s="5" t="str">
        <f t="shared" si="54"/>
        <v/>
      </c>
      <c r="S483" s="5" t="str">
        <f t="shared" si="57"/>
        <v/>
      </c>
      <c r="T483" s="5" t="str">
        <f t="shared" si="61"/>
        <v/>
      </c>
      <c r="U483" s="5" t="str">
        <f t="shared" si="61"/>
        <v/>
      </c>
    </row>
    <row r="484" spans="7:21" x14ac:dyDescent="0.2">
      <c r="G484" s="8"/>
      <c r="H484" s="5"/>
      <c r="I484" s="9"/>
      <c r="J484" s="10" t="str">
        <f t="shared" si="55"/>
        <v/>
      </c>
      <c r="K484" s="10" t="str">
        <f t="shared" si="56"/>
        <v/>
      </c>
      <c r="L484" s="11" t="str">
        <f t="shared" si="58"/>
        <v/>
      </c>
      <c r="M484" s="9" t="str">
        <f>IF(G484&lt;&gt;"",J484/MAX(J$3:J484)-1,"")</f>
        <v/>
      </c>
      <c r="N484" s="9" t="str">
        <f>IF(G484&lt;&gt;"",K484/MAX(K$3:K484)-1,"")</f>
        <v/>
      </c>
      <c r="O484" s="16" t="str">
        <f t="shared" si="59"/>
        <v/>
      </c>
      <c r="P484" s="16" t="str">
        <f t="shared" si="59"/>
        <v/>
      </c>
      <c r="Q484" s="16" t="str">
        <f t="shared" si="59"/>
        <v/>
      </c>
      <c r="R484" s="5" t="str">
        <f t="shared" si="54"/>
        <v/>
      </c>
      <c r="S484" s="5" t="str">
        <f t="shared" si="57"/>
        <v/>
      </c>
      <c r="T484" s="5" t="str">
        <f t="shared" si="61"/>
        <v/>
      </c>
      <c r="U484" s="5" t="str">
        <f t="shared" si="61"/>
        <v/>
      </c>
    </row>
    <row r="485" spans="7:21" x14ac:dyDescent="0.2">
      <c r="G485" s="8"/>
      <c r="H485" s="5"/>
      <c r="I485" s="9"/>
      <c r="J485" s="10" t="str">
        <f t="shared" si="55"/>
        <v/>
      </c>
      <c r="K485" s="10" t="str">
        <f t="shared" si="56"/>
        <v/>
      </c>
      <c r="L485" s="11" t="str">
        <f t="shared" si="58"/>
        <v/>
      </c>
      <c r="M485" s="9" t="str">
        <f>IF(G485&lt;&gt;"",J485/MAX(J$3:J485)-1,"")</f>
        <v/>
      </c>
      <c r="N485" s="9" t="str">
        <f>IF(G485&lt;&gt;"",K485/MAX(K$3:K485)-1,"")</f>
        <v/>
      </c>
      <c r="O485" s="16" t="str">
        <f t="shared" si="59"/>
        <v/>
      </c>
      <c r="P485" s="16" t="str">
        <f t="shared" si="59"/>
        <v/>
      </c>
      <c r="Q485" s="16" t="str">
        <f t="shared" si="59"/>
        <v/>
      </c>
      <c r="R485" s="5" t="str">
        <f t="shared" si="54"/>
        <v/>
      </c>
      <c r="S485" s="5" t="str">
        <f t="shared" si="57"/>
        <v/>
      </c>
      <c r="T485" s="5" t="str">
        <f t="shared" si="61"/>
        <v/>
      </c>
      <c r="U485" s="5" t="str">
        <f t="shared" si="61"/>
        <v/>
      </c>
    </row>
    <row r="486" spans="7:21" x14ac:dyDescent="0.2">
      <c r="G486" s="8"/>
      <c r="H486" s="5"/>
      <c r="I486" s="9"/>
      <c r="J486" s="10" t="str">
        <f t="shared" si="55"/>
        <v/>
      </c>
      <c r="K486" s="10" t="str">
        <f t="shared" si="56"/>
        <v/>
      </c>
      <c r="L486" s="11" t="str">
        <f t="shared" si="58"/>
        <v/>
      </c>
      <c r="M486" s="9" t="str">
        <f>IF(G486&lt;&gt;"",J486/MAX(J$3:J486)-1,"")</f>
        <v/>
      </c>
      <c r="N486" s="9" t="str">
        <f>IF(G486&lt;&gt;"",K486/MAX(K$3:K486)-1,"")</f>
        <v/>
      </c>
      <c r="O486" s="16" t="str">
        <f t="shared" si="59"/>
        <v/>
      </c>
      <c r="P486" s="16" t="str">
        <f t="shared" si="59"/>
        <v/>
      </c>
      <c r="Q486" s="16" t="str">
        <f t="shared" si="59"/>
        <v/>
      </c>
      <c r="R486" s="5" t="str">
        <f t="shared" si="54"/>
        <v/>
      </c>
      <c r="S486" s="5" t="str">
        <f t="shared" si="57"/>
        <v/>
      </c>
      <c r="T486" s="5" t="str">
        <f t="shared" si="61"/>
        <v/>
      </c>
      <c r="U486" s="5" t="str">
        <f t="shared" si="61"/>
        <v/>
      </c>
    </row>
    <row r="487" spans="7:21" x14ac:dyDescent="0.2">
      <c r="G487" s="8"/>
      <c r="H487" s="5"/>
      <c r="I487" s="9"/>
      <c r="J487" s="10" t="str">
        <f t="shared" si="55"/>
        <v/>
      </c>
      <c r="K487" s="10" t="str">
        <f t="shared" si="56"/>
        <v/>
      </c>
      <c r="L487" s="11" t="str">
        <f t="shared" si="58"/>
        <v/>
      </c>
      <c r="M487" s="9" t="str">
        <f>IF(G487&lt;&gt;"",J487/MAX(J$3:J487)-1,"")</f>
        <v/>
      </c>
      <c r="N487" s="9" t="str">
        <f>IF(G487&lt;&gt;"",K487/MAX(K$3:K487)-1,"")</f>
        <v/>
      </c>
      <c r="O487" s="16" t="str">
        <f t="shared" si="59"/>
        <v/>
      </c>
      <c r="P487" s="16" t="str">
        <f t="shared" si="59"/>
        <v/>
      </c>
      <c r="Q487" s="16" t="str">
        <f t="shared" si="59"/>
        <v/>
      </c>
      <c r="R487" s="5" t="str">
        <f t="shared" si="54"/>
        <v/>
      </c>
      <c r="S487" s="5" t="str">
        <f t="shared" si="57"/>
        <v/>
      </c>
      <c r="T487" s="5" t="str">
        <f t="shared" si="61"/>
        <v/>
      </c>
      <c r="U487" s="5" t="str">
        <f t="shared" si="61"/>
        <v/>
      </c>
    </row>
    <row r="488" spans="7:21" x14ac:dyDescent="0.2">
      <c r="G488" s="8"/>
      <c r="H488" s="5"/>
      <c r="I488" s="9"/>
      <c r="J488" s="10" t="str">
        <f t="shared" si="55"/>
        <v/>
      </c>
      <c r="K488" s="10" t="str">
        <f t="shared" si="56"/>
        <v/>
      </c>
      <c r="L488" s="11" t="str">
        <f t="shared" si="58"/>
        <v/>
      </c>
      <c r="M488" s="9" t="str">
        <f>IF(G488&lt;&gt;"",J488/MAX(J$3:J488)-1,"")</f>
        <v/>
      </c>
      <c r="N488" s="9" t="str">
        <f>IF(G488&lt;&gt;"",K488/MAX(K$3:K488)-1,"")</f>
        <v/>
      </c>
      <c r="O488" s="16" t="str">
        <f t="shared" si="59"/>
        <v/>
      </c>
      <c r="P488" s="16" t="str">
        <f t="shared" si="59"/>
        <v/>
      </c>
      <c r="Q488" s="16" t="str">
        <f t="shared" si="59"/>
        <v/>
      </c>
      <c r="R488" s="5" t="str">
        <f t="shared" si="54"/>
        <v/>
      </c>
      <c r="S488" s="5" t="str">
        <f t="shared" si="57"/>
        <v/>
      </c>
      <c r="T488" s="5" t="str">
        <f t="shared" ref="T488:U503" si="62">IF($G488&lt;&gt;"",_xlfn.STDEV.S(O244:O488),"")</f>
        <v/>
      </c>
      <c r="U488" s="5" t="str">
        <f t="shared" si="62"/>
        <v/>
      </c>
    </row>
    <row r="489" spans="7:21" x14ac:dyDescent="0.2">
      <c r="G489" s="8"/>
      <c r="H489" s="5"/>
      <c r="I489" s="9"/>
      <c r="J489" s="10" t="str">
        <f t="shared" si="55"/>
        <v/>
      </c>
      <c r="K489" s="10" t="str">
        <f t="shared" si="56"/>
        <v/>
      </c>
      <c r="L489" s="11" t="str">
        <f t="shared" si="58"/>
        <v/>
      </c>
      <c r="M489" s="9" t="str">
        <f>IF(G489&lt;&gt;"",J489/MAX(J$3:J489)-1,"")</f>
        <v/>
      </c>
      <c r="N489" s="9" t="str">
        <f>IF(G489&lt;&gt;"",K489/MAX(K$3:K489)-1,"")</f>
        <v/>
      </c>
      <c r="O489" s="16" t="str">
        <f t="shared" si="59"/>
        <v/>
      </c>
      <c r="P489" s="16" t="str">
        <f t="shared" si="59"/>
        <v/>
      </c>
      <c r="Q489" s="16" t="str">
        <f t="shared" si="59"/>
        <v/>
      </c>
      <c r="R489" s="5" t="str">
        <f t="shared" si="54"/>
        <v/>
      </c>
      <c r="S489" s="5" t="str">
        <f t="shared" si="57"/>
        <v/>
      </c>
      <c r="T489" s="5" t="str">
        <f t="shared" si="62"/>
        <v/>
      </c>
      <c r="U489" s="5" t="str">
        <f t="shared" si="62"/>
        <v/>
      </c>
    </row>
    <row r="490" spans="7:21" x14ac:dyDescent="0.2">
      <c r="G490" s="8"/>
      <c r="H490" s="5"/>
      <c r="I490" s="9"/>
      <c r="J490" s="10" t="str">
        <f t="shared" si="55"/>
        <v/>
      </c>
      <c r="K490" s="10" t="str">
        <f t="shared" si="56"/>
        <v/>
      </c>
      <c r="L490" s="11" t="str">
        <f t="shared" si="58"/>
        <v/>
      </c>
      <c r="M490" s="9" t="str">
        <f>IF(G490&lt;&gt;"",J490/MAX(J$3:J490)-1,"")</f>
        <v/>
      </c>
      <c r="N490" s="9" t="str">
        <f>IF(G490&lt;&gt;"",K490/MAX(K$3:K490)-1,"")</f>
        <v/>
      </c>
      <c r="O490" s="16" t="str">
        <f t="shared" si="59"/>
        <v/>
      </c>
      <c r="P490" s="16" t="str">
        <f t="shared" si="59"/>
        <v/>
      </c>
      <c r="Q490" s="16" t="str">
        <f t="shared" si="59"/>
        <v/>
      </c>
      <c r="R490" s="5" t="str">
        <f t="shared" si="54"/>
        <v/>
      </c>
      <c r="S490" s="5" t="str">
        <f t="shared" si="57"/>
        <v/>
      </c>
      <c r="T490" s="5" t="str">
        <f t="shared" si="62"/>
        <v/>
      </c>
      <c r="U490" s="5" t="str">
        <f t="shared" si="62"/>
        <v/>
      </c>
    </row>
    <row r="491" spans="7:21" x14ac:dyDescent="0.2">
      <c r="G491" s="8"/>
      <c r="H491" s="5"/>
      <c r="I491" s="9"/>
      <c r="J491" s="10" t="str">
        <f t="shared" si="55"/>
        <v/>
      </c>
      <c r="K491" s="10" t="str">
        <f t="shared" si="56"/>
        <v/>
      </c>
      <c r="L491" s="11" t="str">
        <f t="shared" si="58"/>
        <v/>
      </c>
      <c r="M491" s="9" t="str">
        <f>IF(G491&lt;&gt;"",J491/MAX(J$3:J491)-1,"")</f>
        <v/>
      </c>
      <c r="N491" s="9" t="str">
        <f>IF(G491&lt;&gt;"",K491/MAX(K$3:K491)-1,"")</f>
        <v/>
      </c>
      <c r="O491" s="16" t="str">
        <f t="shared" si="59"/>
        <v/>
      </c>
      <c r="P491" s="16" t="str">
        <f t="shared" si="59"/>
        <v/>
      </c>
      <c r="Q491" s="16" t="str">
        <f t="shared" si="59"/>
        <v/>
      </c>
      <c r="R491" s="5" t="str">
        <f t="shared" si="54"/>
        <v/>
      </c>
      <c r="S491" s="5" t="str">
        <f t="shared" si="57"/>
        <v/>
      </c>
      <c r="T491" s="5" t="str">
        <f t="shared" si="62"/>
        <v/>
      </c>
      <c r="U491" s="5" t="str">
        <f t="shared" si="62"/>
        <v/>
      </c>
    </row>
    <row r="492" spans="7:21" x14ac:dyDescent="0.2">
      <c r="G492" s="8"/>
      <c r="H492" s="5"/>
      <c r="I492" s="9"/>
      <c r="J492" s="10" t="str">
        <f t="shared" si="55"/>
        <v/>
      </c>
      <c r="K492" s="10" t="str">
        <f t="shared" si="56"/>
        <v/>
      </c>
      <c r="L492" s="11" t="str">
        <f t="shared" si="58"/>
        <v/>
      </c>
      <c r="M492" s="9" t="str">
        <f>IF(G492&lt;&gt;"",J492/MAX(J$3:J492)-1,"")</f>
        <v/>
      </c>
      <c r="N492" s="9" t="str">
        <f>IF(G492&lt;&gt;"",K492/MAX(K$3:K492)-1,"")</f>
        <v/>
      </c>
      <c r="O492" s="16" t="str">
        <f t="shared" si="59"/>
        <v/>
      </c>
      <c r="P492" s="16" t="str">
        <f t="shared" si="59"/>
        <v/>
      </c>
      <c r="Q492" s="16" t="str">
        <f t="shared" si="59"/>
        <v/>
      </c>
      <c r="R492" s="5" t="str">
        <f t="shared" si="54"/>
        <v/>
      </c>
      <c r="S492" s="5" t="str">
        <f t="shared" si="57"/>
        <v/>
      </c>
      <c r="T492" s="5" t="str">
        <f t="shared" si="62"/>
        <v/>
      </c>
      <c r="U492" s="5" t="str">
        <f t="shared" si="62"/>
        <v/>
      </c>
    </row>
    <row r="493" spans="7:21" x14ac:dyDescent="0.2">
      <c r="G493" s="8"/>
      <c r="H493" s="5"/>
      <c r="I493" s="9"/>
      <c r="J493" s="10" t="str">
        <f t="shared" si="55"/>
        <v/>
      </c>
      <c r="K493" s="10" t="str">
        <f t="shared" si="56"/>
        <v/>
      </c>
      <c r="L493" s="11" t="str">
        <f t="shared" si="58"/>
        <v/>
      </c>
      <c r="M493" s="9" t="str">
        <f>IF(G493&lt;&gt;"",J493/MAX(J$3:J493)-1,"")</f>
        <v/>
      </c>
      <c r="N493" s="9" t="str">
        <f>IF(G493&lt;&gt;"",K493/MAX(K$3:K493)-1,"")</f>
        <v/>
      </c>
      <c r="O493" s="16" t="str">
        <f t="shared" si="59"/>
        <v/>
      </c>
      <c r="P493" s="16" t="str">
        <f t="shared" si="59"/>
        <v/>
      </c>
      <c r="Q493" s="16" t="str">
        <f t="shared" si="59"/>
        <v/>
      </c>
      <c r="R493" s="5" t="str">
        <f t="shared" si="54"/>
        <v/>
      </c>
      <c r="S493" s="5" t="str">
        <f t="shared" si="57"/>
        <v/>
      </c>
      <c r="T493" s="5" t="str">
        <f t="shared" si="62"/>
        <v/>
      </c>
      <c r="U493" s="5" t="str">
        <f t="shared" si="62"/>
        <v/>
      </c>
    </row>
    <row r="494" spans="7:21" x14ac:dyDescent="0.2">
      <c r="G494" s="8"/>
      <c r="H494" s="5"/>
      <c r="I494" s="9"/>
      <c r="J494" s="10" t="str">
        <f t="shared" si="55"/>
        <v/>
      </c>
      <c r="K494" s="10" t="str">
        <f t="shared" si="56"/>
        <v/>
      </c>
      <c r="L494" s="11" t="str">
        <f t="shared" si="58"/>
        <v/>
      </c>
      <c r="M494" s="9" t="str">
        <f>IF(G494&lt;&gt;"",J494/MAX(J$3:J494)-1,"")</f>
        <v/>
      </c>
      <c r="N494" s="9" t="str">
        <f>IF(G494&lt;&gt;"",K494/MAX(K$3:K494)-1,"")</f>
        <v/>
      </c>
      <c r="O494" s="16" t="str">
        <f t="shared" si="59"/>
        <v/>
      </c>
      <c r="P494" s="16" t="str">
        <f t="shared" si="59"/>
        <v/>
      </c>
      <c r="Q494" s="16" t="str">
        <f t="shared" si="59"/>
        <v/>
      </c>
      <c r="R494" s="5" t="str">
        <f t="shared" si="54"/>
        <v/>
      </c>
      <c r="S494" s="5" t="str">
        <f t="shared" si="57"/>
        <v/>
      </c>
      <c r="T494" s="5" t="str">
        <f t="shared" si="62"/>
        <v/>
      </c>
      <c r="U494" s="5" t="str">
        <f t="shared" si="62"/>
        <v/>
      </c>
    </row>
    <row r="495" spans="7:21" x14ac:dyDescent="0.2">
      <c r="G495" s="8"/>
      <c r="H495" s="5"/>
      <c r="I495" s="9"/>
      <c r="J495" s="10" t="str">
        <f t="shared" si="55"/>
        <v/>
      </c>
      <c r="K495" s="10" t="str">
        <f t="shared" si="56"/>
        <v/>
      </c>
      <c r="L495" s="11" t="str">
        <f t="shared" si="58"/>
        <v/>
      </c>
      <c r="M495" s="9" t="str">
        <f>IF(G495&lt;&gt;"",J495/MAX(J$3:J495)-1,"")</f>
        <v/>
      </c>
      <c r="N495" s="9" t="str">
        <f>IF(G495&lt;&gt;"",K495/MAX(K$3:K495)-1,"")</f>
        <v/>
      </c>
      <c r="O495" s="16" t="str">
        <f t="shared" si="59"/>
        <v/>
      </c>
      <c r="P495" s="16" t="str">
        <f t="shared" si="59"/>
        <v/>
      </c>
      <c r="Q495" s="16" t="str">
        <f t="shared" si="59"/>
        <v/>
      </c>
      <c r="R495" s="5" t="str">
        <f t="shared" si="54"/>
        <v/>
      </c>
      <c r="S495" s="5" t="str">
        <f t="shared" si="57"/>
        <v/>
      </c>
      <c r="T495" s="5" t="str">
        <f t="shared" si="62"/>
        <v/>
      </c>
      <c r="U495" s="5" t="str">
        <f t="shared" si="62"/>
        <v/>
      </c>
    </row>
    <row r="496" spans="7:21" x14ac:dyDescent="0.2">
      <c r="G496" s="8"/>
      <c r="H496" s="5"/>
      <c r="I496" s="9"/>
      <c r="J496" s="10" t="str">
        <f t="shared" si="55"/>
        <v/>
      </c>
      <c r="K496" s="10" t="str">
        <f t="shared" si="56"/>
        <v/>
      </c>
      <c r="L496" s="11" t="str">
        <f t="shared" si="58"/>
        <v/>
      </c>
      <c r="M496" s="9" t="str">
        <f>IF(G496&lt;&gt;"",J496/MAX(J$3:J496)-1,"")</f>
        <v/>
      </c>
      <c r="N496" s="9" t="str">
        <f>IF(G496&lt;&gt;"",K496/MAX(K$3:K496)-1,"")</f>
        <v/>
      </c>
      <c r="O496" s="16" t="str">
        <f t="shared" si="59"/>
        <v/>
      </c>
      <c r="P496" s="16" t="str">
        <f t="shared" si="59"/>
        <v/>
      </c>
      <c r="Q496" s="16" t="str">
        <f t="shared" si="59"/>
        <v/>
      </c>
      <c r="R496" s="5" t="str">
        <f t="shared" si="54"/>
        <v/>
      </c>
      <c r="S496" s="5" t="str">
        <f t="shared" si="57"/>
        <v/>
      </c>
      <c r="T496" s="5" t="str">
        <f t="shared" si="62"/>
        <v/>
      </c>
      <c r="U496" s="5" t="str">
        <f t="shared" si="62"/>
        <v/>
      </c>
    </row>
    <row r="497" spans="7:21" x14ac:dyDescent="0.2">
      <c r="G497" s="8"/>
      <c r="H497" s="5"/>
      <c r="I497" s="9"/>
      <c r="J497" s="10" t="str">
        <f t="shared" si="55"/>
        <v/>
      </c>
      <c r="K497" s="10" t="str">
        <f t="shared" si="56"/>
        <v/>
      </c>
      <c r="L497" s="11" t="str">
        <f t="shared" si="58"/>
        <v/>
      </c>
      <c r="M497" s="9" t="str">
        <f>IF(G497&lt;&gt;"",J497/MAX(J$3:J497)-1,"")</f>
        <v/>
      </c>
      <c r="N497" s="9" t="str">
        <f>IF(G497&lt;&gt;"",K497/MAX(K$3:K497)-1,"")</f>
        <v/>
      </c>
      <c r="O497" s="16" t="str">
        <f t="shared" si="59"/>
        <v/>
      </c>
      <c r="P497" s="16" t="str">
        <f t="shared" si="59"/>
        <v/>
      </c>
      <c r="Q497" s="16" t="str">
        <f t="shared" si="59"/>
        <v/>
      </c>
      <c r="R497" s="5" t="str">
        <f t="shared" si="54"/>
        <v/>
      </c>
      <c r="S497" s="5" t="str">
        <f t="shared" si="57"/>
        <v/>
      </c>
      <c r="T497" s="5" t="str">
        <f t="shared" si="62"/>
        <v/>
      </c>
      <c r="U497" s="5" t="str">
        <f t="shared" si="62"/>
        <v/>
      </c>
    </row>
    <row r="498" spans="7:21" x14ac:dyDescent="0.2">
      <c r="G498" s="8"/>
      <c r="H498" s="5"/>
      <c r="I498" s="9"/>
      <c r="J498" s="10" t="str">
        <f t="shared" si="55"/>
        <v/>
      </c>
      <c r="K498" s="10" t="str">
        <f t="shared" si="56"/>
        <v/>
      </c>
      <c r="L498" s="11" t="str">
        <f t="shared" si="58"/>
        <v/>
      </c>
      <c r="M498" s="9" t="str">
        <f>IF(G498&lt;&gt;"",J498/MAX(J$3:J498)-1,"")</f>
        <v/>
      </c>
      <c r="N498" s="9" t="str">
        <f>IF(G498&lt;&gt;"",K498/MAX(K$3:K498)-1,"")</f>
        <v/>
      </c>
      <c r="O498" s="16" t="str">
        <f t="shared" si="59"/>
        <v/>
      </c>
      <c r="P498" s="16" t="str">
        <f t="shared" si="59"/>
        <v/>
      </c>
      <c r="Q498" s="16" t="str">
        <f t="shared" si="59"/>
        <v/>
      </c>
      <c r="R498" s="5" t="str">
        <f t="shared" si="54"/>
        <v/>
      </c>
      <c r="S498" s="5" t="str">
        <f t="shared" si="57"/>
        <v/>
      </c>
      <c r="T498" s="5" t="str">
        <f t="shared" si="62"/>
        <v/>
      </c>
      <c r="U498" s="5" t="str">
        <f t="shared" si="62"/>
        <v/>
      </c>
    </row>
    <row r="499" spans="7:21" x14ac:dyDescent="0.2">
      <c r="G499" s="8"/>
      <c r="H499" s="5"/>
      <c r="I499" s="9"/>
      <c r="J499" s="10" t="str">
        <f t="shared" si="55"/>
        <v/>
      </c>
      <c r="K499" s="10" t="str">
        <f t="shared" si="56"/>
        <v/>
      </c>
      <c r="L499" s="11" t="str">
        <f t="shared" si="58"/>
        <v/>
      </c>
      <c r="M499" s="9" t="str">
        <f>IF(G499&lt;&gt;"",J499/MAX(J$3:J499)-1,"")</f>
        <v/>
      </c>
      <c r="N499" s="9" t="str">
        <f>IF(G499&lt;&gt;"",K499/MAX(K$3:K499)-1,"")</f>
        <v/>
      </c>
      <c r="O499" s="16" t="str">
        <f t="shared" si="59"/>
        <v/>
      </c>
      <c r="P499" s="16" t="str">
        <f t="shared" si="59"/>
        <v/>
      </c>
      <c r="Q499" s="16" t="str">
        <f t="shared" si="59"/>
        <v/>
      </c>
      <c r="R499" s="5" t="str">
        <f t="shared" si="54"/>
        <v/>
      </c>
      <c r="S499" s="5" t="str">
        <f t="shared" si="57"/>
        <v/>
      </c>
      <c r="T499" s="5" t="str">
        <f t="shared" si="62"/>
        <v/>
      </c>
      <c r="U499" s="5" t="str">
        <f t="shared" si="62"/>
        <v/>
      </c>
    </row>
    <row r="500" spans="7:21" x14ac:dyDescent="0.2">
      <c r="G500" s="8"/>
      <c r="H500" s="5"/>
      <c r="I500" s="9"/>
      <c r="J500" s="10" t="str">
        <f t="shared" si="55"/>
        <v/>
      </c>
      <c r="K500" s="10" t="str">
        <f t="shared" si="56"/>
        <v/>
      </c>
      <c r="L500" s="11" t="str">
        <f t="shared" si="58"/>
        <v/>
      </c>
      <c r="M500" s="9" t="str">
        <f>IF(G500&lt;&gt;"",J500/MAX(J$3:J500)-1,"")</f>
        <v/>
      </c>
      <c r="N500" s="9" t="str">
        <f>IF(G500&lt;&gt;"",K500/MAX(K$3:K500)-1,"")</f>
        <v/>
      </c>
      <c r="O500" s="16" t="str">
        <f t="shared" si="59"/>
        <v/>
      </c>
      <c r="P500" s="16" t="str">
        <f t="shared" si="59"/>
        <v/>
      </c>
      <c r="Q500" s="16" t="str">
        <f t="shared" si="59"/>
        <v/>
      </c>
      <c r="R500" s="5" t="str">
        <f t="shared" si="54"/>
        <v/>
      </c>
      <c r="S500" s="5" t="str">
        <f t="shared" si="57"/>
        <v/>
      </c>
      <c r="T500" s="5" t="str">
        <f t="shared" si="62"/>
        <v/>
      </c>
      <c r="U500" s="5" t="str">
        <f t="shared" si="62"/>
        <v/>
      </c>
    </row>
    <row r="501" spans="7:21" x14ac:dyDescent="0.2">
      <c r="G501" s="8"/>
      <c r="H501" s="5"/>
      <c r="I501" s="9"/>
      <c r="J501" s="10" t="str">
        <f t="shared" si="55"/>
        <v/>
      </c>
      <c r="K501" s="10" t="str">
        <f t="shared" si="56"/>
        <v/>
      </c>
      <c r="L501" s="11" t="str">
        <f t="shared" si="58"/>
        <v/>
      </c>
      <c r="M501" s="9" t="str">
        <f>IF(G501&lt;&gt;"",J501/MAX(J$3:J501)-1,"")</f>
        <v/>
      </c>
      <c r="N501" s="9" t="str">
        <f>IF(G501&lt;&gt;"",K501/MAX(K$3:K501)-1,"")</f>
        <v/>
      </c>
      <c r="O501" s="16" t="str">
        <f t="shared" si="59"/>
        <v/>
      </c>
      <c r="P501" s="16" t="str">
        <f t="shared" si="59"/>
        <v/>
      </c>
      <c r="Q501" s="16" t="str">
        <f t="shared" si="59"/>
        <v/>
      </c>
      <c r="R501" s="5" t="str">
        <f t="shared" si="54"/>
        <v/>
      </c>
      <c r="S501" s="5" t="str">
        <f t="shared" si="57"/>
        <v/>
      </c>
      <c r="T501" s="5" t="str">
        <f t="shared" si="62"/>
        <v/>
      </c>
      <c r="U501" s="5" t="str">
        <f t="shared" si="62"/>
        <v/>
      </c>
    </row>
    <row r="502" spans="7:21" x14ac:dyDescent="0.2">
      <c r="G502" s="8"/>
      <c r="H502" s="5"/>
      <c r="I502" s="9"/>
      <c r="J502" s="10" t="str">
        <f t="shared" si="55"/>
        <v/>
      </c>
      <c r="K502" s="10" t="str">
        <f t="shared" si="56"/>
        <v/>
      </c>
      <c r="L502" s="11" t="str">
        <f t="shared" si="58"/>
        <v/>
      </c>
      <c r="M502" s="9" t="str">
        <f>IF(G502&lt;&gt;"",J502/MAX(J$3:J502)-1,"")</f>
        <v/>
      </c>
      <c r="N502" s="9" t="str">
        <f>IF(G502&lt;&gt;"",K502/MAX(K$3:K502)-1,"")</f>
        <v/>
      </c>
      <c r="O502" s="16" t="str">
        <f t="shared" si="59"/>
        <v/>
      </c>
      <c r="P502" s="16" t="str">
        <f t="shared" si="59"/>
        <v/>
      </c>
      <c r="Q502" s="16" t="str">
        <f t="shared" si="59"/>
        <v/>
      </c>
      <c r="R502" s="5" t="str">
        <f t="shared" si="54"/>
        <v/>
      </c>
      <c r="S502" s="5" t="str">
        <f t="shared" si="57"/>
        <v/>
      </c>
      <c r="T502" s="5" t="str">
        <f t="shared" si="62"/>
        <v/>
      </c>
      <c r="U502" s="5" t="str">
        <f t="shared" si="62"/>
        <v/>
      </c>
    </row>
    <row r="503" spans="7:21" x14ac:dyDescent="0.2">
      <c r="G503" s="8"/>
      <c r="H503" s="5"/>
      <c r="I503" s="9"/>
      <c r="J503" s="10" t="str">
        <f t="shared" si="55"/>
        <v/>
      </c>
      <c r="K503" s="10" t="str">
        <f t="shared" si="56"/>
        <v/>
      </c>
      <c r="L503" s="11" t="str">
        <f t="shared" si="58"/>
        <v/>
      </c>
      <c r="M503" s="9" t="str">
        <f>IF(G503&lt;&gt;"",J503/MAX(J$3:J503)-1,"")</f>
        <v/>
      </c>
      <c r="N503" s="9" t="str">
        <f>IF(G503&lt;&gt;"",K503/MAX(K$3:K503)-1,"")</f>
        <v/>
      </c>
      <c r="O503" s="16" t="str">
        <f t="shared" si="59"/>
        <v/>
      </c>
      <c r="P503" s="16" t="str">
        <f t="shared" si="59"/>
        <v/>
      </c>
      <c r="Q503" s="16" t="str">
        <f t="shared" si="59"/>
        <v/>
      </c>
      <c r="R503" s="5" t="str">
        <f t="shared" si="54"/>
        <v/>
      </c>
      <c r="S503" s="5" t="str">
        <f t="shared" si="57"/>
        <v/>
      </c>
      <c r="T503" s="5" t="str">
        <f t="shared" si="62"/>
        <v/>
      </c>
      <c r="U503" s="5" t="str">
        <f t="shared" si="62"/>
        <v/>
      </c>
    </row>
    <row r="504" spans="7:21" x14ac:dyDescent="0.2">
      <c r="G504" s="8"/>
      <c r="H504" s="5"/>
      <c r="I504" s="9"/>
      <c r="J504" s="10" t="str">
        <f t="shared" si="55"/>
        <v/>
      </c>
      <c r="K504" s="10" t="str">
        <f t="shared" si="56"/>
        <v/>
      </c>
      <c r="L504" s="11" t="str">
        <f t="shared" si="58"/>
        <v/>
      </c>
      <c r="M504" s="9" t="str">
        <f>IF(G504&lt;&gt;"",J504/MAX(J$3:J504)-1,"")</f>
        <v/>
      </c>
      <c r="N504" s="9" t="str">
        <f>IF(G504&lt;&gt;"",K504/MAX(K$3:K504)-1,"")</f>
        <v/>
      </c>
      <c r="O504" s="16" t="str">
        <f t="shared" si="59"/>
        <v/>
      </c>
      <c r="P504" s="16" t="str">
        <f t="shared" si="59"/>
        <v/>
      </c>
      <c r="Q504" s="16" t="str">
        <f t="shared" si="59"/>
        <v/>
      </c>
      <c r="R504" s="5" t="str">
        <f t="shared" si="54"/>
        <v/>
      </c>
      <c r="S504" s="5" t="str">
        <f t="shared" si="57"/>
        <v/>
      </c>
      <c r="T504" s="5" t="str">
        <f t="shared" ref="T504:U519" si="63">IF($G504&lt;&gt;"",_xlfn.STDEV.S(O260:O504),"")</f>
        <v/>
      </c>
      <c r="U504" s="5" t="str">
        <f t="shared" si="63"/>
        <v/>
      </c>
    </row>
    <row r="505" spans="7:21" x14ac:dyDescent="0.2">
      <c r="G505" s="8"/>
      <c r="H505" s="5"/>
      <c r="I505" s="9"/>
      <c r="J505" s="10" t="str">
        <f t="shared" si="55"/>
        <v/>
      </c>
      <c r="K505" s="10" t="str">
        <f t="shared" si="56"/>
        <v/>
      </c>
      <c r="L505" s="11" t="str">
        <f t="shared" si="58"/>
        <v/>
      </c>
      <c r="M505" s="9" t="str">
        <f>IF(G505&lt;&gt;"",J505/MAX(J$3:J505)-1,"")</f>
        <v/>
      </c>
      <c r="N505" s="9" t="str">
        <f>IF(G505&lt;&gt;"",K505/MAX(K$3:K505)-1,"")</f>
        <v/>
      </c>
      <c r="O505" s="16" t="str">
        <f t="shared" si="59"/>
        <v/>
      </c>
      <c r="P505" s="16" t="str">
        <f t="shared" si="59"/>
        <v/>
      </c>
      <c r="Q505" s="16" t="str">
        <f t="shared" si="59"/>
        <v/>
      </c>
      <c r="R505" s="5" t="str">
        <f t="shared" si="54"/>
        <v/>
      </c>
      <c r="S505" s="5" t="str">
        <f t="shared" si="57"/>
        <v/>
      </c>
      <c r="T505" s="5" t="str">
        <f t="shared" si="63"/>
        <v/>
      </c>
      <c r="U505" s="5" t="str">
        <f t="shared" si="63"/>
        <v/>
      </c>
    </row>
    <row r="506" spans="7:21" x14ac:dyDescent="0.2">
      <c r="G506" s="8"/>
      <c r="H506" s="5"/>
      <c r="I506" s="9"/>
      <c r="J506" s="10" t="str">
        <f t="shared" si="55"/>
        <v/>
      </c>
      <c r="K506" s="10" t="str">
        <f t="shared" si="56"/>
        <v/>
      </c>
      <c r="L506" s="11" t="str">
        <f t="shared" si="58"/>
        <v/>
      </c>
      <c r="M506" s="9" t="str">
        <f>IF(G506&lt;&gt;"",J506/MAX(J$3:J506)-1,"")</f>
        <v/>
      </c>
      <c r="N506" s="9" t="str">
        <f>IF(G506&lt;&gt;"",K506/MAX(K$3:K506)-1,"")</f>
        <v/>
      </c>
      <c r="O506" s="16" t="str">
        <f t="shared" si="59"/>
        <v/>
      </c>
      <c r="P506" s="16" t="str">
        <f t="shared" si="59"/>
        <v/>
      </c>
      <c r="Q506" s="16" t="str">
        <f t="shared" si="59"/>
        <v/>
      </c>
      <c r="R506" s="5" t="str">
        <f t="shared" si="54"/>
        <v/>
      </c>
      <c r="S506" s="5" t="str">
        <f t="shared" si="57"/>
        <v/>
      </c>
      <c r="T506" s="5" t="str">
        <f t="shared" si="63"/>
        <v/>
      </c>
      <c r="U506" s="5" t="str">
        <f t="shared" si="63"/>
        <v/>
      </c>
    </row>
    <row r="507" spans="7:21" x14ac:dyDescent="0.2">
      <c r="G507" s="8"/>
      <c r="H507" s="5"/>
      <c r="I507" s="9"/>
      <c r="J507" s="10" t="str">
        <f t="shared" si="55"/>
        <v/>
      </c>
      <c r="K507" s="10" t="str">
        <f t="shared" si="56"/>
        <v/>
      </c>
      <c r="L507" s="11" t="str">
        <f t="shared" si="58"/>
        <v/>
      </c>
      <c r="M507" s="9" t="str">
        <f>IF(G507&lt;&gt;"",J507/MAX(J$3:J507)-1,"")</f>
        <v/>
      </c>
      <c r="N507" s="9" t="str">
        <f>IF(G507&lt;&gt;"",K507/MAX(K$3:K507)-1,"")</f>
        <v/>
      </c>
      <c r="O507" s="16" t="str">
        <f t="shared" si="59"/>
        <v/>
      </c>
      <c r="P507" s="16" t="str">
        <f t="shared" si="59"/>
        <v/>
      </c>
      <c r="Q507" s="16" t="str">
        <f t="shared" si="59"/>
        <v/>
      </c>
      <c r="R507" s="5" t="str">
        <f t="shared" si="54"/>
        <v/>
      </c>
      <c r="S507" s="5" t="str">
        <f t="shared" si="57"/>
        <v/>
      </c>
      <c r="T507" s="5" t="str">
        <f t="shared" si="63"/>
        <v/>
      </c>
      <c r="U507" s="5" t="str">
        <f t="shared" si="63"/>
        <v/>
      </c>
    </row>
    <row r="508" spans="7:21" x14ac:dyDescent="0.2">
      <c r="G508" s="8"/>
      <c r="H508" s="5"/>
      <c r="I508" s="9"/>
      <c r="J508" s="10" t="str">
        <f t="shared" si="55"/>
        <v/>
      </c>
      <c r="K508" s="10" t="str">
        <f t="shared" si="56"/>
        <v/>
      </c>
      <c r="L508" s="11" t="str">
        <f t="shared" si="58"/>
        <v/>
      </c>
      <c r="M508" s="9" t="str">
        <f>IF(G508&lt;&gt;"",J508/MAX(J$3:J508)-1,"")</f>
        <v/>
      </c>
      <c r="N508" s="9" t="str">
        <f>IF(G508&lt;&gt;"",K508/MAX(K$3:K508)-1,"")</f>
        <v/>
      </c>
      <c r="O508" s="16" t="str">
        <f t="shared" si="59"/>
        <v/>
      </c>
      <c r="P508" s="16" t="str">
        <f t="shared" si="59"/>
        <v/>
      </c>
      <c r="Q508" s="16" t="str">
        <f t="shared" si="59"/>
        <v/>
      </c>
      <c r="R508" s="5" t="str">
        <f t="shared" si="54"/>
        <v/>
      </c>
      <c r="S508" s="5" t="str">
        <f t="shared" si="57"/>
        <v/>
      </c>
      <c r="T508" s="5" t="str">
        <f t="shared" si="63"/>
        <v/>
      </c>
      <c r="U508" s="5" t="str">
        <f t="shared" si="63"/>
        <v/>
      </c>
    </row>
    <row r="509" spans="7:21" x14ac:dyDescent="0.2">
      <c r="G509" s="8"/>
      <c r="H509" s="5"/>
      <c r="I509" s="9"/>
      <c r="J509" s="10" t="str">
        <f t="shared" si="55"/>
        <v/>
      </c>
      <c r="K509" s="10" t="str">
        <f t="shared" si="56"/>
        <v/>
      </c>
      <c r="L509" s="11" t="str">
        <f t="shared" si="58"/>
        <v/>
      </c>
      <c r="M509" s="9" t="str">
        <f>IF(G509&lt;&gt;"",J509/MAX(J$3:J509)-1,"")</f>
        <v/>
      </c>
      <c r="N509" s="9" t="str">
        <f>IF(G509&lt;&gt;"",K509/MAX(K$3:K509)-1,"")</f>
        <v/>
      </c>
      <c r="O509" s="16" t="str">
        <f t="shared" si="59"/>
        <v/>
      </c>
      <c r="P509" s="16" t="str">
        <f t="shared" si="59"/>
        <v/>
      </c>
      <c r="Q509" s="16" t="str">
        <f t="shared" si="59"/>
        <v/>
      </c>
      <c r="R509" s="5" t="str">
        <f t="shared" ref="R509:R572" si="64">IF(G509&lt;&gt;"",_xlfn.STDEV.S(Q388:Q509)*SQRT($B$5),"")</f>
        <v/>
      </c>
      <c r="S509" s="5" t="str">
        <f t="shared" si="57"/>
        <v/>
      </c>
      <c r="T509" s="5" t="str">
        <f t="shared" si="63"/>
        <v/>
      </c>
      <c r="U509" s="5" t="str">
        <f t="shared" si="63"/>
        <v/>
      </c>
    </row>
    <row r="510" spans="7:21" x14ac:dyDescent="0.2">
      <c r="G510" s="8"/>
      <c r="H510" s="5"/>
      <c r="I510" s="9"/>
      <c r="J510" s="10" t="str">
        <f t="shared" si="55"/>
        <v/>
      </c>
      <c r="K510" s="10" t="str">
        <f t="shared" si="56"/>
        <v/>
      </c>
      <c r="L510" s="11" t="str">
        <f t="shared" si="58"/>
        <v/>
      </c>
      <c r="M510" s="9" t="str">
        <f>IF(G510&lt;&gt;"",J510/MAX(J$3:J510)-1,"")</f>
        <v/>
      </c>
      <c r="N510" s="9" t="str">
        <f>IF(G510&lt;&gt;"",K510/MAX(K$3:K510)-1,"")</f>
        <v/>
      </c>
      <c r="O510" s="16" t="str">
        <f t="shared" si="59"/>
        <v/>
      </c>
      <c r="P510" s="16" t="str">
        <f t="shared" si="59"/>
        <v/>
      </c>
      <c r="Q510" s="16" t="str">
        <f t="shared" si="59"/>
        <v/>
      </c>
      <c r="R510" s="5" t="str">
        <f t="shared" si="64"/>
        <v/>
      </c>
      <c r="S510" s="5" t="str">
        <f t="shared" si="57"/>
        <v/>
      </c>
      <c r="T510" s="5" t="str">
        <f t="shared" si="63"/>
        <v/>
      </c>
      <c r="U510" s="5" t="str">
        <f t="shared" si="63"/>
        <v/>
      </c>
    </row>
    <row r="511" spans="7:21" x14ac:dyDescent="0.2">
      <c r="G511" s="8"/>
      <c r="H511" s="5"/>
      <c r="I511" s="9"/>
      <c r="J511" s="10" t="str">
        <f t="shared" si="55"/>
        <v/>
      </c>
      <c r="K511" s="10" t="str">
        <f t="shared" si="56"/>
        <v/>
      </c>
      <c r="L511" s="11" t="str">
        <f t="shared" si="58"/>
        <v/>
      </c>
      <c r="M511" s="9" t="str">
        <f>IF(G511&lt;&gt;"",J511/MAX(J$3:J511)-1,"")</f>
        <v/>
      </c>
      <c r="N511" s="9" t="str">
        <f>IF(G511&lt;&gt;"",K511/MAX(K$3:K511)-1,"")</f>
        <v/>
      </c>
      <c r="O511" s="16" t="str">
        <f t="shared" si="59"/>
        <v/>
      </c>
      <c r="P511" s="16" t="str">
        <f t="shared" si="59"/>
        <v/>
      </c>
      <c r="Q511" s="16" t="str">
        <f t="shared" si="59"/>
        <v/>
      </c>
      <c r="R511" s="5" t="str">
        <f t="shared" si="64"/>
        <v/>
      </c>
      <c r="S511" s="5" t="str">
        <f t="shared" si="57"/>
        <v/>
      </c>
      <c r="T511" s="5" t="str">
        <f t="shared" si="63"/>
        <v/>
      </c>
      <c r="U511" s="5" t="str">
        <f t="shared" si="63"/>
        <v/>
      </c>
    </row>
    <row r="512" spans="7:21" x14ac:dyDescent="0.2">
      <c r="G512" s="8"/>
      <c r="H512" s="5"/>
      <c r="I512" s="9"/>
      <c r="J512" s="10" t="str">
        <f t="shared" si="55"/>
        <v/>
      </c>
      <c r="K512" s="10" t="str">
        <f t="shared" si="56"/>
        <v/>
      </c>
      <c r="L512" s="11" t="str">
        <f t="shared" si="58"/>
        <v/>
      </c>
      <c r="M512" s="9" t="str">
        <f>IF(G512&lt;&gt;"",J512/MAX(J$3:J512)-1,"")</f>
        <v/>
      </c>
      <c r="N512" s="9" t="str">
        <f>IF(G512&lt;&gt;"",K512/MAX(K$3:K512)-1,"")</f>
        <v/>
      </c>
      <c r="O512" s="16" t="str">
        <f t="shared" si="59"/>
        <v/>
      </c>
      <c r="P512" s="16" t="str">
        <f t="shared" si="59"/>
        <v/>
      </c>
      <c r="Q512" s="16" t="str">
        <f t="shared" si="59"/>
        <v/>
      </c>
      <c r="R512" s="5" t="str">
        <f t="shared" si="64"/>
        <v/>
      </c>
      <c r="S512" s="5" t="str">
        <f t="shared" si="57"/>
        <v/>
      </c>
      <c r="T512" s="5" t="str">
        <f t="shared" si="63"/>
        <v/>
      </c>
      <c r="U512" s="5" t="str">
        <f t="shared" si="63"/>
        <v/>
      </c>
    </row>
    <row r="513" spans="7:21" x14ac:dyDescent="0.2">
      <c r="G513" s="8"/>
      <c r="H513" s="5"/>
      <c r="I513" s="9"/>
      <c r="J513" s="10" t="str">
        <f t="shared" si="55"/>
        <v/>
      </c>
      <c r="K513" s="10" t="str">
        <f t="shared" si="56"/>
        <v/>
      </c>
      <c r="L513" s="11" t="str">
        <f t="shared" si="58"/>
        <v/>
      </c>
      <c r="M513" s="9" t="str">
        <f>IF(G513&lt;&gt;"",J513/MAX(J$3:J513)-1,"")</f>
        <v/>
      </c>
      <c r="N513" s="9" t="str">
        <f>IF(G513&lt;&gt;"",K513/MAX(K$3:K513)-1,"")</f>
        <v/>
      </c>
      <c r="O513" s="16" t="str">
        <f t="shared" si="59"/>
        <v/>
      </c>
      <c r="P513" s="16" t="str">
        <f t="shared" si="59"/>
        <v/>
      </c>
      <c r="Q513" s="16" t="str">
        <f t="shared" si="59"/>
        <v/>
      </c>
      <c r="R513" s="5" t="str">
        <f t="shared" si="64"/>
        <v/>
      </c>
      <c r="S513" s="5" t="str">
        <f t="shared" si="57"/>
        <v/>
      </c>
      <c r="T513" s="5" t="str">
        <f t="shared" si="63"/>
        <v/>
      </c>
      <c r="U513" s="5" t="str">
        <f t="shared" si="63"/>
        <v/>
      </c>
    </row>
    <row r="514" spans="7:21" x14ac:dyDescent="0.2">
      <c r="G514" s="8"/>
      <c r="H514" s="5"/>
      <c r="I514" s="9"/>
      <c r="J514" s="10" t="str">
        <f t="shared" si="55"/>
        <v/>
      </c>
      <c r="K514" s="10" t="str">
        <f t="shared" si="56"/>
        <v/>
      </c>
      <c r="L514" s="11" t="str">
        <f t="shared" si="58"/>
        <v/>
      </c>
      <c r="M514" s="9" t="str">
        <f>IF(G514&lt;&gt;"",J514/MAX(J$3:J514)-1,"")</f>
        <v/>
      </c>
      <c r="N514" s="9" t="str">
        <f>IF(G514&lt;&gt;"",K514/MAX(K$3:K514)-1,"")</f>
        <v/>
      </c>
      <c r="O514" s="16" t="str">
        <f t="shared" si="59"/>
        <v/>
      </c>
      <c r="P514" s="16" t="str">
        <f t="shared" si="59"/>
        <v/>
      </c>
      <c r="Q514" s="16" t="str">
        <f t="shared" si="59"/>
        <v/>
      </c>
      <c r="R514" s="5" t="str">
        <f t="shared" si="64"/>
        <v/>
      </c>
      <c r="S514" s="5" t="str">
        <f t="shared" si="57"/>
        <v/>
      </c>
      <c r="T514" s="5" t="str">
        <f t="shared" si="63"/>
        <v/>
      </c>
      <c r="U514" s="5" t="str">
        <f t="shared" si="63"/>
        <v/>
      </c>
    </row>
    <row r="515" spans="7:21" x14ac:dyDescent="0.2">
      <c r="G515" s="8"/>
      <c r="H515" s="5"/>
      <c r="I515" s="9"/>
      <c r="J515" s="10" t="str">
        <f t="shared" si="55"/>
        <v/>
      </c>
      <c r="K515" s="10" t="str">
        <f t="shared" si="56"/>
        <v/>
      </c>
      <c r="L515" s="11" t="str">
        <f t="shared" si="58"/>
        <v/>
      </c>
      <c r="M515" s="9" t="str">
        <f>IF(G515&lt;&gt;"",J515/MAX(J$3:J515)-1,"")</f>
        <v/>
      </c>
      <c r="N515" s="9" t="str">
        <f>IF(G515&lt;&gt;"",K515/MAX(K$3:K515)-1,"")</f>
        <v/>
      </c>
      <c r="O515" s="16" t="str">
        <f t="shared" si="59"/>
        <v/>
      </c>
      <c r="P515" s="16" t="str">
        <f t="shared" si="59"/>
        <v/>
      </c>
      <c r="Q515" s="16" t="str">
        <f t="shared" si="59"/>
        <v/>
      </c>
      <c r="R515" s="5" t="str">
        <f t="shared" si="64"/>
        <v/>
      </c>
      <c r="S515" s="5" t="str">
        <f t="shared" si="57"/>
        <v/>
      </c>
      <c r="T515" s="5" t="str">
        <f t="shared" si="63"/>
        <v/>
      </c>
      <c r="U515" s="5" t="str">
        <f t="shared" si="63"/>
        <v/>
      </c>
    </row>
    <row r="516" spans="7:21" x14ac:dyDescent="0.2">
      <c r="G516" s="8"/>
      <c r="H516" s="5"/>
      <c r="I516" s="9"/>
      <c r="J516" s="10" t="str">
        <f t="shared" ref="J516:J579" si="65">IF(G516&lt;&gt;"",1+H516,"")</f>
        <v/>
      </c>
      <c r="K516" s="10" t="str">
        <f t="shared" ref="K516:K579" si="66">IF(G516&lt;&gt;"",1+I516,"")</f>
        <v/>
      </c>
      <c r="L516" s="11" t="str">
        <f t="shared" si="58"/>
        <v/>
      </c>
      <c r="M516" s="9" t="str">
        <f>IF(G516&lt;&gt;"",J516/MAX(J$3:J516)-1,"")</f>
        <v/>
      </c>
      <c r="N516" s="9" t="str">
        <f>IF(G516&lt;&gt;"",K516/MAX(K$3:K516)-1,"")</f>
        <v/>
      </c>
      <c r="O516" s="16" t="str">
        <f t="shared" si="59"/>
        <v/>
      </c>
      <c r="P516" s="16" t="str">
        <f t="shared" si="59"/>
        <v/>
      </c>
      <c r="Q516" s="16" t="str">
        <f t="shared" si="59"/>
        <v/>
      </c>
      <c r="R516" s="5" t="str">
        <f t="shared" si="64"/>
        <v/>
      </c>
      <c r="S516" s="5" t="str">
        <f t="shared" ref="S516:S579" si="67">IF(R516&lt;&gt;"",B$12,"")</f>
        <v/>
      </c>
      <c r="T516" s="5" t="str">
        <f t="shared" si="63"/>
        <v/>
      </c>
      <c r="U516" s="5" t="str">
        <f t="shared" si="63"/>
        <v/>
      </c>
    </row>
    <row r="517" spans="7:21" x14ac:dyDescent="0.2">
      <c r="G517" s="8"/>
      <c r="H517" s="5"/>
      <c r="I517" s="9"/>
      <c r="J517" s="10" t="str">
        <f t="shared" si="65"/>
        <v/>
      </c>
      <c r="K517" s="10" t="str">
        <f t="shared" si="66"/>
        <v/>
      </c>
      <c r="L517" s="11" t="str">
        <f t="shared" ref="L517:L580" si="68">IF(G517&lt;&gt;"",J517/K517,"")</f>
        <v/>
      </c>
      <c r="M517" s="9" t="str">
        <f>IF(G517&lt;&gt;"",J517/MAX(J$3:J517)-1,"")</f>
        <v/>
      </c>
      <c r="N517" s="9" t="str">
        <f>IF(G517&lt;&gt;"",K517/MAX(K$3:K517)-1,"")</f>
        <v/>
      </c>
      <c r="O517" s="16" t="str">
        <f t="shared" ref="O517:Q580" si="69">IF($G517&lt;&gt;"",J517/J516-1,"")</f>
        <v/>
      </c>
      <c r="P517" s="16" t="str">
        <f t="shared" si="69"/>
        <v/>
      </c>
      <c r="Q517" s="16" t="str">
        <f t="shared" si="69"/>
        <v/>
      </c>
      <c r="R517" s="5" t="str">
        <f t="shared" si="64"/>
        <v/>
      </c>
      <c r="S517" s="5" t="str">
        <f t="shared" si="67"/>
        <v/>
      </c>
      <c r="T517" s="5" t="str">
        <f t="shared" si="63"/>
        <v/>
      </c>
      <c r="U517" s="5" t="str">
        <f t="shared" si="63"/>
        <v/>
      </c>
    </row>
    <row r="518" spans="7:21" x14ac:dyDescent="0.2">
      <c r="G518" s="8"/>
      <c r="H518" s="5"/>
      <c r="I518" s="9"/>
      <c r="J518" s="10" t="str">
        <f t="shared" si="65"/>
        <v/>
      </c>
      <c r="K518" s="10" t="str">
        <f t="shared" si="66"/>
        <v/>
      </c>
      <c r="L518" s="11" t="str">
        <f t="shared" si="68"/>
        <v/>
      </c>
      <c r="M518" s="9" t="str">
        <f>IF(G518&lt;&gt;"",J518/MAX(J$3:J518)-1,"")</f>
        <v/>
      </c>
      <c r="N518" s="9" t="str">
        <f>IF(G518&lt;&gt;"",K518/MAX(K$3:K518)-1,"")</f>
        <v/>
      </c>
      <c r="O518" s="16" t="str">
        <f t="shared" si="69"/>
        <v/>
      </c>
      <c r="P518" s="16" t="str">
        <f t="shared" si="69"/>
        <v/>
      </c>
      <c r="Q518" s="16" t="str">
        <f t="shared" si="69"/>
        <v/>
      </c>
      <c r="R518" s="5" t="str">
        <f t="shared" si="64"/>
        <v/>
      </c>
      <c r="S518" s="5" t="str">
        <f t="shared" si="67"/>
        <v/>
      </c>
      <c r="T518" s="5" t="str">
        <f t="shared" si="63"/>
        <v/>
      </c>
      <c r="U518" s="5" t="str">
        <f t="shared" si="63"/>
        <v/>
      </c>
    </row>
    <row r="519" spans="7:21" x14ac:dyDescent="0.2">
      <c r="G519" s="8"/>
      <c r="H519" s="5"/>
      <c r="I519" s="9"/>
      <c r="J519" s="10" t="str">
        <f t="shared" si="65"/>
        <v/>
      </c>
      <c r="K519" s="10" t="str">
        <f t="shared" si="66"/>
        <v/>
      </c>
      <c r="L519" s="11" t="str">
        <f t="shared" si="68"/>
        <v/>
      </c>
      <c r="M519" s="9" t="str">
        <f>IF(G519&lt;&gt;"",J519/MAX(J$3:J519)-1,"")</f>
        <v/>
      </c>
      <c r="N519" s="9" t="str">
        <f>IF(G519&lt;&gt;"",K519/MAX(K$3:K519)-1,"")</f>
        <v/>
      </c>
      <c r="O519" s="16" t="str">
        <f t="shared" si="69"/>
        <v/>
      </c>
      <c r="P519" s="16" t="str">
        <f t="shared" si="69"/>
        <v/>
      </c>
      <c r="Q519" s="16" t="str">
        <f t="shared" si="69"/>
        <v/>
      </c>
      <c r="R519" s="5" t="str">
        <f t="shared" si="64"/>
        <v/>
      </c>
      <c r="S519" s="5" t="str">
        <f t="shared" si="67"/>
        <v/>
      </c>
      <c r="T519" s="5" t="str">
        <f t="shared" si="63"/>
        <v/>
      </c>
      <c r="U519" s="5" t="str">
        <f t="shared" si="63"/>
        <v/>
      </c>
    </row>
    <row r="520" spans="7:21" x14ac:dyDescent="0.2">
      <c r="G520" s="8"/>
      <c r="H520" s="5"/>
      <c r="I520" s="9"/>
      <c r="J520" s="10" t="str">
        <f t="shared" si="65"/>
        <v/>
      </c>
      <c r="K520" s="10" t="str">
        <f t="shared" si="66"/>
        <v/>
      </c>
      <c r="L520" s="11" t="str">
        <f t="shared" si="68"/>
        <v/>
      </c>
      <c r="M520" s="9" t="str">
        <f>IF(G520&lt;&gt;"",J520/MAX(J$3:J520)-1,"")</f>
        <v/>
      </c>
      <c r="N520" s="9" t="str">
        <f>IF(G520&lt;&gt;"",K520/MAX(K$3:K520)-1,"")</f>
        <v/>
      </c>
      <c r="O520" s="16" t="str">
        <f t="shared" si="69"/>
        <v/>
      </c>
      <c r="P520" s="16" t="str">
        <f t="shared" si="69"/>
        <v/>
      </c>
      <c r="Q520" s="16" t="str">
        <f t="shared" si="69"/>
        <v/>
      </c>
      <c r="R520" s="5" t="str">
        <f t="shared" si="64"/>
        <v/>
      </c>
      <c r="S520" s="5" t="str">
        <f t="shared" si="67"/>
        <v/>
      </c>
      <c r="T520" s="5" t="str">
        <f t="shared" ref="T520:U535" si="70">IF($G520&lt;&gt;"",_xlfn.STDEV.S(O276:O520),"")</f>
        <v/>
      </c>
      <c r="U520" s="5" t="str">
        <f t="shared" si="70"/>
        <v/>
      </c>
    </row>
    <row r="521" spans="7:21" x14ac:dyDescent="0.2">
      <c r="G521" s="8"/>
      <c r="H521" s="5"/>
      <c r="I521" s="9"/>
      <c r="J521" s="10" t="str">
        <f t="shared" si="65"/>
        <v/>
      </c>
      <c r="K521" s="10" t="str">
        <f t="shared" si="66"/>
        <v/>
      </c>
      <c r="L521" s="11" t="str">
        <f t="shared" si="68"/>
        <v/>
      </c>
      <c r="M521" s="9" t="str">
        <f>IF(G521&lt;&gt;"",J521/MAX(J$3:J521)-1,"")</f>
        <v/>
      </c>
      <c r="N521" s="9" t="str">
        <f>IF(G521&lt;&gt;"",K521/MAX(K$3:K521)-1,"")</f>
        <v/>
      </c>
      <c r="O521" s="16" t="str">
        <f t="shared" si="69"/>
        <v/>
      </c>
      <c r="P521" s="16" t="str">
        <f t="shared" si="69"/>
        <v/>
      </c>
      <c r="Q521" s="16" t="str">
        <f t="shared" si="69"/>
        <v/>
      </c>
      <c r="R521" s="5" t="str">
        <f t="shared" si="64"/>
        <v/>
      </c>
      <c r="S521" s="5" t="str">
        <f t="shared" si="67"/>
        <v/>
      </c>
      <c r="T521" s="5" t="str">
        <f t="shared" si="70"/>
        <v/>
      </c>
      <c r="U521" s="5" t="str">
        <f t="shared" si="70"/>
        <v/>
      </c>
    </row>
    <row r="522" spans="7:21" x14ac:dyDescent="0.2">
      <c r="G522" s="8"/>
      <c r="H522" s="5"/>
      <c r="I522" s="9"/>
      <c r="J522" s="10" t="str">
        <f t="shared" si="65"/>
        <v/>
      </c>
      <c r="K522" s="10" t="str">
        <f t="shared" si="66"/>
        <v/>
      </c>
      <c r="L522" s="11" t="str">
        <f t="shared" si="68"/>
        <v/>
      </c>
      <c r="M522" s="9" t="str">
        <f>IF(G522&lt;&gt;"",J522/MAX(J$3:J522)-1,"")</f>
        <v/>
      </c>
      <c r="N522" s="9" t="str">
        <f>IF(G522&lt;&gt;"",K522/MAX(K$3:K522)-1,"")</f>
        <v/>
      </c>
      <c r="O522" s="16" t="str">
        <f t="shared" si="69"/>
        <v/>
      </c>
      <c r="P522" s="16" t="str">
        <f t="shared" si="69"/>
        <v/>
      </c>
      <c r="Q522" s="16" t="str">
        <f t="shared" si="69"/>
        <v/>
      </c>
      <c r="R522" s="5" t="str">
        <f t="shared" si="64"/>
        <v/>
      </c>
      <c r="S522" s="5" t="str">
        <f t="shared" si="67"/>
        <v/>
      </c>
      <c r="T522" s="5" t="str">
        <f t="shared" si="70"/>
        <v/>
      </c>
      <c r="U522" s="5" t="str">
        <f t="shared" si="70"/>
        <v/>
      </c>
    </row>
    <row r="523" spans="7:21" x14ac:dyDescent="0.2">
      <c r="G523" s="8"/>
      <c r="H523" s="5"/>
      <c r="I523" s="9"/>
      <c r="J523" s="10" t="str">
        <f t="shared" si="65"/>
        <v/>
      </c>
      <c r="K523" s="10" t="str">
        <f t="shared" si="66"/>
        <v/>
      </c>
      <c r="L523" s="11" t="str">
        <f t="shared" si="68"/>
        <v/>
      </c>
      <c r="M523" s="9" t="str">
        <f>IF(G523&lt;&gt;"",J523/MAX(J$3:J523)-1,"")</f>
        <v/>
      </c>
      <c r="N523" s="9" t="str">
        <f>IF(G523&lt;&gt;"",K523/MAX(K$3:K523)-1,"")</f>
        <v/>
      </c>
      <c r="O523" s="16" t="str">
        <f t="shared" si="69"/>
        <v/>
      </c>
      <c r="P523" s="16" t="str">
        <f t="shared" si="69"/>
        <v/>
      </c>
      <c r="Q523" s="16" t="str">
        <f t="shared" si="69"/>
        <v/>
      </c>
      <c r="R523" s="5" t="str">
        <f t="shared" si="64"/>
        <v/>
      </c>
      <c r="S523" s="5" t="str">
        <f t="shared" si="67"/>
        <v/>
      </c>
      <c r="T523" s="5" t="str">
        <f t="shared" si="70"/>
        <v/>
      </c>
      <c r="U523" s="5" t="str">
        <f t="shared" si="70"/>
        <v/>
      </c>
    </row>
    <row r="524" spans="7:21" x14ac:dyDescent="0.2">
      <c r="G524" s="8"/>
      <c r="H524" s="5"/>
      <c r="I524" s="9"/>
      <c r="J524" s="10" t="str">
        <f t="shared" si="65"/>
        <v/>
      </c>
      <c r="K524" s="10" t="str">
        <f t="shared" si="66"/>
        <v/>
      </c>
      <c r="L524" s="11" t="str">
        <f t="shared" si="68"/>
        <v/>
      </c>
      <c r="M524" s="9" t="str">
        <f>IF(G524&lt;&gt;"",J524/MAX(J$3:J524)-1,"")</f>
        <v/>
      </c>
      <c r="N524" s="9" t="str">
        <f>IF(G524&lt;&gt;"",K524/MAX(K$3:K524)-1,"")</f>
        <v/>
      </c>
      <c r="O524" s="16" t="str">
        <f t="shared" si="69"/>
        <v/>
      </c>
      <c r="P524" s="16" t="str">
        <f t="shared" si="69"/>
        <v/>
      </c>
      <c r="Q524" s="16" t="str">
        <f t="shared" si="69"/>
        <v/>
      </c>
      <c r="R524" s="5" t="str">
        <f t="shared" si="64"/>
        <v/>
      </c>
      <c r="S524" s="5" t="str">
        <f t="shared" si="67"/>
        <v/>
      </c>
      <c r="T524" s="5" t="str">
        <f t="shared" si="70"/>
        <v/>
      </c>
      <c r="U524" s="5" t="str">
        <f t="shared" si="70"/>
        <v/>
      </c>
    </row>
    <row r="525" spans="7:21" x14ac:dyDescent="0.2">
      <c r="G525" s="8"/>
      <c r="H525" s="5"/>
      <c r="I525" s="9"/>
      <c r="J525" s="10" t="str">
        <f t="shared" si="65"/>
        <v/>
      </c>
      <c r="K525" s="10" t="str">
        <f t="shared" si="66"/>
        <v/>
      </c>
      <c r="L525" s="11" t="str">
        <f t="shared" si="68"/>
        <v/>
      </c>
      <c r="M525" s="9" t="str">
        <f>IF(G525&lt;&gt;"",J525/MAX(J$3:J525)-1,"")</f>
        <v/>
      </c>
      <c r="N525" s="9" t="str">
        <f>IF(G525&lt;&gt;"",K525/MAX(K$3:K525)-1,"")</f>
        <v/>
      </c>
      <c r="O525" s="16" t="str">
        <f t="shared" si="69"/>
        <v/>
      </c>
      <c r="P525" s="16" t="str">
        <f t="shared" si="69"/>
        <v/>
      </c>
      <c r="Q525" s="16" t="str">
        <f t="shared" si="69"/>
        <v/>
      </c>
      <c r="R525" s="5" t="str">
        <f t="shared" si="64"/>
        <v/>
      </c>
      <c r="S525" s="5" t="str">
        <f t="shared" si="67"/>
        <v/>
      </c>
      <c r="T525" s="5" t="str">
        <f t="shared" si="70"/>
        <v/>
      </c>
      <c r="U525" s="5" t="str">
        <f t="shared" si="70"/>
        <v/>
      </c>
    </row>
    <row r="526" spans="7:21" x14ac:dyDescent="0.2">
      <c r="G526" s="8"/>
      <c r="H526" s="5"/>
      <c r="I526" s="9"/>
      <c r="J526" s="10" t="str">
        <f t="shared" si="65"/>
        <v/>
      </c>
      <c r="K526" s="10" t="str">
        <f t="shared" si="66"/>
        <v/>
      </c>
      <c r="L526" s="11" t="str">
        <f t="shared" si="68"/>
        <v/>
      </c>
      <c r="M526" s="9" t="str">
        <f>IF(G526&lt;&gt;"",J526/MAX(J$3:J526)-1,"")</f>
        <v/>
      </c>
      <c r="N526" s="9" t="str">
        <f>IF(G526&lt;&gt;"",K526/MAX(K$3:K526)-1,"")</f>
        <v/>
      </c>
      <c r="O526" s="16" t="str">
        <f t="shared" si="69"/>
        <v/>
      </c>
      <c r="P526" s="16" t="str">
        <f t="shared" si="69"/>
        <v/>
      </c>
      <c r="Q526" s="16" t="str">
        <f t="shared" si="69"/>
        <v/>
      </c>
      <c r="R526" s="5" t="str">
        <f t="shared" si="64"/>
        <v/>
      </c>
      <c r="S526" s="5" t="str">
        <f t="shared" si="67"/>
        <v/>
      </c>
      <c r="T526" s="5" t="str">
        <f t="shared" si="70"/>
        <v/>
      </c>
      <c r="U526" s="5" t="str">
        <f t="shared" si="70"/>
        <v/>
      </c>
    </row>
    <row r="527" spans="7:21" x14ac:dyDescent="0.2">
      <c r="G527" s="8"/>
      <c r="H527" s="5"/>
      <c r="I527" s="9"/>
      <c r="J527" s="10" t="str">
        <f t="shared" si="65"/>
        <v/>
      </c>
      <c r="K527" s="10" t="str">
        <f t="shared" si="66"/>
        <v/>
      </c>
      <c r="L527" s="11" t="str">
        <f t="shared" si="68"/>
        <v/>
      </c>
      <c r="M527" s="9" t="str">
        <f>IF(G527&lt;&gt;"",J527/MAX(J$3:J527)-1,"")</f>
        <v/>
      </c>
      <c r="N527" s="9" t="str">
        <f>IF(G527&lt;&gt;"",K527/MAX(K$3:K527)-1,"")</f>
        <v/>
      </c>
      <c r="O527" s="16" t="str">
        <f t="shared" si="69"/>
        <v/>
      </c>
      <c r="P527" s="16" t="str">
        <f t="shared" si="69"/>
        <v/>
      </c>
      <c r="Q527" s="16" t="str">
        <f t="shared" si="69"/>
        <v/>
      </c>
      <c r="R527" s="5" t="str">
        <f t="shared" si="64"/>
        <v/>
      </c>
      <c r="S527" s="5" t="str">
        <f t="shared" si="67"/>
        <v/>
      </c>
      <c r="T527" s="5" t="str">
        <f t="shared" si="70"/>
        <v/>
      </c>
      <c r="U527" s="5" t="str">
        <f t="shared" si="70"/>
        <v/>
      </c>
    </row>
    <row r="528" spans="7:21" x14ac:dyDescent="0.2">
      <c r="G528" s="8"/>
      <c r="H528" s="5"/>
      <c r="I528" s="9"/>
      <c r="J528" s="10" t="str">
        <f t="shared" si="65"/>
        <v/>
      </c>
      <c r="K528" s="10" t="str">
        <f t="shared" si="66"/>
        <v/>
      </c>
      <c r="L528" s="11" t="str">
        <f t="shared" si="68"/>
        <v/>
      </c>
      <c r="M528" s="9" t="str">
        <f>IF(G528&lt;&gt;"",J528/MAX(J$3:J528)-1,"")</f>
        <v/>
      </c>
      <c r="N528" s="9" t="str">
        <f>IF(G528&lt;&gt;"",K528/MAX(K$3:K528)-1,"")</f>
        <v/>
      </c>
      <c r="O528" s="16" t="str">
        <f t="shared" si="69"/>
        <v/>
      </c>
      <c r="P528" s="16" t="str">
        <f t="shared" si="69"/>
        <v/>
      </c>
      <c r="Q528" s="16" t="str">
        <f t="shared" si="69"/>
        <v/>
      </c>
      <c r="R528" s="5" t="str">
        <f t="shared" si="64"/>
        <v/>
      </c>
      <c r="S528" s="5" t="str">
        <f t="shared" si="67"/>
        <v/>
      </c>
      <c r="T528" s="5" t="str">
        <f t="shared" si="70"/>
        <v/>
      </c>
      <c r="U528" s="5" t="str">
        <f t="shared" si="70"/>
        <v/>
      </c>
    </row>
    <row r="529" spans="7:21" x14ac:dyDescent="0.2">
      <c r="G529" s="8"/>
      <c r="H529" s="5"/>
      <c r="I529" s="9"/>
      <c r="J529" s="10" t="str">
        <f t="shared" si="65"/>
        <v/>
      </c>
      <c r="K529" s="10" t="str">
        <f t="shared" si="66"/>
        <v/>
      </c>
      <c r="L529" s="11" t="str">
        <f t="shared" si="68"/>
        <v/>
      </c>
      <c r="M529" s="9" t="str">
        <f>IF(G529&lt;&gt;"",J529/MAX(J$3:J529)-1,"")</f>
        <v/>
      </c>
      <c r="N529" s="9" t="str">
        <f>IF(G529&lt;&gt;"",K529/MAX(K$3:K529)-1,"")</f>
        <v/>
      </c>
      <c r="O529" s="16" t="str">
        <f t="shared" si="69"/>
        <v/>
      </c>
      <c r="P529" s="16" t="str">
        <f t="shared" si="69"/>
        <v/>
      </c>
      <c r="Q529" s="16" t="str">
        <f t="shared" si="69"/>
        <v/>
      </c>
      <c r="R529" s="5" t="str">
        <f t="shared" si="64"/>
        <v/>
      </c>
      <c r="S529" s="5" t="str">
        <f t="shared" si="67"/>
        <v/>
      </c>
      <c r="T529" s="5" t="str">
        <f t="shared" si="70"/>
        <v/>
      </c>
      <c r="U529" s="5" t="str">
        <f t="shared" si="70"/>
        <v/>
      </c>
    </row>
    <row r="530" spans="7:21" x14ac:dyDescent="0.2">
      <c r="G530" s="8"/>
      <c r="H530" s="5"/>
      <c r="I530" s="9"/>
      <c r="J530" s="10" t="str">
        <f t="shared" si="65"/>
        <v/>
      </c>
      <c r="K530" s="10" t="str">
        <f t="shared" si="66"/>
        <v/>
      </c>
      <c r="L530" s="11" t="str">
        <f t="shared" si="68"/>
        <v/>
      </c>
      <c r="M530" s="9" t="str">
        <f>IF(G530&lt;&gt;"",J530/MAX(J$3:J530)-1,"")</f>
        <v/>
      </c>
      <c r="N530" s="9" t="str">
        <f>IF(G530&lt;&gt;"",K530/MAX(K$3:K530)-1,"")</f>
        <v/>
      </c>
      <c r="O530" s="16" t="str">
        <f t="shared" si="69"/>
        <v/>
      </c>
      <c r="P530" s="16" t="str">
        <f t="shared" si="69"/>
        <v/>
      </c>
      <c r="Q530" s="16" t="str">
        <f t="shared" si="69"/>
        <v/>
      </c>
      <c r="R530" s="5" t="str">
        <f t="shared" si="64"/>
        <v/>
      </c>
      <c r="S530" s="5" t="str">
        <f t="shared" si="67"/>
        <v/>
      </c>
      <c r="T530" s="5" t="str">
        <f t="shared" si="70"/>
        <v/>
      </c>
      <c r="U530" s="5" t="str">
        <f t="shared" si="70"/>
        <v/>
      </c>
    </row>
    <row r="531" spans="7:21" x14ac:dyDescent="0.2">
      <c r="G531" s="8"/>
      <c r="H531" s="5"/>
      <c r="I531" s="9"/>
      <c r="J531" s="10" t="str">
        <f t="shared" si="65"/>
        <v/>
      </c>
      <c r="K531" s="10" t="str">
        <f t="shared" si="66"/>
        <v/>
      </c>
      <c r="L531" s="11" t="str">
        <f t="shared" si="68"/>
        <v/>
      </c>
      <c r="M531" s="9" t="str">
        <f>IF(G531&lt;&gt;"",J531/MAX(J$3:J531)-1,"")</f>
        <v/>
      </c>
      <c r="N531" s="9" t="str">
        <f>IF(G531&lt;&gt;"",K531/MAX(K$3:K531)-1,"")</f>
        <v/>
      </c>
      <c r="O531" s="16" t="str">
        <f t="shared" si="69"/>
        <v/>
      </c>
      <c r="P531" s="16" t="str">
        <f t="shared" si="69"/>
        <v/>
      </c>
      <c r="Q531" s="16" t="str">
        <f t="shared" si="69"/>
        <v/>
      </c>
      <c r="R531" s="5" t="str">
        <f t="shared" si="64"/>
        <v/>
      </c>
      <c r="S531" s="5" t="str">
        <f t="shared" si="67"/>
        <v/>
      </c>
      <c r="T531" s="5" t="str">
        <f t="shared" si="70"/>
        <v/>
      </c>
      <c r="U531" s="5" t="str">
        <f t="shared" si="70"/>
        <v/>
      </c>
    </row>
    <row r="532" spans="7:21" x14ac:dyDescent="0.2">
      <c r="G532" s="8"/>
      <c r="H532" s="5"/>
      <c r="I532" s="9"/>
      <c r="J532" s="10" t="str">
        <f t="shared" si="65"/>
        <v/>
      </c>
      <c r="K532" s="10" t="str">
        <f t="shared" si="66"/>
        <v/>
      </c>
      <c r="L532" s="11" t="str">
        <f t="shared" si="68"/>
        <v/>
      </c>
      <c r="M532" s="9" t="str">
        <f>IF(G532&lt;&gt;"",J532/MAX(J$3:J532)-1,"")</f>
        <v/>
      </c>
      <c r="N532" s="9" t="str">
        <f>IF(G532&lt;&gt;"",K532/MAX(K$3:K532)-1,"")</f>
        <v/>
      </c>
      <c r="O532" s="16" t="str">
        <f t="shared" si="69"/>
        <v/>
      </c>
      <c r="P532" s="16" t="str">
        <f t="shared" si="69"/>
        <v/>
      </c>
      <c r="Q532" s="16" t="str">
        <f t="shared" si="69"/>
        <v/>
      </c>
      <c r="R532" s="5" t="str">
        <f t="shared" si="64"/>
        <v/>
      </c>
      <c r="S532" s="5" t="str">
        <f t="shared" si="67"/>
        <v/>
      </c>
      <c r="T532" s="5" t="str">
        <f t="shared" si="70"/>
        <v/>
      </c>
      <c r="U532" s="5" t="str">
        <f t="shared" si="70"/>
        <v/>
      </c>
    </row>
    <row r="533" spans="7:21" x14ac:dyDescent="0.2">
      <c r="G533" s="8"/>
      <c r="H533" s="5"/>
      <c r="I533" s="9"/>
      <c r="J533" s="10" t="str">
        <f t="shared" si="65"/>
        <v/>
      </c>
      <c r="K533" s="10" t="str">
        <f t="shared" si="66"/>
        <v/>
      </c>
      <c r="L533" s="11" t="str">
        <f t="shared" si="68"/>
        <v/>
      </c>
      <c r="M533" s="9" t="str">
        <f>IF(G533&lt;&gt;"",J533/MAX(J$3:J533)-1,"")</f>
        <v/>
      </c>
      <c r="N533" s="9" t="str">
        <f>IF(G533&lt;&gt;"",K533/MAX(K$3:K533)-1,"")</f>
        <v/>
      </c>
      <c r="O533" s="16" t="str">
        <f t="shared" si="69"/>
        <v/>
      </c>
      <c r="P533" s="16" t="str">
        <f t="shared" si="69"/>
        <v/>
      </c>
      <c r="Q533" s="16" t="str">
        <f t="shared" si="69"/>
        <v/>
      </c>
      <c r="R533" s="5" t="str">
        <f t="shared" si="64"/>
        <v/>
      </c>
      <c r="S533" s="5" t="str">
        <f t="shared" si="67"/>
        <v/>
      </c>
      <c r="T533" s="5" t="str">
        <f t="shared" si="70"/>
        <v/>
      </c>
      <c r="U533" s="5" t="str">
        <f t="shared" si="70"/>
        <v/>
      </c>
    </row>
    <row r="534" spans="7:21" x14ac:dyDescent="0.2">
      <c r="G534" s="8"/>
      <c r="H534" s="5"/>
      <c r="I534" s="9"/>
      <c r="J534" s="10" t="str">
        <f t="shared" si="65"/>
        <v/>
      </c>
      <c r="K534" s="10" t="str">
        <f t="shared" si="66"/>
        <v/>
      </c>
      <c r="L534" s="11" t="str">
        <f t="shared" si="68"/>
        <v/>
      </c>
      <c r="M534" s="9" t="str">
        <f>IF(G534&lt;&gt;"",J534/MAX(J$3:J534)-1,"")</f>
        <v/>
      </c>
      <c r="N534" s="9" t="str">
        <f>IF(G534&lt;&gt;"",K534/MAX(K$3:K534)-1,"")</f>
        <v/>
      </c>
      <c r="O534" s="16" t="str">
        <f t="shared" si="69"/>
        <v/>
      </c>
      <c r="P534" s="16" t="str">
        <f t="shared" si="69"/>
        <v/>
      </c>
      <c r="Q534" s="16" t="str">
        <f t="shared" si="69"/>
        <v/>
      </c>
      <c r="R534" s="5" t="str">
        <f t="shared" si="64"/>
        <v/>
      </c>
      <c r="S534" s="5" t="str">
        <f t="shared" si="67"/>
        <v/>
      </c>
      <c r="T534" s="5" t="str">
        <f t="shared" si="70"/>
        <v/>
      </c>
      <c r="U534" s="5" t="str">
        <f t="shared" si="70"/>
        <v/>
      </c>
    </row>
    <row r="535" spans="7:21" x14ac:dyDescent="0.2">
      <c r="G535" s="8"/>
      <c r="H535" s="5"/>
      <c r="I535" s="9"/>
      <c r="J535" s="10" t="str">
        <f t="shared" si="65"/>
        <v/>
      </c>
      <c r="K535" s="10" t="str">
        <f t="shared" si="66"/>
        <v/>
      </c>
      <c r="L535" s="11" t="str">
        <f t="shared" si="68"/>
        <v/>
      </c>
      <c r="M535" s="9" t="str">
        <f>IF(G535&lt;&gt;"",J535/MAX(J$3:J535)-1,"")</f>
        <v/>
      </c>
      <c r="N535" s="9" t="str">
        <f>IF(G535&lt;&gt;"",K535/MAX(K$3:K535)-1,"")</f>
        <v/>
      </c>
      <c r="O535" s="16" t="str">
        <f t="shared" si="69"/>
        <v/>
      </c>
      <c r="P535" s="16" t="str">
        <f t="shared" si="69"/>
        <v/>
      </c>
      <c r="Q535" s="16" t="str">
        <f t="shared" si="69"/>
        <v/>
      </c>
      <c r="R535" s="5" t="str">
        <f t="shared" si="64"/>
        <v/>
      </c>
      <c r="S535" s="5" t="str">
        <f t="shared" si="67"/>
        <v/>
      </c>
      <c r="T535" s="5" t="str">
        <f t="shared" si="70"/>
        <v/>
      </c>
      <c r="U535" s="5" t="str">
        <f t="shared" si="70"/>
        <v/>
      </c>
    </row>
    <row r="536" spans="7:21" x14ac:dyDescent="0.2">
      <c r="G536" s="8"/>
      <c r="H536" s="5"/>
      <c r="I536" s="9"/>
      <c r="J536" s="10" t="str">
        <f t="shared" si="65"/>
        <v/>
      </c>
      <c r="K536" s="10" t="str">
        <f t="shared" si="66"/>
        <v/>
      </c>
      <c r="L536" s="11" t="str">
        <f t="shared" si="68"/>
        <v/>
      </c>
      <c r="M536" s="9" t="str">
        <f>IF(G536&lt;&gt;"",J536/MAX(J$3:J536)-1,"")</f>
        <v/>
      </c>
      <c r="N536" s="9" t="str">
        <f>IF(G536&lt;&gt;"",K536/MAX(K$3:K536)-1,"")</f>
        <v/>
      </c>
      <c r="O536" s="16" t="str">
        <f t="shared" si="69"/>
        <v/>
      </c>
      <c r="P536" s="16" t="str">
        <f t="shared" si="69"/>
        <v/>
      </c>
      <c r="Q536" s="16" t="str">
        <f t="shared" si="69"/>
        <v/>
      </c>
      <c r="R536" s="5" t="str">
        <f t="shared" si="64"/>
        <v/>
      </c>
      <c r="S536" s="5" t="str">
        <f t="shared" si="67"/>
        <v/>
      </c>
      <c r="T536" s="5" t="str">
        <f t="shared" ref="T536:U551" si="71">IF($G536&lt;&gt;"",_xlfn.STDEV.S(O292:O536),"")</f>
        <v/>
      </c>
      <c r="U536" s="5" t="str">
        <f t="shared" si="71"/>
        <v/>
      </c>
    </row>
    <row r="537" spans="7:21" x14ac:dyDescent="0.2">
      <c r="G537" s="8"/>
      <c r="H537" s="5"/>
      <c r="I537" s="9"/>
      <c r="J537" s="10" t="str">
        <f t="shared" si="65"/>
        <v/>
      </c>
      <c r="K537" s="10" t="str">
        <f t="shared" si="66"/>
        <v/>
      </c>
      <c r="L537" s="11" t="str">
        <f t="shared" si="68"/>
        <v/>
      </c>
      <c r="M537" s="9" t="str">
        <f>IF(G537&lt;&gt;"",J537/MAX(J$3:J537)-1,"")</f>
        <v/>
      </c>
      <c r="N537" s="9" t="str">
        <f>IF(G537&lt;&gt;"",K537/MAX(K$3:K537)-1,"")</f>
        <v/>
      </c>
      <c r="O537" s="16" t="str">
        <f t="shared" si="69"/>
        <v/>
      </c>
      <c r="P537" s="16" t="str">
        <f t="shared" si="69"/>
        <v/>
      </c>
      <c r="Q537" s="16" t="str">
        <f t="shared" si="69"/>
        <v/>
      </c>
      <c r="R537" s="5" t="str">
        <f t="shared" si="64"/>
        <v/>
      </c>
      <c r="S537" s="5" t="str">
        <f t="shared" si="67"/>
        <v/>
      </c>
      <c r="T537" s="5" t="str">
        <f t="shared" si="71"/>
        <v/>
      </c>
      <c r="U537" s="5" t="str">
        <f t="shared" si="71"/>
        <v/>
      </c>
    </row>
    <row r="538" spans="7:21" x14ac:dyDescent="0.2">
      <c r="G538" s="8"/>
      <c r="H538" s="5"/>
      <c r="I538" s="9"/>
      <c r="J538" s="10" t="str">
        <f t="shared" si="65"/>
        <v/>
      </c>
      <c r="K538" s="10" t="str">
        <f t="shared" si="66"/>
        <v/>
      </c>
      <c r="L538" s="11" t="str">
        <f t="shared" si="68"/>
        <v/>
      </c>
      <c r="M538" s="9" t="str">
        <f>IF(G538&lt;&gt;"",J538/MAX(J$3:J538)-1,"")</f>
        <v/>
      </c>
      <c r="N538" s="9" t="str">
        <f>IF(G538&lt;&gt;"",K538/MAX(K$3:K538)-1,"")</f>
        <v/>
      </c>
      <c r="O538" s="16" t="str">
        <f t="shared" si="69"/>
        <v/>
      </c>
      <c r="P538" s="16" t="str">
        <f t="shared" si="69"/>
        <v/>
      </c>
      <c r="Q538" s="16" t="str">
        <f t="shared" si="69"/>
        <v/>
      </c>
      <c r="R538" s="5" t="str">
        <f t="shared" si="64"/>
        <v/>
      </c>
      <c r="S538" s="5" t="str">
        <f t="shared" si="67"/>
        <v/>
      </c>
      <c r="T538" s="5" t="str">
        <f t="shared" si="71"/>
        <v/>
      </c>
      <c r="U538" s="5" t="str">
        <f t="shared" si="71"/>
        <v/>
      </c>
    </row>
    <row r="539" spans="7:21" x14ac:dyDescent="0.2">
      <c r="G539" s="8"/>
      <c r="H539" s="5"/>
      <c r="I539" s="9"/>
      <c r="J539" s="10" t="str">
        <f t="shared" si="65"/>
        <v/>
      </c>
      <c r="K539" s="10" t="str">
        <f t="shared" si="66"/>
        <v/>
      </c>
      <c r="L539" s="11" t="str">
        <f t="shared" si="68"/>
        <v/>
      </c>
      <c r="M539" s="9" t="str">
        <f>IF(G539&lt;&gt;"",J539/MAX(J$3:J539)-1,"")</f>
        <v/>
      </c>
      <c r="N539" s="9" t="str">
        <f>IF(G539&lt;&gt;"",K539/MAX(K$3:K539)-1,"")</f>
        <v/>
      </c>
      <c r="O539" s="16" t="str">
        <f t="shared" si="69"/>
        <v/>
      </c>
      <c r="P539" s="16" t="str">
        <f t="shared" si="69"/>
        <v/>
      </c>
      <c r="Q539" s="16" t="str">
        <f t="shared" si="69"/>
        <v/>
      </c>
      <c r="R539" s="5" t="str">
        <f t="shared" si="64"/>
        <v/>
      </c>
      <c r="S539" s="5" t="str">
        <f t="shared" si="67"/>
        <v/>
      </c>
      <c r="T539" s="5" t="str">
        <f t="shared" si="71"/>
        <v/>
      </c>
      <c r="U539" s="5" t="str">
        <f t="shared" si="71"/>
        <v/>
      </c>
    </row>
    <row r="540" spans="7:21" x14ac:dyDescent="0.2">
      <c r="G540" s="8"/>
      <c r="H540" s="5"/>
      <c r="I540" s="9"/>
      <c r="J540" s="10" t="str">
        <f t="shared" si="65"/>
        <v/>
      </c>
      <c r="K540" s="10" t="str">
        <f t="shared" si="66"/>
        <v/>
      </c>
      <c r="L540" s="11" t="str">
        <f t="shared" si="68"/>
        <v/>
      </c>
      <c r="M540" s="9" t="str">
        <f>IF(G540&lt;&gt;"",J540/MAX(J$3:J540)-1,"")</f>
        <v/>
      </c>
      <c r="N540" s="9" t="str">
        <f>IF(G540&lt;&gt;"",K540/MAX(K$3:K540)-1,"")</f>
        <v/>
      </c>
      <c r="O540" s="16" t="str">
        <f t="shared" si="69"/>
        <v/>
      </c>
      <c r="P540" s="16" t="str">
        <f t="shared" si="69"/>
        <v/>
      </c>
      <c r="Q540" s="16" t="str">
        <f t="shared" si="69"/>
        <v/>
      </c>
      <c r="R540" s="5" t="str">
        <f t="shared" si="64"/>
        <v/>
      </c>
      <c r="S540" s="5" t="str">
        <f t="shared" si="67"/>
        <v/>
      </c>
      <c r="T540" s="5" t="str">
        <f t="shared" si="71"/>
        <v/>
      </c>
      <c r="U540" s="5" t="str">
        <f t="shared" si="71"/>
        <v/>
      </c>
    </row>
    <row r="541" spans="7:21" x14ac:dyDescent="0.2">
      <c r="G541" s="8"/>
      <c r="H541" s="5"/>
      <c r="I541" s="9"/>
      <c r="J541" s="10" t="str">
        <f t="shared" si="65"/>
        <v/>
      </c>
      <c r="K541" s="10" t="str">
        <f t="shared" si="66"/>
        <v/>
      </c>
      <c r="L541" s="11" t="str">
        <f t="shared" si="68"/>
        <v/>
      </c>
      <c r="M541" s="9" t="str">
        <f>IF(G541&lt;&gt;"",J541/MAX(J$3:J541)-1,"")</f>
        <v/>
      </c>
      <c r="N541" s="9" t="str">
        <f>IF(G541&lt;&gt;"",K541/MAX(K$3:K541)-1,"")</f>
        <v/>
      </c>
      <c r="O541" s="16" t="str">
        <f t="shared" si="69"/>
        <v/>
      </c>
      <c r="P541" s="16" t="str">
        <f t="shared" si="69"/>
        <v/>
      </c>
      <c r="Q541" s="16" t="str">
        <f t="shared" si="69"/>
        <v/>
      </c>
      <c r="R541" s="5" t="str">
        <f t="shared" si="64"/>
        <v/>
      </c>
      <c r="S541" s="5" t="str">
        <f t="shared" si="67"/>
        <v/>
      </c>
      <c r="T541" s="5" t="str">
        <f t="shared" si="71"/>
        <v/>
      </c>
      <c r="U541" s="5" t="str">
        <f t="shared" si="71"/>
        <v/>
      </c>
    </row>
    <row r="542" spans="7:21" x14ac:dyDescent="0.2">
      <c r="G542" s="8"/>
      <c r="H542" s="5"/>
      <c r="I542" s="9"/>
      <c r="J542" s="10" t="str">
        <f t="shared" si="65"/>
        <v/>
      </c>
      <c r="K542" s="10" t="str">
        <f t="shared" si="66"/>
        <v/>
      </c>
      <c r="L542" s="11" t="str">
        <f t="shared" si="68"/>
        <v/>
      </c>
      <c r="M542" s="9" t="str">
        <f>IF(G542&lt;&gt;"",J542/MAX(J$3:J542)-1,"")</f>
        <v/>
      </c>
      <c r="N542" s="9" t="str">
        <f>IF(G542&lt;&gt;"",K542/MAX(K$3:K542)-1,"")</f>
        <v/>
      </c>
      <c r="O542" s="16" t="str">
        <f t="shared" si="69"/>
        <v/>
      </c>
      <c r="P542" s="16" t="str">
        <f t="shared" si="69"/>
        <v/>
      </c>
      <c r="Q542" s="16" t="str">
        <f t="shared" si="69"/>
        <v/>
      </c>
      <c r="R542" s="5" t="str">
        <f t="shared" si="64"/>
        <v/>
      </c>
      <c r="S542" s="5" t="str">
        <f t="shared" si="67"/>
        <v/>
      </c>
      <c r="T542" s="5" t="str">
        <f t="shared" si="71"/>
        <v/>
      </c>
      <c r="U542" s="5" t="str">
        <f t="shared" si="71"/>
        <v/>
      </c>
    </row>
    <row r="543" spans="7:21" x14ac:dyDescent="0.2">
      <c r="G543" s="8"/>
      <c r="H543" s="5"/>
      <c r="I543" s="9"/>
      <c r="J543" s="10" t="str">
        <f t="shared" si="65"/>
        <v/>
      </c>
      <c r="K543" s="10" t="str">
        <f t="shared" si="66"/>
        <v/>
      </c>
      <c r="L543" s="11" t="str">
        <f t="shared" si="68"/>
        <v/>
      </c>
      <c r="M543" s="9" t="str">
        <f>IF(G543&lt;&gt;"",J543/MAX(J$3:J543)-1,"")</f>
        <v/>
      </c>
      <c r="N543" s="9" t="str">
        <f>IF(G543&lt;&gt;"",K543/MAX(K$3:K543)-1,"")</f>
        <v/>
      </c>
      <c r="O543" s="16" t="str">
        <f t="shared" si="69"/>
        <v/>
      </c>
      <c r="P543" s="16" t="str">
        <f t="shared" si="69"/>
        <v/>
      </c>
      <c r="Q543" s="16" t="str">
        <f t="shared" si="69"/>
        <v/>
      </c>
      <c r="R543" s="5" t="str">
        <f t="shared" si="64"/>
        <v/>
      </c>
      <c r="S543" s="5" t="str">
        <f t="shared" si="67"/>
        <v/>
      </c>
      <c r="T543" s="5" t="str">
        <f t="shared" si="71"/>
        <v/>
      </c>
      <c r="U543" s="5" t="str">
        <f t="shared" si="71"/>
        <v/>
      </c>
    </row>
    <row r="544" spans="7:21" x14ac:dyDescent="0.2">
      <c r="G544" s="8"/>
      <c r="H544" s="5"/>
      <c r="I544" s="9"/>
      <c r="J544" s="10" t="str">
        <f t="shared" si="65"/>
        <v/>
      </c>
      <c r="K544" s="10" t="str">
        <f t="shared" si="66"/>
        <v/>
      </c>
      <c r="L544" s="11" t="str">
        <f t="shared" si="68"/>
        <v/>
      </c>
      <c r="M544" s="9" t="str">
        <f>IF(G544&lt;&gt;"",J544/MAX(J$3:J544)-1,"")</f>
        <v/>
      </c>
      <c r="N544" s="9" t="str">
        <f>IF(G544&lt;&gt;"",K544/MAX(K$3:K544)-1,"")</f>
        <v/>
      </c>
      <c r="O544" s="16" t="str">
        <f t="shared" si="69"/>
        <v/>
      </c>
      <c r="P544" s="16" t="str">
        <f t="shared" si="69"/>
        <v/>
      </c>
      <c r="Q544" s="16" t="str">
        <f t="shared" si="69"/>
        <v/>
      </c>
      <c r="R544" s="5" t="str">
        <f t="shared" si="64"/>
        <v/>
      </c>
      <c r="S544" s="5" t="str">
        <f t="shared" si="67"/>
        <v/>
      </c>
      <c r="T544" s="5" t="str">
        <f t="shared" si="71"/>
        <v/>
      </c>
      <c r="U544" s="5" t="str">
        <f t="shared" si="71"/>
        <v/>
      </c>
    </row>
    <row r="545" spans="7:21" x14ac:dyDescent="0.2">
      <c r="G545" s="8"/>
      <c r="H545" s="5"/>
      <c r="I545" s="9"/>
      <c r="J545" s="10" t="str">
        <f t="shared" si="65"/>
        <v/>
      </c>
      <c r="K545" s="10" t="str">
        <f t="shared" si="66"/>
        <v/>
      </c>
      <c r="L545" s="11" t="str">
        <f t="shared" si="68"/>
        <v/>
      </c>
      <c r="M545" s="9" t="str">
        <f>IF(G545&lt;&gt;"",J545/MAX(J$3:J545)-1,"")</f>
        <v/>
      </c>
      <c r="N545" s="9" t="str">
        <f>IF(G545&lt;&gt;"",K545/MAX(K$3:K545)-1,"")</f>
        <v/>
      </c>
      <c r="O545" s="16" t="str">
        <f t="shared" si="69"/>
        <v/>
      </c>
      <c r="P545" s="16" t="str">
        <f t="shared" si="69"/>
        <v/>
      </c>
      <c r="Q545" s="16" t="str">
        <f t="shared" si="69"/>
        <v/>
      </c>
      <c r="R545" s="5" t="str">
        <f t="shared" si="64"/>
        <v/>
      </c>
      <c r="S545" s="5" t="str">
        <f t="shared" si="67"/>
        <v/>
      </c>
      <c r="T545" s="5" t="str">
        <f t="shared" si="71"/>
        <v/>
      </c>
      <c r="U545" s="5" t="str">
        <f t="shared" si="71"/>
        <v/>
      </c>
    </row>
    <row r="546" spans="7:21" x14ac:dyDescent="0.2">
      <c r="G546" s="8"/>
      <c r="H546" s="5"/>
      <c r="I546" s="9"/>
      <c r="J546" s="10" t="str">
        <f t="shared" si="65"/>
        <v/>
      </c>
      <c r="K546" s="10" t="str">
        <f t="shared" si="66"/>
        <v/>
      </c>
      <c r="L546" s="11" t="str">
        <f t="shared" si="68"/>
        <v/>
      </c>
      <c r="M546" s="9" t="str">
        <f>IF(G546&lt;&gt;"",J546/MAX(J$3:J546)-1,"")</f>
        <v/>
      </c>
      <c r="N546" s="9" t="str">
        <f>IF(G546&lt;&gt;"",K546/MAX(K$3:K546)-1,"")</f>
        <v/>
      </c>
      <c r="O546" s="16" t="str">
        <f t="shared" si="69"/>
        <v/>
      </c>
      <c r="P546" s="16" t="str">
        <f t="shared" si="69"/>
        <v/>
      </c>
      <c r="Q546" s="16" t="str">
        <f t="shared" si="69"/>
        <v/>
      </c>
      <c r="R546" s="5" t="str">
        <f t="shared" si="64"/>
        <v/>
      </c>
      <c r="S546" s="5" t="str">
        <f t="shared" si="67"/>
        <v/>
      </c>
      <c r="T546" s="5" t="str">
        <f t="shared" si="71"/>
        <v/>
      </c>
      <c r="U546" s="5" t="str">
        <f t="shared" si="71"/>
        <v/>
      </c>
    </row>
    <row r="547" spans="7:21" x14ac:dyDescent="0.2">
      <c r="G547" s="8"/>
      <c r="H547" s="5"/>
      <c r="I547" s="9"/>
      <c r="J547" s="10" t="str">
        <f t="shared" si="65"/>
        <v/>
      </c>
      <c r="K547" s="10" t="str">
        <f t="shared" si="66"/>
        <v/>
      </c>
      <c r="L547" s="11" t="str">
        <f t="shared" si="68"/>
        <v/>
      </c>
      <c r="M547" s="9" t="str">
        <f>IF(G547&lt;&gt;"",J547/MAX(J$3:J547)-1,"")</f>
        <v/>
      </c>
      <c r="N547" s="9" t="str">
        <f>IF(G547&lt;&gt;"",K547/MAX(K$3:K547)-1,"")</f>
        <v/>
      </c>
      <c r="O547" s="16" t="str">
        <f t="shared" si="69"/>
        <v/>
      </c>
      <c r="P547" s="16" t="str">
        <f t="shared" si="69"/>
        <v/>
      </c>
      <c r="Q547" s="16" t="str">
        <f t="shared" si="69"/>
        <v/>
      </c>
      <c r="R547" s="5" t="str">
        <f t="shared" si="64"/>
        <v/>
      </c>
      <c r="S547" s="5" t="str">
        <f t="shared" si="67"/>
        <v/>
      </c>
      <c r="T547" s="5" t="str">
        <f t="shared" si="71"/>
        <v/>
      </c>
      <c r="U547" s="5" t="str">
        <f t="shared" si="71"/>
        <v/>
      </c>
    </row>
    <row r="548" spans="7:21" x14ac:dyDescent="0.2">
      <c r="G548" s="8"/>
      <c r="H548" s="5"/>
      <c r="I548" s="9"/>
      <c r="J548" s="10" t="str">
        <f t="shared" si="65"/>
        <v/>
      </c>
      <c r="K548" s="10" t="str">
        <f t="shared" si="66"/>
        <v/>
      </c>
      <c r="L548" s="11" t="str">
        <f t="shared" si="68"/>
        <v/>
      </c>
      <c r="M548" s="9" t="str">
        <f>IF(G548&lt;&gt;"",J548/MAX(J$3:J548)-1,"")</f>
        <v/>
      </c>
      <c r="N548" s="9" t="str">
        <f>IF(G548&lt;&gt;"",K548/MAX(K$3:K548)-1,"")</f>
        <v/>
      </c>
      <c r="O548" s="16" t="str">
        <f t="shared" si="69"/>
        <v/>
      </c>
      <c r="P548" s="16" t="str">
        <f t="shared" si="69"/>
        <v/>
      </c>
      <c r="Q548" s="16" t="str">
        <f t="shared" si="69"/>
        <v/>
      </c>
      <c r="R548" s="5" t="str">
        <f t="shared" si="64"/>
        <v/>
      </c>
      <c r="S548" s="5" t="str">
        <f t="shared" si="67"/>
        <v/>
      </c>
      <c r="T548" s="5" t="str">
        <f t="shared" si="71"/>
        <v/>
      </c>
      <c r="U548" s="5" t="str">
        <f t="shared" si="71"/>
        <v/>
      </c>
    </row>
    <row r="549" spans="7:21" x14ac:dyDescent="0.2">
      <c r="G549" s="8"/>
      <c r="H549" s="5"/>
      <c r="I549" s="9"/>
      <c r="J549" s="10" t="str">
        <f t="shared" si="65"/>
        <v/>
      </c>
      <c r="K549" s="10" t="str">
        <f t="shared" si="66"/>
        <v/>
      </c>
      <c r="L549" s="11" t="str">
        <f t="shared" si="68"/>
        <v/>
      </c>
      <c r="M549" s="9" t="str">
        <f>IF(G549&lt;&gt;"",J549/MAX(J$3:J549)-1,"")</f>
        <v/>
      </c>
      <c r="N549" s="9" t="str">
        <f>IF(G549&lt;&gt;"",K549/MAX(K$3:K549)-1,"")</f>
        <v/>
      </c>
      <c r="O549" s="16" t="str">
        <f t="shared" si="69"/>
        <v/>
      </c>
      <c r="P549" s="16" t="str">
        <f t="shared" si="69"/>
        <v/>
      </c>
      <c r="Q549" s="16" t="str">
        <f t="shared" si="69"/>
        <v/>
      </c>
      <c r="R549" s="5" t="str">
        <f t="shared" si="64"/>
        <v/>
      </c>
      <c r="S549" s="5" t="str">
        <f t="shared" si="67"/>
        <v/>
      </c>
      <c r="T549" s="5" t="str">
        <f t="shared" si="71"/>
        <v/>
      </c>
      <c r="U549" s="5" t="str">
        <f t="shared" si="71"/>
        <v/>
      </c>
    </row>
    <row r="550" spans="7:21" x14ac:dyDescent="0.2">
      <c r="G550" s="8"/>
      <c r="H550" s="5"/>
      <c r="I550" s="9"/>
      <c r="J550" s="10" t="str">
        <f t="shared" si="65"/>
        <v/>
      </c>
      <c r="K550" s="10" t="str">
        <f t="shared" si="66"/>
        <v/>
      </c>
      <c r="L550" s="11" t="str">
        <f t="shared" si="68"/>
        <v/>
      </c>
      <c r="M550" s="9" t="str">
        <f>IF(G550&lt;&gt;"",J550/MAX(J$3:J550)-1,"")</f>
        <v/>
      </c>
      <c r="N550" s="9" t="str">
        <f>IF(G550&lt;&gt;"",K550/MAX(K$3:K550)-1,"")</f>
        <v/>
      </c>
      <c r="O550" s="16" t="str">
        <f t="shared" si="69"/>
        <v/>
      </c>
      <c r="P550" s="16" t="str">
        <f t="shared" si="69"/>
        <v/>
      </c>
      <c r="Q550" s="16" t="str">
        <f t="shared" si="69"/>
        <v/>
      </c>
      <c r="R550" s="5" t="str">
        <f t="shared" si="64"/>
        <v/>
      </c>
      <c r="S550" s="5" t="str">
        <f t="shared" si="67"/>
        <v/>
      </c>
      <c r="T550" s="5" t="str">
        <f t="shared" si="71"/>
        <v/>
      </c>
      <c r="U550" s="5" t="str">
        <f t="shared" si="71"/>
        <v/>
      </c>
    </row>
    <row r="551" spans="7:21" x14ac:dyDescent="0.2">
      <c r="G551" s="8"/>
      <c r="H551" s="5"/>
      <c r="I551" s="9"/>
      <c r="J551" s="10" t="str">
        <f t="shared" si="65"/>
        <v/>
      </c>
      <c r="K551" s="10" t="str">
        <f t="shared" si="66"/>
        <v/>
      </c>
      <c r="L551" s="11" t="str">
        <f t="shared" si="68"/>
        <v/>
      </c>
      <c r="M551" s="9" t="str">
        <f>IF(G551&lt;&gt;"",J551/MAX(J$3:J551)-1,"")</f>
        <v/>
      </c>
      <c r="N551" s="9" t="str">
        <f>IF(G551&lt;&gt;"",K551/MAX(K$3:K551)-1,"")</f>
        <v/>
      </c>
      <c r="O551" s="16" t="str">
        <f t="shared" si="69"/>
        <v/>
      </c>
      <c r="P551" s="16" t="str">
        <f t="shared" si="69"/>
        <v/>
      </c>
      <c r="Q551" s="16" t="str">
        <f t="shared" si="69"/>
        <v/>
      </c>
      <c r="R551" s="5" t="str">
        <f t="shared" si="64"/>
        <v/>
      </c>
      <c r="S551" s="5" t="str">
        <f t="shared" si="67"/>
        <v/>
      </c>
      <c r="T551" s="5" t="str">
        <f t="shared" si="71"/>
        <v/>
      </c>
      <c r="U551" s="5" t="str">
        <f t="shared" si="71"/>
        <v/>
      </c>
    </row>
    <row r="552" spans="7:21" x14ac:dyDescent="0.2">
      <c r="G552" s="8"/>
      <c r="H552" s="5"/>
      <c r="I552" s="9"/>
      <c r="J552" s="10" t="str">
        <f t="shared" si="65"/>
        <v/>
      </c>
      <c r="K552" s="10" t="str">
        <f t="shared" si="66"/>
        <v/>
      </c>
      <c r="L552" s="11" t="str">
        <f t="shared" si="68"/>
        <v/>
      </c>
      <c r="M552" s="9" t="str">
        <f>IF(G552&lt;&gt;"",J552/MAX(J$3:J552)-1,"")</f>
        <v/>
      </c>
      <c r="N552" s="9" t="str">
        <f>IF(G552&lt;&gt;"",K552/MAX(K$3:K552)-1,"")</f>
        <v/>
      </c>
      <c r="O552" s="16" t="str">
        <f t="shared" si="69"/>
        <v/>
      </c>
      <c r="P552" s="16" t="str">
        <f t="shared" si="69"/>
        <v/>
      </c>
      <c r="Q552" s="16" t="str">
        <f t="shared" si="69"/>
        <v/>
      </c>
      <c r="R552" s="5" t="str">
        <f t="shared" si="64"/>
        <v/>
      </c>
      <c r="S552" s="5" t="str">
        <f t="shared" si="67"/>
        <v/>
      </c>
      <c r="T552" s="5" t="str">
        <f t="shared" ref="T552:U567" si="72">IF($G552&lt;&gt;"",_xlfn.STDEV.S(O308:O552),"")</f>
        <v/>
      </c>
      <c r="U552" s="5" t="str">
        <f t="shared" si="72"/>
        <v/>
      </c>
    </row>
    <row r="553" spans="7:21" x14ac:dyDescent="0.2">
      <c r="G553" s="8"/>
      <c r="H553" s="5"/>
      <c r="I553" s="9"/>
      <c r="J553" s="10" t="str">
        <f t="shared" si="65"/>
        <v/>
      </c>
      <c r="K553" s="10" t="str">
        <f t="shared" si="66"/>
        <v/>
      </c>
      <c r="L553" s="11" t="str">
        <f t="shared" si="68"/>
        <v/>
      </c>
      <c r="M553" s="9" t="str">
        <f>IF(G553&lt;&gt;"",J553/MAX(J$3:J553)-1,"")</f>
        <v/>
      </c>
      <c r="N553" s="9" t="str">
        <f>IF(G553&lt;&gt;"",K553/MAX(K$3:K553)-1,"")</f>
        <v/>
      </c>
      <c r="O553" s="16" t="str">
        <f t="shared" si="69"/>
        <v/>
      </c>
      <c r="P553" s="16" t="str">
        <f t="shared" si="69"/>
        <v/>
      </c>
      <c r="Q553" s="16" t="str">
        <f t="shared" si="69"/>
        <v/>
      </c>
      <c r="R553" s="5" t="str">
        <f t="shared" si="64"/>
        <v/>
      </c>
      <c r="S553" s="5" t="str">
        <f t="shared" si="67"/>
        <v/>
      </c>
      <c r="T553" s="5" t="str">
        <f t="shared" si="72"/>
        <v/>
      </c>
      <c r="U553" s="5" t="str">
        <f t="shared" si="72"/>
        <v/>
      </c>
    </row>
    <row r="554" spans="7:21" x14ac:dyDescent="0.2">
      <c r="G554" s="8"/>
      <c r="H554" s="5"/>
      <c r="I554" s="9"/>
      <c r="J554" s="10" t="str">
        <f t="shared" si="65"/>
        <v/>
      </c>
      <c r="K554" s="10" t="str">
        <f t="shared" si="66"/>
        <v/>
      </c>
      <c r="L554" s="11" t="str">
        <f t="shared" si="68"/>
        <v/>
      </c>
      <c r="M554" s="9" t="str">
        <f>IF(G554&lt;&gt;"",J554/MAX(J$3:J554)-1,"")</f>
        <v/>
      </c>
      <c r="N554" s="9" t="str">
        <f>IF(G554&lt;&gt;"",K554/MAX(K$3:K554)-1,"")</f>
        <v/>
      </c>
      <c r="O554" s="16" t="str">
        <f t="shared" si="69"/>
        <v/>
      </c>
      <c r="P554" s="16" t="str">
        <f t="shared" si="69"/>
        <v/>
      </c>
      <c r="Q554" s="16" t="str">
        <f t="shared" si="69"/>
        <v/>
      </c>
      <c r="R554" s="5" t="str">
        <f t="shared" si="64"/>
        <v/>
      </c>
      <c r="S554" s="5" t="str">
        <f t="shared" si="67"/>
        <v/>
      </c>
      <c r="T554" s="5" t="str">
        <f t="shared" si="72"/>
        <v/>
      </c>
      <c r="U554" s="5" t="str">
        <f t="shared" si="72"/>
        <v/>
      </c>
    </row>
    <row r="555" spans="7:21" x14ac:dyDescent="0.2">
      <c r="G555" s="8"/>
      <c r="H555" s="5"/>
      <c r="I555" s="9"/>
      <c r="J555" s="10" t="str">
        <f t="shared" si="65"/>
        <v/>
      </c>
      <c r="K555" s="10" t="str">
        <f t="shared" si="66"/>
        <v/>
      </c>
      <c r="L555" s="11" t="str">
        <f t="shared" si="68"/>
        <v/>
      </c>
      <c r="M555" s="9" t="str">
        <f>IF(G555&lt;&gt;"",J555/MAX(J$3:J555)-1,"")</f>
        <v/>
      </c>
      <c r="N555" s="9" t="str">
        <f>IF(G555&lt;&gt;"",K555/MAX(K$3:K555)-1,"")</f>
        <v/>
      </c>
      <c r="O555" s="16" t="str">
        <f t="shared" si="69"/>
        <v/>
      </c>
      <c r="P555" s="16" t="str">
        <f t="shared" si="69"/>
        <v/>
      </c>
      <c r="Q555" s="16" t="str">
        <f t="shared" si="69"/>
        <v/>
      </c>
      <c r="R555" s="5" t="str">
        <f t="shared" si="64"/>
        <v/>
      </c>
      <c r="S555" s="5" t="str">
        <f t="shared" si="67"/>
        <v/>
      </c>
      <c r="T555" s="5" t="str">
        <f t="shared" si="72"/>
        <v/>
      </c>
      <c r="U555" s="5" t="str">
        <f t="shared" si="72"/>
        <v/>
      </c>
    </row>
    <row r="556" spans="7:21" x14ac:dyDescent="0.2">
      <c r="G556" s="8"/>
      <c r="H556" s="5"/>
      <c r="I556" s="9"/>
      <c r="J556" s="10" t="str">
        <f t="shared" si="65"/>
        <v/>
      </c>
      <c r="K556" s="10" t="str">
        <f t="shared" si="66"/>
        <v/>
      </c>
      <c r="L556" s="11" t="str">
        <f t="shared" si="68"/>
        <v/>
      </c>
      <c r="M556" s="9" t="str">
        <f>IF(G556&lt;&gt;"",J556/MAX(J$3:J556)-1,"")</f>
        <v/>
      </c>
      <c r="N556" s="9" t="str">
        <f>IF(G556&lt;&gt;"",K556/MAX(K$3:K556)-1,"")</f>
        <v/>
      </c>
      <c r="O556" s="16" t="str">
        <f t="shared" si="69"/>
        <v/>
      </c>
      <c r="P556" s="16" t="str">
        <f t="shared" si="69"/>
        <v/>
      </c>
      <c r="Q556" s="16" t="str">
        <f t="shared" si="69"/>
        <v/>
      </c>
      <c r="R556" s="5" t="str">
        <f t="shared" si="64"/>
        <v/>
      </c>
      <c r="S556" s="5" t="str">
        <f t="shared" si="67"/>
        <v/>
      </c>
      <c r="T556" s="5" t="str">
        <f t="shared" si="72"/>
        <v/>
      </c>
      <c r="U556" s="5" t="str">
        <f t="shared" si="72"/>
        <v/>
      </c>
    </row>
    <row r="557" spans="7:21" x14ac:dyDescent="0.2">
      <c r="G557" s="8"/>
      <c r="H557" s="5"/>
      <c r="I557" s="9"/>
      <c r="J557" s="10" t="str">
        <f t="shared" si="65"/>
        <v/>
      </c>
      <c r="K557" s="10" t="str">
        <f t="shared" si="66"/>
        <v/>
      </c>
      <c r="L557" s="11" t="str">
        <f t="shared" si="68"/>
        <v/>
      </c>
      <c r="M557" s="9" t="str">
        <f>IF(G557&lt;&gt;"",J557/MAX(J$3:J557)-1,"")</f>
        <v/>
      </c>
      <c r="N557" s="9" t="str">
        <f>IF(G557&lt;&gt;"",K557/MAX(K$3:K557)-1,"")</f>
        <v/>
      </c>
      <c r="O557" s="16" t="str">
        <f t="shared" si="69"/>
        <v/>
      </c>
      <c r="P557" s="16" t="str">
        <f t="shared" si="69"/>
        <v/>
      </c>
      <c r="Q557" s="16" t="str">
        <f t="shared" si="69"/>
        <v/>
      </c>
      <c r="R557" s="5" t="str">
        <f t="shared" si="64"/>
        <v/>
      </c>
      <c r="S557" s="5" t="str">
        <f t="shared" si="67"/>
        <v/>
      </c>
      <c r="T557" s="5" t="str">
        <f t="shared" si="72"/>
        <v/>
      </c>
      <c r="U557" s="5" t="str">
        <f t="shared" si="72"/>
        <v/>
      </c>
    </row>
    <row r="558" spans="7:21" x14ac:dyDescent="0.2">
      <c r="G558" s="8"/>
      <c r="H558" s="5"/>
      <c r="I558" s="9"/>
      <c r="J558" s="10" t="str">
        <f t="shared" si="65"/>
        <v/>
      </c>
      <c r="K558" s="10" t="str">
        <f t="shared" si="66"/>
        <v/>
      </c>
      <c r="L558" s="11" t="str">
        <f t="shared" si="68"/>
        <v/>
      </c>
      <c r="M558" s="9" t="str">
        <f>IF(G558&lt;&gt;"",J558/MAX(J$3:J558)-1,"")</f>
        <v/>
      </c>
      <c r="N558" s="9" t="str">
        <f>IF(G558&lt;&gt;"",K558/MAX(K$3:K558)-1,"")</f>
        <v/>
      </c>
      <c r="O558" s="16" t="str">
        <f t="shared" si="69"/>
        <v/>
      </c>
      <c r="P558" s="16" t="str">
        <f t="shared" si="69"/>
        <v/>
      </c>
      <c r="Q558" s="16" t="str">
        <f t="shared" si="69"/>
        <v/>
      </c>
      <c r="R558" s="5" t="str">
        <f t="shared" si="64"/>
        <v/>
      </c>
      <c r="S558" s="5" t="str">
        <f t="shared" si="67"/>
        <v/>
      </c>
      <c r="T558" s="5" t="str">
        <f t="shared" si="72"/>
        <v/>
      </c>
      <c r="U558" s="5" t="str">
        <f t="shared" si="72"/>
        <v/>
      </c>
    </row>
    <row r="559" spans="7:21" x14ac:dyDescent="0.2">
      <c r="G559" s="8"/>
      <c r="H559" s="5"/>
      <c r="I559" s="9"/>
      <c r="J559" s="10" t="str">
        <f t="shared" si="65"/>
        <v/>
      </c>
      <c r="K559" s="10" t="str">
        <f t="shared" si="66"/>
        <v/>
      </c>
      <c r="L559" s="11" t="str">
        <f t="shared" si="68"/>
        <v/>
      </c>
      <c r="M559" s="9" t="str">
        <f>IF(G559&lt;&gt;"",J559/MAX(J$3:J559)-1,"")</f>
        <v/>
      </c>
      <c r="N559" s="9" t="str">
        <f>IF(G559&lt;&gt;"",K559/MAX(K$3:K559)-1,"")</f>
        <v/>
      </c>
      <c r="O559" s="16" t="str">
        <f t="shared" si="69"/>
        <v/>
      </c>
      <c r="P559" s="16" t="str">
        <f t="shared" si="69"/>
        <v/>
      </c>
      <c r="Q559" s="16" t="str">
        <f t="shared" si="69"/>
        <v/>
      </c>
      <c r="R559" s="5" t="str">
        <f t="shared" si="64"/>
        <v/>
      </c>
      <c r="S559" s="5" t="str">
        <f t="shared" si="67"/>
        <v/>
      </c>
      <c r="T559" s="5" t="str">
        <f t="shared" si="72"/>
        <v/>
      </c>
      <c r="U559" s="5" t="str">
        <f t="shared" si="72"/>
        <v/>
      </c>
    </row>
    <row r="560" spans="7:21" x14ac:dyDescent="0.2">
      <c r="G560" s="8"/>
      <c r="H560" s="5"/>
      <c r="I560" s="9"/>
      <c r="J560" s="10" t="str">
        <f t="shared" si="65"/>
        <v/>
      </c>
      <c r="K560" s="10" t="str">
        <f t="shared" si="66"/>
        <v/>
      </c>
      <c r="L560" s="11" t="str">
        <f t="shared" si="68"/>
        <v/>
      </c>
      <c r="M560" s="9" t="str">
        <f>IF(G560&lt;&gt;"",J560/MAX(J$3:J560)-1,"")</f>
        <v/>
      </c>
      <c r="N560" s="9" t="str">
        <f>IF(G560&lt;&gt;"",K560/MAX(K$3:K560)-1,"")</f>
        <v/>
      </c>
      <c r="O560" s="16" t="str">
        <f t="shared" si="69"/>
        <v/>
      </c>
      <c r="P560" s="16" t="str">
        <f t="shared" si="69"/>
        <v/>
      </c>
      <c r="Q560" s="16" t="str">
        <f t="shared" si="69"/>
        <v/>
      </c>
      <c r="R560" s="5" t="str">
        <f t="shared" si="64"/>
        <v/>
      </c>
      <c r="S560" s="5" t="str">
        <f t="shared" si="67"/>
        <v/>
      </c>
      <c r="T560" s="5" t="str">
        <f t="shared" si="72"/>
        <v/>
      </c>
      <c r="U560" s="5" t="str">
        <f t="shared" si="72"/>
        <v/>
      </c>
    </row>
    <row r="561" spans="7:21" x14ac:dyDescent="0.2">
      <c r="G561" s="8"/>
      <c r="H561" s="5"/>
      <c r="I561" s="9"/>
      <c r="J561" s="10" t="str">
        <f t="shared" si="65"/>
        <v/>
      </c>
      <c r="K561" s="10" t="str">
        <f t="shared" si="66"/>
        <v/>
      </c>
      <c r="L561" s="11" t="str">
        <f t="shared" si="68"/>
        <v/>
      </c>
      <c r="M561" s="9" t="str">
        <f>IF(G561&lt;&gt;"",J561/MAX(J$3:J561)-1,"")</f>
        <v/>
      </c>
      <c r="N561" s="9" t="str">
        <f>IF(G561&lt;&gt;"",K561/MAX(K$3:K561)-1,"")</f>
        <v/>
      </c>
      <c r="O561" s="16" t="str">
        <f t="shared" si="69"/>
        <v/>
      </c>
      <c r="P561" s="16" t="str">
        <f t="shared" si="69"/>
        <v/>
      </c>
      <c r="Q561" s="16" t="str">
        <f t="shared" si="69"/>
        <v/>
      </c>
      <c r="R561" s="5" t="str">
        <f t="shared" si="64"/>
        <v/>
      </c>
      <c r="S561" s="5" t="str">
        <f t="shared" si="67"/>
        <v/>
      </c>
      <c r="T561" s="5" t="str">
        <f t="shared" si="72"/>
        <v/>
      </c>
      <c r="U561" s="5" t="str">
        <f t="shared" si="72"/>
        <v/>
      </c>
    </row>
    <row r="562" spans="7:21" x14ac:dyDescent="0.2">
      <c r="G562" s="8"/>
      <c r="H562" s="5"/>
      <c r="I562" s="9"/>
      <c r="J562" s="10" t="str">
        <f t="shared" si="65"/>
        <v/>
      </c>
      <c r="K562" s="10" t="str">
        <f t="shared" si="66"/>
        <v/>
      </c>
      <c r="L562" s="11" t="str">
        <f t="shared" si="68"/>
        <v/>
      </c>
      <c r="M562" s="9" t="str">
        <f>IF(G562&lt;&gt;"",J562/MAX(J$3:J562)-1,"")</f>
        <v/>
      </c>
      <c r="N562" s="9" t="str">
        <f>IF(G562&lt;&gt;"",K562/MAX(K$3:K562)-1,"")</f>
        <v/>
      </c>
      <c r="O562" s="16" t="str">
        <f t="shared" si="69"/>
        <v/>
      </c>
      <c r="P562" s="16" t="str">
        <f t="shared" si="69"/>
        <v/>
      </c>
      <c r="Q562" s="16" t="str">
        <f t="shared" si="69"/>
        <v/>
      </c>
      <c r="R562" s="5" t="str">
        <f t="shared" si="64"/>
        <v/>
      </c>
      <c r="S562" s="5" t="str">
        <f t="shared" si="67"/>
        <v/>
      </c>
      <c r="T562" s="5" t="str">
        <f t="shared" si="72"/>
        <v/>
      </c>
      <c r="U562" s="5" t="str">
        <f t="shared" si="72"/>
        <v/>
      </c>
    </row>
    <row r="563" spans="7:21" x14ac:dyDescent="0.2">
      <c r="G563" s="8"/>
      <c r="H563" s="5"/>
      <c r="I563" s="9"/>
      <c r="J563" s="10" t="str">
        <f t="shared" si="65"/>
        <v/>
      </c>
      <c r="K563" s="10" t="str">
        <f t="shared" si="66"/>
        <v/>
      </c>
      <c r="L563" s="11" t="str">
        <f t="shared" si="68"/>
        <v/>
      </c>
      <c r="M563" s="9" t="str">
        <f>IF(G563&lt;&gt;"",J563/MAX(J$3:J563)-1,"")</f>
        <v/>
      </c>
      <c r="N563" s="9" t="str">
        <f>IF(G563&lt;&gt;"",K563/MAX(K$3:K563)-1,"")</f>
        <v/>
      </c>
      <c r="O563" s="16" t="str">
        <f t="shared" si="69"/>
        <v/>
      </c>
      <c r="P563" s="16" t="str">
        <f t="shared" si="69"/>
        <v/>
      </c>
      <c r="Q563" s="16" t="str">
        <f t="shared" si="69"/>
        <v/>
      </c>
      <c r="R563" s="5" t="str">
        <f t="shared" si="64"/>
        <v/>
      </c>
      <c r="S563" s="5" t="str">
        <f t="shared" si="67"/>
        <v/>
      </c>
      <c r="T563" s="5" t="str">
        <f t="shared" si="72"/>
        <v/>
      </c>
      <c r="U563" s="5" t="str">
        <f t="shared" si="72"/>
        <v/>
      </c>
    </row>
    <row r="564" spans="7:21" x14ac:dyDescent="0.2">
      <c r="G564" s="8"/>
      <c r="H564" s="5"/>
      <c r="I564" s="9"/>
      <c r="J564" s="10" t="str">
        <f t="shared" si="65"/>
        <v/>
      </c>
      <c r="K564" s="10" t="str">
        <f t="shared" si="66"/>
        <v/>
      </c>
      <c r="L564" s="11" t="str">
        <f t="shared" si="68"/>
        <v/>
      </c>
      <c r="M564" s="9" t="str">
        <f>IF(G564&lt;&gt;"",J564/MAX(J$3:J564)-1,"")</f>
        <v/>
      </c>
      <c r="N564" s="9" t="str">
        <f>IF(G564&lt;&gt;"",K564/MAX(K$3:K564)-1,"")</f>
        <v/>
      </c>
      <c r="O564" s="16" t="str">
        <f t="shared" si="69"/>
        <v/>
      </c>
      <c r="P564" s="16" t="str">
        <f t="shared" si="69"/>
        <v/>
      </c>
      <c r="Q564" s="16" t="str">
        <f t="shared" si="69"/>
        <v/>
      </c>
      <c r="R564" s="5" t="str">
        <f t="shared" si="64"/>
        <v/>
      </c>
      <c r="S564" s="5" t="str">
        <f t="shared" si="67"/>
        <v/>
      </c>
      <c r="T564" s="5" t="str">
        <f t="shared" si="72"/>
        <v/>
      </c>
      <c r="U564" s="5" t="str">
        <f t="shared" si="72"/>
        <v/>
      </c>
    </row>
    <row r="565" spans="7:21" x14ac:dyDescent="0.2">
      <c r="G565" s="8"/>
      <c r="H565" s="5"/>
      <c r="I565" s="9"/>
      <c r="J565" s="10" t="str">
        <f t="shared" si="65"/>
        <v/>
      </c>
      <c r="K565" s="10" t="str">
        <f t="shared" si="66"/>
        <v/>
      </c>
      <c r="L565" s="11" t="str">
        <f t="shared" si="68"/>
        <v/>
      </c>
      <c r="M565" s="9" t="str">
        <f>IF(G565&lt;&gt;"",J565/MAX(J$3:J565)-1,"")</f>
        <v/>
      </c>
      <c r="N565" s="9" t="str">
        <f>IF(G565&lt;&gt;"",K565/MAX(K$3:K565)-1,"")</f>
        <v/>
      </c>
      <c r="O565" s="16" t="str">
        <f t="shared" si="69"/>
        <v/>
      </c>
      <c r="P565" s="16" t="str">
        <f t="shared" si="69"/>
        <v/>
      </c>
      <c r="Q565" s="16" t="str">
        <f t="shared" si="69"/>
        <v/>
      </c>
      <c r="R565" s="5" t="str">
        <f t="shared" si="64"/>
        <v/>
      </c>
      <c r="S565" s="5" t="str">
        <f t="shared" si="67"/>
        <v/>
      </c>
      <c r="T565" s="5" t="str">
        <f t="shared" si="72"/>
        <v/>
      </c>
      <c r="U565" s="5" t="str">
        <f t="shared" si="72"/>
        <v/>
      </c>
    </row>
    <row r="566" spans="7:21" x14ac:dyDescent="0.2">
      <c r="G566" s="8"/>
      <c r="H566" s="5"/>
      <c r="I566" s="9"/>
      <c r="J566" s="10" t="str">
        <f t="shared" si="65"/>
        <v/>
      </c>
      <c r="K566" s="10" t="str">
        <f t="shared" si="66"/>
        <v/>
      </c>
      <c r="L566" s="11" t="str">
        <f t="shared" si="68"/>
        <v/>
      </c>
      <c r="M566" s="9" t="str">
        <f>IF(G566&lt;&gt;"",J566/MAX(J$3:J566)-1,"")</f>
        <v/>
      </c>
      <c r="N566" s="9" t="str">
        <f>IF(G566&lt;&gt;"",K566/MAX(K$3:K566)-1,"")</f>
        <v/>
      </c>
      <c r="O566" s="16" t="str">
        <f t="shared" si="69"/>
        <v/>
      </c>
      <c r="P566" s="16" t="str">
        <f t="shared" si="69"/>
        <v/>
      </c>
      <c r="Q566" s="16" t="str">
        <f t="shared" si="69"/>
        <v/>
      </c>
      <c r="R566" s="5" t="str">
        <f t="shared" si="64"/>
        <v/>
      </c>
      <c r="S566" s="5" t="str">
        <f t="shared" si="67"/>
        <v/>
      </c>
      <c r="T566" s="5" t="str">
        <f t="shared" si="72"/>
        <v/>
      </c>
      <c r="U566" s="5" t="str">
        <f t="shared" si="72"/>
        <v/>
      </c>
    </row>
    <row r="567" spans="7:21" x14ac:dyDescent="0.2">
      <c r="G567" s="8"/>
      <c r="H567" s="5"/>
      <c r="I567" s="9"/>
      <c r="J567" s="10" t="str">
        <f t="shared" si="65"/>
        <v/>
      </c>
      <c r="K567" s="10" t="str">
        <f t="shared" si="66"/>
        <v/>
      </c>
      <c r="L567" s="11" t="str">
        <f t="shared" si="68"/>
        <v/>
      </c>
      <c r="M567" s="9" t="str">
        <f>IF(G567&lt;&gt;"",J567/MAX(J$3:J567)-1,"")</f>
        <v/>
      </c>
      <c r="N567" s="9" t="str">
        <f>IF(G567&lt;&gt;"",K567/MAX(K$3:K567)-1,"")</f>
        <v/>
      </c>
      <c r="O567" s="16" t="str">
        <f t="shared" si="69"/>
        <v/>
      </c>
      <c r="P567" s="16" t="str">
        <f t="shared" si="69"/>
        <v/>
      </c>
      <c r="Q567" s="16" t="str">
        <f t="shared" si="69"/>
        <v/>
      </c>
      <c r="R567" s="5" t="str">
        <f t="shared" si="64"/>
        <v/>
      </c>
      <c r="S567" s="5" t="str">
        <f t="shared" si="67"/>
        <v/>
      </c>
      <c r="T567" s="5" t="str">
        <f t="shared" si="72"/>
        <v/>
      </c>
      <c r="U567" s="5" t="str">
        <f t="shared" si="72"/>
        <v/>
      </c>
    </row>
    <row r="568" spans="7:21" x14ac:dyDescent="0.2">
      <c r="G568" s="8"/>
      <c r="H568" s="5"/>
      <c r="I568" s="9"/>
      <c r="J568" s="10" t="str">
        <f t="shared" si="65"/>
        <v/>
      </c>
      <c r="K568" s="10" t="str">
        <f t="shared" si="66"/>
        <v/>
      </c>
      <c r="L568" s="11" t="str">
        <f t="shared" si="68"/>
        <v/>
      </c>
      <c r="M568" s="9" t="str">
        <f>IF(G568&lt;&gt;"",J568/MAX(J$3:J568)-1,"")</f>
        <v/>
      </c>
      <c r="N568" s="9" t="str">
        <f>IF(G568&lt;&gt;"",K568/MAX(K$3:K568)-1,"")</f>
        <v/>
      </c>
      <c r="O568" s="16" t="str">
        <f t="shared" si="69"/>
        <v/>
      </c>
      <c r="P568" s="16" t="str">
        <f t="shared" si="69"/>
        <v/>
      </c>
      <c r="Q568" s="16" t="str">
        <f t="shared" si="69"/>
        <v/>
      </c>
      <c r="R568" s="5" t="str">
        <f t="shared" si="64"/>
        <v/>
      </c>
      <c r="S568" s="5" t="str">
        <f t="shared" si="67"/>
        <v/>
      </c>
      <c r="T568" s="5" t="str">
        <f t="shared" ref="T568:U583" si="73">IF($G568&lt;&gt;"",_xlfn.STDEV.S(O324:O568),"")</f>
        <v/>
      </c>
      <c r="U568" s="5" t="str">
        <f t="shared" si="73"/>
        <v/>
      </c>
    </row>
    <row r="569" spans="7:21" x14ac:dyDescent="0.2">
      <c r="G569" s="8"/>
      <c r="H569" s="5"/>
      <c r="I569" s="9"/>
      <c r="J569" s="10" t="str">
        <f t="shared" si="65"/>
        <v/>
      </c>
      <c r="K569" s="10" t="str">
        <f t="shared" si="66"/>
        <v/>
      </c>
      <c r="L569" s="11" t="str">
        <f t="shared" si="68"/>
        <v/>
      </c>
      <c r="M569" s="9" t="str">
        <f>IF(G569&lt;&gt;"",J569/MAX(J$3:J569)-1,"")</f>
        <v/>
      </c>
      <c r="N569" s="9" t="str">
        <f>IF(G569&lt;&gt;"",K569/MAX(K$3:K569)-1,"")</f>
        <v/>
      </c>
      <c r="O569" s="16" t="str">
        <f t="shared" si="69"/>
        <v/>
      </c>
      <c r="P569" s="16" t="str">
        <f t="shared" si="69"/>
        <v/>
      </c>
      <c r="Q569" s="16" t="str">
        <f t="shared" si="69"/>
        <v/>
      </c>
      <c r="R569" s="5" t="str">
        <f t="shared" si="64"/>
        <v/>
      </c>
      <c r="S569" s="5" t="str">
        <f t="shared" si="67"/>
        <v/>
      </c>
      <c r="T569" s="5" t="str">
        <f t="shared" si="73"/>
        <v/>
      </c>
      <c r="U569" s="5" t="str">
        <f t="shared" si="73"/>
        <v/>
      </c>
    </row>
    <row r="570" spans="7:21" x14ac:dyDescent="0.2">
      <c r="G570" s="8"/>
      <c r="H570" s="5"/>
      <c r="I570" s="9"/>
      <c r="J570" s="10" t="str">
        <f t="shared" si="65"/>
        <v/>
      </c>
      <c r="K570" s="10" t="str">
        <f t="shared" si="66"/>
        <v/>
      </c>
      <c r="L570" s="11" t="str">
        <f t="shared" si="68"/>
        <v/>
      </c>
      <c r="M570" s="9" t="str">
        <f>IF(G570&lt;&gt;"",J570/MAX(J$3:J570)-1,"")</f>
        <v/>
      </c>
      <c r="N570" s="9" t="str">
        <f>IF(G570&lt;&gt;"",K570/MAX(K$3:K570)-1,"")</f>
        <v/>
      </c>
      <c r="O570" s="16" t="str">
        <f t="shared" si="69"/>
        <v/>
      </c>
      <c r="P570" s="16" t="str">
        <f t="shared" si="69"/>
        <v/>
      </c>
      <c r="Q570" s="16" t="str">
        <f t="shared" si="69"/>
        <v/>
      </c>
      <c r="R570" s="5" t="str">
        <f t="shared" si="64"/>
        <v/>
      </c>
      <c r="S570" s="5" t="str">
        <f t="shared" si="67"/>
        <v/>
      </c>
      <c r="T570" s="5" t="str">
        <f t="shared" si="73"/>
        <v/>
      </c>
      <c r="U570" s="5" t="str">
        <f t="shared" si="73"/>
        <v/>
      </c>
    </row>
    <row r="571" spans="7:21" x14ac:dyDescent="0.2">
      <c r="G571" s="8"/>
      <c r="H571" s="5"/>
      <c r="I571" s="9"/>
      <c r="J571" s="10" t="str">
        <f t="shared" si="65"/>
        <v/>
      </c>
      <c r="K571" s="10" t="str">
        <f t="shared" si="66"/>
        <v/>
      </c>
      <c r="L571" s="11" t="str">
        <f t="shared" si="68"/>
        <v/>
      </c>
      <c r="M571" s="9" t="str">
        <f>IF(G571&lt;&gt;"",J571/MAX(J$3:J571)-1,"")</f>
        <v/>
      </c>
      <c r="N571" s="9" t="str">
        <f>IF(G571&lt;&gt;"",K571/MAX(K$3:K571)-1,"")</f>
        <v/>
      </c>
      <c r="O571" s="16" t="str">
        <f t="shared" si="69"/>
        <v/>
      </c>
      <c r="P571" s="16" t="str">
        <f t="shared" si="69"/>
        <v/>
      </c>
      <c r="Q571" s="16" t="str">
        <f t="shared" si="69"/>
        <v/>
      </c>
      <c r="R571" s="5" t="str">
        <f t="shared" si="64"/>
        <v/>
      </c>
      <c r="S571" s="5" t="str">
        <f t="shared" si="67"/>
        <v/>
      </c>
      <c r="T571" s="5" t="str">
        <f t="shared" si="73"/>
        <v/>
      </c>
      <c r="U571" s="5" t="str">
        <f t="shared" si="73"/>
        <v/>
      </c>
    </row>
    <row r="572" spans="7:21" x14ac:dyDescent="0.2">
      <c r="G572" s="8"/>
      <c r="H572" s="5"/>
      <c r="I572" s="9"/>
      <c r="J572" s="10" t="str">
        <f t="shared" si="65"/>
        <v/>
      </c>
      <c r="K572" s="10" t="str">
        <f t="shared" si="66"/>
        <v/>
      </c>
      <c r="L572" s="11" t="str">
        <f t="shared" si="68"/>
        <v/>
      </c>
      <c r="M572" s="9" t="str">
        <f>IF(G572&lt;&gt;"",J572/MAX(J$3:J572)-1,"")</f>
        <v/>
      </c>
      <c r="N572" s="9" t="str">
        <f>IF(G572&lt;&gt;"",K572/MAX(K$3:K572)-1,"")</f>
        <v/>
      </c>
      <c r="O572" s="16" t="str">
        <f t="shared" si="69"/>
        <v/>
      </c>
      <c r="P572" s="16" t="str">
        <f t="shared" si="69"/>
        <v/>
      </c>
      <c r="Q572" s="16" t="str">
        <f t="shared" si="69"/>
        <v/>
      </c>
      <c r="R572" s="5" t="str">
        <f t="shared" si="64"/>
        <v/>
      </c>
      <c r="S572" s="5" t="str">
        <f t="shared" si="67"/>
        <v/>
      </c>
      <c r="T572" s="5" t="str">
        <f t="shared" si="73"/>
        <v/>
      </c>
      <c r="U572" s="5" t="str">
        <f t="shared" si="73"/>
        <v/>
      </c>
    </row>
    <row r="573" spans="7:21" x14ac:dyDescent="0.2">
      <c r="G573" s="8"/>
      <c r="H573" s="5"/>
      <c r="I573" s="9"/>
      <c r="J573" s="10" t="str">
        <f t="shared" si="65"/>
        <v/>
      </c>
      <c r="K573" s="10" t="str">
        <f t="shared" si="66"/>
        <v/>
      </c>
      <c r="L573" s="11" t="str">
        <f t="shared" si="68"/>
        <v/>
      </c>
      <c r="M573" s="9" t="str">
        <f>IF(G573&lt;&gt;"",J573/MAX(J$3:J573)-1,"")</f>
        <v/>
      </c>
      <c r="N573" s="9" t="str">
        <f>IF(G573&lt;&gt;"",K573/MAX(K$3:K573)-1,"")</f>
        <v/>
      </c>
      <c r="O573" s="16" t="str">
        <f t="shared" si="69"/>
        <v/>
      </c>
      <c r="P573" s="16" t="str">
        <f t="shared" si="69"/>
        <v/>
      </c>
      <c r="Q573" s="16" t="str">
        <f t="shared" si="69"/>
        <v/>
      </c>
      <c r="R573" s="5" t="str">
        <f t="shared" ref="R573:R636" si="74">IF(G573&lt;&gt;"",_xlfn.STDEV.S(Q452:Q573)*SQRT($B$5),"")</f>
        <v/>
      </c>
      <c r="S573" s="5" t="str">
        <f t="shared" si="67"/>
        <v/>
      </c>
      <c r="T573" s="5" t="str">
        <f t="shared" si="73"/>
        <v/>
      </c>
      <c r="U573" s="5" t="str">
        <f t="shared" si="73"/>
        <v/>
      </c>
    </row>
    <row r="574" spans="7:21" x14ac:dyDescent="0.2">
      <c r="G574" s="8"/>
      <c r="H574" s="5"/>
      <c r="I574" s="9"/>
      <c r="J574" s="10" t="str">
        <f t="shared" si="65"/>
        <v/>
      </c>
      <c r="K574" s="10" t="str">
        <f t="shared" si="66"/>
        <v/>
      </c>
      <c r="L574" s="11" t="str">
        <f t="shared" si="68"/>
        <v/>
      </c>
      <c r="M574" s="9" t="str">
        <f>IF(G574&lt;&gt;"",J574/MAX(J$3:J574)-1,"")</f>
        <v/>
      </c>
      <c r="N574" s="9" t="str">
        <f>IF(G574&lt;&gt;"",K574/MAX(K$3:K574)-1,"")</f>
        <v/>
      </c>
      <c r="O574" s="16" t="str">
        <f t="shared" si="69"/>
        <v/>
      </c>
      <c r="P574" s="16" t="str">
        <f t="shared" si="69"/>
        <v/>
      </c>
      <c r="Q574" s="16" t="str">
        <f t="shared" si="69"/>
        <v/>
      </c>
      <c r="R574" s="5" t="str">
        <f t="shared" si="74"/>
        <v/>
      </c>
      <c r="S574" s="5" t="str">
        <f t="shared" si="67"/>
        <v/>
      </c>
      <c r="T574" s="5" t="str">
        <f t="shared" si="73"/>
        <v/>
      </c>
      <c r="U574" s="5" t="str">
        <f t="shared" si="73"/>
        <v/>
      </c>
    </row>
    <row r="575" spans="7:21" x14ac:dyDescent="0.2">
      <c r="G575" s="8"/>
      <c r="H575" s="5"/>
      <c r="I575" s="9"/>
      <c r="J575" s="10" t="str">
        <f t="shared" si="65"/>
        <v/>
      </c>
      <c r="K575" s="10" t="str">
        <f t="shared" si="66"/>
        <v/>
      </c>
      <c r="L575" s="11" t="str">
        <f t="shared" si="68"/>
        <v/>
      </c>
      <c r="M575" s="9" t="str">
        <f>IF(G575&lt;&gt;"",J575/MAX(J$3:J575)-1,"")</f>
        <v/>
      </c>
      <c r="N575" s="9" t="str">
        <f>IF(G575&lt;&gt;"",K575/MAX(K$3:K575)-1,"")</f>
        <v/>
      </c>
      <c r="O575" s="16" t="str">
        <f t="shared" si="69"/>
        <v/>
      </c>
      <c r="P575" s="16" t="str">
        <f t="shared" si="69"/>
        <v/>
      </c>
      <c r="Q575" s="16" t="str">
        <f t="shared" si="69"/>
        <v/>
      </c>
      <c r="R575" s="5" t="str">
        <f t="shared" si="74"/>
        <v/>
      </c>
      <c r="S575" s="5" t="str">
        <f t="shared" si="67"/>
        <v/>
      </c>
      <c r="T575" s="5" t="str">
        <f t="shared" si="73"/>
        <v/>
      </c>
      <c r="U575" s="5" t="str">
        <f t="shared" si="73"/>
        <v/>
      </c>
    </row>
    <row r="576" spans="7:21" x14ac:dyDescent="0.2">
      <c r="G576" s="8"/>
      <c r="H576" s="5"/>
      <c r="I576" s="9"/>
      <c r="J576" s="10" t="str">
        <f t="shared" si="65"/>
        <v/>
      </c>
      <c r="K576" s="10" t="str">
        <f t="shared" si="66"/>
        <v/>
      </c>
      <c r="L576" s="11" t="str">
        <f t="shared" si="68"/>
        <v/>
      </c>
      <c r="M576" s="9" t="str">
        <f>IF(G576&lt;&gt;"",J576/MAX(J$3:J576)-1,"")</f>
        <v/>
      </c>
      <c r="N576" s="9" t="str">
        <f>IF(G576&lt;&gt;"",K576/MAX(K$3:K576)-1,"")</f>
        <v/>
      </c>
      <c r="O576" s="16" t="str">
        <f t="shared" si="69"/>
        <v/>
      </c>
      <c r="P576" s="16" t="str">
        <f t="shared" si="69"/>
        <v/>
      </c>
      <c r="Q576" s="16" t="str">
        <f t="shared" si="69"/>
        <v/>
      </c>
      <c r="R576" s="5" t="str">
        <f t="shared" si="74"/>
        <v/>
      </c>
      <c r="S576" s="5" t="str">
        <f t="shared" si="67"/>
        <v/>
      </c>
      <c r="T576" s="5" t="str">
        <f t="shared" si="73"/>
        <v/>
      </c>
      <c r="U576" s="5" t="str">
        <f t="shared" si="73"/>
        <v/>
      </c>
    </row>
    <row r="577" spans="7:21" x14ac:dyDescent="0.2">
      <c r="G577" s="8"/>
      <c r="H577" s="5"/>
      <c r="I577" s="9"/>
      <c r="J577" s="10" t="str">
        <f t="shared" si="65"/>
        <v/>
      </c>
      <c r="K577" s="10" t="str">
        <f t="shared" si="66"/>
        <v/>
      </c>
      <c r="L577" s="11" t="str">
        <f t="shared" si="68"/>
        <v/>
      </c>
      <c r="M577" s="9" t="str">
        <f>IF(G577&lt;&gt;"",J577/MAX(J$3:J577)-1,"")</f>
        <v/>
      </c>
      <c r="N577" s="9" t="str">
        <f>IF(G577&lt;&gt;"",K577/MAX(K$3:K577)-1,"")</f>
        <v/>
      </c>
      <c r="O577" s="16" t="str">
        <f t="shared" si="69"/>
        <v/>
      </c>
      <c r="P577" s="16" t="str">
        <f t="shared" si="69"/>
        <v/>
      </c>
      <c r="Q577" s="16" t="str">
        <f t="shared" si="69"/>
        <v/>
      </c>
      <c r="R577" s="5" t="str">
        <f t="shared" si="74"/>
        <v/>
      </c>
      <c r="S577" s="5" t="str">
        <f t="shared" si="67"/>
        <v/>
      </c>
      <c r="T577" s="5" t="str">
        <f t="shared" si="73"/>
        <v/>
      </c>
      <c r="U577" s="5" t="str">
        <f t="shared" si="73"/>
        <v/>
      </c>
    </row>
    <row r="578" spans="7:21" x14ac:dyDescent="0.2">
      <c r="G578" s="8"/>
      <c r="H578" s="5"/>
      <c r="I578" s="9"/>
      <c r="J578" s="10" t="str">
        <f t="shared" si="65"/>
        <v/>
      </c>
      <c r="K578" s="10" t="str">
        <f t="shared" si="66"/>
        <v/>
      </c>
      <c r="L578" s="11" t="str">
        <f t="shared" si="68"/>
        <v/>
      </c>
      <c r="M578" s="9" t="str">
        <f>IF(G578&lt;&gt;"",J578/MAX(J$3:J578)-1,"")</f>
        <v/>
      </c>
      <c r="N578" s="9" t="str">
        <f>IF(G578&lt;&gt;"",K578/MAX(K$3:K578)-1,"")</f>
        <v/>
      </c>
      <c r="O578" s="16" t="str">
        <f t="shared" si="69"/>
        <v/>
      </c>
      <c r="P578" s="16" t="str">
        <f t="shared" si="69"/>
        <v/>
      </c>
      <c r="Q578" s="16" t="str">
        <f t="shared" si="69"/>
        <v/>
      </c>
      <c r="R578" s="5" t="str">
        <f t="shared" si="74"/>
        <v/>
      </c>
      <c r="S578" s="5" t="str">
        <f t="shared" si="67"/>
        <v/>
      </c>
      <c r="T578" s="5" t="str">
        <f t="shared" si="73"/>
        <v/>
      </c>
      <c r="U578" s="5" t="str">
        <f t="shared" si="73"/>
        <v/>
      </c>
    </row>
    <row r="579" spans="7:21" x14ac:dyDescent="0.2">
      <c r="G579" s="8"/>
      <c r="H579" s="5"/>
      <c r="I579" s="9"/>
      <c r="J579" s="10" t="str">
        <f t="shared" si="65"/>
        <v/>
      </c>
      <c r="K579" s="10" t="str">
        <f t="shared" si="66"/>
        <v/>
      </c>
      <c r="L579" s="11" t="str">
        <f t="shared" si="68"/>
        <v/>
      </c>
      <c r="M579" s="9" t="str">
        <f>IF(G579&lt;&gt;"",J579/MAX(J$3:J579)-1,"")</f>
        <v/>
      </c>
      <c r="N579" s="9" t="str">
        <f>IF(G579&lt;&gt;"",K579/MAX(K$3:K579)-1,"")</f>
        <v/>
      </c>
      <c r="O579" s="16" t="str">
        <f t="shared" si="69"/>
        <v/>
      </c>
      <c r="P579" s="16" t="str">
        <f t="shared" si="69"/>
        <v/>
      </c>
      <c r="Q579" s="16" t="str">
        <f t="shared" si="69"/>
        <v/>
      </c>
      <c r="R579" s="5" t="str">
        <f t="shared" si="74"/>
        <v/>
      </c>
      <c r="S579" s="5" t="str">
        <f t="shared" si="67"/>
        <v/>
      </c>
      <c r="T579" s="5" t="str">
        <f t="shared" si="73"/>
        <v/>
      </c>
      <c r="U579" s="5" t="str">
        <f t="shared" si="73"/>
        <v/>
      </c>
    </row>
    <row r="580" spans="7:21" x14ac:dyDescent="0.2">
      <c r="G580" s="8"/>
      <c r="H580" s="5"/>
      <c r="I580" s="9"/>
      <c r="J580" s="10" t="str">
        <f t="shared" ref="J580:J643" si="75">IF(G580&lt;&gt;"",1+H580,"")</f>
        <v/>
      </c>
      <c r="K580" s="10" t="str">
        <f t="shared" ref="K580:K643" si="76">IF(G580&lt;&gt;"",1+I580,"")</f>
        <v/>
      </c>
      <c r="L580" s="11" t="str">
        <f t="shared" si="68"/>
        <v/>
      </c>
      <c r="M580" s="9" t="str">
        <f>IF(G580&lt;&gt;"",J580/MAX(J$3:J580)-1,"")</f>
        <v/>
      </c>
      <c r="N580" s="9" t="str">
        <f>IF(G580&lt;&gt;"",K580/MAX(K$3:K580)-1,"")</f>
        <v/>
      </c>
      <c r="O580" s="16" t="str">
        <f t="shared" si="69"/>
        <v/>
      </c>
      <c r="P580" s="16" t="str">
        <f t="shared" si="69"/>
        <v/>
      </c>
      <c r="Q580" s="16" t="str">
        <f t="shared" si="69"/>
        <v/>
      </c>
      <c r="R580" s="5" t="str">
        <f t="shared" si="74"/>
        <v/>
      </c>
      <c r="S580" s="5" t="str">
        <f t="shared" ref="S580:S643" si="77">IF(R580&lt;&gt;"",B$12,"")</f>
        <v/>
      </c>
      <c r="T580" s="5" t="str">
        <f t="shared" si="73"/>
        <v/>
      </c>
      <c r="U580" s="5" t="str">
        <f t="shared" si="73"/>
        <v/>
      </c>
    </row>
    <row r="581" spans="7:21" x14ac:dyDescent="0.2">
      <c r="G581" s="8"/>
      <c r="H581" s="5"/>
      <c r="I581" s="9"/>
      <c r="J581" s="10" t="str">
        <f t="shared" si="75"/>
        <v/>
      </c>
      <c r="K581" s="10" t="str">
        <f t="shared" si="76"/>
        <v/>
      </c>
      <c r="L581" s="11" t="str">
        <f t="shared" ref="L581:L644" si="78">IF(G581&lt;&gt;"",J581/K581,"")</f>
        <v/>
      </c>
      <c r="M581" s="9" t="str">
        <f>IF(G581&lt;&gt;"",J581/MAX(J$3:J581)-1,"")</f>
        <v/>
      </c>
      <c r="N581" s="9" t="str">
        <f>IF(G581&lt;&gt;"",K581/MAX(K$3:K581)-1,"")</f>
        <v/>
      </c>
      <c r="O581" s="16" t="str">
        <f t="shared" ref="O581:Q644" si="79">IF($G581&lt;&gt;"",J581/J580-1,"")</f>
        <v/>
      </c>
      <c r="P581" s="16" t="str">
        <f t="shared" si="79"/>
        <v/>
      </c>
      <c r="Q581" s="16" t="str">
        <f t="shared" si="79"/>
        <v/>
      </c>
      <c r="R581" s="5" t="str">
        <f t="shared" si="74"/>
        <v/>
      </c>
      <c r="S581" s="5" t="str">
        <f t="shared" si="77"/>
        <v/>
      </c>
      <c r="T581" s="5" t="str">
        <f t="shared" si="73"/>
        <v/>
      </c>
      <c r="U581" s="5" t="str">
        <f t="shared" si="73"/>
        <v/>
      </c>
    </row>
    <row r="582" spans="7:21" x14ac:dyDescent="0.2">
      <c r="G582" s="8"/>
      <c r="H582" s="5"/>
      <c r="I582" s="9"/>
      <c r="J582" s="10" t="str">
        <f t="shared" si="75"/>
        <v/>
      </c>
      <c r="K582" s="10" t="str">
        <f t="shared" si="76"/>
        <v/>
      </c>
      <c r="L582" s="11" t="str">
        <f t="shared" si="78"/>
        <v/>
      </c>
      <c r="M582" s="9" t="str">
        <f>IF(G582&lt;&gt;"",J582/MAX(J$3:J582)-1,"")</f>
        <v/>
      </c>
      <c r="N582" s="9" t="str">
        <f>IF(G582&lt;&gt;"",K582/MAX(K$3:K582)-1,"")</f>
        <v/>
      </c>
      <c r="O582" s="16" t="str">
        <f t="shared" si="79"/>
        <v/>
      </c>
      <c r="P582" s="16" t="str">
        <f t="shared" si="79"/>
        <v/>
      </c>
      <c r="Q582" s="16" t="str">
        <f t="shared" si="79"/>
        <v/>
      </c>
      <c r="R582" s="5" t="str">
        <f t="shared" si="74"/>
        <v/>
      </c>
      <c r="S582" s="5" t="str">
        <f t="shared" si="77"/>
        <v/>
      </c>
      <c r="T582" s="5" t="str">
        <f t="shared" si="73"/>
        <v/>
      </c>
      <c r="U582" s="5" t="str">
        <f t="shared" si="73"/>
        <v/>
      </c>
    </row>
    <row r="583" spans="7:21" x14ac:dyDescent="0.2">
      <c r="G583" s="8"/>
      <c r="H583" s="5"/>
      <c r="I583" s="9"/>
      <c r="J583" s="10" t="str">
        <f t="shared" si="75"/>
        <v/>
      </c>
      <c r="K583" s="10" t="str">
        <f t="shared" si="76"/>
        <v/>
      </c>
      <c r="L583" s="11" t="str">
        <f t="shared" si="78"/>
        <v/>
      </c>
      <c r="M583" s="9" t="str">
        <f>IF(G583&lt;&gt;"",J583/MAX(J$3:J583)-1,"")</f>
        <v/>
      </c>
      <c r="N583" s="9" t="str">
        <f>IF(G583&lt;&gt;"",K583/MAX(K$3:K583)-1,"")</f>
        <v/>
      </c>
      <c r="O583" s="16" t="str">
        <f t="shared" si="79"/>
        <v/>
      </c>
      <c r="P583" s="16" t="str">
        <f t="shared" si="79"/>
        <v/>
      </c>
      <c r="Q583" s="16" t="str">
        <f t="shared" si="79"/>
        <v/>
      </c>
      <c r="R583" s="5" t="str">
        <f t="shared" si="74"/>
        <v/>
      </c>
      <c r="S583" s="5" t="str">
        <f t="shared" si="77"/>
        <v/>
      </c>
      <c r="T583" s="5" t="str">
        <f t="shared" si="73"/>
        <v/>
      </c>
      <c r="U583" s="5" t="str">
        <f t="shared" si="73"/>
        <v/>
      </c>
    </row>
    <row r="584" spans="7:21" x14ac:dyDescent="0.2">
      <c r="G584" s="8"/>
      <c r="H584" s="5"/>
      <c r="I584" s="9"/>
      <c r="J584" s="10" t="str">
        <f t="shared" si="75"/>
        <v/>
      </c>
      <c r="K584" s="10" t="str">
        <f t="shared" si="76"/>
        <v/>
      </c>
      <c r="L584" s="11" t="str">
        <f t="shared" si="78"/>
        <v/>
      </c>
      <c r="M584" s="9" t="str">
        <f>IF(G584&lt;&gt;"",J584/MAX(J$3:J584)-1,"")</f>
        <v/>
      </c>
      <c r="N584" s="9" t="str">
        <f>IF(G584&lt;&gt;"",K584/MAX(K$3:K584)-1,"")</f>
        <v/>
      </c>
      <c r="O584" s="16" t="str">
        <f t="shared" si="79"/>
        <v/>
      </c>
      <c r="P584" s="16" t="str">
        <f t="shared" si="79"/>
        <v/>
      </c>
      <c r="Q584" s="16" t="str">
        <f t="shared" si="79"/>
        <v/>
      </c>
      <c r="R584" s="5" t="str">
        <f t="shared" si="74"/>
        <v/>
      </c>
      <c r="S584" s="5" t="str">
        <f t="shared" si="77"/>
        <v/>
      </c>
      <c r="T584" s="5" t="str">
        <f t="shared" ref="T584:U599" si="80">IF($G584&lt;&gt;"",_xlfn.STDEV.S(O340:O584),"")</f>
        <v/>
      </c>
      <c r="U584" s="5" t="str">
        <f t="shared" si="80"/>
        <v/>
      </c>
    </row>
    <row r="585" spans="7:21" x14ac:dyDescent="0.2">
      <c r="G585" s="8"/>
      <c r="H585" s="5"/>
      <c r="I585" s="9"/>
      <c r="J585" s="10" t="str">
        <f t="shared" si="75"/>
        <v/>
      </c>
      <c r="K585" s="10" t="str">
        <f t="shared" si="76"/>
        <v/>
      </c>
      <c r="L585" s="11" t="str">
        <f t="shared" si="78"/>
        <v/>
      </c>
      <c r="M585" s="9" t="str">
        <f>IF(G585&lt;&gt;"",J585/MAX(J$3:J585)-1,"")</f>
        <v/>
      </c>
      <c r="N585" s="9" t="str">
        <f>IF(G585&lt;&gt;"",K585/MAX(K$3:K585)-1,"")</f>
        <v/>
      </c>
      <c r="O585" s="16" t="str">
        <f t="shared" si="79"/>
        <v/>
      </c>
      <c r="P585" s="16" t="str">
        <f t="shared" si="79"/>
        <v/>
      </c>
      <c r="Q585" s="16" t="str">
        <f t="shared" si="79"/>
        <v/>
      </c>
      <c r="R585" s="5" t="str">
        <f t="shared" si="74"/>
        <v/>
      </c>
      <c r="S585" s="5" t="str">
        <f t="shared" si="77"/>
        <v/>
      </c>
      <c r="T585" s="5" t="str">
        <f t="shared" si="80"/>
        <v/>
      </c>
      <c r="U585" s="5" t="str">
        <f t="shared" si="80"/>
        <v/>
      </c>
    </row>
    <row r="586" spans="7:21" x14ac:dyDescent="0.2">
      <c r="G586" s="8"/>
      <c r="H586" s="5"/>
      <c r="I586" s="9"/>
      <c r="J586" s="10" t="str">
        <f t="shared" si="75"/>
        <v/>
      </c>
      <c r="K586" s="10" t="str">
        <f t="shared" si="76"/>
        <v/>
      </c>
      <c r="L586" s="11" t="str">
        <f t="shared" si="78"/>
        <v/>
      </c>
      <c r="M586" s="9" t="str">
        <f>IF(G586&lt;&gt;"",J586/MAX(J$3:J586)-1,"")</f>
        <v/>
      </c>
      <c r="N586" s="9" t="str">
        <f>IF(G586&lt;&gt;"",K586/MAX(K$3:K586)-1,"")</f>
        <v/>
      </c>
      <c r="O586" s="16" t="str">
        <f t="shared" si="79"/>
        <v/>
      </c>
      <c r="P586" s="16" t="str">
        <f t="shared" si="79"/>
        <v/>
      </c>
      <c r="Q586" s="16" t="str">
        <f t="shared" si="79"/>
        <v/>
      </c>
      <c r="R586" s="5" t="str">
        <f t="shared" si="74"/>
        <v/>
      </c>
      <c r="S586" s="5" t="str">
        <f t="shared" si="77"/>
        <v/>
      </c>
      <c r="T586" s="5" t="str">
        <f t="shared" si="80"/>
        <v/>
      </c>
      <c r="U586" s="5" t="str">
        <f t="shared" si="80"/>
        <v/>
      </c>
    </row>
    <row r="587" spans="7:21" x14ac:dyDescent="0.2">
      <c r="G587" s="8"/>
      <c r="H587" s="5"/>
      <c r="I587" s="9"/>
      <c r="J587" s="10" t="str">
        <f t="shared" si="75"/>
        <v/>
      </c>
      <c r="K587" s="10" t="str">
        <f t="shared" si="76"/>
        <v/>
      </c>
      <c r="L587" s="11" t="str">
        <f t="shared" si="78"/>
        <v/>
      </c>
      <c r="M587" s="9" t="str">
        <f>IF(G587&lt;&gt;"",J587/MAX(J$3:J587)-1,"")</f>
        <v/>
      </c>
      <c r="N587" s="9" t="str">
        <f>IF(G587&lt;&gt;"",K587/MAX(K$3:K587)-1,"")</f>
        <v/>
      </c>
      <c r="O587" s="16" t="str">
        <f t="shared" si="79"/>
        <v/>
      </c>
      <c r="P587" s="16" t="str">
        <f t="shared" si="79"/>
        <v/>
      </c>
      <c r="Q587" s="16" t="str">
        <f t="shared" si="79"/>
        <v/>
      </c>
      <c r="R587" s="5" t="str">
        <f t="shared" si="74"/>
        <v/>
      </c>
      <c r="S587" s="5" t="str">
        <f t="shared" si="77"/>
        <v/>
      </c>
      <c r="T587" s="5" t="str">
        <f t="shared" si="80"/>
        <v/>
      </c>
      <c r="U587" s="5" t="str">
        <f t="shared" si="80"/>
        <v/>
      </c>
    </row>
    <row r="588" spans="7:21" x14ac:dyDescent="0.2">
      <c r="G588" s="8"/>
      <c r="H588" s="5"/>
      <c r="I588" s="9"/>
      <c r="J588" s="10" t="str">
        <f t="shared" si="75"/>
        <v/>
      </c>
      <c r="K588" s="10" t="str">
        <f t="shared" si="76"/>
        <v/>
      </c>
      <c r="L588" s="11" t="str">
        <f t="shared" si="78"/>
        <v/>
      </c>
      <c r="M588" s="9" t="str">
        <f>IF(G588&lt;&gt;"",J588/MAX(J$3:J588)-1,"")</f>
        <v/>
      </c>
      <c r="N588" s="9" t="str">
        <f>IF(G588&lt;&gt;"",K588/MAX(K$3:K588)-1,"")</f>
        <v/>
      </c>
      <c r="O588" s="16" t="str">
        <f t="shared" si="79"/>
        <v/>
      </c>
      <c r="P588" s="16" t="str">
        <f t="shared" si="79"/>
        <v/>
      </c>
      <c r="Q588" s="16" t="str">
        <f t="shared" si="79"/>
        <v/>
      </c>
      <c r="R588" s="5" t="str">
        <f t="shared" si="74"/>
        <v/>
      </c>
      <c r="S588" s="5" t="str">
        <f t="shared" si="77"/>
        <v/>
      </c>
      <c r="T588" s="5" t="str">
        <f t="shared" si="80"/>
        <v/>
      </c>
      <c r="U588" s="5" t="str">
        <f t="shared" si="80"/>
        <v/>
      </c>
    </row>
    <row r="589" spans="7:21" x14ac:dyDescent="0.2">
      <c r="G589" s="8"/>
      <c r="H589" s="5"/>
      <c r="I589" s="9"/>
      <c r="J589" s="10" t="str">
        <f t="shared" si="75"/>
        <v/>
      </c>
      <c r="K589" s="10" t="str">
        <f t="shared" si="76"/>
        <v/>
      </c>
      <c r="L589" s="11" t="str">
        <f t="shared" si="78"/>
        <v/>
      </c>
      <c r="M589" s="9" t="str">
        <f>IF(G589&lt;&gt;"",J589/MAX(J$3:J589)-1,"")</f>
        <v/>
      </c>
      <c r="N589" s="9" t="str">
        <f>IF(G589&lt;&gt;"",K589/MAX(K$3:K589)-1,"")</f>
        <v/>
      </c>
      <c r="O589" s="16" t="str">
        <f t="shared" si="79"/>
        <v/>
      </c>
      <c r="P589" s="16" t="str">
        <f t="shared" si="79"/>
        <v/>
      </c>
      <c r="Q589" s="16" t="str">
        <f t="shared" si="79"/>
        <v/>
      </c>
      <c r="R589" s="5" t="str">
        <f t="shared" si="74"/>
        <v/>
      </c>
      <c r="S589" s="5" t="str">
        <f t="shared" si="77"/>
        <v/>
      </c>
      <c r="T589" s="5" t="str">
        <f t="shared" si="80"/>
        <v/>
      </c>
      <c r="U589" s="5" t="str">
        <f t="shared" si="80"/>
        <v/>
      </c>
    </row>
    <row r="590" spans="7:21" x14ac:dyDescent="0.2">
      <c r="G590" s="8"/>
      <c r="H590" s="5"/>
      <c r="I590" s="9"/>
      <c r="J590" s="10" t="str">
        <f t="shared" si="75"/>
        <v/>
      </c>
      <c r="K590" s="10" t="str">
        <f t="shared" si="76"/>
        <v/>
      </c>
      <c r="L590" s="11" t="str">
        <f t="shared" si="78"/>
        <v/>
      </c>
      <c r="M590" s="9" t="str">
        <f>IF(G590&lt;&gt;"",J590/MAX(J$3:J590)-1,"")</f>
        <v/>
      </c>
      <c r="N590" s="9" t="str">
        <f>IF(G590&lt;&gt;"",K590/MAX(K$3:K590)-1,"")</f>
        <v/>
      </c>
      <c r="O590" s="16" t="str">
        <f t="shared" si="79"/>
        <v/>
      </c>
      <c r="P590" s="16" t="str">
        <f t="shared" si="79"/>
        <v/>
      </c>
      <c r="Q590" s="16" t="str">
        <f t="shared" si="79"/>
        <v/>
      </c>
      <c r="R590" s="5" t="str">
        <f t="shared" si="74"/>
        <v/>
      </c>
      <c r="S590" s="5" t="str">
        <f t="shared" si="77"/>
        <v/>
      </c>
      <c r="T590" s="5" t="str">
        <f t="shared" si="80"/>
        <v/>
      </c>
      <c r="U590" s="5" t="str">
        <f t="shared" si="80"/>
        <v/>
      </c>
    </row>
    <row r="591" spans="7:21" x14ac:dyDescent="0.2">
      <c r="G591" s="8"/>
      <c r="H591" s="5"/>
      <c r="I591" s="9"/>
      <c r="J591" s="10" t="str">
        <f t="shared" si="75"/>
        <v/>
      </c>
      <c r="K591" s="10" t="str">
        <f t="shared" si="76"/>
        <v/>
      </c>
      <c r="L591" s="11" t="str">
        <f t="shared" si="78"/>
        <v/>
      </c>
      <c r="M591" s="9" t="str">
        <f>IF(G591&lt;&gt;"",J591/MAX(J$3:J591)-1,"")</f>
        <v/>
      </c>
      <c r="N591" s="9" t="str">
        <f>IF(G591&lt;&gt;"",K591/MAX(K$3:K591)-1,"")</f>
        <v/>
      </c>
      <c r="O591" s="16" t="str">
        <f t="shared" si="79"/>
        <v/>
      </c>
      <c r="P591" s="16" t="str">
        <f t="shared" si="79"/>
        <v/>
      </c>
      <c r="Q591" s="16" t="str">
        <f t="shared" si="79"/>
        <v/>
      </c>
      <c r="R591" s="5" t="str">
        <f t="shared" si="74"/>
        <v/>
      </c>
      <c r="S591" s="5" t="str">
        <f t="shared" si="77"/>
        <v/>
      </c>
      <c r="T591" s="5" t="str">
        <f t="shared" si="80"/>
        <v/>
      </c>
      <c r="U591" s="5" t="str">
        <f t="shared" si="80"/>
        <v/>
      </c>
    </row>
    <row r="592" spans="7:21" x14ac:dyDescent="0.2">
      <c r="G592" s="8"/>
      <c r="H592" s="5"/>
      <c r="I592" s="9"/>
      <c r="J592" s="10" t="str">
        <f t="shared" si="75"/>
        <v/>
      </c>
      <c r="K592" s="10" t="str">
        <f t="shared" si="76"/>
        <v/>
      </c>
      <c r="L592" s="11" t="str">
        <f t="shared" si="78"/>
        <v/>
      </c>
      <c r="M592" s="9" t="str">
        <f>IF(G592&lt;&gt;"",J592/MAX(J$3:J592)-1,"")</f>
        <v/>
      </c>
      <c r="N592" s="9" t="str">
        <f>IF(G592&lt;&gt;"",K592/MAX(K$3:K592)-1,"")</f>
        <v/>
      </c>
      <c r="O592" s="16" t="str">
        <f t="shared" si="79"/>
        <v/>
      </c>
      <c r="P592" s="16" t="str">
        <f t="shared" si="79"/>
        <v/>
      </c>
      <c r="Q592" s="16" t="str">
        <f t="shared" si="79"/>
        <v/>
      </c>
      <c r="R592" s="5" t="str">
        <f t="shared" si="74"/>
        <v/>
      </c>
      <c r="S592" s="5" t="str">
        <f t="shared" si="77"/>
        <v/>
      </c>
      <c r="T592" s="5" t="str">
        <f t="shared" si="80"/>
        <v/>
      </c>
      <c r="U592" s="5" t="str">
        <f t="shared" si="80"/>
        <v/>
      </c>
    </row>
    <row r="593" spans="7:21" x14ac:dyDescent="0.2">
      <c r="G593" s="8"/>
      <c r="H593" s="5"/>
      <c r="I593" s="9"/>
      <c r="J593" s="10" t="str">
        <f t="shared" si="75"/>
        <v/>
      </c>
      <c r="K593" s="10" t="str">
        <f t="shared" si="76"/>
        <v/>
      </c>
      <c r="L593" s="11" t="str">
        <f t="shared" si="78"/>
        <v/>
      </c>
      <c r="M593" s="9" t="str">
        <f>IF(G593&lt;&gt;"",J593/MAX(J$3:J593)-1,"")</f>
        <v/>
      </c>
      <c r="N593" s="9" t="str">
        <f>IF(G593&lt;&gt;"",K593/MAX(K$3:K593)-1,"")</f>
        <v/>
      </c>
      <c r="O593" s="16" t="str">
        <f t="shared" si="79"/>
        <v/>
      </c>
      <c r="P593" s="16" t="str">
        <f t="shared" si="79"/>
        <v/>
      </c>
      <c r="Q593" s="16" t="str">
        <f t="shared" si="79"/>
        <v/>
      </c>
      <c r="R593" s="5" t="str">
        <f t="shared" si="74"/>
        <v/>
      </c>
      <c r="S593" s="5" t="str">
        <f t="shared" si="77"/>
        <v/>
      </c>
      <c r="T593" s="5" t="str">
        <f t="shared" si="80"/>
        <v/>
      </c>
      <c r="U593" s="5" t="str">
        <f t="shared" si="80"/>
        <v/>
      </c>
    </row>
    <row r="594" spans="7:21" x14ac:dyDescent="0.2">
      <c r="G594" s="8"/>
      <c r="H594" s="5"/>
      <c r="I594" s="9"/>
      <c r="J594" s="10" t="str">
        <f t="shared" si="75"/>
        <v/>
      </c>
      <c r="K594" s="10" t="str">
        <f t="shared" si="76"/>
        <v/>
      </c>
      <c r="L594" s="11" t="str">
        <f t="shared" si="78"/>
        <v/>
      </c>
      <c r="M594" s="9" t="str">
        <f>IF(G594&lt;&gt;"",J594/MAX(J$3:J594)-1,"")</f>
        <v/>
      </c>
      <c r="N594" s="9" t="str">
        <f>IF(G594&lt;&gt;"",K594/MAX(K$3:K594)-1,"")</f>
        <v/>
      </c>
      <c r="O594" s="16" t="str">
        <f t="shared" si="79"/>
        <v/>
      </c>
      <c r="P594" s="16" t="str">
        <f t="shared" si="79"/>
        <v/>
      </c>
      <c r="Q594" s="16" t="str">
        <f t="shared" si="79"/>
        <v/>
      </c>
      <c r="R594" s="5" t="str">
        <f t="shared" si="74"/>
        <v/>
      </c>
      <c r="S594" s="5" t="str">
        <f t="shared" si="77"/>
        <v/>
      </c>
      <c r="T594" s="5" t="str">
        <f t="shared" si="80"/>
        <v/>
      </c>
      <c r="U594" s="5" t="str">
        <f t="shared" si="80"/>
        <v/>
      </c>
    </row>
    <row r="595" spans="7:21" x14ac:dyDescent="0.2">
      <c r="G595" s="8"/>
      <c r="H595" s="5"/>
      <c r="I595" s="9"/>
      <c r="J595" s="10" t="str">
        <f t="shared" si="75"/>
        <v/>
      </c>
      <c r="K595" s="10" t="str">
        <f t="shared" si="76"/>
        <v/>
      </c>
      <c r="L595" s="11" t="str">
        <f t="shared" si="78"/>
        <v/>
      </c>
      <c r="M595" s="9" t="str">
        <f>IF(G595&lt;&gt;"",J595/MAX(J$3:J595)-1,"")</f>
        <v/>
      </c>
      <c r="N595" s="9" t="str">
        <f>IF(G595&lt;&gt;"",K595/MAX(K$3:K595)-1,"")</f>
        <v/>
      </c>
      <c r="O595" s="16" t="str">
        <f t="shared" si="79"/>
        <v/>
      </c>
      <c r="P595" s="16" t="str">
        <f t="shared" si="79"/>
        <v/>
      </c>
      <c r="Q595" s="16" t="str">
        <f t="shared" si="79"/>
        <v/>
      </c>
      <c r="R595" s="5" t="str">
        <f t="shared" si="74"/>
        <v/>
      </c>
      <c r="S595" s="5" t="str">
        <f t="shared" si="77"/>
        <v/>
      </c>
      <c r="T595" s="5" t="str">
        <f t="shared" si="80"/>
        <v/>
      </c>
      <c r="U595" s="5" t="str">
        <f t="shared" si="80"/>
        <v/>
      </c>
    </row>
    <row r="596" spans="7:21" x14ac:dyDescent="0.2">
      <c r="G596" s="8"/>
      <c r="H596" s="5"/>
      <c r="I596" s="9"/>
      <c r="J596" s="10" t="str">
        <f t="shared" si="75"/>
        <v/>
      </c>
      <c r="K596" s="10" t="str">
        <f t="shared" si="76"/>
        <v/>
      </c>
      <c r="L596" s="11" t="str">
        <f t="shared" si="78"/>
        <v/>
      </c>
      <c r="M596" s="9" t="str">
        <f>IF(G596&lt;&gt;"",J596/MAX(J$3:J596)-1,"")</f>
        <v/>
      </c>
      <c r="N596" s="9" t="str">
        <f>IF(G596&lt;&gt;"",K596/MAX(K$3:K596)-1,"")</f>
        <v/>
      </c>
      <c r="O596" s="16" t="str">
        <f t="shared" si="79"/>
        <v/>
      </c>
      <c r="P596" s="16" t="str">
        <f t="shared" si="79"/>
        <v/>
      </c>
      <c r="Q596" s="16" t="str">
        <f t="shared" si="79"/>
        <v/>
      </c>
      <c r="R596" s="5" t="str">
        <f t="shared" si="74"/>
        <v/>
      </c>
      <c r="S596" s="5" t="str">
        <f t="shared" si="77"/>
        <v/>
      </c>
      <c r="T596" s="5" t="str">
        <f t="shared" si="80"/>
        <v/>
      </c>
      <c r="U596" s="5" t="str">
        <f t="shared" si="80"/>
        <v/>
      </c>
    </row>
    <row r="597" spans="7:21" x14ac:dyDescent="0.2">
      <c r="G597" s="8"/>
      <c r="H597" s="5"/>
      <c r="I597" s="9"/>
      <c r="J597" s="10" t="str">
        <f t="shared" si="75"/>
        <v/>
      </c>
      <c r="K597" s="10" t="str">
        <f t="shared" si="76"/>
        <v/>
      </c>
      <c r="L597" s="11" t="str">
        <f t="shared" si="78"/>
        <v/>
      </c>
      <c r="M597" s="9" t="str">
        <f>IF(G597&lt;&gt;"",J597/MAX(J$3:J597)-1,"")</f>
        <v/>
      </c>
      <c r="N597" s="9" t="str">
        <f>IF(G597&lt;&gt;"",K597/MAX(K$3:K597)-1,"")</f>
        <v/>
      </c>
      <c r="O597" s="16" t="str">
        <f t="shared" si="79"/>
        <v/>
      </c>
      <c r="P597" s="16" t="str">
        <f t="shared" si="79"/>
        <v/>
      </c>
      <c r="Q597" s="16" t="str">
        <f t="shared" si="79"/>
        <v/>
      </c>
      <c r="R597" s="5" t="str">
        <f t="shared" si="74"/>
        <v/>
      </c>
      <c r="S597" s="5" t="str">
        <f t="shared" si="77"/>
        <v/>
      </c>
      <c r="T597" s="5" t="str">
        <f t="shared" si="80"/>
        <v/>
      </c>
      <c r="U597" s="5" t="str">
        <f t="shared" si="80"/>
        <v/>
      </c>
    </row>
    <row r="598" spans="7:21" x14ac:dyDescent="0.2">
      <c r="G598" s="8"/>
      <c r="H598" s="5"/>
      <c r="I598" s="9"/>
      <c r="J598" s="10" t="str">
        <f t="shared" si="75"/>
        <v/>
      </c>
      <c r="K598" s="10" t="str">
        <f t="shared" si="76"/>
        <v/>
      </c>
      <c r="L598" s="11" t="str">
        <f t="shared" si="78"/>
        <v/>
      </c>
      <c r="M598" s="9" t="str">
        <f>IF(G598&lt;&gt;"",J598/MAX(J$3:J598)-1,"")</f>
        <v/>
      </c>
      <c r="N598" s="9" t="str">
        <f>IF(G598&lt;&gt;"",K598/MAX(K$3:K598)-1,"")</f>
        <v/>
      </c>
      <c r="O598" s="16" t="str">
        <f t="shared" si="79"/>
        <v/>
      </c>
      <c r="P598" s="16" t="str">
        <f t="shared" si="79"/>
        <v/>
      </c>
      <c r="Q598" s="16" t="str">
        <f t="shared" si="79"/>
        <v/>
      </c>
      <c r="R598" s="5" t="str">
        <f t="shared" si="74"/>
        <v/>
      </c>
      <c r="S598" s="5" t="str">
        <f t="shared" si="77"/>
        <v/>
      </c>
      <c r="T598" s="5" t="str">
        <f t="shared" si="80"/>
        <v/>
      </c>
      <c r="U598" s="5" t="str">
        <f t="shared" si="80"/>
        <v/>
      </c>
    </row>
    <row r="599" spans="7:21" x14ac:dyDescent="0.2">
      <c r="G599" s="8"/>
      <c r="H599" s="5"/>
      <c r="I599" s="9"/>
      <c r="J599" s="10" t="str">
        <f t="shared" si="75"/>
        <v/>
      </c>
      <c r="K599" s="10" t="str">
        <f t="shared" si="76"/>
        <v/>
      </c>
      <c r="L599" s="11" t="str">
        <f t="shared" si="78"/>
        <v/>
      </c>
      <c r="M599" s="9" t="str">
        <f>IF(G599&lt;&gt;"",J599/MAX(J$3:J599)-1,"")</f>
        <v/>
      </c>
      <c r="N599" s="9" t="str">
        <f>IF(G599&lt;&gt;"",K599/MAX(K$3:K599)-1,"")</f>
        <v/>
      </c>
      <c r="O599" s="16" t="str">
        <f t="shared" si="79"/>
        <v/>
      </c>
      <c r="P599" s="16" t="str">
        <f t="shared" si="79"/>
        <v/>
      </c>
      <c r="Q599" s="16" t="str">
        <f t="shared" si="79"/>
        <v/>
      </c>
      <c r="R599" s="5" t="str">
        <f t="shared" si="74"/>
        <v/>
      </c>
      <c r="S599" s="5" t="str">
        <f t="shared" si="77"/>
        <v/>
      </c>
      <c r="T599" s="5" t="str">
        <f t="shared" si="80"/>
        <v/>
      </c>
      <c r="U599" s="5" t="str">
        <f t="shared" si="80"/>
        <v/>
      </c>
    </row>
    <row r="600" spans="7:21" x14ac:dyDescent="0.2">
      <c r="G600" s="8"/>
      <c r="H600" s="5"/>
      <c r="I600" s="9"/>
      <c r="J600" s="10" t="str">
        <f t="shared" si="75"/>
        <v/>
      </c>
      <c r="K600" s="10" t="str">
        <f t="shared" si="76"/>
        <v/>
      </c>
      <c r="L600" s="11" t="str">
        <f t="shared" si="78"/>
        <v/>
      </c>
      <c r="M600" s="9" t="str">
        <f>IF(G600&lt;&gt;"",J600/MAX(J$3:J600)-1,"")</f>
        <v/>
      </c>
      <c r="N600" s="9" t="str">
        <f>IF(G600&lt;&gt;"",K600/MAX(K$3:K600)-1,"")</f>
        <v/>
      </c>
      <c r="O600" s="16" t="str">
        <f t="shared" si="79"/>
        <v/>
      </c>
      <c r="P600" s="16" t="str">
        <f t="shared" si="79"/>
        <v/>
      </c>
      <c r="Q600" s="16" t="str">
        <f t="shared" si="79"/>
        <v/>
      </c>
      <c r="R600" s="5" t="str">
        <f t="shared" si="74"/>
        <v/>
      </c>
      <c r="S600" s="5" t="str">
        <f t="shared" si="77"/>
        <v/>
      </c>
      <c r="T600" s="5" t="str">
        <f t="shared" ref="T600:U615" si="81">IF($G600&lt;&gt;"",_xlfn.STDEV.S(O356:O600),"")</f>
        <v/>
      </c>
      <c r="U600" s="5" t="str">
        <f t="shared" si="81"/>
        <v/>
      </c>
    </row>
    <row r="601" spans="7:21" x14ac:dyDescent="0.2">
      <c r="G601" s="8"/>
      <c r="H601" s="5"/>
      <c r="I601" s="9"/>
      <c r="J601" s="10" t="str">
        <f t="shared" si="75"/>
        <v/>
      </c>
      <c r="K601" s="10" t="str">
        <f t="shared" si="76"/>
        <v/>
      </c>
      <c r="L601" s="11" t="str">
        <f t="shared" si="78"/>
        <v/>
      </c>
      <c r="M601" s="9" t="str">
        <f>IF(G601&lt;&gt;"",J601/MAX(J$3:J601)-1,"")</f>
        <v/>
      </c>
      <c r="N601" s="9" t="str">
        <f>IF(G601&lt;&gt;"",K601/MAX(K$3:K601)-1,"")</f>
        <v/>
      </c>
      <c r="O601" s="16" t="str">
        <f t="shared" si="79"/>
        <v/>
      </c>
      <c r="P601" s="16" t="str">
        <f t="shared" si="79"/>
        <v/>
      </c>
      <c r="Q601" s="16" t="str">
        <f t="shared" si="79"/>
        <v/>
      </c>
      <c r="R601" s="5" t="str">
        <f t="shared" si="74"/>
        <v/>
      </c>
      <c r="S601" s="5" t="str">
        <f t="shared" si="77"/>
        <v/>
      </c>
      <c r="T601" s="5" t="str">
        <f t="shared" si="81"/>
        <v/>
      </c>
      <c r="U601" s="5" t="str">
        <f t="shared" si="81"/>
        <v/>
      </c>
    </row>
    <row r="602" spans="7:21" x14ac:dyDescent="0.2">
      <c r="G602" s="8"/>
      <c r="H602" s="5"/>
      <c r="I602" s="9"/>
      <c r="J602" s="10" t="str">
        <f t="shared" si="75"/>
        <v/>
      </c>
      <c r="K602" s="10" t="str">
        <f t="shared" si="76"/>
        <v/>
      </c>
      <c r="L602" s="11" t="str">
        <f t="shared" si="78"/>
        <v/>
      </c>
      <c r="M602" s="9" t="str">
        <f>IF(G602&lt;&gt;"",J602/MAX(J$3:J602)-1,"")</f>
        <v/>
      </c>
      <c r="N602" s="9" t="str">
        <f>IF(G602&lt;&gt;"",K602/MAX(K$3:K602)-1,"")</f>
        <v/>
      </c>
      <c r="O602" s="16" t="str">
        <f t="shared" si="79"/>
        <v/>
      </c>
      <c r="P602" s="16" t="str">
        <f t="shared" si="79"/>
        <v/>
      </c>
      <c r="Q602" s="16" t="str">
        <f t="shared" si="79"/>
        <v/>
      </c>
      <c r="R602" s="5" t="str">
        <f t="shared" si="74"/>
        <v/>
      </c>
      <c r="S602" s="5" t="str">
        <f t="shared" si="77"/>
        <v/>
      </c>
      <c r="T602" s="5" t="str">
        <f t="shared" si="81"/>
        <v/>
      </c>
      <c r="U602" s="5" t="str">
        <f t="shared" si="81"/>
        <v/>
      </c>
    </row>
    <row r="603" spans="7:21" x14ac:dyDescent="0.2">
      <c r="G603" s="8"/>
      <c r="H603" s="5"/>
      <c r="I603" s="9"/>
      <c r="J603" s="10" t="str">
        <f t="shared" si="75"/>
        <v/>
      </c>
      <c r="K603" s="10" t="str">
        <f t="shared" si="76"/>
        <v/>
      </c>
      <c r="L603" s="11" t="str">
        <f t="shared" si="78"/>
        <v/>
      </c>
      <c r="M603" s="9" t="str">
        <f>IF(G603&lt;&gt;"",J603/MAX(J$3:J603)-1,"")</f>
        <v/>
      </c>
      <c r="N603" s="9" t="str">
        <f>IF(G603&lt;&gt;"",K603/MAX(K$3:K603)-1,"")</f>
        <v/>
      </c>
      <c r="O603" s="16" t="str">
        <f t="shared" si="79"/>
        <v/>
      </c>
      <c r="P603" s="16" t="str">
        <f t="shared" si="79"/>
        <v/>
      </c>
      <c r="Q603" s="16" t="str">
        <f t="shared" si="79"/>
        <v/>
      </c>
      <c r="R603" s="5" t="str">
        <f t="shared" si="74"/>
        <v/>
      </c>
      <c r="S603" s="5" t="str">
        <f t="shared" si="77"/>
        <v/>
      </c>
      <c r="T603" s="5" t="str">
        <f t="shared" si="81"/>
        <v/>
      </c>
      <c r="U603" s="5" t="str">
        <f t="shared" si="81"/>
        <v/>
      </c>
    </row>
    <row r="604" spans="7:21" x14ac:dyDescent="0.2">
      <c r="G604" s="8"/>
      <c r="H604" s="5"/>
      <c r="I604" s="9"/>
      <c r="J604" s="10" t="str">
        <f t="shared" si="75"/>
        <v/>
      </c>
      <c r="K604" s="10" t="str">
        <f t="shared" si="76"/>
        <v/>
      </c>
      <c r="L604" s="11" t="str">
        <f t="shared" si="78"/>
        <v/>
      </c>
      <c r="M604" s="9" t="str">
        <f>IF(G604&lt;&gt;"",J604/MAX(J$3:J604)-1,"")</f>
        <v/>
      </c>
      <c r="N604" s="9" t="str">
        <f>IF(G604&lt;&gt;"",K604/MAX(K$3:K604)-1,"")</f>
        <v/>
      </c>
      <c r="O604" s="16" t="str">
        <f t="shared" si="79"/>
        <v/>
      </c>
      <c r="P604" s="16" t="str">
        <f t="shared" si="79"/>
        <v/>
      </c>
      <c r="Q604" s="16" t="str">
        <f t="shared" si="79"/>
        <v/>
      </c>
      <c r="R604" s="5" t="str">
        <f t="shared" si="74"/>
        <v/>
      </c>
      <c r="S604" s="5" t="str">
        <f t="shared" si="77"/>
        <v/>
      </c>
      <c r="T604" s="5" t="str">
        <f t="shared" si="81"/>
        <v/>
      </c>
      <c r="U604" s="5" t="str">
        <f t="shared" si="81"/>
        <v/>
      </c>
    </row>
    <row r="605" spans="7:21" x14ac:dyDescent="0.2">
      <c r="G605" s="8"/>
      <c r="H605" s="5"/>
      <c r="I605" s="9"/>
      <c r="J605" s="10" t="str">
        <f t="shared" si="75"/>
        <v/>
      </c>
      <c r="K605" s="10" t="str">
        <f t="shared" si="76"/>
        <v/>
      </c>
      <c r="L605" s="11" t="str">
        <f t="shared" si="78"/>
        <v/>
      </c>
      <c r="M605" s="9" t="str">
        <f>IF(G605&lt;&gt;"",J605/MAX(J$3:J605)-1,"")</f>
        <v/>
      </c>
      <c r="N605" s="9" t="str">
        <f>IF(G605&lt;&gt;"",K605/MAX(K$3:K605)-1,"")</f>
        <v/>
      </c>
      <c r="O605" s="16" t="str">
        <f t="shared" si="79"/>
        <v/>
      </c>
      <c r="P605" s="16" t="str">
        <f t="shared" si="79"/>
        <v/>
      </c>
      <c r="Q605" s="16" t="str">
        <f t="shared" si="79"/>
        <v/>
      </c>
      <c r="R605" s="5" t="str">
        <f t="shared" si="74"/>
        <v/>
      </c>
      <c r="S605" s="5" t="str">
        <f t="shared" si="77"/>
        <v/>
      </c>
      <c r="T605" s="5" t="str">
        <f t="shared" si="81"/>
        <v/>
      </c>
      <c r="U605" s="5" t="str">
        <f t="shared" si="81"/>
        <v/>
      </c>
    </row>
    <row r="606" spans="7:21" x14ac:dyDescent="0.2">
      <c r="G606" s="8"/>
      <c r="H606" s="5"/>
      <c r="I606" s="9"/>
      <c r="J606" s="10" t="str">
        <f t="shared" si="75"/>
        <v/>
      </c>
      <c r="K606" s="10" t="str">
        <f t="shared" si="76"/>
        <v/>
      </c>
      <c r="L606" s="11" t="str">
        <f t="shared" si="78"/>
        <v/>
      </c>
      <c r="M606" s="9" t="str">
        <f>IF(G606&lt;&gt;"",J606/MAX(J$3:J606)-1,"")</f>
        <v/>
      </c>
      <c r="N606" s="9" t="str">
        <f>IF(G606&lt;&gt;"",K606/MAX(K$3:K606)-1,"")</f>
        <v/>
      </c>
      <c r="O606" s="16" t="str">
        <f t="shared" si="79"/>
        <v/>
      </c>
      <c r="P606" s="16" t="str">
        <f t="shared" si="79"/>
        <v/>
      </c>
      <c r="Q606" s="16" t="str">
        <f t="shared" si="79"/>
        <v/>
      </c>
      <c r="R606" s="5" t="str">
        <f t="shared" si="74"/>
        <v/>
      </c>
      <c r="S606" s="5" t="str">
        <f t="shared" si="77"/>
        <v/>
      </c>
      <c r="T606" s="5" t="str">
        <f t="shared" si="81"/>
        <v/>
      </c>
      <c r="U606" s="5" t="str">
        <f t="shared" si="81"/>
        <v/>
      </c>
    </row>
    <row r="607" spans="7:21" x14ac:dyDescent="0.2">
      <c r="G607" s="8"/>
      <c r="H607" s="5"/>
      <c r="I607" s="9"/>
      <c r="J607" s="10" t="str">
        <f t="shared" si="75"/>
        <v/>
      </c>
      <c r="K607" s="10" t="str">
        <f t="shared" si="76"/>
        <v/>
      </c>
      <c r="L607" s="11" t="str">
        <f t="shared" si="78"/>
        <v/>
      </c>
      <c r="M607" s="9" t="str">
        <f>IF(G607&lt;&gt;"",J607/MAX(J$3:J607)-1,"")</f>
        <v/>
      </c>
      <c r="N607" s="9" t="str">
        <f>IF(G607&lt;&gt;"",K607/MAX(K$3:K607)-1,"")</f>
        <v/>
      </c>
      <c r="O607" s="16" t="str">
        <f t="shared" si="79"/>
        <v/>
      </c>
      <c r="P607" s="16" t="str">
        <f t="shared" si="79"/>
        <v/>
      </c>
      <c r="Q607" s="16" t="str">
        <f t="shared" si="79"/>
        <v/>
      </c>
      <c r="R607" s="5" t="str">
        <f t="shared" si="74"/>
        <v/>
      </c>
      <c r="S607" s="5" t="str">
        <f t="shared" si="77"/>
        <v/>
      </c>
      <c r="T607" s="5" t="str">
        <f t="shared" si="81"/>
        <v/>
      </c>
      <c r="U607" s="5" t="str">
        <f t="shared" si="81"/>
        <v/>
      </c>
    </row>
    <row r="608" spans="7:21" x14ac:dyDescent="0.2">
      <c r="G608" s="8"/>
      <c r="H608" s="5"/>
      <c r="I608" s="9"/>
      <c r="J608" s="10" t="str">
        <f t="shared" si="75"/>
        <v/>
      </c>
      <c r="K608" s="10" t="str">
        <f t="shared" si="76"/>
        <v/>
      </c>
      <c r="L608" s="11" t="str">
        <f t="shared" si="78"/>
        <v/>
      </c>
      <c r="M608" s="9" t="str">
        <f>IF(G608&lt;&gt;"",J608/MAX(J$3:J608)-1,"")</f>
        <v/>
      </c>
      <c r="N608" s="9" t="str">
        <f>IF(G608&lt;&gt;"",K608/MAX(K$3:K608)-1,"")</f>
        <v/>
      </c>
      <c r="O608" s="16" t="str">
        <f t="shared" si="79"/>
        <v/>
      </c>
      <c r="P608" s="16" t="str">
        <f t="shared" si="79"/>
        <v/>
      </c>
      <c r="Q608" s="16" t="str">
        <f t="shared" si="79"/>
        <v/>
      </c>
      <c r="R608" s="5" t="str">
        <f t="shared" si="74"/>
        <v/>
      </c>
      <c r="S608" s="5" t="str">
        <f t="shared" si="77"/>
        <v/>
      </c>
      <c r="T608" s="5" t="str">
        <f t="shared" si="81"/>
        <v/>
      </c>
      <c r="U608" s="5" t="str">
        <f t="shared" si="81"/>
        <v/>
      </c>
    </row>
    <row r="609" spans="7:21" x14ac:dyDescent="0.2">
      <c r="G609" s="8"/>
      <c r="H609" s="5"/>
      <c r="I609" s="9"/>
      <c r="J609" s="10" t="str">
        <f t="shared" si="75"/>
        <v/>
      </c>
      <c r="K609" s="10" t="str">
        <f t="shared" si="76"/>
        <v/>
      </c>
      <c r="L609" s="11" t="str">
        <f t="shared" si="78"/>
        <v/>
      </c>
      <c r="M609" s="9" t="str">
        <f>IF(G609&lt;&gt;"",J609/MAX(J$3:J609)-1,"")</f>
        <v/>
      </c>
      <c r="N609" s="9" t="str">
        <f>IF(G609&lt;&gt;"",K609/MAX(K$3:K609)-1,"")</f>
        <v/>
      </c>
      <c r="O609" s="16" t="str">
        <f t="shared" si="79"/>
        <v/>
      </c>
      <c r="P609" s="16" t="str">
        <f t="shared" si="79"/>
        <v/>
      </c>
      <c r="Q609" s="16" t="str">
        <f t="shared" si="79"/>
        <v/>
      </c>
      <c r="R609" s="5" t="str">
        <f t="shared" si="74"/>
        <v/>
      </c>
      <c r="S609" s="5" t="str">
        <f t="shared" si="77"/>
        <v/>
      </c>
      <c r="T609" s="5" t="str">
        <f t="shared" si="81"/>
        <v/>
      </c>
      <c r="U609" s="5" t="str">
        <f t="shared" si="81"/>
        <v/>
      </c>
    </row>
    <row r="610" spans="7:21" x14ac:dyDescent="0.2">
      <c r="G610" s="8"/>
      <c r="H610" s="5"/>
      <c r="I610" s="9"/>
      <c r="J610" s="10" t="str">
        <f t="shared" si="75"/>
        <v/>
      </c>
      <c r="K610" s="10" t="str">
        <f t="shared" si="76"/>
        <v/>
      </c>
      <c r="L610" s="11" t="str">
        <f t="shared" si="78"/>
        <v/>
      </c>
      <c r="M610" s="9" t="str">
        <f>IF(G610&lt;&gt;"",J610/MAX(J$3:J610)-1,"")</f>
        <v/>
      </c>
      <c r="N610" s="9" t="str">
        <f>IF(G610&lt;&gt;"",K610/MAX(K$3:K610)-1,"")</f>
        <v/>
      </c>
      <c r="O610" s="16" t="str">
        <f t="shared" si="79"/>
        <v/>
      </c>
      <c r="P610" s="16" t="str">
        <f t="shared" si="79"/>
        <v/>
      </c>
      <c r="Q610" s="16" t="str">
        <f t="shared" si="79"/>
        <v/>
      </c>
      <c r="R610" s="5" t="str">
        <f t="shared" si="74"/>
        <v/>
      </c>
      <c r="S610" s="5" t="str">
        <f t="shared" si="77"/>
        <v/>
      </c>
      <c r="T610" s="5" t="str">
        <f t="shared" si="81"/>
        <v/>
      </c>
      <c r="U610" s="5" t="str">
        <f t="shared" si="81"/>
        <v/>
      </c>
    </row>
    <row r="611" spans="7:21" x14ac:dyDescent="0.2">
      <c r="G611" s="8"/>
      <c r="H611" s="5"/>
      <c r="I611" s="9"/>
      <c r="J611" s="10" t="str">
        <f t="shared" si="75"/>
        <v/>
      </c>
      <c r="K611" s="10" t="str">
        <f t="shared" si="76"/>
        <v/>
      </c>
      <c r="L611" s="11" t="str">
        <f t="shared" si="78"/>
        <v/>
      </c>
      <c r="M611" s="9" t="str">
        <f>IF(G611&lt;&gt;"",J611/MAX(J$3:J611)-1,"")</f>
        <v/>
      </c>
      <c r="N611" s="9" t="str">
        <f>IF(G611&lt;&gt;"",K611/MAX(K$3:K611)-1,"")</f>
        <v/>
      </c>
      <c r="O611" s="16" t="str">
        <f t="shared" si="79"/>
        <v/>
      </c>
      <c r="P611" s="16" t="str">
        <f t="shared" si="79"/>
        <v/>
      </c>
      <c r="Q611" s="16" t="str">
        <f t="shared" si="79"/>
        <v/>
      </c>
      <c r="R611" s="5" t="str">
        <f t="shared" si="74"/>
        <v/>
      </c>
      <c r="S611" s="5" t="str">
        <f t="shared" si="77"/>
        <v/>
      </c>
      <c r="T611" s="5" t="str">
        <f t="shared" si="81"/>
        <v/>
      </c>
      <c r="U611" s="5" t="str">
        <f t="shared" si="81"/>
        <v/>
      </c>
    </row>
    <row r="612" spans="7:21" x14ac:dyDescent="0.2">
      <c r="G612" s="8"/>
      <c r="H612" s="5"/>
      <c r="I612" s="9"/>
      <c r="J612" s="10" t="str">
        <f t="shared" si="75"/>
        <v/>
      </c>
      <c r="K612" s="10" t="str">
        <f t="shared" si="76"/>
        <v/>
      </c>
      <c r="L612" s="11" t="str">
        <f t="shared" si="78"/>
        <v/>
      </c>
      <c r="M612" s="9" t="str">
        <f>IF(G612&lt;&gt;"",J612/MAX(J$3:J612)-1,"")</f>
        <v/>
      </c>
      <c r="N612" s="9" t="str">
        <f>IF(G612&lt;&gt;"",K612/MAX(K$3:K612)-1,"")</f>
        <v/>
      </c>
      <c r="O612" s="16" t="str">
        <f t="shared" si="79"/>
        <v/>
      </c>
      <c r="P612" s="16" t="str">
        <f t="shared" si="79"/>
        <v/>
      </c>
      <c r="Q612" s="16" t="str">
        <f t="shared" si="79"/>
        <v/>
      </c>
      <c r="R612" s="5" t="str">
        <f t="shared" si="74"/>
        <v/>
      </c>
      <c r="S612" s="5" t="str">
        <f t="shared" si="77"/>
        <v/>
      </c>
      <c r="T612" s="5" t="str">
        <f t="shared" si="81"/>
        <v/>
      </c>
      <c r="U612" s="5" t="str">
        <f t="shared" si="81"/>
        <v/>
      </c>
    </row>
    <row r="613" spans="7:21" x14ac:dyDescent="0.2">
      <c r="G613" s="8"/>
      <c r="H613" s="5"/>
      <c r="I613" s="9"/>
      <c r="J613" s="10" t="str">
        <f t="shared" si="75"/>
        <v/>
      </c>
      <c r="K613" s="10" t="str">
        <f t="shared" si="76"/>
        <v/>
      </c>
      <c r="L613" s="11" t="str">
        <f t="shared" si="78"/>
        <v/>
      </c>
      <c r="M613" s="9" t="str">
        <f>IF(G613&lt;&gt;"",J613/MAX(J$3:J613)-1,"")</f>
        <v/>
      </c>
      <c r="N613" s="9" t="str">
        <f>IF(G613&lt;&gt;"",K613/MAX(K$3:K613)-1,"")</f>
        <v/>
      </c>
      <c r="O613" s="16" t="str">
        <f t="shared" si="79"/>
        <v/>
      </c>
      <c r="P613" s="16" t="str">
        <f t="shared" si="79"/>
        <v/>
      </c>
      <c r="Q613" s="16" t="str">
        <f t="shared" si="79"/>
        <v/>
      </c>
      <c r="R613" s="5" t="str">
        <f t="shared" si="74"/>
        <v/>
      </c>
      <c r="S613" s="5" t="str">
        <f t="shared" si="77"/>
        <v/>
      </c>
      <c r="T613" s="5" t="str">
        <f t="shared" si="81"/>
        <v/>
      </c>
      <c r="U613" s="5" t="str">
        <f t="shared" si="81"/>
        <v/>
      </c>
    </row>
    <row r="614" spans="7:21" x14ac:dyDescent="0.2">
      <c r="G614" s="8"/>
      <c r="H614" s="5"/>
      <c r="I614" s="9"/>
      <c r="J614" s="10" t="str">
        <f t="shared" si="75"/>
        <v/>
      </c>
      <c r="K614" s="10" t="str">
        <f t="shared" si="76"/>
        <v/>
      </c>
      <c r="L614" s="11" t="str">
        <f t="shared" si="78"/>
        <v/>
      </c>
      <c r="M614" s="9" t="str">
        <f>IF(G614&lt;&gt;"",J614/MAX(J$3:J614)-1,"")</f>
        <v/>
      </c>
      <c r="N614" s="9" t="str">
        <f>IF(G614&lt;&gt;"",K614/MAX(K$3:K614)-1,"")</f>
        <v/>
      </c>
      <c r="O614" s="16" t="str">
        <f t="shared" si="79"/>
        <v/>
      </c>
      <c r="P614" s="16" t="str">
        <f t="shared" si="79"/>
        <v/>
      </c>
      <c r="Q614" s="16" t="str">
        <f t="shared" si="79"/>
        <v/>
      </c>
      <c r="R614" s="5" t="str">
        <f t="shared" si="74"/>
        <v/>
      </c>
      <c r="S614" s="5" t="str">
        <f t="shared" si="77"/>
        <v/>
      </c>
      <c r="T614" s="5" t="str">
        <f t="shared" si="81"/>
        <v/>
      </c>
      <c r="U614" s="5" t="str">
        <f t="shared" si="81"/>
        <v/>
      </c>
    </row>
    <row r="615" spans="7:21" x14ac:dyDescent="0.2">
      <c r="G615" s="8"/>
      <c r="H615" s="5"/>
      <c r="I615" s="9"/>
      <c r="J615" s="10" t="str">
        <f t="shared" si="75"/>
        <v/>
      </c>
      <c r="K615" s="10" t="str">
        <f t="shared" si="76"/>
        <v/>
      </c>
      <c r="L615" s="11" t="str">
        <f t="shared" si="78"/>
        <v/>
      </c>
      <c r="M615" s="9" t="str">
        <f>IF(G615&lt;&gt;"",J615/MAX(J$3:J615)-1,"")</f>
        <v/>
      </c>
      <c r="N615" s="9" t="str">
        <f>IF(G615&lt;&gt;"",K615/MAX(K$3:K615)-1,"")</f>
        <v/>
      </c>
      <c r="O615" s="16" t="str">
        <f t="shared" si="79"/>
        <v/>
      </c>
      <c r="P615" s="16" t="str">
        <f t="shared" si="79"/>
        <v/>
      </c>
      <c r="Q615" s="16" t="str">
        <f t="shared" si="79"/>
        <v/>
      </c>
      <c r="R615" s="5" t="str">
        <f t="shared" si="74"/>
        <v/>
      </c>
      <c r="S615" s="5" t="str">
        <f t="shared" si="77"/>
        <v/>
      </c>
      <c r="T615" s="5" t="str">
        <f t="shared" si="81"/>
        <v/>
      </c>
      <c r="U615" s="5" t="str">
        <f t="shared" si="81"/>
        <v/>
      </c>
    </row>
    <row r="616" spans="7:21" x14ac:dyDescent="0.2">
      <c r="G616" s="8"/>
      <c r="H616" s="5"/>
      <c r="I616" s="9"/>
      <c r="J616" s="10" t="str">
        <f t="shared" si="75"/>
        <v/>
      </c>
      <c r="K616" s="10" t="str">
        <f t="shared" si="76"/>
        <v/>
      </c>
      <c r="L616" s="11" t="str">
        <f t="shared" si="78"/>
        <v/>
      </c>
      <c r="M616" s="9" t="str">
        <f>IF(G616&lt;&gt;"",J616/MAX(J$3:J616)-1,"")</f>
        <v/>
      </c>
      <c r="N616" s="9" t="str">
        <f>IF(G616&lt;&gt;"",K616/MAX(K$3:K616)-1,"")</f>
        <v/>
      </c>
      <c r="O616" s="16" t="str">
        <f t="shared" si="79"/>
        <v/>
      </c>
      <c r="P616" s="16" t="str">
        <f t="shared" si="79"/>
        <v/>
      </c>
      <c r="Q616" s="16" t="str">
        <f t="shared" si="79"/>
        <v/>
      </c>
      <c r="R616" s="5" t="str">
        <f t="shared" si="74"/>
        <v/>
      </c>
      <c r="S616" s="5" t="str">
        <f t="shared" si="77"/>
        <v/>
      </c>
      <c r="T616" s="5" t="str">
        <f t="shared" ref="T616:U631" si="82">IF($G616&lt;&gt;"",_xlfn.STDEV.S(O372:O616),"")</f>
        <v/>
      </c>
      <c r="U616" s="5" t="str">
        <f t="shared" si="82"/>
        <v/>
      </c>
    </row>
    <row r="617" spans="7:21" x14ac:dyDescent="0.2">
      <c r="G617" s="8"/>
      <c r="H617" s="5"/>
      <c r="I617" s="9"/>
      <c r="J617" s="10" t="str">
        <f t="shared" si="75"/>
        <v/>
      </c>
      <c r="K617" s="10" t="str">
        <f t="shared" si="76"/>
        <v/>
      </c>
      <c r="L617" s="11" t="str">
        <f t="shared" si="78"/>
        <v/>
      </c>
      <c r="M617" s="9" t="str">
        <f>IF(G617&lt;&gt;"",J617/MAX(J$3:J617)-1,"")</f>
        <v/>
      </c>
      <c r="N617" s="9" t="str">
        <f>IF(G617&lt;&gt;"",K617/MAX(K$3:K617)-1,"")</f>
        <v/>
      </c>
      <c r="O617" s="16" t="str">
        <f t="shared" si="79"/>
        <v/>
      </c>
      <c r="P617" s="16" t="str">
        <f t="shared" si="79"/>
        <v/>
      </c>
      <c r="Q617" s="16" t="str">
        <f t="shared" si="79"/>
        <v/>
      </c>
      <c r="R617" s="5" t="str">
        <f t="shared" si="74"/>
        <v/>
      </c>
      <c r="S617" s="5" t="str">
        <f t="shared" si="77"/>
        <v/>
      </c>
      <c r="T617" s="5" t="str">
        <f t="shared" si="82"/>
        <v/>
      </c>
      <c r="U617" s="5" t="str">
        <f t="shared" si="82"/>
        <v/>
      </c>
    </row>
    <row r="618" spans="7:21" x14ac:dyDescent="0.2">
      <c r="G618" s="8"/>
      <c r="H618" s="5"/>
      <c r="I618" s="9"/>
      <c r="J618" s="10" t="str">
        <f t="shared" si="75"/>
        <v/>
      </c>
      <c r="K618" s="10" t="str">
        <f t="shared" si="76"/>
        <v/>
      </c>
      <c r="L618" s="11" t="str">
        <f t="shared" si="78"/>
        <v/>
      </c>
      <c r="M618" s="9" t="str">
        <f>IF(G618&lt;&gt;"",J618/MAX(J$3:J618)-1,"")</f>
        <v/>
      </c>
      <c r="N618" s="9" t="str">
        <f>IF(G618&lt;&gt;"",K618/MAX(K$3:K618)-1,"")</f>
        <v/>
      </c>
      <c r="O618" s="16" t="str">
        <f t="shared" si="79"/>
        <v/>
      </c>
      <c r="P618" s="16" t="str">
        <f t="shared" si="79"/>
        <v/>
      </c>
      <c r="Q618" s="16" t="str">
        <f t="shared" si="79"/>
        <v/>
      </c>
      <c r="R618" s="5" t="str">
        <f t="shared" si="74"/>
        <v/>
      </c>
      <c r="S618" s="5" t="str">
        <f t="shared" si="77"/>
        <v/>
      </c>
      <c r="T618" s="5" t="str">
        <f t="shared" si="82"/>
        <v/>
      </c>
      <c r="U618" s="5" t="str">
        <f t="shared" si="82"/>
        <v/>
      </c>
    </row>
    <row r="619" spans="7:21" x14ac:dyDescent="0.2">
      <c r="G619" s="8"/>
      <c r="H619" s="5"/>
      <c r="I619" s="9"/>
      <c r="J619" s="10" t="str">
        <f t="shared" si="75"/>
        <v/>
      </c>
      <c r="K619" s="10" t="str">
        <f t="shared" si="76"/>
        <v/>
      </c>
      <c r="L619" s="11" t="str">
        <f t="shared" si="78"/>
        <v/>
      </c>
      <c r="M619" s="9" t="str">
        <f>IF(G619&lt;&gt;"",J619/MAX(J$3:J619)-1,"")</f>
        <v/>
      </c>
      <c r="N619" s="9" t="str">
        <f>IF(G619&lt;&gt;"",K619/MAX(K$3:K619)-1,"")</f>
        <v/>
      </c>
      <c r="O619" s="16" t="str">
        <f t="shared" si="79"/>
        <v/>
      </c>
      <c r="P619" s="16" t="str">
        <f t="shared" si="79"/>
        <v/>
      </c>
      <c r="Q619" s="16" t="str">
        <f t="shared" si="79"/>
        <v/>
      </c>
      <c r="R619" s="5" t="str">
        <f t="shared" si="74"/>
        <v/>
      </c>
      <c r="S619" s="5" t="str">
        <f t="shared" si="77"/>
        <v/>
      </c>
      <c r="T619" s="5" t="str">
        <f t="shared" si="82"/>
        <v/>
      </c>
      <c r="U619" s="5" t="str">
        <f t="shared" si="82"/>
        <v/>
      </c>
    </row>
    <row r="620" spans="7:21" x14ac:dyDescent="0.2">
      <c r="G620" s="8"/>
      <c r="H620" s="5"/>
      <c r="I620" s="9"/>
      <c r="J620" s="10" t="str">
        <f t="shared" si="75"/>
        <v/>
      </c>
      <c r="K620" s="10" t="str">
        <f t="shared" si="76"/>
        <v/>
      </c>
      <c r="L620" s="11" t="str">
        <f t="shared" si="78"/>
        <v/>
      </c>
      <c r="M620" s="9" t="str">
        <f>IF(G620&lt;&gt;"",J620/MAX(J$3:J620)-1,"")</f>
        <v/>
      </c>
      <c r="N620" s="9" t="str">
        <f>IF(G620&lt;&gt;"",K620/MAX(K$3:K620)-1,"")</f>
        <v/>
      </c>
      <c r="O620" s="16" t="str">
        <f t="shared" si="79"/>
        <v/>
      </c>
      <c r="P620" s="16" t="str">
        <f t="shared" si="79"/>
        <v/>
      </c>
      <c r="Q620" s="16" t="str">
        <f t="shared" si="79"/>
        <v/>
      </c>
      <c r="R620" s="5" t="str">
        <f t="shared" si="74"/>
        <v/>
      </c>
      <c r="S620" s="5" t="str">
        <f t="shared" si="77"/>
        <v/>
      </c>
      <c r="T620" s="5" t="str">
        <f t="shared" si="82"/>
        <v/>
      </c>
      <c r="U620" s="5" t="str">
        <f t="shared" si="82"/>
        <v/>
      </c>
    </row>
    <row r="621" spans="7:21" x14ac:dyDescent="0.2">
      <c r="G621" s="8"/>
      <c r="H621" s="5"/>
      <c r="I621" s="9"/>
      <c r="J621" s="10" t="str">
        <f t="shared" si="75"/>
        <v/>
      </c>
      <c r="K621" s="10" t="str">
        <f t="shared" si="76"/>
        <v/>
      </c>
      <c r="L621" s="11" t="str">
        <f t="shared" si="78"/>
        <v/>
      </c>
      <c r="M621" s="9" t="str">
        <f>IF(G621&lt;&gt;"",J621/MAX(J$3:J621)-1,"")</f>
        <v/>
      </c>
      <c r="N621" s="9" t="str">
        <f>IF(G621&lt;&gt;"",K621/MAX(K$3:K621)-1,"")</f>
        <v/>
      </c>
      <c r="O621" s="16" t="str">
        <f t="shared" si="79"/>
        <v/>
      </c>
      <c r="P621" s="16" t="str">
        <f t="shared" si="79"/>
        <v/>
      </c>
      <c r="Q621" s="16" t="str">
        <f t="shared" si="79"/>
        <v/>
      </c>
      <c r="R621" s="5" t="str">
        <f t="shared" si="74"/>
        <v/>
      </c>
      <c r="S621" s="5" t="str">
        <f t="shared" si="77"/>
        <v/>
      </c>
      <c r="T621" s="5" t="str">
        <f t="shared" si="82"/>
        <v/>
      </c>
      <c r="U621" s="5" t="str">
        <f t="shared" si="82"/>
        <v/>
      </c>
    </row>
    <row r="622" spans="7:21" x14ac:dyDescent="0.2">
      <c r="G622" s="8"/>
      <c r="H622" s="5"/>
      <c r="I622" s="9"/>
      <c r="J622" s="10" t="str">
        <f t="shared" si="75"/>
        <v/>
      </c>
      <c r="K622" s="10" t="str">
        <f t="shared" si="76"/>
        <v/>
      </c>
      <c r="L622" s="11" t="str">
        <f t="shared" si="78"/>
        <v/>
      </c>
      <c r="M622" s="9" t="str">
        <f>IF(G622&lt;&gt;"",J622/MAX(J$3:J622)-1,"")</f>
        <v/>
      </c>
      <c r="N622" s="9" t="str">
        <f>IF(G622&lt;&gt;"",K622/MAX(K$3:K622)-1,"")</f>
        <v/>
      </c>
      <c r="O622" s="16" t="str">
        <f t="shared" si="79"/>
        <v/>
      </c>
      <c r="P622" s="16" t="str">
        <f t="shared" si="79"/>
        <v/>
      </c>
      <c r="Q622" s="16" t="str">
        <f t="shared" si="79"/>
        <v/>
      </c>
      <c r="R622" s="5" t="str">
        <f t="shared" si="74"/>
        <v/>
      </c>
      <c r="S622" s="5" t="str">
        <f t="shared" si="77"/>
        <v/>
      </c>
      <c r="T622" s="5" t="str">
        <f t="shared" si="82"/>
        <v/>
      </c>
      <c r="U622" s="5" t="str">
        <f t="shared" si="82"/>
        <v/>
      </c>
    </row>
    <row r="623" spans="7:21" x14ac:dyDescent="0.2">
      <c r="G623" s="8"/>
      <c r="H623" s="5"/>
      <c r="I623" s="9"/>
      <c r="J623" s="10" t="str">
        <f t="shared" si="75"/>
        <v/>
      </c>
      <c r="K623" s="10" t="str">
        <f t="shared" si="76"/>
        <v/>
      </c>
      <c r="L623" s="11" t="str">
        <f t="shared" si="78"/>
        <v/>
      </c>
      <c r="M623" s="9" t="str">
        <f>IF(G623&lt;&gt;"",J623/MAX(J$3:J623)-1,"")</f>
        <v/>
      </c>
      <c r="N623" s="9" t="str">
        <f>IF(G623&lt;&gt;"",K623/MAX(K$3:K623)-1,"")</f>
        <v/>
      </c>
      <c r="O623" s="16" t="str">
        <f t="shared" si="79"/>
        <v/>
      </c>
      <c r="P623" s="16" t="str">
        <f t="shared" si="79"/>
        <v/>
      </c>
      <c r="Q623" s="16" t="str">
        <f t="shared" si="79"/>
        <v/>
      </c>
      <c r="R623" s="5" t="str">
        <f t="shared" si="74"/>
        <v/>
      </c>
      <c r="S623" s="5" t="str">
        <f t="shared" si="77"/>
        <v/>
      </c>
      <c r="T623" s="5" t="str">
        <f t="shared" si="82"/>
        <v/>
      </c>
      <c r="U623" s="5" t="str">
        <f t="shared" si="82"/>
        <v/>
      </c>
    </row>
    <row r="624" spans="7:21" x14ac:dyDescent="0.2">
      <c r="G624" s="8"/>
      <c r="H624" s="5"/>
      <c r="I624" s="9"/>
      <c r="J624" s="10" t="str">
        <f t="shared" si="75"/>
        <v/>
      </c>
      <c r="K624" s="10" t="str">
        <f t="shared" si="76"/>
        <v/>
      </c>
      <c r="L624" s="11" t="str">
        <f t="shared" si="78"/>
        <v/>
      </c>
      <c r="M624" s="9" t="str">
        <f>IF(G624&lt;&gt;"",J624/MAX(J$3:J624)-1,"")</f>
        <v/>
      </c>
      <c r="N624" s="9" t="str">
        <f>IF(G624&lt;&gt;"",K624/MAX(K$3:K624)-1,"")</f>
        <v/>
      </c>
      <c r="O624" s="16" t="str">
        <f t="shared" si="79"/>
        <v/>
      </c>
      <c r="P624" s="16" t="str">
        <f t="shared" si="79"/>
        <v/>
      </c>
      <c r="Q624" s="16" t="str">
        <f t="shared" si="79"/>
        <v/>
      </c>
      <c r="R624" s="5" t="str">
        <f t="shared" si="74"/>
        <v/>
      </c>
      <c r="S624" s="5" t="str">
        <f t="shared" si="77"/>
        <v/>
      </c>
      <c r="T624" s="5" t="str">
        <f t="shared" si="82"/>
        <v/>
      </c>
      <c r="U624" s="5" t="str">
        <f t="shared" si="82"/>
        <v/>
      </c>
    </row>
    <row r="625" spans="7:21" x14ac:dyDescent="0.2">
      <c r="G625" s="8"/>
      <c r="H625" s="5"/>
      <c r="I625" s="9"/>
      <c r="J625" s="10" t="str">
        <f t="shared" si="75"/>
        <v/>
      </c>
      <c r="K625" s="10" t="str">
        <f t="shared" si="76"/>
        <v/>
      </c>
      <c r="L625" s="11" t="str">
        <f t="shared" si="78"/>
        <v/>
      </c>
      <c r="M625" s="9" t="str">
        <f>IF(G625&lt;&gt;"",J625/MAX(J$3:J625)-1,"")</f>
        <v/>
      </c>
      <c r="N625" s="9" t="str">
        <f>IF(G625&lt;&gt;"",K625/MAX(K$3:K625)-1,"")</f>
        <v/>
      </c>
      <c r="O625" s="16" t="str">
        <f t="shared" si="79"/>
        <v/>
      </c>
      <c r="P625" s="16" t="str">
        <f t="shared" si="79"/>
        <v/>
      </c>
      <c r="Q625" s="16" t="str">
        <f t="shared" si="79"/>
        <v/>
      </c>
      <c r="R625" s="5" t="str">
        <f t="shared" si="74"/>
        <v/>
      </c>
      <c r="S625" s="5" t="str">
        <f t="shared" si="77"/>
        <v/>
      </c>
      <c r="T625" s="5" t="str">
        <f t="shared" si="82"/>
        <v/>
      </c>
      <c r="U625" s="5" t="str">
        <f t="shared" si="82"/>
        <v/>
      </c>
    </row>
    <row r="626" spans="7:21" x14ac:dyDescent="0.2">
      <c r="G626" s="8"/>
      <c r="H626" s="5"/>
      <c r="I626" s="9"/>
      <c r="J626" s="10" t="str">
        <f t="shared" si="75"/>
        <v/>
      </c>
      <c r="K626" s="10" t="str">
        <f t="shared" si="76"/>
        <v/>
      </c>
      <c r="L626" s="11" t="str">
        <f t="shared" si="78"/>
        <v/>
      </c>
      <c r="M626" s="9" t="str">
        <f>IF(G626&lt;&gt;"",J626/MAX(J$3:J626)-1,"")</f>
        <v/>
      </c>
      <c r="N626" s="9" t="str">
        <f>IF(G626&lt;&gt;"",K626/MAX(K$3:K626)-1,"")</f>
        <v/>
      </c>
      <c r="O626" s="16" t="str">
        <f t="shared" si="79"/>
        <v/>
      </c>
      <c r="P626" s="16" t="str">
        <f t="shared" si="79"/>
        <v/>
      </c>
      <c r="Q626" s="16" t="str">
        <f t="shared" si="79"/>
        <v/>
      </c>
      <c r="R626" s="5" t="str">
        <f t="shared" si="74"/>
        <v/>
      </c>
      <c r="S626" s="5" t="str">
        <f t="shared" si="77"/>
        <v/>
      </c>
      <c r="T626" s="5" t="str">
        <f t="shared" si="82"/>
        <v/>
      </c>
      <c r="U626" s="5" t="str">
        <f t="shared" si="82"/>
        <v/>
      </c>
    </row>
    <row r="627" spans="7:21" x14ac:dyDescent="0.2">
      <c r="G627" s="8"/>
      <c r="H627" s="5"/>
      <c r="I627" s="9"/>
      <c r="J627" s="10" t="str">
        <f t="shared" si="75"/>
        <v/>
      </c>
      <c r="K627" s="10" t="str">
        <f t="shared" si="76"/>
        <v/>
      </c>
      <c r="L627" s="11" t="str">
        <f t="shared" si="78"/>
        <v/>
      </c>
      <c r="M627" s="9" t="str">
        <f>IF(G627&lt;&gt;"",J627/MAX(J$3:J627)-1,"")</f>
        <v/>
      </c>
      <c r="N627" s="9" t="str">
        <f>IF(G627&lt;&gt;"",K627/MAX(K$3:K627)-1,"")</f>
        <v/>
      </c>
      <c r="O627" s="16" t="str">
        <f t="shared" si="79"/>
        <v/>
      </c>
      <c r="P627" s="16" t="str">
        <f t="shared" si="79"/>
        <v/>
      </c>
      <c r="Q627" s="16" t="str">
        <f t="shared" si="79"/>
        <v/>
      </c>
      <c r="R627" s="5" t="str">
        <f t="shared" si="74"/>
        <v/>
      </c>
      <c r="S627" s="5" t="str">
        <f t="shared" si="77"/>
        <v/>
      </c>
      <c r="T627" s="5" t="str">
        <f t="shared" si="82"/>
        <v/>
      </c>
      <c r="U627" s="5" t="str">
        <f t="shared" si="82"/>
        <v/>
      </c>
    </row>
    <row r="628" spans="7:21" x14ac:dyDescent="0.2">
      <c r="G628" s="8"/>
      <c r="H628" s="5"/>
      <c r="I628" s="9"/>
      <c r="J628" s="10" t="str">
        <f t="shared" si="75"/>
        <v/>
      </c>
      <c r="K628" s="10" t="str">
        <f t="shared" si="76"/>
        <v/>
      </c>
      <c r="L628" s="11" t="str">
        <f t="shared" si="78"/>
        <v/>
      </c>
      <c r="M628" s="9" t="str">
        <f>IF(G628&lt;&gt;"",J628/MAX(J$3:J628)-1,"")</f>
        <v/>
      </c>
      <c r="N628" s="9" t="str">
        <f>IF(G628&lt;&gt;"",K628/MAX(K$3:K628)-1,"")</f>
        <v/>
      </c>
      <c r="O628" s="16" t="str">
        <f t="shared" si="79"/>
        <v/>
      </c>
      <c r="P628" s="16" t="str">
        <f t="shared" si="79"/>
        <v/>
      </c>
      <c r="Q628" s="16" t="str">
        <f t="shared" si="79"/>
        <v/>
      </c>
      <c r="R628" s="5" t="str">
        <f t="shared" si="74"/>
        <v/>
      </c>
      <c r="S628" s="5" t="str">
        <f t="shared" si="77"/>
        <v/>
      </c>
      <c r="T628" s="5" t="str">
        <f t="shared" si="82"/>
        <v/>
      </c>
      <c r="U628" s="5" t="str">
        <f t="shared" si="82"/>
        <v/>
      </c>
    </row>
    <row r="629" spans="7:21" x14ac:dyDescent="0.2">
      <c r="G629" s="8"/>
      <c r="H629" s="5"/>
      <c r="I629" s="9"/>
      <c r="J629" s="10" t="str">
        <f t="shared" si="75"/>
        <v/>
      </c>
      <c r="K629" s="10" t="str">
        <f t="shared" si="76"/>
        <v/>
      </c>
      <c r="L629" s="11" t="str">
        <f t="shared" si="78"/>
        <v/>
      </c>
      <c r="M629" s="9" t="str">
        <f>IF(G629&lt;&gt;"",J629/MAX(J$3:J629)-1,"")</f>
        <v/>
      </c>
      <c r="N629" s="9" t="str">
        <f>IF(G629&lt;&gt;"",K629/MAX(K$3:K629)-1,"")</f>
        <v/>
      </c>
      <c r="O629" s="16" t="str">
        <f t="shared" si="79"/>
        <v/>
      </c>
      <c r="P629" s="16" t="str">
        <f t="shared" si="79"/>
        <v/>
      </c>
      <c r="Q629" s="16" t="str">
        <f t="shared" si="79"/>
        <v/>
      </c>
      <c r="R629" s="5" t="str">
        <f t="shared" si="74"/>
        <v/>
      </c>
      <c r="S629" s="5" t="str">
        <f t="shared" si="77"/>
        <v/>
      </c>
      <c r="T629" s="5" t="str">
        <f t="shared" si="82"/>
        <v/>
      </c>
      <c r="U629" s="5" t="str">
        <f t="shared" si="82"/>
        <v/>
      </c>
    </row>
    <row r="630" spans="7:21" x14ac:dyDescent="0.2">
      <c r="G630" s="8"/>
      <c r="H630" s="5"/>
      <c r="I630" s="9"/>
      <c r="J630" s="10" t="str">
        <f t="shared" si="75"/>
        <v/>
      </c>
      <c r="K630" s="10" t="str">
        <f t="shared" si="76"/>
        <v/>
      </c>
      <c r="L630" s="11" t="str">
        <f t="shared" si="78"/>
        <v/>
      </c>
      <c r="M630" s="9" t="str">
        <f>IF(G630&lt;&gt;"",J630/MAX(J$3:J630)-1,"")</f>
        <v/>
      </c>
      <c r="N630" s="9" t="str">
        <f>IF(G630&lt;&gt;"",K630/MAX(K$3:K630)-1,"")</f>
        <v/>
      </c>
      <c r="O630" s="16" t="str">
        <f t="shared" si="79"/>
        <v/>
      </c>
      <c r="P630" s="16" t="str">
        <f t="shared" si="79"/>
        <v/>
      </c>
      <c r="Q630" s="16" t="str">
        <f t="shared" si="79"/>
        <v/>
      </c>
      <c r="R630" s="5" t="str">
        <f t="shared" si="74"/>
        <v/>
      </c>
      <c r="S630" s="5" t="str">
        <f t="shared" si="77"/>
        <v/>
      </c>
      <c r="T630" s="5" t="str">
        <f t="shared" si="82"/>
        <v/>
      </c>
      <c r="U630" s="5" t="str">
        <f t="shared" si="82"/>
        <v/>
      </c>
    </row>
    <row r="631" spans="7:21" x14ac:dyDescent="0.2">
      <c r="G631" s="8"/>
      <c r="H631" s="5"/>
      <c r="I631" s="9"/>
      <c r="J631" s="10" t="str">
        <f t="shared" si="75"/>
        <v/>
      </c>
      <c r="K631" s="10" t="str">
        <f t="shared" si="76"/>
        <v/>
      </c>
      <c r="L631" s="11" t="str">
        <f t="shared" si="78"/>
        <v/>
      </c>
      <c r="M631" s="9" t="str">
        <f>IF(G631&lt;&gt;"",J631/MAX(J$3:J631)-1,"")</f>
        <v/>
      </c>
      <c r="N631" s="9" t="str">
        <f>IF(G631&lt;&gt;"",K631/MAX(K$3:K631)-1,"")</f>
        <v/>
      </c>
      <c r="O631" s="16" t="str">
        <f t="shared" si="79"/>
        <v/>
      </c>
      <c r="P631" s="16" t="str">
        <f t="shared" si="79"/>
        <v/>
      </c>
      <c r="Q631" s="16" t="str">
        <f t="shared" si="79"/>
        <v/>
      </c>
      <c r="R631" s="5" t="str">
        <f t="shared" si="74"/>
        <v/>
      </c>
      <c r="S631" s="5" t="str">
        <f t="shared" si="77"/>
        <v/>
      </c>
      <c r="T631" s="5" t="str">
        <f t="shared" si="82"/>
        <v/>
      </c>
      <c r="U631" s="5" t="str">
        <f t="shared" si="82"/>
        <v/>
      </c>
    </row>
    <row r="632" spans="7:21" x14ac:dyDescent="0.2">
      <c r="G632" s="8"/>
      <c r="H632" s="5"/>
      <c r="I632" s="9"/>
      <c r="J632" s="10" t="str">
        <f t="shared" si="75"/>
        <v/>
      </c>
      <c r="K632" s="10" t="str">
        <f t="shared" si="76"/>
        <v/>
      </c>
      <c r="L632" s="11" t="str">
        <f t="shared" si="78"/>
        <v/>
      </c>
      <c r="M632" s="9" t="str">
        <f>IF(G632&lt;&gt;"",J632/MAX(J$3:J632)-1,"")</f>
        <v/>
      </c>
      <c r="N632" s="9" t="str">
        <f>IF(G632&lt;&gt;"",K632/MAX(K$3:K632)-1,"")</f>
        <v/>
      </c>
      <c r="O632" s="16" t="str">
        <f t="shared" si="79"/>
        <v/>
      </c>
      <c r="P632" s="16" t="str">
        <f t="shared" si="79"/>
        <v/>
      </c>
      <c r="Q632" s="16" t="str">
        <f t="shared" si="79"/>
        <v/>
      </c>
      <c r="R632" s="5" t="str">
        <f t="shared" si="74"/>
        <v/>
      </c>
      <c r="S632" s="5" t="str">
        <f t="shared" si="77"/>
        <v/>
      </c>
      <c r="T632" s="5" t="str">
        <f t="shared" ref="T632:U647" si="83">IF($G632&lt;&gt;"",_xlfn.STDEV.S(O388:O632),"")</f>
        <v/>
      </c>
      <c r="U632" s="5" t="str">
        <f t="shared" si="83"/>
        <v/>
      </c>
    </row>
    <row r="633" spans="7:21" x14ac:dyDescent="0.2">
      <c r="G633" s="8"/>
      <c r="H633" s="5"/>
      <c r="I633" s="9"/>
      <c r="J633" s="10" t="str">
        <f t="shared" si="75"/>
        <v/>
      </c>
      <c r="K633" s="10" t="str">
        <f t="shared" si="76"/>
        <v/>
      </c>
      <c r="L633" s="11" t="str">
        <f t="shared" si="78"/>
        <v/>
      </c>
      <c r="M633" s="9" t="str">
        <f>IF(G633&lt;&gt;"",J633/MAX(J$3:J633)-1,"")</f>
        <v/>
      </c>
      <c r="N633" s="9" t="str">
        <f>IF(G633&lt;&gt;"",K633/MAX(K$3:K633)-1,"")</f>
        <v/>
      </c>
      <c r="O633" s="16" t="str">
        <f t="shared" si="79"/>
        <v/>
      </c>
      <c r="P633" s="16" t="str">
        <f t="shared" si="79"/>
        <v/>
      </c>
      <c r="Q633" s="16" t="str">
        <f t="shared" si="79"/>
        <v/>
      </c>
      <c r="R633" s="5" t="str">
        <f t="shared" si="74"/>
        <v/>
      </c>
      <c r="S633" s="5" t="str">
        <f t="shared" si="77"/>
        <v/>
      </c>
      <c r="T633" s="5" t="str">
        <f t="shared" si="83"/>
        <v/>
      </c>
      <c r="U633" s="5" t="str">
        <f t="shared" si="83"/>
        <v/>
      </c>
    </row>
    <row r="634" spans="7:21" x14ac:dyDescent="0.2">
      <c r="G634" s="8"/>
      <c r="H634" s="5"/>
      <c r="I634" s="9"/>
      <c r="J634" s="10" t="str">
        <f t="shared" si="75"/>
        <v/>
      </c>
      <c r="K634" s="10" t="str">
        <f t="shared" si="76"/>
        <v/>
      </c>
      <c r="L634" s="11" t="str">
        <f t="shared" si="78"/>
        <v/>
      </c>
      <c r="M634" s="9" t="str">
        <f>IF(G634&lt;&gt;"",J634/MAX(J$3:J634)-1,"")</f>
        <v/>
      </c>
      <c r="N634" s="9" t="str">
        <f>IF(G634&lt;&gt;"",K634/MAX(K$3:K634)-1,"")</f>
        <v/>
      </c>
      <c r="O634" s="16" t="str">
        <f t="shared" si="79"/>
        <v/>
      </c>
      <c r="P634" s="16" t="str">
        <f t="shared" si="79"/>
        <v/>
      </c>
      <c r="Q634" s="16" t="str">
        <f t="shared" si="79"/>
        <v/>
      </c>
      <c r="R634" s="5" t="str">
        <f t="shared" si="74"/>
        <v/>
      </c>
      <c r="S634" s="5" t="str">
        <f t="shared" si="77"/>
        <v/>
      </c>
      <c r="T634" s="5" t="str">
        <f t="shared" si="83"/>
        <v/>
      </c>
      <c r="U634" s="5" t="str">
        <f t="shared" si="83"/>
        <v/>
      </c>
    </row>
    <row r="635" spans="7:21" x14ac:dyDescent="0.2">
      <c r="G635" s="8"/>
      <c r="H635" s="5"/>
      <c r="I635" s="9"/>
      <c r="J635" s="10" t="str">
        <f t="shared" si="75"/>
        <v/>
      </c>
      <c r="K635" s="10" t="str">
        <f t="shared" si="76"/>
        <v/>
      </c>
      <c r="L635" s="11" t="str">
        <f t="shared" si="78"/>
        <v/>
      </c>
      <c r="M635" s="9" t="str">
        <f>IF(G635&lt;&gt;"",J635/MAX(J$3:J635)-1,"")</f>
        <v/>
      </c>
      <c r="N635" s="9" t="str">
        <f>IF(G635&lt;&gt;"",K635/MAX(K$3:K635)-1,"")</f>
        <v/>
      </c>
      <c r="O635" s="16" t="str">
        <f t="shared" si="79"/>
        <v/>
      </c>
      <c r="P635" s="16" t="str">
        <f t="shared" si="79"/>
        <v/>
      </c>
      <c r="Q635" s="16" t="str">
        <f t="shared" si="79"/>
        <v/>
      </c>
      <c r="R635" s="5" t="str">
        <f t="shared" si="74"/>
        <v/>
      </c>
      <c r="S635" s="5" t="str">
        <f t="shared" si="77"/>
        <v/>
      </c>
      <c r="T635" s="5" t="str">
        <f t="shared" si="83"/>
        <v/>
      </c>
      <c r="U635" s="5" t="str">
        <f t="shared" si="83"/>
        <v/>
      </c>
    </row>
    <row r="636" spans="7:21" x14ac:dyDescent="0.2">
      <c r="G636" s="8"/>
      <c r="H636" s="5"/>
      <c r="I636" s="9"/>
      <c r="J636" s="10" t="str">
        <f t="shared" si="75"/>
        <v/>
      </c>
      <c r="K636" s="10" t="str">
        <f t="shared" si="76"/>
        <v/>
      </c>
      <c r="L636" s="11" t="str">
        <f t="shared" si="78"/>
        <v/>
      </c>
      <c r="M636" s="9" t="str">
        <f>IF(G636&lt;&gt;"",J636/MAX(J$3:J636)-1,"")</f>
        <v/>
      </c>
      <c r="N636" s="9" t="str">
        <f>IF(G636&lt;&gt;"",K636/MAX(K$3:K636)-1,"")</f>
        <v/>
      </c>
      <c r="O636" s="16" t="str">
        <f t="shared" si="79"/>
        <v/>
      </c>
      <c r="P636" s="16" t="str">
        <f t="shared" si="79"/>
        <v/>
      </c>
      <c r="Q636" s="16" t="str">
        <f t="shared" si="79"/>
        <v/>
      </c>
      <c r="R636" s="5" t="str">
        <f t="shared" si="74"/>
        <v/>
      </c>
      <c r="S636" s="5" t="str">
        <f t="shared" si="77"/>
        <v/>
      </c>
      <c r="T636" s="5" t="str">
        <f t="shared" si="83"/>
        <v/>
      </c>
      <c r="U636" s="5" t="str">
        <f t="shared" si="83"/>
        <v/>
      </c>
    </row>
    <row r="637" spans="7:21" x14ac:dyDescent="0.2">
      <c r="G637" s="8"/>
      <c r="H637" s="5"/>
      <c r="I637" s="9"/>
      <c r="J637" s="10" t="str">
        <f t="shared" si="75"/>
        <v/>
      </c>
      <c r="K637" s="10" t="str">
        <f t="shared" si="76"/>
        <v/>
      </c>
      <c r="L637" s="11" t="str">
        <f t="shared" si="78"/>
        <v/>
      </c>
      <c r="M637" s="9" t="str">
        <f>IF(G637&lt;&gt;"",J637/MAX(J$3:J637)-1,"")</f>
        <v/>
      </c>
      <c r="N637" s="9" t="str">
        <f>IF(G637&lt;&gt;"",K637/MAX(K$3:K637)-1,"")</f>
        <v/>
      </c>
      <c r="O637" s="16" t="str">
        <f t="shared" si="79"/>
        <v/>
      </c>
      <c r="P637" s="16" t="str">
        <f t="shared" si="79"/>
        <v/>
      </c>
      <c r="Q637" s="16" t="str">
        <f t="shared" si="79"/>
        <v/>
      </c>
      <c r="R637" s="5" t="str">
        <f t="shared" ref="R637:R700" si="84">IF(G637&lt;&gt;"",_xlfn.STDEV.S(Q516:Q637)*SQRT($B$5),"")</f>
        <v/>
      </c>
      <c r="S637" s="5" t="str">
        <f t="shared" si="77"/>
        <v/>
      </c>
      <c r="T637" s="5" t="str">
        <f t="shared" si="83"/>
        <v/>
      </c>
      <c r="U637" s="5" t="str">
        <f t="shared" si="83"/>
        <v/>
      </c>
    </row>
    <row r="638" spans="7:21" x14ac:dyDescent="0.2">
      <c r="G638" s="8"/>
      <c r="H638" s="5"/>
      <c r="I638" s="9"/>
      <c r="J638" s="10" t="str">
        <f t="shared" si="75"/>
        <v/>
      </c>
      <c r="K638" s="10" t="str">
        <f t="shared" si="76"/>
        <v/>
      </c>
      <c r="L638" s="11" t="str">
        <f t="shared" si="78"/>
        <v/>
      </c>
      <c r="M638" s="9" t="str">
        <f>IF(G638&lt;&gt;"",J638/MAX(J$3:J638)-1,"")</f>
        <v/>
      </c>
      <c r="N638" s="9" t="str">
        <f>IF(G638&lt;&gt;"",K638/MAX(K$3:K638)-1,"")</f>
        <v/>
      </c>
      <c r="O638" s="16" t="str">
        <f t="shared" si="79"/>
        <v/>
      </c>
      <c r="P638" s="16" t="str">
        <f t="shared" si="79"/>
        <v/>
      </c>
      <c r="Q638" s="16" t="str">
        <f t="shared" si="79"/>
        <v/>
      </c>
      <c r="R638" s="5" t="str">
        <f t="shared" si="84"/>
        <v/>
      </c>
      <c r="S638" s="5" t="str">
        <f t="shared" si="77"/>
        <v/>
      </c>
      <c r="T638" s="5" t="str">
        <f t="shared" si="83"/>
        <v/>
      </c>
      <c r="U638" s="5" t="str">
        <f t="shared" si="83"/>
        <v/>
      </c>
    </row>
    <row r="639" spans="7:21" x14ac:dyDescent="0.2">
      <c r="G639" s="8"/>
      <c r="H639" s="5"/>
      <c r="I639" s="9"/>
      <c r="J639" s="10" t="str">
        <f t="shared" si="75"/>
        <v/>
      </c>
      <c r="K639" s="10" t="str">
        <f t="shared" si="76"/>
        <v/>
      </c>
      <c r="L639" s="11" t="str">
        <f t="shared" si="78"/>
        <v/>
      </c>
      <c r="M639" s="9" t="str">
        <f>IF(G639&lt;&gt;"",J639/MAX(J$3:J639)-1,"")</f>
        <v/>
      </c>
      <c r="N639" s="9" t="str">
        <f>IF(G639&lt;&gt;"",K639/MAX(K$3:K639)-1,"")</f>
        <v/>
      </c>
      <c r="O639" s="16" t="str">
        <f t="shared" si="79"/>
        <v/>
      </c>
      <c r="P639" s="16" t="str">
        <f t="shared" si="79"/>
        <v/>
      </c>
      <c r="Q639" s="16" t="str">
        <f t="shared" si="79"/>
        <v/>
      </c>
      <c r="R639" s="5" t="str">
        <f t="shared" si="84"/>
        <v/>
      </c>
      <c r="S639" s="5" t="str">
        <f t="shared" si="77"/>
        <v/>
      </c>
      <c r="T639" s="5" t="str">
        <f t="shared" si="83"/>
        <v/>
      </c>
      <c r="U639" s="5" t="str">
        <f t="shared" si="83"/>
        <v/>
      </c>
    </row>
    <row r="640" spans="7:21" x14ac:dyDescent="0.2">
      <c r="G640" s="8"/>
      <c r="H640" s="5"/>
      <c r="I640" s="9"/>
      <c r="J640" s="10" t="str">
        <f t="shared" si="75"/>
        <v/>
      </c>
      <c r="K640" s="10" t="str">
        <f t="shared" si="76"/>
        <v/>
      </c>
      <c r="L640" s="11" t="str">
        <f t="shared" si="78"/>
        <v/>
      </c>
      <c r="M640" s="9" t="str">
        <f>IF(G640&lt;&gt;"",J640/MAX(J$3:J640)-1,"")</f>
        <v/>
      </c>
      <c r="N640" s="9" t="str">
        <f>IF(G640&lt;&gt;"",K640/MAX(K$3:K640)-1,"")</f>
        <v/>
      </c>
      <c r="O640" s="16" t="str">
        <f t="shared" si="79"/>
        <v/>
      </c>
      <c r="P640" s="16" t="str">
        <f t="shared" si="79"/>
        <v/>
      </c>
      <c r="Q640" s="16" t="str">
        <f t="shared" si="79"/>
        <v/>
      </c>
      <c r="R640" s="5" t="str">
        <f t="shared" si="84"/>
        <v/>
      </c>
      <c r="S640" s="5" t="str">
        <f t="shared" si="77"/>
        <v/>
      </c>
      <c r="T640" s="5" t="str">
        <f t="shared" si="83"/>
        <v/>
      </c>
      <c r="U640" s="5" t="str">
        <f t="shared" si="83"/>
        <v/>
      </c>
    </row>
    <row r="641" spans="7:21" x14ac:dyDescent="0.2">
      <c r="G641" s="8"/>
      <c r="H641" s="5"/>
      <c r="I641" s="9"/>
      <c r="J641" s="10" t="str">
        <f t="shared" si="75"/>
        <v/>
      </c>
      <c r="K641" s="10" t="str">
        <f t="shared" si="76"/>
        <v/>
      </c>
      <c r="L641" s="11" t="str">
        <f t="shared" si="78"/>
        <v/>
      </c>
      <c r="M641" s="9" t="str">
        <f>IF(G641&lt;&gt;"",J641/MAX(J$3:J641)-1,"")</f>
        <v/>
      </c>
      <c r="N641" s="9" t="str">
        <f>IF(G641&lt;&gt;"",K641/MAX(K$3:K641)-1,"")</f>
        <v/>
      </c>
      <c r="O641" s="16" t="str">
        <f t="shared" si="79"/>
        <v/>
      </c>
      <c r="P641" s="16" t="str">
        <f t="shared" si="79"/>
        <v/>
      </c>
      <c r="Q641" s="16" t="str">
        <f t="shared" si="79"/>
        <v/>
      </c>
      <c r="R641" s="5" t="str">
        <f t="shared" si="84"/>
        <v/>
      </c>
      <c r="S641" s="5" t="str">
        <f t="shared" si="77"/>
        <v/>
      </c>
      <c r="T641" s="5" t="str">
        <f t="shared" si="83"/>
        <v/>
      </c>
      <c r="U641" s="5" t="str">
        <f t="shared" si="83"/>
        <v/>
      </c>
    </row>
    <row r="642" spans="7:21" x14ac:dyDescent="0.2">
      <c r="G642" s="8"/>
      <c r="H642" s="5"/>
      <c r="I642" s="9"/>
      <c r="J642" s="10" t="str">
        <f t="shared" si="75"/>
        <v/>
      </c>
      <c r="K642" s="10" t="str">
        <f t="shared" si="76"/>
        <v/>
      </c>
      <c r="L642" s="11" t="str">
        <f t="shared" si="78"/>
        <v/>
      </c>
      <c r="M642" s="9" t="str">
        <f>IF(G642&lt;&gt;"",J642/MAX(J$3:J642)-1,"")</f>
        <v/>
      </c>
      <c r="N642" s="9" t="str">
        <f>IF(G642&lt;&gt;"",K642/MAX(K$3:K642)-1,"")</f>
        <v/>
      </c>
      <c r="O642" s="16" t="str">
        <f t="shared" si="79"/>
        <v/>
      </c>
      <c r="P642" s="16" t="str">
        <f t="shared" si="79"/>
        <v/>
      </c>
      <c r="Q642" s="16" t="str">
        <f t="shared" si="79"/>
        <v/>
      </c>
      <c r="R642" s="5" t="str">
        <f t="shared" si="84"/>
        <v/>
      </c>
      <c r="S642" s="5" t="str">
        <f t="shared" si="77"/>
        <v/>
      </c>
      <c r="T642" s="5" t="str">
        <f t="shared" si="83"/>
        <v/>
      </c>
      <c r="U642" s="5" t="str">
        <f t="shared" si="83"/>
        <v/>
      </c>
    </row>
    <row r="643" spans="7:21" x14ac:dyDescent="0.2">
      <c r="G643" s="8"/>
      <c r="H643" s="5"/>
      <c r="I643" s="9"/>
      <c r="J643" s="10" t="str">
        <f t="shared" si="75"/>
        <v/>
      </c>
      <c r="K643" s="10" t="str">
        <f t="shared" si="76"/>
        <v/>
      </c>
      <c r="L643" s="11" t="str">
        <f t="shared" si="78"/>
        <v/>
      </c>
      <c r="M643" s="9" t="str">
        <f>IF(G643&lt;&gt;"",J643/MAX(J$3:J643)-1,"")</f>
        <v/>
      </c>
      <c r="N643" s="9" t="str">
        <f>IF(G643&lt;&gt;"",K643/MAX(K$3:K643)-1,"")</f>
        <v/>
      </c>
      <c r="O643" s="16" t="str">
        <f t="shared" si="79"/>
        <v/>
      </c>
      <c r="P643" s="16" t="str">
        <f t="shared" si="79"/>
        <v/>
      </c>
      <c r="Q643" s="16" t="str">
        <f t="shared" si="79"/>
        <v/>
      </c>
      <c r="R643" s="5" t="str">
        <f t="shared" si="84"/>
        <v/>
      </c>
      <c r="S643" s="5" t="str">
        <f t="shared" si="77"/>
        <v/>
      </c>
      <c r="T643" s="5" t="str">
        <f t="shared" si="83"/>
        <v/>
      </c>
      <c r="U643" s="5" t="str">
        <f t="shared" si="83"/>
        <v/>
      </c>
    </row>
    <row r="644" spans="7:21" x14ac:dyDescent="0.2">
      <c r="G644" s="8"/>
      <c r="H644" s="5"/>
      <c r="I644" s="9"/>
      <c r="J644" s="10" t="str">
        <f t="shared" ref="J644:J707" si="85">IF(G644&lt;&gt;"",1+H644,"")</f>
        <v/>
      </c>
      <c r="K644" s="10" t="str">
        <f t="shared" ref="K644:K707" si="86">IF(G644&lt;&gt;"",1+I644,"")</f>
        <v/>
      </c>
      <c r="L644" s="11" t="str">
        <f t="shared" si="78"/>
        <v/>
      </c>
      <c r="M644" s="9" t="str">
        <f>IF(G644&lt;&gt;"",J644/MAX(J$3:J644)-1,"")</f>
        <v/>
      </c>
      <c r="N644" s="9" t="str">
        <f>IF(G644&lt;&gt;"",K644/MAX(K$3:K644)-1,"")</f>
        <v/>
      </c>
      <c r="O644" s="16" t="str">
        <f t="shared" si="79"/>
        <v/>
      </c>
      <c r="P644" s="16" t="str">
        <f t="shared" si="79"/>
        <v/>
      </c>
      <c r="Q644" s="16" t="str">
        <f t="shared" si="79"/>
        <v/>
      </c>
      <c r="R644" s="5" t="str">
        <f t="shared" si="84"/>
        <v/>
      </c>
      <c r="S644" s="5" t="str">
        <f t="shared" ref="S644:S707" si="87">IF(R644&lt;&gt;"",B$12,"")</f>
        <v/>
      </c>
      <c r="T644" s="5" t="str">
        <f t="shared" si="83"/>
        <v/>
      </c>
      <c r="U644" s="5" t="str">
        <f t="shared" si="83"/>
        <v/>
      </c>
    </row>
    <row r="645" spans="7:21" x14ac:dyDescent="0.2">
      <c r="G645" s="8"/>
      <c r="H645" s="5"/>
      <c r="I645" s="9"/>
      <c r="J645" s="10" t="str">
        <f t="shared" si="85"/>
        <v/>
      </c>
      <c r="K645" s="10" t="str">
        <f t="shared" si="86"/>
        <v/>
      </c>
      <c r="L645" s="11" t="str">
        <f t="shared" ref="L645:L708" si="88">IF(G645&lt;&gt;"",J645/K645,"")</f>
        <v/>
      </c>
      <c r="M645" s="9" t="str">
        <f>IF(G645&lt;&gt;"",J645/MAX(J$3:J645)-1,"")</f>
        <v/>
      </c>
      <c r="N645" s="9" t="str">
        <f>IF(G645&lt;&gt;"",K645/MAX(K$3:K645)-1,"")</f>
        <v/>
      </c>
      <c r="O645" s="16" t="str">
        <f t="shared" ref="O645:Q705" si="89">IF($G645&lt;&gt;"",J645/J644-1,"")</f>
        <v/>
      </c>
      <c r="P645" s="16" t="str">
        <f t="shared" si="89"/>
        <v/>
      </c>
      <c r="Q645" s="16" t="str">
        <f t="shared" si="89"/>
        <v/>
      </c>
      <c r="R645" s="5" t="str">
        <f t="shared" si="84"/>
        <v/>
      </c>
      <c r="S645" s="5" t="str">
        <f t="shared" si="87"/>
        <v/>
      </c>
      <c r="T645" s="5" t="str">
        <f t="shared" si="83"/>
        <v/>
      </c>
      <c r="U645" s="5" t="str">
        <f t="shared" si="83"/>
        <v/>
      </c>
    </row>
    <row r="646" spans="7:21" x14ac:dyDescent="0.2">
      <c r="G646" s="8"/>
      <c r="H646" s="5"/>
      <c r="I646" s="9"/>
      <c r="J646" s="10" t="str">
        <f t="shared" si="85"/>
        <v/>
      </c>
      <c r="K646" s="10" t="str">
        <f t="shared" si="86"/>
        <v/>
      </c>
      <c r="L646" s="11" t="str">
        <f t="shared" si="88"/>
        <v/>
      </c>
      <c r="M646" s="9" t="str">
        <f>IF(G646&lt;&gt;"",J646/MAX(J$3:J646)-1,"")</f>
        <v/>
      </c>
      <c r="N646" s="9" t="str">
        <f>IF(G646&lt;&gt;"",K646/MAX(K$3:K646)-1,"")</f>
        <v/>
      </c>
      <c r="O646" s="16" t="str">
        <f t="shared" si="89"/>
        <v/>
      </c>
      <c r="P646" s="16" t="str">
        <f t="shared" si="89"/>
        <v/>
      </c>
      <c r="Q646" s="16" t="str">
        <f t="shared" si="89"/>
        <v/>
      </c>
      <c r="R646" s="5" t="str">
        <f t="shared" si="84"/>
        <v/>
      </c>
      <c r="S646" s="5" t="str">
        <f t="shared" si="87"/>
        <v/>
      </c>
      <c r="T646" s="5" t="str">
        <f t="shared" si="83"/>
        <v/>
      </c>
      <c r="U646" s="5" t="str">
        <f t="shared" si="83"/>
        <v/>
      </c>
    </row>
    <row r="647" spans="7:21" x14ac:dyDescent="0.2">
      <c r="G647" s="8"/>
      <c r="H647" s="5"/>
      <c r="I647" s="9"/>
      <c r="J647" s="10" t="str">
        <f t="shared" si="85"/>
        <v/>
      </c>
      <c r="K647" s="10" t="str">
        <f t="shared" si="86"/>
        <v/>
      </c>
      <c r="L647" s="11" t="str">
        <f t="shared" si="88"/>
        <v/>
      </c>
      <c r="M647" s="9" t="str">
        <f>IF(G647&lt;&gt;"",J647/MAX(J$3:J647)-1,"")</f>
        <v/>
      </c>
      <c r="N647" s="9" t="str">
        <f>IF(G647&lt;&gt;"",K647/MAX(K$3:K647)-1,"")</f>
        <v/>
      </c>
      <c r="O647" s="16" t="str">
        <f t="shared" si="89"/>
        <v/>
      </c>
      <c r="P647" s="16" t="str">
        <f t="shared" si="89"/>
        <v/>
      </c>
      <c r="Q647" s="16" t="str">
        <f t="shared" si="89"/>
        <v/>
      </c>
      <c r="R647" s="5" t="str">
        <f t="shared" si="84"/>
        <v/>
      </c>
      <c r="S647" s="5" t="str">
        <f t="shared" si="87"/>
        <v/>
      </c>
      <c r="T647" s="5" t="str">
        <f t="shared" si="83"/>
        <v/>
      </c>
      <c r="U647" s="5" t="str">
        <f t="shared" si="83"/>
        <v/>
      </c>
    </row>
    <row r="648" spans="7:21" x14ac:dyDescent="0.2">
      <c r="G648" s="8"/>
      <c r="H648" s="5"/>
      <c r="I648" s="9"/>
      <c r="J648" s="10" t="str">
        <f t="shared" si="85"/>
        <v/>
      </c>
      <c r="K648" s="10" t="str">
        <f t="shared" si="86"/>
        <v/>
      </c>
      <c r="L648" s="11" t="str">
        <f t="shared" si="88"/>
        <v/>
      </c>
      <c r="M648" s="9" t="str">
        <f>IF(G648&lt;&gt;"",J648/MAX(J$3:J648)-1,"")</f>
        <v/>
      </c>
      <c r="N648" s="9" t="str">
        <f>IF(G648&lt;&gt;"",K648/MAX(K$3:K648)-1,"")</f>
        <v/>
      </c>
      <c r="O648" s="16" t="str">
        <f t="shared" si="89"/>
        <v/>
      </c>
      <c r="P648" s="16" t="str">
        <f t="shared" si="89"/>
        <v/>
      </c>
      <c r="Q648" s="16" t="str">
        <f t="shared" si="89"/>
        <v/>
      </c>
      <c r="R648" s="5" t="str">
        <f t="shared" si="84"/>
        <v/>
      </c>
      <c r="S648" s="5" t="str">
        <f t="shared" si="87"/>
        <v/>
      </c>
      <c r="T648" s="5" t="str">
        <f t="shared" ref="T648:U663" si="90">IF($G648&lt;&gt;"",_xlfn.STDEV.S(O404:O648),"")</f>
        <v/>
      </c>
      <c r="U648" s="5" t="str">
        <f t="shared" si="90"/>
        <v/>
      </c>
    </row>
    <row r="649" spans="7:21" x14ac:dyDescent="0.2">
      <c r="G649" s="8"/>
      <c r="H649" s="5"/>
      <c r="I649" s="9"/>
      <c r="J649" s="10" t="str">
        <f t="shared" si="85"/>
        <v/>
      </c>
      <c r="K649" s="10" t="str">
        <f t="shared" si="86"/>
        <v/>
      </c>
      <c r="L649" s="11" t="str">
        <f t="shared" si="88"/>
        <v/>
      </c>
      <c r="M649" s="9" t="str">
        <f>IF(G649&lt;&gt;"",J649/MAX(J$3:J649)-1,"")</f>
        <v/>
      </c>
      <c r="N649" s="9" t="str">
        <f>IF(G649&lt;&gt;"",K649/MAX(K$3:K649)-1,"")</f>
        <v/>
      </c>
      <c r="O649" s="16" t="str">
        <f t="shared" si="89"/>
        <v/>
      </c>
      <c r="P649" s="16" t="str">
        <f t="shared" si="89"/>
        <v/>
      </c>
      <c r="Q649" s="16" t="str">
        <f t="shared" si="89"/>
        <v/>
      </c>
      <c r="R649" s="5" t="str">
        <f t="shared" si="84"/>
        <v/>
      </c>
      <c r="S649" s="5" t="str">
        <f t="shared" si="87"/>
        <v/>
      </c>
      <c r="T649" s="5" t="str">
        <f t="shared" si="90"/>
        <v/>
      </c>
      <c r="U649" s="5" t="str">
        <f t="shared" si="90"/>
        <v/>
      </c>
    </row>
    <row r="650" spans="7:21" x14ac:dyDescent="0.2">
      <c r="G650" s="8"/>
      <c r="H650" s="5"/>
      <c r="I650" s="9"/>
      <c r="J650" s="10" t="str">
        <f t="shared" si="85"/>
        <v/>
      </c>
      <c r="K650" s="10" t="str">
        <f t="shared" si="86"/>
        <v/>
      </c>
      <c r="L650" s="11" t="str">
        <f t="shared" si="88"/>
        <v/>
      </c>
      <c r="M650" s="9" t="str">
        <f>IF(G650&lt;&gt;"",J650/MAX(J$3:J650)-1,"")</f>
        <v/>
      </c>
      <c r="N650" s="9" t="str">
        <f>IF(G650&lt;&gt;"",K650/MAX(K$3:K650)-1,"")</f>
        <v/>
      </c>
      <c r="O650" s="16" t="str">
        <f t="shared" si="89"/>
        <v/>
      </c>
      <c r="P650" s="16" t="str">
        <f t="shared" si="89"/>
        <v/>
      </c>
      <c r="Q650" s="16" t="str">
        <f t="shared" si="89"/>
        <v/>
      </c>
      <c r="R650" s="5" t="str">
        <f t="shared" si="84"/>
        <v/>
      </c>
      <c r="S650" s="5" t="str">
        <f t="shared" si="87"/>
        <v/>
      </c>
      <c r="T650" s="5" t="str">
        <f t="shared" si="90"/>
        <v/>
      </c>
      <c r="U650" s="5" t="str">
        <f t="shared" si="90"/>
        <v/>
      </c>
    </row>
    <row r="651" spans="7:21" x14ac:dyDescent="0.2">
      <c r="G651" s="8"/>
      <c r="H651" s="5"/>
      <c r="I651" s="9"/>
      <c r="J651" s="10" t="str">
        <f t="shared" si="85"/>
        <v/>
      </c>
      <c r="K651" s="10" t="str">
        <f t="shared" si="86"/>
        <v/>
      </c>
      <c r="L651" s="11" t="str">
        <f t="shared" si="88"/>
        <v/>
      </c>
      <c r="M651" s="9" t="str">
        <f>IF(G651&lt;&gt;"",J651/MAX(J$3:J651)-1,"")</f>
        <v/>
      </c>
      <c r="N651" s="9" t="str">
        <f>IF(G651&lt;&gt;"",K651/MAX(K$3:K651)-1,"")</f>
        <v/>
      </c>
      <c r="O651" s="16" t="str">
        <f t="shared" si="89"/>
        <v/>
      </c>
      <c r="P651" s="16" t="str">
        <f t="shared" si="89"/>
        <v/>
      </c>
      <c r="Q651" s="16" t="str">
        <f t="shared" si="89"/>
        <v/>
      </c>
      <c r="R651" s="5" t="str">
        <f t="shared" si="84"/>
        <v/>
      </c>
      <c r="S651" s="5" t="str">
        <f t="shared" si="87"/>
        <v/>
      </c>
      <c r="T651" s="5" t="str">
        <f t="shared" si="90"/>
        <v/>
      </c>
      <c r="U651" s="5" t="str">
        <f t="shared" si="90"/>
        <v/>
      </c>
    </row>
    <row r="652" spans="7:21" x14ac:dyDescent="0.2">
      <c r="G652" s="8"/>
      <c r="H652" s="5"/>
      <c r="I652" s="9"/>
      <c r="J652" s="10" t="str">
        <f t="shared" si="85"/>
        <v/>
      </c>
      <c r="K652" s="10" t="str">
        <f t="shared" si="86"/>
        <v/>
      </c>
      <c r="L652" s="11" t="str">
        <f t="shared" si="88"/>
        <v/>
      </c>
      <c r="M652" s="9" t="str">
        <f>IF(G652&lt;&gt;"",J652/MAX(J$3:J652)-1,"")</f>
        <v/>
      </c>
      <c r="N652" s="9" t="str">
        <f>IF(G652&lt;&gt;"",K652/MAX(K$3:K652)-1,"")</f>
        <v/>
      </c>
      <c r="O652" s="16" t="str">
        <f t="shared" si="89"/>
        <v/>
      </c>
      <c r="P652" s="16" t="str">
        <f t="shared" si="89"/>
        <v/>
      </c>
      <c r="Q652" s="16" t="str">
        <f t="shared" si="89"/>
        <v/>
      </c>
      <c r="R652" s="5" t="str">
        <f t="shared" si="84"/>
        <v/>
      </c>
      <c r="S652" s="5" t="str">
        <f t="shared" si="87"/>
        <v/>
      </c>
      <c r="T652" s="5" t="str">
        <f t="shared" si="90"/>
        <v/>
      </c>
      <c r="U652" s="5" t="str">
        <f t="shared" si="90"/>
        <v/>
      </c>
    </row>
    <row r="653" spans="7:21" x14ac:dyDescent="0.2">
      <c r="G653" s="8"/>
      <c r="H653" s="5"/>
      <c r="I653" s="9"/>
      <c r="J653" s="10" t="str">
        <f t="shared" si="85"/>
        <v/>
      </c>
      <c r="K653" s="10" t="str">
        <f t="shared" si="86"/>
        <v/>
      </c>
      <c r="L653" s="11" t="str">
        <f t="shared" si="88"/>
        <v/>
      </c>
      <c r="M653" s="9" t="str">
        <f>IF(G653&lt;&gt;"",J653/MAX(J$3:J653)-1,"")</f>
        <v/>
      </c>
      <c r="N653" s="9" t="str">
        <f>IF(G653&lt;&gt;"",K653/MAX(K$3:K653)-1,"")</f>
        <v/>
      </c>
      <c r="O653" s="16" t="str">
        <f t="shared" si="89"/>
        <v/>
      </c>
      <c r="P653" s="16" t="str">
        <f t="shared" si="89"/>
        <v/>
      </c>
      <c r="Q653" s="16" t="str">
        <f t="shared" si="89"/>
        <v/>
      </c>
      <c r="R653" s="5" t="str">
        <f t="shared" si="84"/>
        <v/>
      </c>
      <c r="S653" s="5" t="str">
        <f t="shared" si="87"/>
        <v/>
      </c>
      <c r="T653" s="5" t="str">
        <f t="shared" si="90"/>
        <v/>
      </c>
      <c r="U653" s="5" t="str">
        <f t="shared" si="90"/>
        <v/>
      </c>
    </row>
    <row r="654" spans="7:21" x14ac:dyDescent="0.2">
      <c r="G654" s="8"/>
      <c r="H654" s="5"/>
      <c r="I654" s="9"/>
      <c r="J654" s="10" t="str">
        <f t="shared" si="85"/>
        <v/>
      </c>
      <c r="K654" s="10" t="str">
        <f t="shared" si="86"/>
        <v/>
      </c>
      <c r="L654" s="11" t="str">
        <f t="shared" si="88"/>
        <v/>
      </c>
      <c r="M654" s="9" t="str">
        <f>IF(G654&lt;&gt;"",J654/MAX(J$3:J654)-1,"")</f>
        <v/>
      </c>
      <c r="N654" s="9" t="str">
        <f>IF(G654&lt;&gt;"",K654/MAX(K$3:K654)-1,"")</f>
        <v/>
      </c>
      <c r="O654" s="16" t="str">
        <f t="shared" si="89"/>
        <v/>
      </c>
      <c r="P654" s="16" t="str">
        <f t="shared" si="89"/>
        <v/>
      </c>
      <c r="Q654" s="16" t="str">
        <f t="shared" si="89"/>
        <v/>
      </c>
      <c r="R654" s="5" t="str">
        <f t="shared" si="84"/>
        <v/>
      </c>
      <c r="S654" s="5" t="str">
        <f t="shared" si="87"/>
        <v/>
      </c>
      <c r="T654" s="5" t="str">
        <f t="shared" si="90"/>
        <v/>
      </c>
      <c r="U654" s="5" t="str">
        <f t="shared" si="90"/>
        <v/>
      </c>
    </row>
    <row r="655" spans="7:21" x14ac:dyDescent="0.2">
      <c r="G655" s="8"/>
      <c r="H655" s="5"/>
      <c r="I655" s="9"/>
      <c r="J655" s="10" t="str">
        <f t="shared" si="85"/>
        <v/>
      </c>
      <c r="K655" s="10" t="str">
        <f t="shared" si="86"/>
        <v/>
      </c>
      <c r="L655" s="11" t="str">
        <f t="shared" si="88"/>
        <v/>
      </c>
      <c r="M655" s="9" t="str">
        <f>IF(G655&lt;&gt;"",J655/MAX(J$3:J655)-1,"")</f>
        <v/>
      </c>
      <c r="N655" s="9" t="str">
        <f>IF(G655&lt;&gt;"",K655/MAX(K$3:K655)-1,"")</f>
        <v/>
      </c>
      <c r="O655" s="16" t="str">
        <f t="shared" si="89"/>
        <v/>
      </c>
      <c r="P655" s="16" t="str">
        <f t="shared" si="89"/>
        <v/>
      </c>
      <c r="Q655" s="16" t="str">
        <f t="shared" si="89"/>
        <v/>
      </c>
      <c r="R655" s="5" t="str">
        <f t="shared" si="84"/>
        <v/>
      </c>
      <c r="S655" s="5" t="str">
        <f t="shared" si="87"/>
        <v/>
      </c>
      <c r="T655" s="5" t="str">
        <f t="shared" si="90"/>
        <v/>
      </c>
      <c r="U655" s="5" t="str">
        <f t="shared" si="90"/>
        <v/>
      </c>
    </row>
    <row r="656" spans="7:21" x14ac:dyDescent="0.2">
      <c r="G656" s="8"/>
      <c r="H656" s="5"/>
      <c r="I656" s="9"/>
      <c r="J656" s="10" t="str">
        <f t="shared" si="85"/>
        <v/>
      </c>
      <c r="K656" s="10" t="str">
        <f t="shared" si="86"/>
        <v/>
      </c>
      <c r="L656" s="11" t="str">
        <f t="shared" si="88"/>
        <v/>
      </c>
      <c r="M656" s="9" t="str">
        <f>IF(G656&lt;&gt;"",J656/MAX(J$3:J656)-1,"")</f>
        <v/>
      </c>
      <c r="N656" s="9" t="str">
        <f>IF(G656&lt;&gt;"",K656/MAX(K$3:K656)-1,"")</f>
        <v/>
      </c>
      <c r="O656" s="16" t="str">
        <f t="shared" si="89"/>
        <v/>
      </c>
      <c r="P656" s="16" t="str">
        <f t="shared" si="89"/>
        <v/>
      </c>
      <c r="Q656" s="16" t="str">
        <f t="shared" si="89"/>
        <v/>
      </c>
      <c r="R656" s="5" t="str">
        <f t="shared" si="84"/>
        <v/>
      </c>
      <c r="S656" s="5" t="str">
        <f t="shared" si="87"/>
        <v/>
      </c>
      <c r="T656" s="5" t="str">
        <f t="shared" si="90"/>
        <v/>
      </c>
      <c r="U656" s="5" t="str">
        <f t="shared" si="90"/>
        <v/>
      </c>
    </row>
    <row r="657" spans="7:21" x14ac:dyDescent="0.2">
      <c r="G657" s="8"/>
      <c r="H657" s="5"/>
      <c r="I657" s="9"/>
      <c r="J657" s="10" t="str">
        <f t="shared" si="85"/>
        <v/>
      </c>
      <c r="K657" s="10" t="str">
        <f t="shared" si="86"/>
        <v/>
      </c>
      <c r="L657" s="11" t="str">
        <f t="shared" si="88"/>
        <v/>
      </c>
      <c r="M657" s="9" t="str">
        <f>IF(G657&lt;&gt;"",J657/MAX(J$3:J657)-1,"")</f>
        <v/>
      </c>
      <c r="N657" s="9" t="str">
        <f>IF(G657&lt;&gt;"",K657/MAX(K$3:K657)-1,"")</f>
        <v/>
      </c>
      <c r="O657" s="16" t="str">
        <f t="shared" si="89"/>
        <v/>
      </c>
      <c r="P657" s="16" t="str">
        <f t="shared" si="89"/>
        <v/>
      </c>
      <c r="Q657" s="16" t="str">
        <f t="shared" si="89"/>
        <v/>
      </c>
      <c r="R657" s="5" t="str">
        <f t="shared" si="84"/>
        <v/>
      </c>
      <c r="S657" s="5" t="str">
        <f t="shared" si="87"/>
        <v/>
      </c>
      <c r="T657" s="5" t="str">
        <f t="shared" si="90"/>
        <v/>
      </c>
      <c r="U657" s="5" t="str">
        <f t="shared" si="90"/>
        <v/>
      </c>
    </row>
    <row r="658" spans="7:21" x14ac:dyDescent="0.2">
      <c r="G658" s="8"/>
      <c r="H658" s="5"/>
      <c r="I658" s="9"/>
      <c r="J658" s="10" t="str">
        <f t="shared" si="85"/>
        <v/>
      </c>
      <c r="K658" s="10" t="str">
        <f t="shared" si="86"/>
        <v/>
      </c>
      <c r="L658" s="11" t="str">
        <f t="shared" si="88"/>
        <v/>
      </c>
      <c r="M658" s="9" t="str">
        <f>IF(G658&lt;&gt;"",J658/MAX(J$3:J658)-1,"")</f>
        <v/>
      </c>
      <c r="N658" s="9" t="str">
        <f>IF(G658&lt;&gt;"",K658/MAX(K$3:K658)-1,"")</f>
        <v/>
      </c>
      <c r="O658" s="16" t="str">
        <f t="shared" si="89"/>
        <v/>
      </c>
      <c r="P658" s="16" t="str">
        <f t="shared" si="89"/>
        <v/>
      </c>
      <c r="Q658" s="16" t="str">
        <f t="shared" si="89"/>
        <v/>
      </c>
      <c r="R658" s="5" t="str">
        <f t="shared" si="84"/>
        <v/>
      </c>
      <c r="S658" s="5" t="str">
        <f t="shared" si="87"/>
        <v/>
      </c>
      <c r="T658" s="5" t="str">
        <f t="shared" si="90"/>
        <v/>
      </c>
      <c r="U658" s="5" t="str">
        <f t="shared" si="90"/>
        <v/>
      </c>
    </row>
    <row r="659" spans="7:21" x14ac:dyDescent="0.2">
      <c r="G659" s="8"/>
      <c r="H659" s="5"/>
      <c r="I659" s="9"/>
      <c r="J659" s="10" t="str">
        <f t="shared" si="85"/>
        <v/>
      </c>
      <c r="K659" s="10" t="str">
        <f t="shared" si="86"/>
        <v/>
      </c>
      <c r="L659" s="11" t="str">
        <f t="shared" si="88"/>
        <v/>
      </c>
      <c r="M659" s="9" t="str">
        <f>IF(G659&lt;&gt;"",J659/MAX(J$3:J659)-1,"")</f>
        <v/>
      </c>
      <c r="N659" s="9" t="str">
        <f>IF(G659&lt;&gt;"",K659/MAX(K$3:K659)-1,"")</f>
        <v/>
      </c>
      <c r="O659" s="16" t="str">
        <f t="shared" si="89"/>
        <v/>
      </c>
      <c r="P659" s="16" t="str">
        <f t="shared" si="89"/>
        <v/>
      </c>
      <c r="Q659" s="16" t="str">
        <f t="shared" si="89"/>
        <v/>
      </c>
      <c r="R659" s="5" t="str">
        <f t="shared" si="84"/>
        <v/>
      </c>
      <c r="S659" s="5" t="str">
        <f t="shared" si="87"/>
        <v/>
      </c>
      <c r="T659" s="5" t="str">
        <f t="shared" si="90"/>
        <v/>
      </c>
      <c r="U659" s="5" t="str">
        <f t="shared" si="90"/>
        <v/>
      </c>
    </row>
    <row r="660" spans="7:21" x14ac:dyDescent="0.2">
      <c r="G660" s="8"/>
      <c r="H660" s="5"/>
      <c r="I660" s="9"/>
      <c r="J660" s="10" t="str">
        <f t="shared" si="85"/>
        <v/>
      </c>
      <c r="K660" s="10" t="str">
        <f t="shared" si="86"/>
        <v/>
      </c>
      <c r="L660" s="11" t="str">
        <f t="shared" si="88"/>
        <v/>
      </c>
      <c r="M660" s="9" t="str">
        <f>IF(G660&lt;&gt;"",J660/MAX(J$3:J660)-1,"")</f>
        <v/>
      </c>
      <c r="N660" s="9" t="str">
        <f>IF(G660&lt;&gt;"",K660/MAX(K$3:K660)-1,"")</f>
        <v/>
      </c>
      <c r="O660" s="16" t="str">
        <f t="shared" si="89"/>
        <v/>
      </c>
      <c r="P660" s="16" t="str">
        <f t="shared" si="89"/>
        <v/>
      </c>
      <c r="Q660" s="16" t="str">
        <f t="shared" si="89"/>
        <v/>
      </c>
      <c r="R660" s="5" t="str">
        <f t="shared" si="84"/>
        <v/>
      </c>
      <c r="S660" s="5" t="str">
        <f t="shared" si="87"/>
        <v/>
      </c>
      <c r="T660" s="5" t="str">
        <f t="shared" si="90"/>
        <v/>
      </c>
      <c r="U660" s="5" t="str">
        <f t="shared" si="90"/>
        <v/>
      </c>
    </row>
    <row r="661" spans="7:21" x14ac:dyDescent="0.2">
      <c r="G661" s="8"/>
      <c r="H661" s="5"/>
      <c r="I661" s="9"/>
      <c r="J661" s="10" t="str">
        <f t="shared" si="85"/>
        <v/>
      </c>
      <c r="K661" s="10" t="str">
        <f t="shared" si="86"/>
        <v/>
      </c>
      <c r="L661" s="11" t="str">
        <f t="shared" si="88"/>
        <v/>
      </c>
      <c r="M661" s="9" t="str">
        <f>IF(G661&lt;&gt;"",J661/MAX(J$3:J661)-1,"")</f>
        <v/>
      </c>
      <c r="N661" s="9" t="str">
        <f>IF(G661&lt;&gt;"",K661/MAX(K$3:K661)-1,"")</f>
        <v/>
      </c>
      <c r="O661" s="16" t="str">
        <f t="shared" si="89"/>
        <v/>
      </c>
      <c r="P661" s="16" t="str">
        <f t="shared" si="89"/>
        <v/>
      </c>
      <c r="Q661" s="16" t="str">
        <f t="shared" si="89"/>
        <v/>
      </c>
      <c r="R661" s="5" t="str">
        <f t="shared" si="84"/>
        <v/>
      </c>
      <c r="S661" s="5" t="str">
        <f t="shared" si="87"/>
        <v/>
      </c>
      <c r="T661" s="5" t="str">
        <f t="shared" si="90"/>
        <v/>
      </c>
      <c r="U661" s="5" t="str">
        <f t="shared" si="90"/>
        <v/>
      </c>
    </row>
    <row r="662" spans="7:21" x14ac:dyDescent="0.2">
      <c r="G662" s="8"/>
      <c r="H662" s="5"/>
      <c r="I662" s="9"/>
      <c r="J662" s="10" t="str">
        <f t="shared" si="85"/>
        <v/>
      </c>
      <c r="K662" s="10" t="str">
        <f t="shared" si="86"/>
        <v/>
      </c>
      <c r="L662" s="11" t="str">
        <f t="shared" si="88"/>
        <v/>
      </c>
      <c r="M662" s="9" t="str">
        <f>IF(G662&lt;&gt;"",J662/MAX(J$3:J662)-1,"")</f>
        <v/>
      </c>
      <c r="N662" s="9" t="str">
        <f>IF(G662&lt;&gt;"",K662/MAX(K$3:K662)-1,"")</f>
        <v/>
      </c>
      <c r="O662" s="16" t="str">
        <f t="shared" si="89"/>
        <v/>
      </c>
      <c r="P662" s="16" t="str">
        <f t="shared" si="89"/>
        <v/>
      </c>
      <c r="Q662" s="16" t="str">
        <f t="shared" si="89"/>
        <v/>
      </c>
      <c r="R662" s="5" t="str">
        <f t="shared" si="84"/>
        <v/>
      </c>
      <c r="S662" s="5" t="str">
        <f t="shared" si="87"/>
        <v/>
      </c>
      <c r="T662" s="5" t="str">
        <f t="shared" si="90"/>
        <v/>
      </c>
      <c r="U662" s="5" t="str">
        <f t="shared" si="90"/>
        <v/>
      </c>
    </row>
    <row r="663" spans="7:21" x14ac:dyDescent="0.2">
      <c r="G663" s="8"/>
      <c r="H663" s="5"/>
      <c r="I663" s="9"/>
      <c r="J663" s="10" t="str">
        <f t="shared" si="85"/>
        <v/>
      </c>
      <c r="K663" s="10" t="str">
        <f t="shared" si="86"/>
        <v/>
      </c>
      <c r="L663" s="11" t="str">
        <f t="shared" si="88"/>
        <v/>
      </c>
      <c r="M663" s="9" t="str">
        <f>IF(G663&lt;&gt;"",J663/MAX(J$3:J663)-1,"")</f>
        <v/>
      </c>
      <c r="N663" s="9" t="str">
        <f>IF(G663&lt;&gt;"",K663/MAX(K$3:K663)-1,"")</f>
        <v/>
      </c>
      <c r="O663" s="16" t="str">
        <f t="shared" si="89"/>
        <v/>
      </c>
      <c r="P663" s="16" t="str">
        <f t="shared" si="89"/>
        <v/>
      </c>
      <c r="Q663" s="16" t="str">
        <f t="shared" si="89"/>
        <v/>
      </c>
      <c r="R663" s="5" t="str">
        <f t="shared" si="84"/>
        <v/>
      </c>
      <c r="S663" s="5" t="str">
        <f t="shared" si="87"/>
        <v/>
      </c>
      <c r="T663" s="5" t="str">
        <f t="shared" si="90"/>
        <v/>
      </c>
      <c r="U663" s="5" t="str">
        <f t="shared" si="90"/>
        <v/>
      </c>
    </row>
    <row r="664" spans="7:21" x14ac:dyDescent="0.2">
      <c r="G664" s="8"/>
      <c r="H664" s="5"/>
      <c r="I664" s="9"/>
      <c r="J664" s="10" t="str">
        <f t="shared" si="85"/>
        <v/>
      </c>
      <c r="K664" s="10" t="str">
        <f t="shared" si="86"/>
        <v/>
      </c>
      <c r="L664" s="11" t="str">
        <f t="shared" si="88"/>
        <v/>
      </c>
      <c r="M664" s="9" t="str">
        <f>IF(G664&lt;&gt;"",J664/MAX(J$3:J664)-1,"")</f>
        <v/>
      </c>
      <c r="N664" s="9" t="str">
        <f>IF(G664&lt;&gt;"",K664/MAX(K$3:K664)-1,"")</f>
        <v/>
      </c>
      <c r="O664" s="16" t="str">
        <f t="shared" si="89"/>
        <v/>
      </c>
      <c r="P664" s="16" t="str">
        <f t="shared" si="89"/>
        <v/>
      </c>
      <c r="Q664" s="16" t="str">
        <f t="shared" si="89"/>
        <v/>
      </c>
      <c r="R664" s="5" t="str">
        <f t="shared" si="84"/>
        <v/>
      </c>
      <c r="S664" s="5" t="str">
        <f t="shared" si="87"/>
        <v/>
      </c>
      <c r="T664" s="5" t="str">
        <f t="shared" ref="T664:U679" si="91">IF($G664&lt;&gt;"",_xlfn.STDEV.S(O420:O664),"")</f>
        <v/>
      </c>
      <c r="U664" s="5" t="str">
        <f t="shared" si="91"/>
        <v/>
      </c>
    </row>
    <row r="665" spans="7:21" x14ac:dyDescent="0.2">
      <c r="G665" s="8"/>
      <c r="H665" s="5"/>
      <c r="I665" s="9"/>
      <c r="J665" s="10" t="str">
        <f t="shared" si="85"/>
        <v/>
      </c>
      <c r="K665" s="10" t="str">
        <f t="shared" si="86"/>
        <v/>
      </c>
      <c r="L665" s="11" t="str">
        <f t="shared" si="88"/>
        <v/>
      </c>
      <c r="M665" s="9" t="str">
        <f>IF(G665&lt;&gt;"",J665/MAX(J$3:J665)-1,"")</f>
        <v/>
      </c>
      <c r="N665" s="9" t="str">
        <f>IF(G665&lt;&gt;"",K665/MAX(K$3:K665)-1,"")</f>
        <v/>
      </c>
      <c r="O665" s="16" t="str">
        <f t="shared" si="89"/>
        <v/>
      </c>
      <c r="P665" s="16" t="str">
        <f t="shared" si="89"/>
        <v/>
      </c>
      <c r="Q665" s="16" t="str">
        <f t="shared" si="89"/>
        <v/>
      </c>
      <c r="R665" s="5" t="str">
        <f t="shared" si="84"/>
        <v/>
      </c>
      <c r="S665" s="5" t="str">
        <f t="shared" si="87"/>
        <v/>
      </c>
      <c r="T665" s="5" t="str">
        <f t="shared" si="91"/>
        <v/>
      </c>
      <c r="U665" s="5" t="str">
        <f t="shared" si="91"/>
        <v/>
      </c>
    </row>
    <row r="666" spans="7:21" x14ac:dyDescent="0.2">
      <c r="G666" s="8"/>
      <c r="H666" s="5"/>
      <c r="I666" s="9"/>
      <c r="J666" s="10" t="str">
        <f t="shared" si="85"/>
        <v/>
      </c>
      <c r="K666" s="10" t="str">
        <f t="shared" si="86"/>
        <v/>
      </c>
      <c r="L666" s="11" t="str">
        <f t="shared" si="88"/>
        <v/>
      </c>
      <c r="M666" s="9" t="str">
        <f>IF(G666&lt;&gt;"",J666/MAX(J$3:J666)-1,"")</f>
        <v/>
      </c>
      <c r="N666" s="9" t="str">
        <f>IF(G666&lt;&gt;"",K666/MAX(K$3:K666)-1,"")</f>
        <v/>
      </c>
      <c r="O666" s="16" t="str">
        <f t="shared" si="89"/>
        <v/>
      </c>
      <c r="P666" s="16" t="str">
        <f t="shared" si="89"/>
        <v/>
      </c>
      <c r="Q666" s="16" t="str">
        <f t="shared" si="89"/>
        <v/>
      </c>
      <c r="R666" s="5" t="str">
        <f t="shared" si="84"/>
        <v/>
      </c>
      <c r="S666" s="5" t="str">
        <f t="shared" si="87"/>
        <v/>
      </c>
      <c r="T666" s="5" t="str">
        <f t="shared" si="91"/>
        <v/>
      </c>
      <c r="U666" s="5" t="str">
        <f t="shared" si="91"/>
        <v/>
      </c>
    </row>
    <row r="667" spans="7:21" x14ac:dyDescent="0.2">
      <c r="G667" s="8"/>
      <c r="H667" s="5"/>
      <c r="I667" s="9"/>
      <c r="J667" s="10" t="str">
        <f t="shared" si="85"/>
        <v/>
      </c>
      <c r="K667" s="10" t="str">
        <f t="shared" si="86"/>
        <v/>
      </c>
      <c r="L667" s="11" t="str">
        <f t="shared" si="88"/>
        <v/>
      </c>
      <c r="M667" s="9" t="str">
        <f>IF(G667&lt;&gt;"",J667/MAX(J$3:J667)-1,"")</f>
        <v/>
      </c>
      <c r="N667" s="9" t="str">
        <f>IF(G667&lt;&gt;"",K667/MAX(K$3:K667)-1,"")</f>
        <v/>
      </c>
      <c r="O667" s="16" t="str">
        <f t="shared" si="89"/>
        <v/>
      </c>
      <c r="P667" s="16" t="str">
        <f t="shared" si="89"/>
        <v/>
      </c>
      <c r="Q667" s="16" t="str">
        <f t="shared" si="89"/>
        <v/>
      </c>
      <c r="R667" s="5" t="str">
        <f t="shared" si="84"/>
        <v/>
      </c>
      <c r="S667" s="5" t="str">
        <f t="shared" si="87"/>
        <v/>
      </c>
      <c r="T667" s="5" t="str">
        <f t="shared" si="91"/>
        <v/>
      </c>
      <c r="U667" s="5" t="str">
        <f t="shared" si="91"/>
        <v/>
      </c>
    </row>
    <row r="668" spans="7:21" x14ac:dyDescent="0.2">
      <c r="G668" s="8"/>
      <c r="H668" s="5"/>
      <c r="I668" s="9"/>
      <c r="J668" s="10" t="str">
        <f t="shared" si="85"/>
        <v/>
      </c>
      <c r="K668" s="10" t="str">
        <f t="shared" si="86"/>
        <v/>
      </c>
      <c r="L668" s="11" t="str">
        <f t="shared" si="88"/>
        <v/>
      </c>
      <c r="M668" s="9" t="str">
        <f>IF(G668&lt;&gt;"",J668/MAX(J$3:J668)-1,"")</f>
        <v/>
      </c>
      <c r="N668" s="9" t="str">
        <f>IF(G668&lt;&gt;"",K668/MAX(K$3:K668)-1,"")</f>
        <v/>
      </c>
      <c r="O668" s="16" t="str">
        <f t="shared" si="89"/>
        <v/>
      </c>
      <c r="P668" s="16" t="str">
        <f t="shared" si="89"/>
        <v/>
      </c>
      <c r="Q668" s="16" t="str">
        <f t="shared" si="89"/>
        <v/>
      </c>
      <c r="R668" s="5" t="str">
        <f t="shared" si="84"/>
        <v/>
      </c>
      <c r="S668" s="5" t="str">
        <f t="shared" si="87"/>
        <v/>
      </c>
      <c r="T668" s="5" t="str">
        <f t="shared" si="91"/>
        <v/>
      </c>
      <c r="U668" s="5" t="str">
        <f t="shared" si="91"/>
        <v/>
      </c>
    </row>
    <row r="669" spans="7:21" x14ac:dyDescent="0.2">
      <c r="G669" s="8"/>
      <c r="H669" s="5"/>
      <c r="I669" s="9"/>
      <c r="J669" s="10" t="str">
        <f t="shared" si="85"/>
        <v/>
      </c>
      <c r="K669" s="10" t="str">
        <f t="shared" si="86"/>
        <v/>
      </c>
      <c r="L669" s="11" t="str">
        <f t="shared" si="88"/>
        <v/>
      </c>
      <c r="M669" s="9" t="str">
        <f>IF(G669&lt;&gt;"",J669/MAX(J$3:J669)-1,"")</f>
        <v/>
      </c>
      <c r="N669" s="9" t="str">
        <f>IF(G669&lt;&gt;"",K669/MAX(K$3:K669)-1,"")</f>
        <v/>
      </c>
      <c r="O669" s="16" t="str">
        <f t="shared" si="89"/>
        <v/>
      </c>
      <c r="P669" s="16" t="str">
        <f t="shared" si="89"/>
        <v/>
      </c>
      <c r="Q669" s="16" t="str">
        <f t="shared" si="89"/>
        <v/>
      </c>
      <c r="R669" s="5" t="str">
        <f t="shared" si="84"/>
        <v/>
      </c>
      <c r="S669" s="5" t="str">
        <f t="shared" si="87"/>
        <v/>
      </c>
      <c r="T669" s="5" t="str">
        <f t="shared" si="91"/>
        <v/>
      </c>
      <c r="U669" s="5" t="str">
        <f t="shared" si="91"/>
        <v/>
      </c>
    </row>
    <row r="670" spans="7:21" x14ac:dyDescent="0.2">
      <c r="G670" s="8"/>
      <c r="H670" s="5"/>
      <c r="I670" s="9"/>
      <c r="J670" s="10" t="str">
        <f t="shared" si="85"/>
        <v/>
      </c>
      <c r="K670" s="10" t="str">
        <f t="shared" si="86"/>
        <v/>
      </c>
      <c r="L670" s="11" t="str">
        <f t="shared" si="88"/>
        <v/>
      </c>
      <c r="M670" s="9" t="str">
        <f>IF(G670&lt;&gt;"",J670/MAX(J$3:J670)-1,"")</f>
        <v/>
      </c>
      <c r="N670" s="9" t="str">
        <f>IF(G670&lt;&gt;"",K670/MAX(K$3:K670)-1,"")</f>
        <v/>
      </c>
      <c r="O670" s="16" t="str">
        <f t="shared" si="89"/>
        <v/>
      </c>
      <c r="P670" s="16" t="str">
        <f t="shared" si="89"/>
        <v/>
      </c>
      <c r="Q670" s="16" t="str">
        <f t="shared" si="89"/>
        <v/>
      </c>
      <c r="R670" s="5" t="str">
        <f t="shared" si="84"/>
        <v/>
      </c>
      <c r="S670" s="5" t="str">
        <f t="shared" si="87"/>
        <v/>
      </c>
      <c r="T670" s="5" t="str">
        <f t="shared" si="91"/>
        <v/>
      </c>
      <c r="U670" s="5" t="str">
        <f t="shared" si="91"/>
        <v/>
      </c>
    </row>
    <row r="671" spans="7:21" x14ac:dyDescent="0.2">
      <c r="G671" s="8"/>
      <c r="H671" s="5"/>
      <c r="I671" s="9"/>
      <c r="J671" s="10" t="str">
        <f t="shared" si="85"/>
        <v/>
      </c>
      <c r="K671" s="10" t="str">
        <f t="shared" si="86"/>
        <v/>
      </c>
      <c r="L671" s="11" t="str">
        <f t="shared" si="88"/>
        <v/>
      </c>
      <c r="M671" s="9" t="str">
        <f>IF(G671&lt;&gt;"",J671/MAX(J$3:J671)-1,"")</f>
        <v/>
      </c>
      <c r="N671" s="9" t="str">
        <f>IF(G671&lt;&gt;"",K671/MAX(K$3:K671)-1,"")</f>
        <v/>
      </c>
      <c r="O671" s="16" t="str">
        <f t="shared" si="89"/>
        <v/>
      </c>
      <c r="P671" s="16" t="str">
        <f t="shared" si="89"/>
        <v/>
      </c>
      <c r="Q671" s="16" t="str">
        <f t="shared" si="89"/>
        <v/>
      </c>
      <c r="R671" s="5" t="str">
        <f t="shared" si="84"/>
        <v/>
      </c>
      <c r="S671" s="5" t="str">
        <f t="shared" si="87"/>
        <v/>
      </c>
      <c r="T671" s="5" t="str">
        <f t="shared" si="91"/>
        <v/>
      </c>
      <c r="U671" s="5" t="str">
        <f t="shared" si="91"/>
        <v/>
      </c>
    </row>
    <row r="672" spans="7:21" x14ac:dyDescent="0.2">
      <c r="G672" s="8"/>
      <c r="H672" s="5"/>
      <c r="I672" s="9"/>
      <c r="J672" s="10" t="str">
        <f t="shared" si="85"/>
        <v/>
      </c>
      <c r="K672" s="10" t="str">
        <f t="shared" si="86"/>
        <v/>
      </c>
      <c r="L672" s="11" t="str">
        <f t="shared" si="88"/>
        <v/>
      </c>
      <c r="M672" s="9" t="str">
        <f>IF(G672&lt;&gt;"",J672/MAX(J$3:J672)-1,"")</f>
        <v/>
      </c>
      <c r="N672" s="9" t="str">
        <f>IF(G672&lt;&gt;"",K672/MAX(K$3:K672)-1,"")</f>
        <v/>
      </c>
      <c r="O672" s="16" t="str">
        <f t="shared" si="89"/>
        <v/>
      </c>
      <c r="P672" s="16" t="str">
        <f t="shared" si="89"/>
        <v/>
      </c>
      <c r="Q672" s="16" t="str">
        <f t="shared" si="89"/>
        <v/>
      </c>
      <c r="R672" s="5" t="str">
        <f t="shared" si="84"/>
        <v/>
      </c>
      <c r="S672" s="5" t="str">
        <f t="shared" si="87"/>
        <v/>
      </c>
      <c r="T672" s="5" t="str">
        <f t="shared" si="91"/>
        <v/>
      </c>
      <c r="U672" s="5" t="str">
        <f t="shared" si="91"/>
        <v/>
      </c>
    </row>
    <row r="673" spans="7:21" x14ac:dyDescent="0.2">
      <c r="G673" s="8"/>
      <c r="H673" s="5"/>
      <c r="I673" s="9"/>
      <c r="J673" s="10" t="str">
        <f t="shared" si="85"/>
        <v/>
      </c>
      <c r="K673" s="10" t="str">
        <f t="shared" si="86"/>
        <v/>
      </c>
      <c r="L673" s="11" t="str">
        <f t="shared" si="88"/>
        <v/>
      </c>
      <c r="M673" s="9" t="str">
        <f>IF(G673&lt;&gt;"",J673/MAX(J$3:J673)-1,"")</f>
        <v/>
      </c>
      <c r="N673" s="9" t="str">
        <f>IF(G673&lt;&gt;"",K673/MAX(K$3:K673)-1,"")</f>
        <v/>
      </c>
      <c r="O673" s="16" t="str">
        <f t="shared" si="89"/>
        <v/>
      </c>
      <c r="P673" s="16" t="str">
        <f t="shared" si="89"/>
        <v/>
      </c>
      <c r="Q673" s="16" t="str">
        <f t="shared" si="89"/>
        <v/>
      </c>
      <c r="R673" s="5" t="str">
        <f t="shared" si="84"/>
        <v/>
      </c>
      <c r="S673" s="5" t="str">
        <f t="shared" si="87"/>
        <v/>
      </c>
      <c r="T673" s="5" t="str">
        <f t="shared" si="91"/>
        <v/>
      </c>
      <c r="U673" s="5" t="str">
        <f t="shared" si="91"/>
        <v/>
      </c>
    </row>
    <row r="674" spans="7:21" x14ac:dyDescent="0.2">
      <c r="G674" s="8"/>
      <c r="H674" s="5"/>
      <c r="I674" s="9"/>
      <c r="J674" s="10" t="str">
        <f t="shared" si="85"/>
        <v/>
      </c>
      <c r="K674" s="10" t="str">
        <f t="shared" si="86"/>
        <v/>
      </c>
      <c r="L674" s="11" t="str">
        <f t="shared" si="88"/>
        <v/>
      </c>
      <c r="M674" s="9" t="str">
        <f>IF(G674&lt;&gt;"",J674/MAX(J$3:J674)-1,"")</f>
        <v/>
      </c>
      <c r="N674" s="9" t="str">
        <f>IF(G674&lt;&gt;"",K674/MAX(K$3:K674)-1,"")</f>
        <v/>
      </c>
      <c r="O674" s="16" t="str">
        <f t="shared" si="89"/>
        <v/>
      </c>
      <c r="P674" s="16" t="str">
        <f t="shared" si="89"/>
        <v/>
      </c>
      <c r="Q674" s="16" t="str">
        <f t="shared" si="89"/>
        <v/>
      </c>
      <c r="R674" s="5" t="str">
        <f t="shared" si="84"/>
        <v/>
      </c>
      <c r="S674" s="5" t="str">
        <f t="shared" si="87"/>
        <v/>
      </c>
      <c r="T674" s="5" t="str">
        <f t="shared" si="91"/>
        <v/>
      </c>
      <c r="U674" s="5" t="str">
        <f t="shared" si="91"/>
        <v/>
      </c>
    </row>
    <row r="675" spans="7:21" x14ac:dyDescent="0.2">
      <c r="G675" s="8"/>
      <c r="H675" s="5"/>
      <c r="I675" s="9"/>
      <c r="J675" s="10" t="str">
        <f t="shared" si="85"/>
        <v/>
      </c>
      <c r="K675" s="10" t="str">
        <f t="shared" si="86"/>
        <v/>
      </c>
      <c r="L675" s="11" t="str">
        <f t="shared" si="88"/>
        <v/>
      </c>
      <c r="M675" s="9" t="str">
        <f>IF(G675&lt;&gt;"",J675/MAX(J$3:J675)-1,"")</f>
        <v/>
      </c>
      <c r="N675" s="9" t="str">
        <f>IF(G675&lt;&gt;"",K675/MAX(K$3:K675)-1,"")</f>
        <v/>
      </c>
      <c r="O675" s="16" t="str">
        <f t="shared" si="89"/>
        <v/>
      </c>
      <c r="P675" s="16" t="str">
        <f t="shared" si="89"/>
        <v/>
      </c>
      <c r="Q675" s="16" t="str">
        <f t="shared" si="89"/>
        <v/>
      </c>
      <c r="R675" s="5" t="str">
        <f t="shared" si="84"/>
        <v/>
      </c>
      <c r="S675" s="5" t="str">
        <f t="shared" si="87"/>
        <v/>
      </c>
      <c r="T675" s="5" t="str">
        <f t="shared" si="91"/>
        <v/>
      </c>
      <c r="U675" s="5" t="str">
        <f t="shared" si="91"/>
        <v/>
      </c>
    </row>
    <row r="676" spans="7:21" x14ac:dyDescent="0.2">
      <c r="G676" s="8"/>
      <c r="H676" s="5"/>
      <c r="I676" s="9"/>
      <c r="J676" s="10" t="str">
        <f t="shared" si="85"/>
        <v/>
      </c>
      <c r="K676" s="10" t="str">
        <f t="shared" si="86"/>
        <v/>
      </c>
      <c r="L676" s="11" t="str">
        <f t="shared" si="88"/>
        <v/>
      </c>
      <c r="M676" s="9" t="str">
        <f>IF(G676&lt;&gt;"",J676/MAX(J$3:J676)-1,"")</f>
        <v/>
      </c>
      <c r="N676" s="9" t="str">
        <f>IF(G676&lt;&gt;"",K676/MAX(K$3:K676)-1,"")</f>
        <v/>
      </c>
      <c r="O676" s="16" t="str">
        <f t="shared" si="89"/>
        <v/>
      </c>
      <c r="P676" s="16" t="str">
        <f t="shared" si="89"/>
        <v/>
      </c>
      <c r="Q676" s="16" t="str">
        <f t="shared" si="89"/>
        <v/>
      </c>
      <c r="R676" s="5" t="str">
        <f t="shared" si="84"/>
        <v/>
      </c>
      <c r="S676" s="5" t="str">
        <f t="shared" si="87"/>
        <v/>
      </c>
      <c r="T676" s="5" t="str">
        <f t="shared" si="91"/>
        <v/>
      </c>
      <c r="U676" s="5" t="str">
        <f t="shared" si="91"/>
        <v/>
      </c>
    </row>
    <row r="677" spans="7:21" x14ac:dyDescent="0.2">
      <c r="G677" s="8"/>
      <c r="H677" s="5"/>
      <c r="I677" s="9"/>
      <c r="J677" s="10" t="str">
        <f t="shared" si="85"/>
        <v/>
      </c>
      <c r="K677" s="10" t="str">
        <f t="shared" si="86"/>
        <v/>
      </c>
      <c r="L677" s="11" t="str">
        <f t="shared" si="88"/>
        <v/>
      </c>
      <c r="M677" s="9" t="str">
        <f>IF(G677&lt;&gt;"",J677/MAX(J$3:J677)-1,"")</f>
        <v/>
      </c>
      <c r="N677" s="9" t="str">
        <f>IF(G677&lt;&gt;"",K677/MAX(K$3:K677)-1,"")</f>
        <v/>
      </c>
      <c r="O677" s="16" t="str">
        <f t="shared" si="89"/>
        <v/>
      </c>
      <c r="P677" s="16" t="str">
        <f t="shared" si="89"/>
        <v/>
      </c>
      <c r="Q677" s="16" t="str">
        <f t="shared" si="89"/>
        <v/>
      </c>
      <c r="R677" s="5" t="str">
        <f t="shared" si="84"/>
        <v/>
      </c>
      <c r="S677" s="5" t="str">
        <f t="shared" si="87"/>
        <v/>
      </c>
      <c r="T677" s="5" t="str">
        <f t="shared" si="91"/>
        <v/>
      </c>
      <c r="U677" s="5" t="str">
        <f t="shared" si="91"/>
        <v/>
      </c>
    </row>
    <row r="678" spans="7:21" x14ac:dyDescent="0.2">
      <c r="G678" s="8"/>
      <c r="H678" s="5"/>
      <c r="I678" s="9"/>
      <c r="J678" s="10" t="str">
        <f t="shared" si="85"/>
        <v/>
      </c>
      <c r="K678" s="10" t="str">
        <f t="shared" si="86"/>
        <v/>
      </c>
      <c r="L678" s="11" t="str">
        <f t="shared" si="88"/>
        <v/>
      </c>
      <c r="M678" s="9" t="str">
        <f>IF(G678&lt;&gt;"",J678/MAX(J$3:J678)-1,"")</f>
        <v/>
      </c>
      <c r="N678" s="9" t="str">
        <f>IF(G678&lt;&gt;"",K678/MAX(K$3:K678)-1,"")</f>
        <v/>
      </c>
      <c r="O678" s="16" t="str">
        <f t="shared" si="89"/>
        <v/>
      </c>
      <c r="P678" s="16" t="str">
        <f t="shared" si="89"/>
        <v/>
      </c>
      <c r="Q678" s="16" t="str">
        <f t="shared" si="89"/>
        <v/>
      </c>
      <c r="R678" s="5" t="str">
        <f t="shared" si="84"/>
        <v/>
      </c>
      <c r="S678" s="5" t="str">
        <f t="shared" si="87"/>
        <v/>
      </c>
      <c r="T678" s="5" t="str">
        <f t="shared" si="91"/>
        <v/>
      </c>
      <c r="U678" s="5" t="str">
        <f t="shared" si="91"/>
        <v/>
      </c>
    </row>
    <row r="679" spans="7:21" x14ac:dyDescent="0.2">
      <c r="G679" s="8"/>
      <c r="H679" s="5"/>
      <c r="I679" s="9"/>
      <c r="J679" s="10" t="str">
        <f t="shared" si="85"/>
        <v/>
      </c>
      <c r="K679" s="10" t="str">
        <f t="shared" si="86"/>
        <v/>
      </c>
      <c r="L679" s="11" t="str">
        <f t="shared" si="88"/>
        <v/>
      </c>
      <c r="M679" s="9" t="str">
        <f>IF(G679&lt;&gt;"",J679/MAX(J$3:J679)-1,"")</f>
        <v/>
      </c>
      <c r="N679" s="9" t="str">
        <f>IF(G679&lt;&gt;"",K679/MAX(K$3:K679)-1,"")</f>
        <v/>
      </c>
      <c r="O679" s="16" t="str">
        <f t="shared" si="89"/>
        <v/>
      </c>
      <c r="P679" s="16" t="str">
        <f t="shared" si="89"/>
        <v/>
      </c>
      <c r="Q679" s="16" t="str">
        <f t="shared" si="89"/>
        <v/>
      </c>
      <c r="R679" s="5" t="str">
        <f t="shared" si="84"/>
        <v/>
      </c>
      <c r="S679" s="5" t="str">
        <f t="shared" si="87"/>
        <v/>
      </c>
      <c r="T679" s="5" t="str">
        <f t="shared" si="91"/>
        <v/>
      </c>
      <c r="U679" s="5" t="str">
        <f t="shared" si="91"/>
        <v/>
      </c>
    </row>
    <row r="680" spans="7:21" x14ac:dyDescent="0.2">
      <c r="G680" s="8"/>
      <c r="H680" s="5"/>
      <c r="I680" s="9"/>
      <c r="J680" s="10" t="str">
        <f t="shared" si="85"/>
        <v/>
      </c>
      <c r="K680" s="10" t="str">
        <f t="shared" si="86"/>
        <v/>
      </c>
      <c r="L680" s="11" t="str">
        <f t="shared" si="88"/>
        <v/>
      </c>
      <c r="M680" s="9" t="str">
        <f>IF(G680&lt;&gt;"",J680/MAX(J$3:J680)-1,"")</f>
        <v/>
      </c>
      <c r="N680" s="9" t="str">
        <f>IF(G680&lt;&gt;"",K680/MAX(K$3:K680)-1,"")</f>
        <v/>
      </c>
      <c r="O680" s="16" t="str">
        <f t="shared" si="89"/>
        <v/>
      </c>
      <c r="P680" s="16" t="str">
        <f t="shared" si="89"/>
        <v/>
      </c>
      <c r="Q680" s="16" t="str">
        <f t="shared" si="89"/>
        <v/>
      </c>
      <c r="R680" s="5" t="str">
        <f t="shared" si="84"/>
        <v/>
      </c>
      <c r="S680" s="5" t="str">
        <f t="shared" si="87"/>
        <v/>
      </c>
      <c r="T680" s="5" t="str">
        <f t="shared" ref="T680:U695" si="92">IF($G680&lt;&gt;"",_xlfn.STDEV.S(O436:O680),"")</f>
        <v/>
      </c>
      <c r="U680" s="5" t="str">
        <f t="shared" si="92"/>
        <v/>
      </c>
    </row>
    <row r="681" spans="7:21" x14ac:dyDescent="0.2">
      <c r="G681" s="8"/>
      <c r="H681" s="5"/>
      <c r="I681" s="9"/>
      <c r="J681" s="10" t="str">
        <f t="shared" si="85"/>
        <v/>
      </c>
      <c r="K681" s="10" t="str">
        <f t="shared" si="86"/>
        <v/>
      </c>
      <c r="L681" s="11" t="str">
        <f t="shared" si="88"/>
        <v/>
      </c>
      <c r="M681" s="9" t="str">
        <f>IF(G681&lt;&gt;"",J681/MAX(J$3:J681)-1,"")</f>
        <v/>
      </c>
      <c r="N681" s="9" t="str">
        <f>IF(G681&lt;&gt;"",K681/MAX(K$3:K681)-1,"")</f>
        <v/>
      </c>
      <c r="O681" s="16" t="str">
        <f t="shared" si="89"/>
        <v/>
      </c>
      <c r="P681" s="16" t="str">
        <f t="shared" si="89"/>
        <v/>
      </c>
      <c r="Q681" s="16" t="str">
        <f t="shared" si="89"/>
        <v/>
      </c>
      <c r="R681" s="5" t="str">
        <f t="shared" si="84"/>
        <v/>
      </c>
      <c r="S681" s="5" t="str">
        <f t="shared" si="87"/>
        <v/>
      </c>
      <c r="T681" s="5" t="str">
        <f t="shared" si="92"/>
        <v/>
      </c>
      <c r="U681" s="5" t="str">
        <f t="shared" si="92"/>
        <v/>
      </c>
    </row>
    <row r="682" spans="7:21" x14ac:dyDescent="0.2">
      <c r="G682" s="8"/>
      <c r="H682" s="5"/>
      <c r="I682" s="9"/>
      <c r="J682" s="10" t="str">
        <f t="shared" si="85"/>
        <v/>
      </c>
      <c r="K682" s="10" t="str">
        <f t="shared" si="86"/>
        <v/>
      </c>
      <c r="L682" s="11" t="str">
        <f t="shared" si="88"/>
        <v/>
      </c>
      <c r="M682" s="9" t="str">
        <f>IF(G682&lt;&gt;"",J682/MAX(J$3:J682)-1,"")</f>
        <v/>
      </c>
      <c r="N682" s="9" t="str">
        <f>IF(G682&lt;&gt;"",K682/MAX(K$3:K682)-1,"")</f>
        <v/>
      </c>
      <c r="O682" s="16" t="str">
        <f t="shared" si="89"/>
        <v/>
      </c>
      <c r="P682" s="16" t="str">
        <f t="shared" si="89"/>
        <v/>
      </c>
      <c r="Q682" s="16" t="str">
        <f t="shared" si="89"/>
        <v/>
      </c>
      <c r="R682" s="5" t="str">
        <f t="shared" si="84"/>
        <v/>
      </c>
      <c r="S682" s="5" t="str">
        <f t="shared" si="87"/>
        <v/>
      </c>
      <c r="T682" s="5" t="str">
        <f t="shared" si="92"/>
        <v/>
      </c>
      <c r="U682" s="5" t="str">
        <f t="shared" si="92"/>
        <v/>
      </c>
    </row>
    <row r="683" spans="7:21" x14ac:dyDescent="0.2">
      <c r="G683" s="8"/>
      <c r="H683" s="5"/>
      <c r="I683" s="9"/>
      <c r="J683" s="10" t="str">
        <f t="shared" si="85"/>
        <v/>
      </c>
      <c r="K683" s="10" t="str">
        <f t="shared" si="86"/>
        <v/>
      </c>
      <c r="L683" s="11" t="str">
        <f t="shared" si="88"/>
        <v/>
      </c>
      <c r="M683" s="9" t="str">
        <f>IF(G683&lt;&gt;"",J683/MAX(J$3:J683)-1,"")</f>
        <v/>
      </c>
      <c r="N683" s="9" t="str">
        <f>IF(G683&lt;&gt;"",K683/MAX(K$3:K683)-1,"")</f>
        <v/>
      </c>
      <c r="O683" s="16" t="str">
        <f t="shared" si="89"/>
        <v/>
      </c>
      <c r="P683" s="16" t="str">
        <f t="shared" si="89"/>
        <v/>
      </c>
      <c r="Q683" s="16" t="str">
        <f t="shared" si="89"/>
        <v/>
      </c>
      <c r="R683" s="5" t="str">
        <f t="shared" si="84"/>
        <v/>
      </c>
      <c r="S683" s="5" t="str">
        <f t="shared" si="87"/>
        <v/>
      </c>
      <c r="T683" s="5" t="str">
        <f t="shared" si="92"/>
        <v/>
      </c>
      <c r="U683" s="5" t="str">
        <f t="shared" si="92"/>
        <v/>
      </c>
    </row>
    <row r="684" spans="7:21" x14ac:dyDescent="0.2">
      <c r="G684" s="8"/>
      <c r="H684" s="5"/>
      <c r="I684" s="9"/>
      <c r="J684" s="10" t="str">
        <f t="shared" si="85"/>
        <v/>
      </c>
      <c r="K684" s="10" t="str">
        <f t="shared" si="86"/>
        <v/>
      </c>
      <c r="L684" s="11" t="str">
        <f t="shared" si="88"/>
        <v/>
      </c>
      <c r="M684" s="9" t="str">
        <f>IF(G684&lt;&gt;"",J684/MAX(J$3:J684)-1,"")</f>
        <v/>
      </c>
      <c r="N684" s="9" t="str">
        <f>IF(G684&lt;&gt;"",K684/MAX(K$3:K684)-1,"")</f>
        <v/>
      </c>
      <c r="O684" s="16" t="str">
        <f t="shared" si="89"/>
        <v/>
      </c>
      <c r="P684" s="16" t="str">
        <f t="shared" si="89"/>
        <v/>
      </c>
      <c r="Q684" s="16" t="str">
        <f t="shared" si="89"/>
        <v/>
      </c>
      <c r="R684" s="5" t="str">
        <f t="shared" si="84"/>
        <v/>
      </c>
      <c r="S684" s="5" t="str">
        <f t="shared" si="87"/>
        <v/>
      </c>
      <c r="T684" s="5" t="str">
        <f t="shared" si="92"/>
        <v/>
      </c>
      <c r="U684" s="5" t="str">
        <f t="shared" si="92"/>
        <v/>
      </c>
    </row>
    <row r="685" spans="7:21" x14ac:dyDescent="0.2">
      <c r="G685" s="8"/>
      <c r="H685" s="5"/>
      <c r="I685" s="9"/>
      <c r="J685" s="10" t="str">
        <f t="shared" si="85"/>
        <v/>
      </c>
      <c r="K685" s="10" t="str">
        <f t="shared" si="86"/>
        <v/>
      </c>
      <c r="L685" s="11" t="str">
        <f t="shared" si="88"/>
        <v/>
      </c>
      <c r="M685" s="9" t="str">
        <f>IF(G685&lt;&gt;"",J685/MAX(J$3:J685)-1,"")</f>
        <v/>
      </c>
      <c r="N685" s="9" t="str">
        <f>IF(G685&lt;&gt;"",K685/MAX(K$3:K685)-1,"")</f>
        <v/>
      </c>
      <c r="O685" s="16" t="str">
        <f t="shared" si="89"/>
        <v/>
      </c>
      <c r="P685" s="16" t="str">
        <f t="shared" si="89"/>
        <v/>
      </c>
      <c r="Q685" s="16" t="str">
        <f t="shared" si="89"/>
        <v/>
      </c>
      <c r="R685" s="5" t="str">
        <f t="shared" si="84"/>
        <v/>
      </c>
      <c r="S685" s="5" t="str">
        <f t="shared" si="87"/>
        <v/>
      </c>
      <c r="T685" s="5" t="str">
        <f t="shared" si="92"/>
        <v/>
      </c>
      <c r="U685" s="5" t="str">
        <f t="shared" si="92"/>
        <v/>
      </c>
    </row>
    <row r="686" spans="7:21" x14ac:dyDescent="0.2">
      <c r="G686" s="8"/>
      <c r="H686" s="5"/>
      <c r="I686" s="9"/>
      <c r="J686" s="10" t="str">
        <f t="shared" si="85"/>
        <v/>
      </c>
      <c r="K686" s="10" t="str">
        <f t="shared" si="86"/>
        <v/>
      </c>
      <c r="L686" s="11" t="str">
        <f t="shared" si="88"/>
        <v/>
      </c>
      <c r="M686" s="9" t="str">
        <f>IF(G686&lt;&gt;"",J686/MAX(J$3:J686)-1,"")</f>
        <v/>
      </c>
      <c r="N686" s="9" t="str">
        <f>IF(G686&lt;&gt;"",K686/MAX(K$3:K686)-1,"")</f>
        <v/>
      </c>
      <c r="O686" s="16" t="str">
        <f t="shared" si="89"/>
        <v/>
      </c>
      <c r="P686" s="16" t="str">
        <f t="shared" si="89"/>
        <v/>
      </c>
      <c r="Q686" s="16" t="str">
        <f t="shared" si="89"/>
        <v/>
      </c>
      <c r="R686" s="5" t="str">
        <f t="shared" si="84"/>
        <v/>
      </c>
      <c r="S686" s="5" t="str">
        <f t="shared" si="87"/>
        <v/>
      </c>
      <c r="T686" s="5" t="str">
        <f t="shared" si="92"/>
        <v/>
      </c>
      <c r="U686" s="5" t="str">
        <f t="shared" si="92"/>
        <v/>
      </c>
    </row>
    <row r="687" spans="7:21" x14ac:dyDescent="0.2">
      <c r="G687" s="8"/>
      <c r="H687" s="5"/>
      <c r="I687" s="9"/>
      <c r="J687" s="10" t="str">
        <f t="shared" si="85"/>
        <v/>
      </c>
      <c r="K687" s="10" t="str">
        <f t="shared" si="86"/>
        <v/>
      </c>
      <c r="L687" s="11" t="str">
        <f t="shared" si="88"/>
        <v/>
      </c>
      <c r="M687" s="9" t="str">
        <f>IF(G687&lt;&gt;"",J687/MAX(J$3:J687)-1,"")</f>
        <v/>
      </c>
      <c r="N687" s="9" t="str">
        <f>IF(G687&lt;&gt;"",K687/MAX(K$3:K687)-1,"")</f>
        <v/>
      </c>
      <c r="O687" s="16" t="str">
        <f t="shared" si="89"/>
        <v/>
      </c>
      <c r="P687" s="16" t="str">
        <f t="shared" si="89"/>
        <v/>
      </c>
      <c r="Q687" s="16" t="str">
        <f t="shared" si="89"/>
        <v/>
      </c>
      <c r="R687" s="5" t="str">
        <f t="shared" si="84"/>
        <v/>
      </c>
      <c r="S687" s="5" t="str">
        <f t="shared" si="87"/>
        <v/>
      </c>
      <c r="T687" s="5" t="str">
        <f t="shared" si="92"/>
        <v/>
      </c>
      <c r="U687" s="5" t="str">
        <f t="shared" si="92"/>
        <v/>
      </c>
    </row>
    <row r="688" spans="7:21" x14ac:dyDescent="0.2">
      <c r="G688" s="8"/>
      <c r="H688" s="5"/>
      <c r="I688" s="9"/>
      <c r="J688" s="10" t="str">
        <f t="shared" si="85"/>
        <v/>
      </c>
      <c r="K688" s="10" t="str">
        <f t="shared" si="86"/>
        <v/>
      </c>
      <c r="L688" s="11" t="str">
        <f t="shared" si="88"/>
        <v/>
      </c>
      <c r="M688" s="9" t="str">
        <f>IF(G688&lt;&gt;"",J688/MAX(J$3:J688)-1,"")</f>
        <v/>
      </c>
      <c r="N688" s="9" t="str">
        <f>IF(G688&lt;&gt;"",K688/MAX(K$3:K688)-1,"")</f>
        <v/>
      </c>
      <c r="O688" s="16" t="str">
        <f t="shared" si="89"/>
        <v/>
      </c>
      <c r="P688" s="16" t="str">
        <f t="shared" si="89"/>
        <v/>
      </c>
      <c r="Q688" s="16" t="str">
        <f t="shared" si="89"/>
        <v/>
      </c>
      <c r="R688" s="5" t="str">
        <f t="shared" si="84"/>
        <v/>
      </c>
      <c r="S688" s="5" t="str">
        <f t="shared" si="87"/>
        <v/>
      </c>
      <c r="T688" s="5" t="str">
        <f t="shared" si="92"/>
        <v/>
      </c>
      <c r="U688" s="5" t="str">
        <f t="shared" si="92"/>
        <v/>
      </c>
    </row>
    <row r="689" spans="7:21" x14ac:dyDescent="0.2">
      <c r="G689" s="8"/>
      <c r="H689" s="5"/>
      <c r="I689" s="9"/>
      <c r="J689" s="10" t="str">
        <f t="shared" si="85"/>
        <v/>
      </c>
      <c r="K689" s="10" t="str">
        <f t="shared" si="86"/>
        <v/>
      </c>
      <c r="L689" s="11" t="str">
        <f t="shared" si="88"/>
        <v/>
      </c>
      <c r="M689" s="9" t="str">
        <f>IF(G689&lt;&gt;"",J689/MAX(J$3:J689)-1,"")</f>
        <v/>
      </c>
      <c r="N689" s="9" t="str">
        <f>IF(G689&lt;&gt;"",K689/MAX(K$3:K689)-1,"")</f>
        <v/>
      </c>
      <c r="O689" s="16" t="str">
        <f t="shared" si="89"/>
        <v/>
      </c>
      <c r="P689" s="16" t="str">
        <f t="shared" si="89"/>
        <v/>
      </c>
      <c r="Q689" s="16" t="str">
        <f t="shared" si="89"/>
        <v/>
      </c>
      <c r="R689" s="5" t="str">
        <f t="shared" si="84"/>
        <v/>
      </c>
      <c r="S689" s="5" t="str">
        <f t="shared" si="87"/>
        <v/>
      </c>
      <c r="T689" s="5" t="str">
        <f t="shared" si="92"/>
        <v/>
      </c>
      <c r="U689" s="5" t="str">
        <f t="shared" si="92"/>
        <v/>
      </c>
    </row>
    <row r="690" spans="7:21" x14ac:dyDescent="0.2">
      <c r="G690" s="8"/>
      <c r="H690" s="5"/>
      <c r="I690" s="9"/>
      <c r="J690" s="10" t="str">
        <f t="shared" si="85"/>
        <v/>
      </c>
      <c r="K690" s="10" t="str">
        <f t="shared" si="86"/>
        <v/>
      </c>
      <c r="L690" s="11" t="str">
        <f t="shared" si="88"/>
        <v/>
      </c>
      <c r="M690" s="9" t="str">
        <f>IF(G690&lt;&gt;"",J690/MAX(J$3:J690)-1,"")</f>
        <v/>
      </c>
      <c r="N690" s="9" t="str">
        <f>IF(G690&lt;&gt;"",K690/MAX(K$3:K690)-1,"")</f>
        <v/>
      </c>
      <c r="O690" s="16" t="str">
        <f t="shared" si="89"/>
        <v/>
      </c>
      <c r="P690" s="16" t="str">
        <f t="shared" si="89"/>
        <v/>
      </c>
      <c r="Q690" s="16" t="str">
        <f t="shared" si="89"/>
        <v/>
      </c>
      <c r="R690" s="5" t="str">
        <f t="shared" si="84"/>
        <v/>
      </c>
      <c r="S690" s="5" t="str">
        <f t="shared" si="87"/>
        <v/>
      </c>
      <c r="T690" s="5" t="str">
        <f t="shared" si="92"/>
        <v/>
      </c>
      <c r="U690" s="5" t="str">
        <f t="shared" si="92"/>
        <v/>
      </c>
    </row>
    <row r="691" spans="7:21" x14ac:dyDescent="0.2">
      <c r="G691" s="8"/>
      <c r="H691" s="5"/>
      <c r="I691" s="9"/>
      <c r="J691" s="10" t="str">
        <f t="shared" si="85"/>
        <v/>
      </c>
      <c r="K691" s="10" t="str">
        <f t="shared" si="86"/>
        <v/>
      </c>
      <c r="L691" s="11" t="str">
        <f t="shared" si="88"/>
        <v/>
      </c>
      <c r="M691" s="9" t="str">
        <f>IF(G691&lt;&gt;"",J691/MAX(J$3:J691)-1,"")</f>
        <v/>
      </c>
      <c r="N691" s="9" t="str">
        <f>IF(G691&lt;&gt;"",K691/MAX(K$3:K691)-1,"")</f>
        <v/>
      </c>
      <c r="O691" s="16" t="str">
        <f t="shared" si="89"/>
        <v/>
      </c>
      <c r="P691" s="16" t="str">
        <f t="shared" si="89"/>
        <v/>
      </c>
      <c r="Q691" s="16" t="str">
        <f t="shared" si="89"/>
        <v/>
      </c>
      <c r="R691" s="5" t="str">
        <f t="shared" si="84"/>
        <v/>
      </c>
      <c r="S691" s="5" t="str">
        <f t="shared" si="87"/>
        <v/>
      </c>
      <c r="T691" s="5" t="str">
        <f t="shared" si="92"/>
        <v/>
      </c>
      <c r="U691" s="5" t="str">
        <f t="shared" si="92"/>
        <v/>
      </c>
    </row>
    <row r="692" spans="7:21" x14ac:dyDescent="0.2">
      <c r="G692" s="8"/>
      <c r="H692" s="5"/>
      <c r="I692" s="9"/>
      <c r="J692" s="10" t="str">
        <f t="shared" si="85"/>
        <v/>
      </c>
      <c r="K692" s="10" t="str">
        <f t="shared" si="86"/>
        <v/>
      </c>
      <c r="L692" s="11" t="str">
        <f t="shared" si="88"/>
        <v/>
      </c>
      <c r="M692" s="9" t="str">
        <f>IF(G692&lt;&gt;"",J692/MAX(J$3:J692)-1,"")</f>
        <v/>
      </c>
      <c r="N692" s="9" t="str">
        <f>IF(G692&lt;&gt;"",K692/MAX(K$3:K692)-1,"")</f>
        <v/>
      </c>
      <c r="O692" s="16" t="str">
        <f t="shared" si="89"/>
        <v/>
      </c>
      <c r="P692" s="16" t="str">
        <f t="shared" si="89"/>
        <v/>
      </c>
      <c r="Q692" s="16" t="str">
        <f t="shared" si="89"/>
        <v/>
      </c>
      <c r="R692" s="5" t="str">
        <f t="shared" si="84"/>
        <v/>
      </c>
      <c r="S692" s="5" t="str">
        <f t="shared" si="87"/>
        <v/>
      </c>
      <c r="T692" s="5" t="str">
        <f t="shared" si="92"/>
        <v/>
      </c>
      <c r="U692" s="5" t="str">
        <f t="shared" si="92"/>
        <v/>
      </c>
    </row>
    <row r="693" spans="7:21" x14ac:dyDescent="0.2">
      <c r="G693" s="8"/>
      <c r="H693" s="5"/>
      <c r="I693" s="9"/>
      <c r="J693" s="10" t="str">
        <f t="shared" si="85"/>
        <v/>
      </c>
      <c r="K693" s="10" t="str">
        <f t="shared" si="86"/>
        <v/>
      </c>
      <c r="L693" s="11" t="str">
        <f t="shared" si="88"/>
        <v/>
      </c>
      <c r="M693" s="9" t="str">
        <f>IF(G693&lt;&gt;"",J693/MAX(J$3:J693)-1,"")</f>
        <v/>
      </c>
      <c r="N693" s="9" t="str">
        <f>IF(G693&lt;&gt;"",K693/MAX(K$3:K693)-1,"")</f>
        <v/>
      </c>
      <c r="O693" s="16" t="str">
        <f t="shared" si="89"/>
        <v/>
      </c>
      <c r="P693" s="16" t="str">
        <f t="shared" si="89"/>
        <v/>
      </c>
      <c r="Q693" s="16" t="str">
        <f t="shared" si="89"/>
        <v/>
      </c>
      <c r="R693" s="5" t="str">
        <f t="shared" si="84"/>
        <v/>
      </c>
      <c r="S693" s="5" t="str">
        <f t="shared" si="87"/>
        <v/>
      </c>
      <c r="T693" s="5" t="str">
        <f t="shared" si="92"/>
        <v/>
      </c>
      <c r="U693" s="5" t="str">
        <f t="shared" si="92"/>
        <v/>
      </c>
    </row>
    <row r="694" spans="7:21" x14ac:dyDescent="0.2">
      <c r="G694" s="8"/>
      <c r="H694" s="5"/>
      <c r="I694" s="9"/>
      <c r="J694" s="10" t="str">
        <f t="shared" si="85"/>
        <v/>
      </c>
      <c r="K694" s="10" t="str">
        <f t="shared" si="86"/>
        <v/>
      </c>
      <c r="L694" s="11" t="str">
        <f t="shared" si="88"/>
        <v/>
      </c>
      <c r="M694" s="9" t="str">
        <f>IF(G694&lt;&gt;"",J694/MAX(J$3:J694)-1,"")</f>
        <v/>
      </c>
      <c r="N694" s="9" t="str">
        <f>IF(G694&lt;&gt;"",K694/MAX(K$3:K694)-1,"")</f>
        <v/>
      </c>
      <c r="O694" s="16" t="str">
        <f t="shared" si="89"/>
        <v/>
      </c>
      <c r="P694" s="16" t="str">
        <f t="shared" si="89"/>
        <v/>
      </c>
      <c r="Q694" s="16" t="str">
        <f t="shared" si="89"/>
        <v/>
      </c>
      <c r="R694" s="5" t="str">
        <f t="shared" si="84"/>
        <v/>
      </c>
      <c r="S694" s="5" t="str">
        <f t="shared" si="87"/>
        <v/>
      </c>
      <c r="T694" s="5" t="str">
        <f t="shared" si="92"/>
        <v/>
      </c>
      <c r="U694" s="5" t="str">
        <f t="shared" si="92"/>
        <v/>
      </c>
    </row>
    <row r="695" spans="7:21" x14ac:dyDescent="0.2">
      <c r="G695" s="8"/>
      <c r="H695" s="5"/>
      <c r="I695" s="9"/>
      <c r="J695" s="10" t="str">
        <f t="shared" si="85"/>
        <v/>
      </c>
      <c r="K695" s="10" t="str">
        <f t="shared" si="86"/>
        <v/>
      </c>
      <c r="L695" s="11" t="str">
        <f t="shared" si="88"/>
        <v/>
      </c>
      <c r="M695" s="9" t="str">
        <f>IF(G695&lt;&gt;"",J695/MAX(J$3:J695)-1,"")</f>
        <v/>
      </c>
      <c r="N695" s="9" t="str">
        <f>IF(G695&lt;&gt;"",K695/MAX(K$3:K695)-1,"")</f>
        <v/>
      </c>
      <c r="O695" s="16" t="str">
        <f t="shared" si="89"/>
        <v/>
      </c>
      <c r="P695" s="16" t="str">
        <f t="shared" si="89"/>
        <v/>
      </c>
      <c r="Q695" s="16" t="str">
        <f t="shared" si="89"/>
        <v/>
      </c>
      <c r="R695" s="5" t="str">
        <f t="shared" si="84"/>
        <v/>
      </c>
      <c r="S695" s="5" t="str">
        <f t="shared" si="87"/>
        <v/>
      </c>
      <c r="T695" s="5" t="str">
        <f t="shared" si="92"/>
        <v/>
      </c>
      <c r="U695" s="5" t="str">
        <f t="shared" si="92"/>
        <v/>
      </c>
    </row>
    <row r="696" spans="7:21" x14ac:dyDescent="0.2">
      <c r="G696" s="8"/>
      <c r="H696" s="5"/>
      <c r="I696" s="9"/>
      <c r="J696" s="10" t="str">
        <f t="shared" si="85"/>
        <v/>
      </c>
      <c r="K696" s="10" t="str">
        <f t="shared" si="86"/>
        <v/>
      </c>
      <c r="L696" s="11" t="str">
        <f t="shared" si="88"/>
        <v/>
      </c>
      <c r="M696" s="9" t="str">
        <f>IF(G696&lt;&gt;"",J696/MAX(J$3:J696)-1,"")</f>
        <v/>
      </c>
      <c r="N696" s="9" t="str">
        <f>IF(G696&lt;&gt;"",K696/MAX(K$3:K696)-1,"")</f>
        <v/>
      </c>
      <c r="O696" s="16" t="str">
        <f t="shared" si="89"/>
        <v/>
      </c>
      <c r="P696" s="16" t="str">
        <f t="shared" si="89"/>
        <v/>
      </c>
      <c r="Q696" s="16" t="str">
        <f t="shared" si="89"/>
        <v/>
      </c>
      <c r="R696" s="5" t="str">
        <f t="shared" si="84"/>
        <v/>
      </c>
      <c r="S696" s="5" t="str">
        <f t="shared" si="87"/>
        <v/>
      </c>
      <c r="T696" s="5" t="str">
        <f t="shared" ref="T696:U711" si="93">IF($G696&lt;&gt;"",_xlfn.STDEV.S(O452:O696),"")</f>
        <v/>
      </c>
      <c r="U696" s="5" t="str">
        <f t="shared" si="93"/>
        <v/>
      </c>
    </row>
    <row r="697" spans="7:21" x14ac:dyDescent="0.2">
      <c r="G697" s="8"/>
      <c r="H697" s="5"/>
      <c r="I697" s="9"/>
      <c r="J697" s="10" t="str">
        <f t="shared" si="85"/>
        <v/>
      </c>
      <c r="K697" s="10" t="str">
        <f t="shared" si="86"/>
        <v/>
      </c>
      <c r="L697" s="11" t="str">
        <f t="shared" si="88"/>
        <v/>
      </c>
      <c r="M697" s="9" t="str">
        <f>IF(G697&lt;&gt;"",J697/MAX(J$3:J697)-1,"")</f>
        <v/>
      </c>
      <c r="N697" s="9" t="str">
        <f>IF(G697&lt;&gt;"",K697/MAX(K$3:K697)-1,"")</f>
        <v/>
      </c>
      <c r="O697" s="16" t="str">
        <f t="shared" si="89"/>
        <v/>
      </c>
      <c r="P697" s="16" t="str">
        <f t="shared" si="89"/>
        <v/>
      </c>
      <c r="Q697" s="16" t="str">
        <f t="shared" si="89"/>
        <v/>
      </c>
      <c r="R697" s="5" t="str">
        <f t="shared" si="84"/>
        <v/>
      </c>
      <c r="S697" s="5" t="str">
        <f t="shared" si="87"/>
        <v/>
      </c>
      <c r="T697" s="5" t="str">
        <f t="shared" si="93"/>
        <v/>
      </c>
      <c r="U697" s="5" t="str">
        <f t="shared" si="93"/>
        <v/>
      </c>
    </row>
    <row r="698" spans="7:21" x14ac:dyDescent="0.2">
      <c r="G698" s="8"/>
      <c r="H698" s="5"/>
      <c r="I698" s="9"/>
      <c r="J698" s="10" t="str">
        <f t="shared" si="85"/>
        <v/>
      </c>
      <c r="K698" s="10" t="str">
        <f t="shared" si="86"/>
        <v/>
      </c>
      <c r="L698" s="11" t="str">
        <f t="shared" si="88"/>
        <v/>
      </c>
      <c r="M698" s="9" t="str">
        <f>IF(G698&lt;&gt;"",J698/MAX(J$3:J698)-1,"")</f>
        <v/>
      </c>
      <c r="N698" s="9" t="str">
        <f>IF(G698&lt;&gt;"",K698/MAX(K$3:K698)-1,"")</f>
        <v/>
      </c>
      <c r="O698" s="16" t="str">
        <f t="shared" si="89"/>
        <v/>
      </c>
      <c r="P698" s="16" t="str">
        <f t="shared" si="89"/>
        <v/>
      </c>
      <c r="Q698" s="16" t="str">
        <f t="shared" si="89"/>
        <v/>
      </c>
      <c r="R698" s="5" t="str">
        <f t="shared" si="84"/>
        <v/>
      </c>
      <c r="S698" s="5" t="str">
        <f t="shared" si="87"/>
        <v/>
      </c>
      <c r="T698" s="5" t="str">
        <f t="shared" si="93"/>
        <v/>
      </c>
      <c r="U698" s="5" t="str">
        <f t="shared" si="93"/>
        <v/>
      </c>
    </row>
    <row r="699" spans="7:21" x14ac:dyDescent="0.2">
      <c r="G699" s="8"/>
      <c r="H699" s="5"/>
      <c r="I699" s="9"/>
      <c r="J699" s="10" t="str">
        <f t="shared" si="85"/>
        <v/>
      </c>
      <c r="K699" s="10" t="str">
        <f t="shared" si="86"/>
        <v/>
      </c>
      <c r="L699" s="11" t="str">
        <f t="shared" si="88"/>
        <v/>
      </c>
      <c r="M699" s="9" t="str">
        <f>IF(G699&lt;&gt;"",J699/MAX(J$3:J699)-1,"")</f>
        <v/>
      </c>
      <c r="N699" s="9" t="str">
        <f>IF(G699&lt;&gt;"",K699/MAX(K$3:K699)-1,"")</f>
        <v/>
      </c>
      <c r="O699" s="16" t="str">
        <f t="shared" si="89"/>
        <v/>
      </c>
      <c r="P699" s="16" t="str">
        <f t="shared" si="89"/>
        <v/>
      </c>
      <c r="Q699" s="16" t="str">
        <f t="shared" si="89"/>
        <v/>
      </c>
      <c r="R699" s="5" t="str">
        <f t="shared" si="84"/>
        <v/>
      </c>
      <c r="S699" s="5" t="str">
        <f t="shared" si="87"/>
        <v/>
      </c>
      <c r="T699" s="5" t="str">
        <f t="shared" si="93"/>
        <v/>
      </c>
      <c r="U699" s="5" t="str">
        <f t="shared" si="93"/>
        <v/>
      </c>
    </row>
    <row r="700" spans="7:21" x14ac:dyDescent="0.2">
      <c r="G700" s="8"/>
      <c r="H700" s="5"/>
      <c r="I700" s="9"/>
      <c r="J700" s="10" t="str">
        <f t="shared" si="85"/>
        <v/>
      </c>
      <c r="K700" s="10" t="str">
        <f t="shared" si="86"/>
        <v/>
      </c>
      <c r="L700" s="11" t="str">
        <f t="shared" si="88"/>
        <v/>
      </c>
      <c r="M700" s="9" t="str">
        <f>IF(G700&lt;&gt;"",J700/MAX(J$3:J700)-1,"")</f>
        <v/>
      </c>
      <c r="N700" s="9" t="str">
        <f>IF(G700&lt;&gt;"",K700/MAX(K$3:K700)-1,"")</f>
        <v/>
      </c>
      <c r="O700" s="16" t="str">
        <f t="shared" si="89"/>
        <v/>
      </c>
      <c r="P700" s="16" t="str">
        <f t="shared" si="89"/>
        <v/>
      </c>
      <c r="Q700" s="16" t="str">
        <f t="shared" si="89"/>
        <v/>
      </c>
      <c r="R700" s="5" t="str">
        <f t="shared" si="84"/>
        <v/>
      </c>
      <c r="S700" s="5" t="str">
        <f t="shared" si="87"/>
        <v/>
      </c>
      <c r="T700" s="5" t="str">
        <f t="shared" si="93"/>
        <v/>
      </c>
      <c r="U700" s="5" t="str">
        <f t="shared" si="93"/>
        <v/>
      </c>
    </row>
    <row r="701" spans="7:21" x14ac:dyDescent="0.2">
      <c r="G701" s="8"/>
      <c r="H701" s="5"/>
      <c r="I701" s="9"/>
      <c r="J701" s="10" t="str">
        <f t="shared" si="85"/>
        <v/>
      </c>
      <c r="K701" s="10" t="str">
        <f t="shared" si="86"/>
        <v/>
      </c>
      <c r="L701" s="11" t="str">
        <f t="shared" si="88"/>
        <v/>
      </c>
      <c r="M701" s="9" t="str">
        <f>IF(G701&lt;&gt;"",J701/MAX(J$3:J701)-1,"")</f>
        <v/>
      </c>
      <c r="N701" s="9" t="str">
        <f>IF(G701&lt;&gt;"",K701/MAX(K$3:K701)-1,"")</f>
        <v/>
      </c>
      <c r="O701" s="16" t="str">
        <f t="shared" si="89"/>
        <v/>
      </c>
      <c r="P701" s="16" t="str">
        <f t="shared" si="89"/>
        <v/>
      </c>
      <c r="Q701" s="16" t="str">
        <f t="shared" si="89"/>
        <v/>
      </c>
      <c r="R701" s="5" t="str">
        <f t="shared" ref="R701:R764" si="94">IF(G701&lt;&gt;"",_xlfn.STDEV.S(Q580:Q701)*SQRT($B$5),"")</f>
        <v/>
      </c>
      <c r="S701" s="5" t="str">
        <f t="shared" si="87"/>
        <v/>
      </c>
      <c r="T701" s="5" t="str">
        <f t="shared" si="93"/>
        <v/>
      </c>
      <c r="U701" s="5" t="str">
        <f t="shared" si="93"/>
        <v/>
      </c>
    </row>
    <row r="702" spans="7:21" x14ac:dyDescent="0.2">
      <c r="G702" s="8"/>
      <c r="H702" s="5"/>
      <c r="I702" s="9"/>
      <c r="J702" s="10" t="str">
        <f t="shared" si="85"/>
        <v/>
      </c>
      <c r="K702" s="10" t="str">
        <f t="shared" si="86"/>
        <v/>
      </c>
      <c r="L702" s="11" t="str">
        <f t="shared" si="88"/>
        <v/>
      </c>
      <c r="M702" s="9" t="str">
        <f>IF(G702&lt;&gt;"",J702/MAX(J$3:J702)-1,"")</f>
        <v/>
      </c>
      <c r="N702" s="9" t="str">
        <f>IF(G702&lt;&gt;"",K702/MAX(K$3:K702)-1,"")</f>
        <v/>
      </c>
      <c r="O702" s="16" t="str">
        <f t="shared" si="89"/>
        <v/>
      </c>
      <c r="P702" s="16" t="str">
        <f t="shared" si="89"/>
        <v/>
      </c>
      <c r="Q702" s="16" t="str">
        <f t="shared" si="89"/>
        <v/>
      </c>
      <c r="R702" s="5" t="str">
        <f t="shared" si="94"/>
        <v/>
      </c>
      <c r="S702" s="5" t="str">
        <f t="shared" si="87"/>
        <v/>
      </c>
      <c r="T702" s="5" t="str">
        <f t="shared" si="93"/>
        <v/>
      </c>
      <c r="U702" s="5" t="str">
        <f t="shared" si="93"/>
        <v/>
      </c>
    </row>
    <row r="703" spans="7:21" x14ac:dyDescent="0.2">
      <c r="G703" s="8"/>
      <c r="H703" s="5"/>
      <c r="I703" s="9"/>
      <c r="J703" s="10" t="str">
        <f t="shared" si="85"/>
        <v/>
      </c>
      <c r="K703" s="10" t="str">
        <f t="shared" si="86"/>
        <v/>
      </c>
      <c r="L703" s="11" t="str">
        <f t="shared" si="88"/>
        <v/>
      </c>
      <c r="M703" s="9" t="str">
        <f>IF(G703&lt;&gt;"",J703/MAX(J$3:J703)-1,"")</f>
        <v/>
      </c>
      <c r="N703" s="9" t="str">
        <f>IF(G703&lt;&gt;"",K703/MAX(K$3:K703)-1,"")</f>
        <v/>
      </c>
      <c r="O703" s="16" t="str">
        <f t="shared" si="89"/>
        <v/>
      </c>
      <c r="P703" s="16" t="str">
        <f t="shared" si="89"/>
        <v/>
      </c>
      <c r="Q703" s="16" t="str">
        <f t="shared" si="89"/>
        <v/>
      </c>
      <c r="R703" s="5" t="str">
        <f t="shared" si="94"/>
        <v/>
      </c>
      <c r="S703" s="5" t="str">
        <f t="shared" si="87"/>
        <v/>
      </c>
      <c r="T703" s="5" t="str">
        <f t="shared" si="93"/>
        <v/>
      </c>
      <c r="U703" s="5" t="str">
        <f t="shared" si="93"/>
        <v/>
      </c>
    </row>
    <row r="704" spans="7:21" x14ac:dyDescent="0.2">
      <c r="G704" s="8"/>
      <c r="H704" s="5"/>
      <c r="I704" s="9"/>
      <c r="J704" s="10" t="str">
        <f t="shared" si="85"/>
        <v/>
      </c>
      <c r="K704" s="10" t="str">
        <f t="shared" si="86"/>
        <v/>
      </c>
      <c r="L704" s="11" t="str">
        <f t="shared" si="88"/>
        <v/>
      </c>
      <c r="M704" s="9" t="str">
        <f>IF(G704&lt;&gt;"",J704/MAX(J$3:J704)-1,"")</f>
        <v/>
      </c>
      <c r="N704" s="9" t="str">
        <f>IF(G704&lt;&gt;"",K704/MAX(K$3:K704)-1,"")</f>
        <v/>
      </c>
      <c r="O704" s="16" t="str">
        <f t="shared" si="89"/>
        <v/>
      </c>
      <c r="P704" s="16" t="str">
        <f t="shared" si="89"/>
        <v/>
      </c>
      <c r="Q704" s="16" t="str">
        <f t="shared" si="89"/>
        <v/>
      </c>
      <c r="R704" s="5" t="str">
        <f t="shared" si="94"/>
        <v/>
      </c>
      <c r="S704" s="5" t="str">
        <f t="shared" si="87"/>
        <v/>
      </c>
      <c r="T704" s="5" t="str">
        <f t="shared" si="93"/>
        <v/>
      </c>
      <c r="U704" s="5" t="str">
        <f t="shared" si="93"/>
        <v/>
      </c>
    </row>
    <row r="705" spans="7:21" x14ac:dyDescent="0.2">
      <c r="G705" s="8"/>
      <c r="H705" s="5"/>
      <c r="I705" s="9"/>
      <c r="J705" s="10" t="str">
        <f t="shared" si="85"/>
        <v/>
      </c>
      <c r="K705" s="10" t="str">
        <f t="shared" si="86"/>
        <v/>
      </c>
      <c r="L705" s="11" t="str">
        <f t="shared" si="88"/>
        <v/>
      </c>
      <c r="M705" s="9" t="str">
        <f>IF(G705&lt;&gt;"",J705/MAX(J$3:J705)-1,"")</f>
        <v/>
      </c>
      <c r="N705" s="9" t="str">
        <f>IF(G705&lt;&gt;"",K705/MAX(K$3:K705)-1,"")</f>
        <v/>
      </c>
      <c r="O705" s="16" t="str">
        <f t="shared" si="89"/>
        <v/>
      </c>
      <c r="P705" s="16" t="str">
        <f t="shared" si="89"/>
        <v/>
      </c>
      <c r="Q705" s="16" t="str">
        <f t="shared" si="89"/>
        <v/>
      </c>
      <c r="R705" s="5" t="str">
        <f t="shared" si="94"/>
        <v/>
      </c>
      <c r="S705" s="5" t="str">
        <f t="shared" si="87"/>
        <v/>
      </c>
      <c r="T705" s="5" t="str">
        <f t="shared" si="93"/>
        <v/>
      </c>
      <c r="U705" s="5" t="str">
        <f t="shared" si="93"/>
        <v/>
      </c>
    </row>
    <row r="706" spans="7:21" x14ac:dyDescent="0.2">
      <c r="G706" s="8"/>
      <c r="H706" s="5"/>
      <c r="I706" s="9"/>
      <c r="J706" s="10" t="str">
        <f t="shared" si="85"/>
        <v/>
      </c>
      <c r="K706" s="10" t="str">
        <f t="shared" si="86"/>
        <v/>
      </c>
      <c r="L706" s="11" t="str">
        <f t="shared" si="88"/>
        <v/>
      </c>
      <c r="M706" s="9" t="str">
        <f>IF(G706&lt;&gt;"",J706/MAX(J$3:J706)-1,"")</f>
        <v/>
      </c>
      <c r="N706" s="9" t="str">
        <f>IF(G706&lt;&gt;"",K706/MAX(K$3:K706)-1,"")</f>
        <v/>
      </c>
      <c r="O706" s="16" t="str">
        <f t="shared" ref="O706:Q769" si="95">IF($G706&lt;&gt;"",J706/J705-1,"")</f>
        <v/>
      </c>
      <c r="P706" s="16" t="str">
        <f t="shared" si="95"/>
        <v/>
      </c>
      <c r="Q706" s="16" t="str">
        <f t="shared" si="95"/>
        <v/>
      </c>
      <c r="R706" s="5" t="str">
        <f t="shared" si="94"/>
        <v/>
      </c>
      <c r="S706" s="5" t="str">
        <f t="shared" si="87"/>
        <v/>
      </c>
      <c r="T706" s="5" t="str">
        <f t="shared" si="93"/>
        <v/>
      </c>
      <c r="U706" s="5" t="str">
        <f t="shared" si="93"/>
        <v/>
      </c>
    </row>
    <row r="707" spans="7:21" x14ac:dyDescent="0.2">
      <c r="G707" s="8"/>
      <c r="H707" s="5"/>
      <c r="I707" s="9"/>
      <c r="J707" s="10" t="str">
        <f t="shared" si="85"/>
        <v/>
      </c>
      <c r="K707" s="10" t="str">
        <f t="shared" si="86"/>
        <v/>
      </c>
      <c r="L707" s="11" t="str">
        <f t="shared" si="88"/>
        <v/>
      </c>
      <c r="M707" s="9" t="str">
        <f>IF(G707&lt;&gt;"",J707/MAX(J$3:J707)-1,"")</f>
        <v/>
      </c>
      <c r="N707" s="9" t="str">
        <f>IF(G707&lt;&gt;"",K707/MAX(K$3:K707)-1,"")</f>
        <v/>
      </c>
      <c r="O707" s="16" t="str">
        <f t="shared" si="95"/>
        <v/>
      </c>
      <c r="P707" s="16" t="str">
        <f t="shared" si="95"/>
        <v/>
      </c>
      <c r="Q707" s="16" t="str">
        <f t="shared" si="95"/>
        <v/>
      </c>
      <c r="R707" s="5" t="str">
        <f t="shared" si="94"/>
        <v/>
      </c>
      <c r="S707" s="5" t="str">
        <f t="shared" si="87"/>
        <v/>
      </c>
      <c r="T707" s="5" t="str">
        <f t="shared" si="93"/>
        <v/>
      </c>
      <c r="U707" s="5" t="str">
        <f t="shared" si="93"/>
        <v/>
      </c>
    </row>
    <row r="708" spans="7:21" x14ac:dyDescent="0.2">
      <c r="G708" s="8"/>
      <c r="H708" s="5"/>
      <c r="I708" s="9"/>
      <c r="J708" s="10" t="str">
        <f t="shared" ref="J708:J771" si="96">IF(G708&lt;&gt;"",1+H708,"")</f>
        <v/>
      </c>
      <c r="K708" s="10" t="str">
        <f t="shared" ref="K708:K771" si="97">IF(G708&lt;&gt;"",1+I708,"")</f>
        <v/>
      </c>
      <c r="L708" s="11" t="str">
        <f t="shared" si="88"/>
        <v/>
      </c>
      <c r="M708" s="9" t="str">
        <f>IF(G708&lt;&gt;"",J708/MAX(J$3:J708)-1,"")</f>
        <v/>
      </c>
      <c r="N708" s="9" t="str">
        <f>IF(G708&lt;&gt;"",K708/MAX(K$3:K708)-1,"")</f>
        <v/>
      </c>
      <c r="O708" s="16" t="str">
        <f t="shared" si="95"/>
        <v/>
      </c>
      <c r="P708" s="16" t="str">
        <f t="shared" si="95"/>
        <v/>
      </c>
      <c r="Q708" s="16" t="str">
        <f t="shared" si="95"/>
        <v/>
      </c>
      <c r="R708" s="5" t="str">
        <f t="shared" si="94"/>
        <v/>
      </c>
      <c r="S708" s="5" t="str">
        <f t="shared" ref="S708:S771" si="98">IF(R708&lt;&gt;"",B$12,"")</f>
        <v/>
      </c>
      <c r="T708" s="5" t="str">
        <f t="shared" si="93"/>
        <v/>
      </c>
      <c r="U708" s="5" t="str">
        <f t="shared" si="93"/>
        <v/>
      </c>
    </row>
    <row r="709" spans="7:21" x14ac:dyDescent="0.2">
      <c r="G709" s="8"/>
      <c r="H709" s="5"/>
      <c r="I709" s="9"/>
      <c r="J709" s="10" t="str">
        <f t="shared" si="96"/>
        <v/>
      </c>
      <c r="K709" s="10" t="str">
        <f t="shared" si="97"/>
        <v/>
      </c>
      <c r="L709" s="11" t="str">
        <f t="shared" ref="L709:L772" si="99">IF(G709&lt;&gt;"",J709/K709,"")</f>
        <v/>
      </c>
      <c r="M709" s="9" t="str">
        <f>IF(G709&lt;&gt;"",J709/MAX(J$3:J709)-1,"")</f>
        <v/>
      </c>
      <c r="N709" s="9" t="str">
        <f>IF(G709&lt;&gt;"",K709/MAX(K$3:K709)-1,"")</f>
        <v/>
      </c>
      <c r="O709" s="16" t="str">
        <f t="shared" si="95"/>
        <v/>
      </c>
      <c r="P709" s="16" t="str">
        <f t="shared" si="95"/>
        <v/>
      </c>
      <c r="Q709" s="16" t="str">
        <f t="shared" si="95"/>
        <v/>
      </c>
      <c r="R709" s="5" t="str">
        <f t="shared" si="94"/>
        <v/>
      </c>
      <c r="S709" s="5" t="str">
        <f t="shared" si="98"/>
        <v/>
      </c>
      <c r="T709" s="5" t="str">
        <f t="shared" si="93"/>
        <v/>
      </c>
      <c r="U709" s="5" t="str">
        <f t="shared" si="93"/>
        <v/>
      </c>
    </row>
    <row r="710" spans="7:21" x14ac:dyDescent="0.2">
      <c r="G710" s="8"/>
      <c r="H710" s="5"/>
      <c r="J710" s="10" t="str">
        <f t="shared" si="96"/>
        <v/>
      </c>
      <c r="K710" s="10" t="str">
        <f t="shared" si="97"/>
        <v/>
      </c>
      <c r="L710" s="11" t="str">
        <f t="shared" si="99"/>
        <v/>
      </c>
      <c r="M710" s="9" t="str">
        <f>IF(G710&lt;&gt;"",J710/MAX(J$3:J710)-1,"")</f>
        <v/>
      </c>
      <c r="N710" s="9" t="str">
        <f>IF(G710&lt;&gt;"",K710/MAX(K$3:K710)-1,"")</f>
        <v/>
      </c>
      <c r="O710" s="16" t="str">
        <f t="shared" si="95"/>
        <v/>
      </c>
      <c r="P710" s="16" t="str">
        <f t="shared" si="95"/>
        <v/>
      </c>
      <c r="Q710" s="16" t="str">
        <f t="shared" si="95"/>
        <v/>
      </c>
      <c r="R710" s="5" t="str">
        <f t="shared" si="94"/>
        <v/>
      </c>
      <c r="S710" s="5" t="str">
        <f t="shared" si="98"/>
        <v/>
      </c>
      <c r="T710" s="5" t="str">
        <f t="shared" si="93"/>
        <v/>
      </c>
      <c r="U710" s="5" t="str">
        <f t="shared" si="93"/>
        <v/>
      </c>
    </row>
    <row r="711" spans="7:21" x14ac:dyDescent="0.2">
      <c r="G711" s="8"/>
      <c r="H711" s="5"/>
      <c r="J711" s="10" t="str">
        <f t="shared" si="96"/>
        <v/>
      </c>
      <c r="K711" s="10" t="str">
        <f t="shared" si="97"/>
        <v/>
      </c>
      <c r="L711" s="11" t="str">
        <f t="shared" si="99"/>
        <v/>
      </c>
      <c r="M711" s="9" t="str">
        <f>IF(G711&lt;&gt;"",J711/MAX(J$3:J711)-1,"")</f>
        <v/>
      </c>
      <c r="N711" s="9" t="str">
        <f>IF(G711&lt;&gt;"",K711/MAX(K$3:K711)-1,"")</f>
        <v/>
      </c>
      <c r="O711" s="16" t="str">
        <f t="shared" si="95"/>
        <v/>
      </c>
      <c r="P711" s="16" t="str">
        <f t="shared" si="95"/>
        <v/>
      </c>
      <c r="Q711" s="16" t="str">
        <f t="shared" si="95"/>
        <v/>
      </c>
      <c r="R711" s="5" t="str">
        <f t="shared" si="94"/>
        <v/>
      </c>
      <c r="S711" s="5" t="str">
        <f t="shared" si="98"/>
        <v/>
      </c>
      <c r="T711" s="5" t="str">
        <f t="shared" si="93"/>
        <v/>
      </c>
      <c r="U711" s="5" t="str">
        <f t="shared" si="93"/>
        <v/>
      </c>
    </row>
    <row r="712" spans="7:21" x14ac:dyDescent="0.2">
      <c r="G712" s="8"/>
      <c r="H712" s="5"/>
      <c r="J712" s="10" t="str">
        <f t="shared" si="96"/>
        <v/>
      </c>
      <c r="K712" s="10" t="str">
        <f t="shared" si="97"/>
        <v/>
      </c>
      <c r="L712" s="11" t="str">
        <f t="shared" si="99"/>
        <v/>
      </c>
      <c r="M712" s="9" t="str">
        <f>IF(G712&lt;&gt;"",J712/MAX(J$3:J712)-1,"")</f>
        <v/>
      </c>
      <c r="N712" s="9" t="str">
        <f>IF(G712&lt;&gt;"",K712/MAX(K$3:K712)-1,"")</f>
        <v/>
      </c>
      <c r="O712" s="16" t="str">
        <f t="shared" si="95"/>
        <v/>
      </c>
      <c r="P712" s="16" t="str">
        <f t="shared" si="95"/>
        <v/>
      </c>
      <c r="Q712" s="16" t="str">
        <f t="shared" si="95"/>
        <v/>
      </c>
      <c r="R712" s="5" t="str">
        <f t="shared" si="94"/>
        <v/>
      </c>
      <c r="S712" s="5" t="str">
        <f t="shared" si="98"/>
        <v/>
      </c>
      <c r="T712" s="5" t="str">
        <f t="shared" ref="T712:U727" si="100">IF($G712&lt;&gt;"",_xlfn.STDEV.S(O468:O712),"")</f>
        <v/>
      </c>
      <c r="U712" s="5" t="str">
        <f t="shared" si="100"/>
        <v/>
      </c>
    </row>
    <row r="713" spans="7:21" x14ac:dyDescent="0.2">
      <c r="G713" s="8"/>
      <c r="H713" s="5"/>
      <c r="J713" s="10" t="str">
        <f t="shared" si="96"/>
        <v/>
      </c>
      <c r="K713" s="10" t="str">
        <f t="shared" si="97"/>
        <v/>
      </c>
      <c r="L713" s="11" t="str">
        <f t="shared" si="99"/>
        <v/>
      </c>
      <c r="M713" s="9" t="str">
        <f>IF(G713&lt;&gt;"",J713/MAX(J$3:J713)-1,"")</f>
        <v/>
      </c>
      <c r="N713" s="9" t="str">
        <f>IF(G713&lt;&gt;"",K713/MAX(K$3:K713)-1,"")</f>
        <v/>
      </c>
      <c r="O713" s="16" t="str">
        <f t="shared" si="95"/>
        <v/>
      </c>
      <c r="P713" s="16" t="str">
        <f t="shared" si="95"/>
        <v/>
      </c>
      <c r="Q713" s="16" t="str">
        <f t="shared" si="95"/>
        <v/>
      </c>
      <c r="R713" s="5" t="str">
        <f t="shared" si="94"/>
        <v/>
      </c>
      <c r="S713" s="5" t="str">
        <f t="shared" si="98"/>
        <v/>
      </c>
      <c r="T713" s="5" t="str">
        <f t="shared" si="100"/>
        <v/>
      </c>
      <c r="U713" s="5" t="str">
        <f t="shared" si="100"/>
        <v/>
      </c>
    </row>
    <row r="714" spans="7:21" x14ac:dyDescent="0.2">
      <c r="G714" s="8"/>
      <c r="H714" s="5"/>
      <c r="J714" s="10" t="str">
        <f t="shared" si="96"/>
        <v/>
      </c>
      <c r="K714" s="10" t="str">
        <f t="shared" si="97"/>
        <v/>
      </c>
      <c r="L714" s="11" t="str">
        <f t="shared" si="99"/>
        <v/>
      </c>
      <c r="M714" s="9" t="str">
        <f>IF(G714&lt;&gt;"",J714/MAX(J$3:J714)-1,"")</f>
        <v/>
      </c>
      <c r="N714" s="9" t="str">
        <f>IF(G714&lt;&gt;"",K714/MAX(K$3:K714)-1,"")</f>
        <v/>
      </c>
      <c r="O714" s="16" t="str">
        <f t="shared" si="95"/>
        <v/>
      </c>
      <c r="P714" s="16" t="str">
        <f t="shared" si="95"/>
        <v/>
      </c>
      <c r="Q714" s="16" t="str">
        <f t="shared" si="95"/>
        <v/>
      </c>
      <c r="R714" s="5" t="str">
        <f t="shared" si="94"/>
        <v/>
      </c>
      <c r="S714" s="5" t="str">
        <f t="shared" si="98"/>
        <v/>
      </c>
      <c r="T714" s="5" t="str">
        <f t="shared" si="100"/>
        <v/>
      </c>
      <c r="U714" s="5" t="str">
        <f t="shared" si="100"/>
        <v/>
      </c>
    </row>
    <row r="715" spans="7:21" x14ac:dyDescent="0.2">
      <c r="G715" s="8"/>
      <c r="H715" s="5"/>
      <c r="J715" s="10" t="str">
        <f t="shared" si="96"/>
        <v/>
      </c>
      <c r="K715" s="10" t="str">
        <f t="shared" si="97"/>
        <v/>
      </c>
      <c r="L715" s="11" t="str">
        <f t="shared" si="99"/>
        <v/>
      </c>
      <c r="M715" s="9" t="str">
        <f>IF(G715&lt;&gt;"",J715/MAX(J$3:J715)-1,"")</f>
        <v/>
      </c>
      <c r="N715" s="9" t="str">
        <f>IF(G715&lt;&gt;"",K715/MAX(K$3:K715)-1,"")</f>
        <v/>
      </c>
      <c r="O715" s="16" t="str">
        <f t="shared" si="95"/>
        <v/>
      </c>
      <c r="P715" s="16" t="str">
        <f t="shared" si="95"/>
        <v/>
      </c>
      <c r="Q715" s="16" t="str">
        <f t="shared" si="95"/>
        <v/>
      </c>
      <c r="R715" s="5" t="str">
        <f t="shared" si="94"/>
        <v/>
      </c>
      <c r="S715" s="5" t="str">
        <f t="shared" si="98"/>
        <v/>
      </c>
      <c r="T715" s="5" t="str">
        <f t="shared" si="100"/>
        <v/>
      </c>
      <c r="U715" s="5" t="str">
        <f t="shared" si="100"/>
        <v/>
      </c>
    </row>
    <row r="716" spans="7:21" x14ac:dyDescent="0.2">
      <c r="G716" s="8"/>
      <c r="H716" s="5"/>
      <c r="J716" s="10" t="str">
        <f t="shared" si="96"/>
        <v/>
      </c>
      <c r="K716" s="10" t="str">
        <f t="shared" si="97"/>
        <v/>
      </c>
      <c r="L716" s="11" t="str">
        <f t="shared" si="99"/>
        <v/>
      </c>
      <c r="M716" s="9" t="str">
        <f>IF(G716&lt;&gt;"",J716/MAX(J$3:J716)-1,"")</f>
        <v/>
      </c>
      <c r="N716" s="9" t="str">
        <f>IF(G716&lt;&gt;"",K716/MAX(K$3:K716)-1,"")</f>
        <v/>
      </c>
      <c r="O716" s="16" t="str">
        <f t="shared" si="95"/>
        <v/>
      </c>
      <c r="P716" s="16" t="str">
        <f t="shared" si="95"/>
        <v/>
      </c>
      <c r="Q716" s="16" t="str">
        <f t="shared" si="95"/>
        <v/>
      </c>
      <c r="R716" s="5" t="str">
        <f t="shared" si="94"/>
        <v/>
      </c>
      <c r="S716" s="5" t="str">
        <f t="shared" si="98"/>
        <v/>
      </c>
      <c r="T716" s="5" t="str">
        <f t="shared" si="100"/>
        <v/>
      </c>
      <c r="U716" s="5" t="str">
        <f t="shared" si="100"/>
        <v/>
      </c>
    </row>
    <row r="717" spans="7:21" x14ac:dyDescent="0.2">
      <c r="G717" s="8"/>
      <c r="H717" s="5"/>
      <c r="J717" s="10" t="str">
        <f t="shared" si="96"/>
        <v/>
      </c>
      <c r="K717" s="10" t="str">
        <f t="shared" si="97"/>
        <v/>
      </c>
      <c r="L717" s="11" t="str">
        <f t="shared" si="99"/>
        <v/>
      </c>
      <c r="M717" s="9" t="str">
        <f>IF(G717&lt;&gt;"",J717/MAX(J$3:J717)-1,"")</f>
        <v/>
      </c>
      <c r="N717" s="9" t="str">
        <f>IF(G717&lt;&gt;"",K717/MAX(K$3:K717)-1,"")</f>
        <v/>
      </c>
      <c r="O717" s="16" t="str">
        <f t="shared" si="95"/>
        <v/>
      </c>
      <c r="P717" s="16" t="str">
        <f t="shared" si="95"/>
        <v/>
      </c>
      <c r="Q717" s="16" t="str">
        <f t="shared" si="95"/>
        <v/>
      </c>
      <c r="R717" s="5" t="str">
        <f t="shared" si="94"/>
        <v/>
      </c>
      <c r="S717" s="5" t="str">
        <f t="shared" si="98"/>
        <v/>
      </c>
      <c r="T717" s="5" t="str">
        <f t="shared" si="100"/>
        <v/>
      </c>
      <c r="U717" s="5" t="str">
        <f t="shared" si="100"/>
        <v/>
      </c>
    </row>
    <row r="718" spans="7:21" x14ac:dyDescent="0.2">
      <c r="G718" s="8"/>
      <c r="H718" s="5"/>
      <c r="J718" s="10" t="str">
        <f t="shared" si="96"/>
        <v/>
      </c>
      <c r="K718" s="10" t="str">
        <f t="shared" si="97"/>
        <v/>
      </c>
      <c r="L718" s="11" t="str">
        <f t="shared" si="99"/>
        <v/>
      </c>
      <c r="M718" s="9" t="str">
        <f>IF(G718&lt;&gt;"",J718/MAX(J$3:J718)-1,"")</f>
        <v/>
      </c>
      <c r="N718" s="9" t="str">
        <f>IF(G718&lt;&gt;"",K718/MAX(K$3:K718)-1,"")</f>
        <v/>
      </c>
      <c r="O718" s="16" t="str">
        <f t="shared" si="95"/>
        <v/>
      </c>
      <c r="P718" s="16" t="str">
        <f t="shared" si="95"/>
        <v/>
      </c>
      <c r="Q718" s="16" t="str">
        <f t="shared" si="95"/>
        <v/>
      </c>
      <c r="R718" s="5" t="str">
        <f t="shared" si="94"/>
        <v/>
      </c>
      <c r="S718" s="5" t="str">
        <f t="shared" si="98"/>
        <v/>
      </c>
      <c r="T718" s="5" t="str">
        <f t="shared" si="100"/>
        <v/>
      </c>
      <c r="U718" s="5" t="str">
        <f t="shared" si="100"/>
        <v/>
      </c>
    </row>
    <row r="719" spans="7:21" x14ac:dyDescent="0.2">
      <c r="G719" s="8"/>
      <c r="H719" s="5"/>
      <c r="J719" s="10" t="str">
        <f t="shared" si="96"/>
        <v/>
      </c>
      <c r="K719" s="10" t="str">
        <f t="shared" si="97"/>
        <v/>
      </c>
      <c r="L719" s="11" t="str">
        <f t="shared" si="99"/>
        <v/>
      </c>
      <c r="M719" s="9" t="str">
        <f>IF(G719&lt;&gt;"",J719/MAX(J$3:J719)-1,"")</f>
        <v/>
      </c>
      <c r="N719" s="9" t="str">
        <f>IF(G719&lt;&gt;"",K719/MAX(K$3:K719)-1,"")</f>
        <v/>
      </c>
      <c r="O719" s="16" t="str">
        <f t="shared" si="95"/>
        <v/>
      </c>
      <c r="P719" s="16" t="str">
        <f t="shared" si="95"/>
        <v/>
      </c>
      <c r="Q719" s="16" t="str">
        <f t="shared" si="95"/>
        <v/>
      </c>
      <c r="R719" s="5" t="str">
        <f t="shared" si="94"/>
        <v/>
      </c>
      <c r="S719" s="5" t="str">
        <f t="shared" si="98"/>
        <v/>
      </c>
      <c r="T719" s="5" t="str">
        <f t="shared" si="100"/>
        <v/>
      </c>
      <c r="U719" s="5" t="str">
        <f t="shared" si="100"/>
        <v/>
      </c>
    </row>
    <row r="720" spans="7:21" x14ac:dyDescent="0.2">
      <c r="G720" s="8"/>
      <c r="H720" s="5"/>
      <c r="J720" s="10" t="str">
        <f t="shared" si="96"/>
        <v/>
      </c>
      <c r="K720" s="10" t="str">
        <f t="shared" si="97"/>
        <v/>
      </c>
      <c r="L720" s="11" t="str">
        <f t="shared" si="99"/>
        <v/>
      </c>
      <c r="M720" s="9" t="str">
        <f>IF(G720&lt;&gt;"",J720/MAX(J$3:J720)-1,"")</f>
        <v/>
      </c>
      <c r="N720" s="9" t="str">
        <f>IF(G720&lt;&gt;"",K720/MAX(K$3:K720)-1,"")</f>
        <v/>
      </c>
      <c r="O720" s="16" t="str">
        <f t="shared" si="95"/>
        <v/>
      </c>
      <c r="P720" s="16" t="str">
        <f t="shared" si="95"/>
        <v/>
      </c>
      <c r="Q720" s="16" t="str">
        <f t="shared" si="95"/>
        <v/>
      </c>
      <c r="R720" s="5" t="str">
        <f t="shared" si="94"/>
        <v/>
      </c>
      <c r="S720" s="5" t="str">
        <f t="shared" si="98"/>
        <v/>
      </c>
      <c r="T720" s="5" t="str">
        <f t="shared" si="100"/>
        <v/>
      </c>
      <c r="U720" s="5" t="str">
        <f t="shared" si="100"/>
        <v/>
      </c>
    </row>
    <row r="721" spans="7:21" x14ac:dyDescent="0.2">
      <c r="G721" s="8"/>
      <c r="H721" s="5"/>
      <c r="J721" s="10" t="str">
        <f t="shared" si="96"/>
        <v/>
      </c>
      <c r="K721" s="10" t="str">
        <f t="shared" si="97"/>
        <v/>
      </c>
      <c r="L721" s="11" t="str">
        <f t="shared" si="99"/>
        <v/>
      </c>
      <c r="M721" s="9" t="str">
        <f>IF(G721&lt;&gt;"",J721/MAX(J$3:J721)-1,"")</f>
        <v/>
      </c>
      <c r="N721" s="9" t="str">
        <f>IF(G721&lt;&gt;"",K721/MAX(K$3:K721)-1,"")</f>
        <v/>
      </c>
      <c r="O721" s="16" t="str">
        <f t="shared" si="95"/>
        <v/>
      </c>
      <c r="P721" s="16" t="str">
        <f t="shared" si="95"/>
        <v/>
      </c>
      <c r="Q721" s="16" t="str">
        <f t="shared" si="95"/>
        <v/>
      </c>
      <c r="R721" s="5" t="str">
        <f t="shared" si="94"/>
        <v/>
      </c>
      <c r="S721" s="5" t="str">
        <f t="shared" si="98"/>
        <v/>
      </c>
      <c r="T721" s="5" t="str">
        <f t="shared" si="100"/>
        <v/>
      </c>
      <c r="U721" s="5" t="str">
        <f t="shared" si="100"/>
        <v/>
      </c>
    </row>
    <row r="722" spans="7:21" x14ac:dyDescent="0.2">
      <c r="G722" s="8"/>
      <c r="H722" s="5"/>
      <c r="J722" s="10" t="str">
        <f t="shared" si="96"/>
        <v/>
      </c>
      <c r="K722" s="10" t="str">
        <f t="shared" si="97"/>
        <v/>
      </c>
      <c r="L722" s="11" t="str">
        <f t="shared" si="99"/>
        <v/>
      </c>
      <c r="M722" s="9" t="str">
        <f>IF(G722&lt;&gt;"",J722/MAX(J$3:J722)-1,"")</f>
        <v/>
      </c>
      <c r="N722" s="9" t="str">
        <f>IF(G722&lt;&gt;"",K722/MAX(K$3:K722)-1,"")</f>
        <v/>
      </c>
      <c r="O722" s="16" t="str">
        <f t="shared" si="95"/>
        <v/>
      </c>
      <c r="P722" s="16" t="str">
        <f t="shared" si="95"/>
        <v/>
      </c>
      <c r="Q722" s="16" t="str">
        <f t="shared" si="95"/>
        <v/>
      </c>
      <c r="R722" s="5" t="str">
        <f t="shared" si="94"/>
        <v/>
      </c>
      <c r="S722" s="5" t="str">
        <f t="shared" si="98"/>
        <v/>
      </c>
      <c r="T722" s="5" t="str">
        <f t="shared" si="100"/>
        <v/>
      </c>
      <c r="U722" s="5" t="str">
        <f t="shared" si="100"/>
        <v/>
      </c>
    </row>
    <row r="723" spans="7:21" x14ac:dyDescent="0.2">
      <c r="G723" s="8"/>
      <c r="H723" s="5"/>
      <c r="J723" s="10" t="str">
        <f t="shared" si="96"/>
        <v/>
      </c>
      <c r="K723" s="10" t="str">
        <f t="shared" si="97"/>
        <v/>
      </c>
      <c r="L723" s="11" t="str">
        <f t="shared" si="99"/>
        <v/>
      </c>
      <c r="M723" s="9" t="str">
        <f>IF(G723&lt;&gt;"",J723/MAX(J$3:J723)-1,"")</f>
        <v/>
      </c>
      <c r="N723" s="9" t="str">
        <f>IF(G723&lt;&gt;"",K723/MAX(K$3:K723)-1,"")</f>
        <v/>
      </c>
      <c r="O723" s="16" t="str">
        <f t="shared" si="95"/>
        <v/>
      </c>
      <c r="P723" s="16" t="str">
        <f t="shared" si="95"/>
        <v/>
      </c>
      <c r="Q723" s="16" t="str">
        <f t="shared" si="95"/>
        <v/>
      </c>
      <c r="R723" s="5" t="str">
        <f t="shared" si="94"/>
        <v/>
      </c>
      <c r="S723" s="5" t="str">
        <f t="shared" si="98"/>
        <v/>
      </c>
      <c r="T723" s="5" t="str">
        <f t="shared" si="100"/>
        <v/>
      </c>
      <c r="U723" s="5" t="str">
        <f t="shared" si="100"/>
        <v/>
      </c>
    </row>
    <row r="724" spans="7:21" x14ac:dyDescent="0.2">
      <c r="G724" s="8"/>
      <c r="H724" s="5"/>
      <c r="J724" s="10" t="str">
        <f t="shared" si="96"/>
        <v/>
      </c>
      <c r="K724" s="10" t="str">
        <f t="shared" si="97"/>
        <v/>
      </c>
      <c r="L724" s="11" t="str">
        <f t="shared" si="99"/>
        <v/>
      </c>
      <c r="M724" s="9" t="str">
        <f>IF(G724&lt;&gt;"",J724/MAX(J$3:J724)-1,"")</f>
        <v/>
      </c>
      <c r="N724" s="9" t="str">
        <f>IF(G724&lt;&gt;"",K724/MAX(K$3:K724)-1,"")</f>
        <v/>
      </c>
      <c r="O724" s="16" t="str">
        <f t="shared" si="95"/>
        <v/>
      </c>
      <c r="P724" s="16" t="str">
        <f t="shared" si="95"/>
        <v/>
      </c>
      <c r="Q724" s="16" t="str">
        <f t="shared" si="95"/>
        <v/>
      </c>
      <c r="R724" s="5" t="str">
        <f t="shared" si="94"/>
        <v/>
      </c>
      <c r="S724" s="5" t="str">
        <f t="shared" si="98"/>
        <v/>
      </c>
      <c r="T724" s="5" t="str">
        <f t="shared" si="100"/>
        <v/>
      </c>
      <c r="U724" s="5" t="str">
        <f t="shared" si="100"/>
        <v/>
      </c>
    </row>
    <row r="725" spans="7:21" x14ac:dyDescent="0.2">
      <c r="G725" s="8"/>
      <c r="H725" s="5"/>
      <c r="J725" s="10" t="str">
        <f t="shared" si="96"/>
        <v/>
      </c>
      <c r="K725" s="10" t="str">
        <f t="shared" si="97"/>
        <v/>
      </c>
      <c r="L725" s="11" t="str">
        <f t="shared" si="99"/>
        <v/>
      </c>
      <c r="M725" s="9" t="str">
        <f>IF(G725&lt;&gt;"",J725/MAX(J$3:J725)-1,"")</f>
        <v/>
      </c>
      <c r="N725" s="9" t="str">
        <f>IF(G725&lt;&gt;"",K725/MAX(K$3:K725)-1,"")</f>
        <v/>
      </c>
      <c r="O725" s="16" t="str">
        <f t="shared" si="95"/>
        <v/>
      </c>
      <c r="P725" s="16" t="str">
        <f t="shared" si="95"/>
        <v/>
      </c>
      <c r="Q725" s="16" t="str">
        <f t="shared" si="95"/>
        <v/>
      </c>
      <c r="R725" s="5" t="str">
        <f t="shared" si="94"/>
        <v/>
      </c>
      <c r="S725" s="5" t="str">
        <f t="shared" si="98"/>
        <v/>
      </c>
      <c r="T725" s="5" t="str">
        <f t="shared" si="100"/>
        <v/>
      </c>
      <c r="U725" s="5" t="str">
        <f t="shared" si="100"/>
        <v/>
      </c>
    </row>
    <row r="726" spans="7:21" x14ac:dyDescent="0.2">
      <c r="G726" s="8"/>
      <c r="H726" s="5"/>
      <c r="J726" s="10" t="str">
        <f t="shared" si="96"/>
        <v/>
      </c>
      <c r="K726" s="10" t="str">
        <f t="shared" si="97"/>
        <v/>
      </c>
      <c r="L726" s="11" t="str">
        <f t="shared" si="99"/>
        <v/>
      </c>
      <c r="M726" s="9" t="str">
        <f>IF(G726&lt;&gt;"",J726/MAX(J$3:J726)-1,"")</f>
        <v/>
      </c>
      <c r="N726" s="9" t="str">
        <f>IF(G726&lt;&gt;"",K726/MAX(K$3:K726)-1,"")</f>
        <v/>
      </c>
      <c r="O726" s="16" t="str">
        <f t="shared" si="95"/>
        <v/>
      </c>
      <c r="P726" s="16" t="str">
        <f t="shared" si="95"/>
        <v/>
      </c>
      <c r="Q726" s="16" t="str">
        <f t="shared" si="95"/>
        <v/>
      </c>
      <c r="R726" s="5" t="str">
        <f t="shared" si="94"/>
        <v/>
      </c>
      <c r="S726" s="5" t="str">
        <f t="shared" si="98"/>
        <v/>
      </c>
      <c r="T726" s="5" t="str">
        <f t="shared" si="100"/>
        <v/>
      </c>
      <c r="U726" s="5" t="str">
        <f t="shared" si="100"/>
        <v/>
      </c>
    </row>
    <row r="727" spans="7:21" x14ac:dyDescent="0.2">
      <c r="G727" s="8"/>
      <c r="H727" s="5"/>
      <c r="J727" s="10" t="str">
        <f t="shared" si="96"/>
        <v/>
      </c>
      <c r="K727" s="10" t="str">
        <f t="shared" si="97"/>
        <v/>
      </c>
      <c r="L727" s="11" t="str">
        <f t="shared" si="99"/>
        <v/>
      </c>
      <c r="M727" s="9" t="str">
        <f>IF(G727&lt;&gt;"",J727/MAX(J$3:J727)-1,"")</f>
        <v/>
      </c>
      <c r="N727" s="9" t="str">
        <f>IF(G727&lt;&gt;"",K727/MAX(K$3:K727)-1,"")</f>
        <v/>
      </c>
      <c r="O727" s="16" t="str">
        <f t="shared" si="95"/>
        <v/>
      </c>
      <c r="P727" s="16" t="str">
        <f t="shared" si="95"/>
        <v/>
      </c>
      <c r="Q727" s="16" t="str">
        <f t="shared" si="95"/>
        <v/>
      </c>
      <c r="R727" s="5" t="str">
        <f t="shared" si="94"/>
        <v/>
      </c>
      <c r="S727" s="5" t="str">
        <f t="shared" si="98"/>
        <v/>
      </c>
      <c r="T727" s="5" t="str">
        <f t="shared" si="100"/>
        <v/>
      </c>
      <c r="U727" s="5" t="str">
        <f t="shared" si="100"/>
        <v/>
      </c>
    </row>
    <row r="728" spans="7:21" x14ac:dyDescent="0.2">
      <c r="G728" s="8"/>
      <c r="H728" s="5"/>
      <c r="J728" s="10" t="str">
        <f t="shared" si="96"/>
        <v/>
      </c>
      <c r="K728" s="10" t="str">
        <f t="shared" si="97"/>
        <v/>
      </c>
      <c r="L728" s="11" t="str">
        <f t="shared" si="99"/>
        <v/>
      </c>
      <c r="M728" s="9" t="str">
        <f>IF(G728&lt;&gt;"",J728/MAX(J$3:J728)-1,"")</f>
        <v/>
      </c>
      <c r="N728" s="9" t="str">
        <f>IF(G728&lt;&gt;"",K728/MAX(K$3:K728)-1,"")</f>
        <v/>
      </c>
      <c r="O728" s="16" t="str">
        <f t="shared" si="95"/>
        <v/>
      </c>
      <c r="P728" s="16" t="str">
        <f t="shared" si="95"/>
        <v/>
      </c>
      <c r="Q728" s="16" t="str">
        <f t="shared" si="95"/>
        <v/>
      </c>
      <c r="R728" s="5" t="str">
        <f t="shared" si="94"/>
        <v/>
      </c>
      <c r="S728" s="5" t="str">
        <f t="shared" si="98"/>
        <v/>
      </c>
      <c r="T728" s="5" t="str">
        <f t="shared" ref="T728:U743" si="101">IF($G728&lt;&gt;"",_xlfn.STDEV.S(O484:O728),"")</f>
        <v/>
      </c>
      <c r="U728" s="5" t="str">
        <f t="shared" si="101"/>
        <v/>
      </c>
    </row>
    <row r="729" spans="7:21" x14ac:dyDescent="0.2">
      <c r="G729" s="8"/>
      <c r="H729" s="5"/>
      <c r="J729" s="10" t="str">
        <f t="shared" si="96"/>
        <v/>
      </c>
      <c r="K729" s="10" t="str">
        <f t="shared" si="97"/>
        <v/>
      </c>
      <c r="L729" s="11" t="str">
        <f t="shared" si="99"/>
        <v/>
      </c>
      <c r="M729" s="9" t="str">
        <f>IF(G729&lt;&gt;"",J729/MAX(J$3:J729)-1,"")</f>
        <v/>
      </c>
      <c r="N729" s="9" t="str">
        <f>IF(G729&lt;&gt;"",K729/MAX(K$3:K729)-1,"")</f>
        <v/>
      </c>
      <c r="O729" s="16" t="str">
        <f t="shared" si="95"/>
        <v/>
      </c>
      <c r="P729" s="16" t="str">
        <f t="shared" si="95"/>
        <v/>
      </c>
      <c r="Q729" s="16" t="str">
        <f t="shared" si="95"/>
        <v/>
      </c>
      <c r="R729" s="5" t="str">
        <f t="shared" si="94"/>
        <v/>
      </c>
      <c r="S729" s="5" t="str">
        <f t="shared" si="98"/>
        <v/>
      </c>
      <c r="T729" s="5" t="str">
        <f t="shared" si="101"/>
        <v/>
      </c>
      <c r="U729" s="5" t="str">
        <f t="shared" si="101"/>
        <v/>
      </c>
    </row>
    <row r="730" spans="7:21" x14ac:dyDescent="0.2">
      <c r="G730" s="8"/>
      <c r="H730" s="5"/>
      <c r="J730" s="10" t="str">
        <f t="shared" si="96"/>
        <v/>
      </c>
      <c r="K730" s="10" t="str">
        <f t="shared" si="97"/>
        <v/>
      </c>
      <c r="L730" s="11" t="str">
        <f t="shared" si="99"/>
        <v/>
      </c>
      <c r="M730" s="9" t="str">
        <f>IF(G730&lt;&gt;"",J730/MAX(J$3:J730)-1,"")</f>
        <v/>
      </c>
      <c r="N730" s="9" t="str">
        <f>IF(G730&lt;&gt;"",K730/MAX(K$3:K730)-1,"")</f>
        <v/>
      </c>
      <c r="O730" s="16" t="str">
        <f t="shared" si="95"/>
        <v/>
      </c>
      <c r="P730" s="16" t="str">
        <f t="shared" si="95"/>
        <v/>
      </c>
      <c r="Q730" s="16" t="str">
        <f t="shared" si="95"/>
        <v/>
      </c>
      <c r="R730" s="5" t="str">
        <f t="shared" si="94"/>
        <v/>
      </c>
      <c r="S730" s="5" t="str">
        <f t="shared" si="98"/>
        <v/>
      </c>
      <c r="T730" s="5" t="str">
        <f t="shared" si="101"/>
        <v/>
      </c>
      <c r="U730" s="5" t="str">
        <f t="shared" si="101"/>
        <v/>
      </c>
    </row>
    <row r="731" spans="7:21" x14ac:dyDescent="0.2">
      <c r="G731" s="8"/>
      <c r="H731" s="5"/>
      <c r="J731" s="10" t="str">
        <f t="shared" si="96"/>
        <v/>
      </c>
      <c r="K731" s="10" t="str">
        <f t="shared" si="97"/>
        <v/>
      </c>
      <c r="L731" s="11" t="str">
        <f t="shared" si="99"/>
        <v/>
      </c>
      <c r="M731" s="9" t="str">
        <f>IF(G731&lt;&gt;"",J731/MAX(J$3:J731)-1,"")</f>
        <v/>
      </c>
      <c r="N731" s="9" t="str">
        <f>IF(G731&lt;&gt;"",K731/MAX(K$3:K731)-1,"")</f>
        <v/>
      </c>
      <c r="O731" s="16" t="str">
        <f t="shared" si="95"/>
        <v/>
      </c>
      <c r="P731" s="16" t="str">
        <f t="shared" si="95"/>
        <v/>
      </c>
      <c r="Q731" s="16" t="str">
        <f t="shared" si="95"/>
        <v/>
      </c>
      <c r="R731" s="5" t="str">
        <f t="shared" si="94"/>
        <v/>
      </c>
      <c r="S731" s="5" t="str">
        <f t="shared" si="98"/>
        <v/>
      </c>
      <c r="T731" s="5" t="str">
        <f t="shared" si="101"/>
        <v/>
      </c>
      <c r="U731" s="5" t="str">
        <f t="shared" si="101"/>
        <v/>
      </c>
    </row>
    <row r="732" spans="7:21" x14ac:dyDescent="0.2">
      <c r="G732" s="8"/>
      <c r="H732" s="5"/>
      <c r="J732" s="10" t="str">
        <f t="shared" si="96"/>
        <v/>
      </c>
      <c r="K732" s="10" t="str">
        <f t="shared" si="97"/>
        <v/>
      </c>
      <c r="L732" s="11" t="str">
        <f t="shared" si="99"/>
        <v/>
      </c>
      <c r="M732" s="9" t="str">
        <f>IF(G732&lt;&gt;"",J732/MAX(J$3:J732)-1,"")</f>
        <v/>
      </c>
      <c r="N732" s="9" t="str">
        <f>IF(G732&lt;&gt;"",K732/MAX(K$3:K732)-1,"")</f>
        <v/>
      </c>
      <c r="O732" s="16" t="str">
        <f t="shared" si="95"/>
        <v/>
      </c>
      <c r="P732" s="16" t="str">
        <f t="shared" si="95"/>
        <v/>
      </c>
      <c r="Q732" s="16" t="str">
        <f t="shared" si="95"/>
        <v/>
      </c>
      <c r="R732" s="5" t="str">
        <f t="shared" si="94"/>
        <v/>
      </c>
      <c r="S732" s="5" t="str">
        <f t="shared" si="98"/>
        <v/>
      </c>
      <c r="T732" s="5" t="str">
        <f t="shared" si="101"/>
        <v/>
      </c>
      <c r="U732" s="5" t="str">
        <f t="shared" si="101"/>
        <v/>
      </c>
    </row>
    <row r="733" spans="7:21" x14ac:dyDescent="0.2">
      <c r="G733" s="8"/>
      <c r="H733" s="5"/>
      <c r="J733" s="10" t="str">
        <f t="shared" si="96"/>
        <v/>
      </c>
      <c r="K733" s="10" t="str">
        <f t="shared" si="97"/>
        <v/>
      </c>
      <c r="L733" s="11" t="str">
        <f t="shared" si="99"/>
        <v/>
      </c>
      <c r="M733" s="9" t="str">
        <f>IF(G733&lt;&gt;"",J733/MAX(J$3:J733)-1,"")</f>
        <v/>
      </c>
      <c r="N733" s="9" t="str">
        <f>IF(G733&lt;&gt;"",K733/MAX(K$3:K733)-1,"")</f>
        <v/>
      </c>
      <c r="O733" s="16" t="str">
        <f t="shared" si="95"/>
        <v/>
      </c>
      <c r="P733" s="16" t="str">
        <f t="shared" si="95"/>
        <v/>
      </c>
      <c r="Q733" s="16" t="str">
        <f t="shared" si="95"/>
        <v/>
      </c>
      <c r="R733" s="5" t="str">
        <f t="shared" si="94"/>
        <v/>
      </c>
      <c r="S733" s="5" t="str">
        <f t="shared" si="98"/>
        <v/>
      </c>
      <c r="T733" s="5" t="str">
        <f t="shared" si="101"/>
        <v/>
      </c>
      <c r="U733" s="5" t="str">
        <f t="shared" si="101"/>
        <v/>
      </c>
    </row>
    <row r="734" spans="7:21" x14ac:dyDescent="0.2">
      <c r="G734" s="8"/>
      <c r="H734" s="5"/>
      <c r="J734" s="10" t="str">
        <f t="shared" si="96"/>
        <v/>
      </c>
      <c r="K734" s="10" t="str">
        <f t="shared" si="97"/>
        <v/>
      </c>
      <c r="L734" s="11" t="str">
        <f t="shared" si="99"/>
        <v/>
      </c>
      <c r="M734" s="9" t="str">
        <f>IF(G734&lt;&gt;"",J734/MAX(J$3:J734)-1,"")</f>
        <v/>
      </c>
      <c r="N734" s="9" t="str">
        <f>IF(G734&lt;&gt;"",K734/MAX(K$3:K734)-1,"")</f>
        <v/>
      </c>
      <c r="O734" s="16" t="str">
        <f t="shared" si="95"/>
        <v/>
      </c>
      <c r="P734" s="16" t="str">
        <f t="shared" si="95"/>
        <v/>
      </c>
      <c r="Q734" s="16" t="str">
        <f t="shared" si="95"/>
        <v/>
      </c>
      <c r="R734" s="5" t="str">
        <f t="shared" si="94"/>
        <v/>
      </c>
      <c r="S734" s="5" t="str">
        <f t="shared" si="98"/>
        <v/>
      </c>
      <c r="T734" s="5" t="str">
        <f t="shared" si="101"/>
        <v/>
      </c>
      <c r="U734" s="5" t="str">
        <f t="shared" si="101"/>
        <v/>
      </c>
    </row>
    <row r="735" spans="7:21" x14ac:dyDescent="0.2">
      <c r="G735" s="8"/>
      <c r="H735" s="5"/>
      <c r="J735" s="10" t="str">
        <f t="shared" si="96"/>
        <v/>
      </c>
      <c r="K735" s="10" t="str">
        <f t="shared" si="97"/>
        <v/>
      </c>
      <c r="L735" s="11" t="str">
        <f t="shared" si="99"/>
        <v/>
      </c>
      <c r="M735" s="9" t="str">
        <f>IF(G735&lt;&gt;"",J735/MAX(J$3:J735)-1,"")</f>
        <v/>
      </c>
      <c r="N735" s="9" t="str">
        <f>IF(G735&lt;&gt;"",K735/MAX(K$3:K735)-1,"")</f>
        <v/>
      </c>
      <c r="O735" s="16" t="str">
        <f t="shared" si="95"/>
        <v/>
      </c>
      <c r="P735" s="16" t="str">
        <f t="shared" si="95"/>
        <v/>
      </c>
      <c r="Q735" s="16" t="str">
        <f t="shared" si="95"/>
        <v/>
      </c>
      <c r="R735" s="5" t="str">
        <f t="shared" si="94"/>
        <v/>
      </c>
      <c r="S735" s="5" t="str">
        <f t="shared" si="98"/>
        <v/>
      </c>
      <c r="T735" s="5" t="str">
        <f t="shared" si="101"/>
        <v/>
      </c>
      <c r="U735" s="5" t="str">
        <f t="shared" si="101"/>
        <v/>
      </c>
    </row>
    <row r="736" spans="7:21" x14ac:dyDescent="0.2">
      <c r="G736" s="8"/>
      <c r="H736" s="5"/>
      <c r="J736" s="10" t="str">
        <f t="shared" si="96"/>
        <v/>
      </c>
      <c r="K736" s="10" t="str">
        <f t="shared" si="97"/>
        <v/>
      </c>
      <c r="L736" s="11" t="str">
        <f t="shared" si="99"/>
        <v/>
      </c>
      <c r="M736" s="9" t="str">
        <f>IF(G736&lt;&gt;"",J736/MAX(J$3:J736)-1,"")</f>
        <v/>
      </c>
      <c r="N736" s="9" t="str">
        <f>IF(G736&lt;&gt;"",K736/MAX(K$3:K736)-1,"")</f>
        <v/>
      </c>
      <c r="O736" s="16" t="str">
        <f t="shared" si="95"/>
        <v/>
      </c>
      <c r="P736" s="16" t="str">
        <f t="shared" si="95"/>
        <v/>
      </c>
      <c r="Q736" s="16" t="str">
        <f t="shared" si="95"/>
        <v/>
      </c>
      <c r="R736" s="5" t="str">
        <f t="shared" si="94"/>
        <v/>
      </c>
      <c r="S736" s="5" t="str">
        <f t="shared" si="98"/>
        <v/>
      </c>
      <c r="T736" s="5" t="str">
        <f t="shared" si="101"/>
        <v/>
      </c>
      <c r="U736" s="5" t="str">
        <f t="shared" si="101"/>
        <v/>
      </c>
    </row>
    <row r="737" spans="7:21" x14ac:dyDescent="0.2">
      <c r="G737" s="8"/>
      <c r="H737" s="5"/>
      <c r="J737" s="10" t="str">
        <f t="shared" si="96"/>
        <v/>
      </c>
      <c r="K737" s="10" t="str">
        <f t="shared" si="97"/>
        <v/>
      </c>
      <c r="L737" s="11" t="str">
        <f t="shared" si="99"/>
        <v/>
      </c>
      <c r="M737" s="9" t="str">
        <f>IF(G737&lt;&gt;"",J737/MAX(J$3:J737)-1,"")</f>
        <v/>
      </c>
      <c r="N737" s="9" t="str">
        <f>IF(G737&lt;&gt;"",K737/MAX(K$3:K737)-1,"")</f>
        <v/>
      </c>
      <c r="O737" s="16" t="str">
        <f t="shared" si="95"/>
        <v/>
      </c>
      <c r="P737" s="16" t="str">
        <f t="shared" si="95"/>
        <v/>
      </c>
      <c r="Q737" s="16" t="str">
        <f t="shared" si="95"/>
        <v/>
      </c>
      <c r="R737" s="5" t="str">
        <f t="shared" si="94"/>
        <v/>
      </c>
      <c r="S737" s="5" t="str">
        <f t="shared" si="98"/>
        <v/>
      </c>
      <c r="T737" s="5" t="str">
        <f t="shared" si="101"/>
        <v/>
      </c>
      <c r="U737" s="5" t="str">
        <f t="shared" si="101"/>
        <v/>
      </c>
    </row>
    <row r="738" spans="7:21" x14ac:dyDescent="0.2">
      <c r="G738" s="8"/>
      <c r="H738" s="5"/>
      <c r="J738" s="10" t="str">
        <f t="shared" si="96"/>
        <v/>
      </c>
      <c r="K738" s="10" t="str">
        <f t="shared" si="97"/>
        <v/>
      </c>
      <c r="L738" s="11" t="str">
        <f t="shared" si="99"/>
        <v/>
      </c>
      <c r="M738" s="9" t="str">
        <f>IF(G738&lt;&gt;"",J738/MAX(J$3:J738)-1,"")</f>
        <v/>
      </c>
      <c r="N738" s="9" t="str">
        <f>IF(G738&lt;&gt;"",K738/MAX(K$3:K738)-1,"")</f>
        <v/>
      </c>
      <c r="O738" s="16" t="str">
        <f t="shared" si="95"/>
        <v/>
      </c>
      <c r="P738" s="16" t="str">
        <f t="shared" si="95"/>
        <v/>
      </c>
      <c r="Q738" s="16" t="str">
        <f t="shared" si="95"/>
        <v/>
      </c>
      <c r="R738" s="5" t="str">
        <f t="shared" si="94"/>
        <v/>
      </c>
      <c r="S738" s="5" t="str">
        <f t="shared" si="98"/>
        <v/>
      </c>
      <c r="T738" s="5" t="str">
        <f t="shared" si="101"/>
        <v/>
      </c>
      <c r="U738" s="5" t="str">
        <f t="shared" si="101"/>
        <v/>
      </c>
    </row>
    <row r="739" spans="7:21" x14ac:dyDescent="0.2">
      <c r="G739" s="8"/>
      <c r="H739" s="5"/>
      <c r="J739" s="10" t="str">
        <f t="shared" si="96"/>
        <v/>
      </c>
      <c r="K739" s="10" t="str">
        <f t="shared" si="97"/>
        <v/>
      </c>
      <c r="L739" s="11" t="str">
        <f t="shared" si="99"/>
        <v/>
      </c>
      <c r="M739" s="9" t="str">
        <f>IF(G739&lt;&gt;"",J739/MAX(J$3:J739)-1,"")</f>
        <v/>
      </c>
      <c r="N739" s="9" t="str">
        <f>IF(G739&lt;&gt;"",K739/MAX(K$3:K739)-1,"")</f>
        <v/>
      </c>
      <c r="O739" s="16" t="str">
        <f t="shared" si="95"/>
        <v/>
      </c>
      <c r="P739" s="16" t="str">
        <f t="shared" si="95"/>
        <v/>
      </c>
      <c r="Q739" s="16" t="str">
        <f t="shared" si="95"/>
        <v/>
      </c>
      <c r="R739" s="5" t="str">
        <f t="shared" si="94"/>
        <v/>
      </c>
      <c r="S739" s="5" t="str">
        <f t="shared" si="98"/>
        <v/>
      </c>
      <c r="T739" s="5" t="str">
        <f t="shared" si="101"/>
        <v/>
      </c>
      <c r="U739" s="5" t="str">
        <f t="shared" si="101"/>
        <v/>
      </c>
    </row>
    <row r="740" spans="7:21" x14ac:dyDescent="0.2">
      <c r="G740" s="8"/>
      <c r="H740" s="5"/>
      <c r="J740" s="10" t="str">
        <f t="shared" si="96"/>
        <v/>
      </c>
      <c r="K740" s="10" t="str">
        <f t="shared" si="97"/>
        <v/>
      </c>
      <c r="L740" s="11" t="str">
        <f t="shared" si="99"/>
        <v/>
      </c>
      <c r="M740" s="9" t="str">
        <f>IF(G740&lt;&gt;"",J740/MAX(J$3:J740)-1,"")</f>
        <v/>
      </c>
      <c r="N740" s="9" t="str">
        <f>IF(G740&lt;&gt;"",K740/MAX(K$3:K740)-1,"")</f>
        <v/>
      </c>
      <c r="O740" s="16" t="str">
        <f t="shared" si="95"/>
        <v/>
      </c>
      <c r="P740" s="16" t="str">
        <f t="shared" si="95"/>
        <v/>
      </c>
      <c r="Q740" s="16" t="str">
        <f t="shared" si="95"/>
        <v/>
      </c>
      <c r="R740" s="5" t="str">
        <f t="shared" si="94"/>
        <v/>
      </c>
      <c r="S740" s="5" t="str">
        <f t="shared" si="98"/>
        <v/>
      </c>
      <c r="T740" s="5" t="str">
        <f t="shared" si="101"/>
        <v/>
      </c>
      <c r="U740" s="5" t="str">
        <f t="shared" si="101"/>
        <v/>
      </c>
    </row>
    <row r="741" spans="7:21" x14ac:dyDescent="0.2">
      <c r="G741" s="8"/>
      <c r="H741" s="5"/>
      <c r="J741" s="10" t="str">
        <f t="shared" si="96"/>
        <v/>
      </c>
      <c r="K741" s="10" t="str">
        <f t="shared" si="97"/>
        <v/>
      </c>
      <c r="L741" s="11" t="str">
        <f t="shared" si="99"/>
        <v/>
      </c>
      <c r="M741" s="9" t="str">
        <f>IF(G741&lt;&gt;"",J741/MAX(J$3:J741)-1,"")</f>
        <v/>
      </c>
      <c r="N741" s="9" t="str">
        <f>IF(G741&lt;&gt;"",K741/MAX(K$3:K741)-1,"")</f>
        <v/>
      </c>
      <c r="O741" s="16" t="str">
        <f t="shared" si="95"/>
        <v/>
      </c>
      <c r="P741" s="16" t="str">
        <f t="shared" si="95"/>
        <v/>
      </c>
      <c r="Q741" s="16" t="str">
        <f t="shared" si="95"/>
        <v/>
      </c>
      <c r="R741" s="5" t="str">
        <f t="shared" si="94"/>
        <v/>
      </c>
      <c r="S741" s="5" t="str">
        <f t="shared" si="98"/>
        <v/>
      </c>
      <c r="T741" s="5" t="str">
        <f t="shared" si="101"/>
        <v/>
      </c>
      <c r="U741" s="5" t="str">
        <f t="shared" si="101"/>
        <v/>
      </c>
    </row>
    <row r="742" spans="7:21" x14ac:dyDescent="0.2">
      <c r="G742" s="8"/>
      <c r="H742" s="5"/>
      <c r="J742" s="10" t="str">
        <f t="shared" si="96"/>
        <v/>
      </c>
      <c r="K742" s="10" t="str">
        <f t="shared" si="97"/>
        <v/>
      </c>
      <c r="L742" s="11" t="str">
        <f t="shared" si="99"/>
        <v/>
      </c>
      <c r="M742" s="9" t="str">
        <f>IF(G742&lt;&gt;"",J742/MAX(J$3:J742)-1,"")</f>
        <v/>
      </c>
      <c r="N742" s="9" t="str">
        <f>IF(G742&lt;&gt;"",K742/MAX(K$3:K742)-1,"")</f>
        <v/>
      </c>
      <c r="O742" s="16" t="str">
        <f t="shared" si="95"/>
        <v/>
      </c>
      <c r="P742" s="16" t="str">
        <f t="shared" si="95"/>
        <v/>
      </c>
      <c r="Q742" s="16" t="str">
        <f t="shared" si="95"/>
        <v/>
      </c>
      <c r="R742" s="5" t="str">
        <f t="shared" si="94"/>
        <v/>
      </c>
      <c r="S742" s="5" t="str">
        <f t="shared" si="98"/>
        <v/>
      </c>
      <c r="T742" s="5" t="str">
        <f t="shared" si="101"/>
        <v/>
      </c>
      <c r="U742" s="5" t="str">
        <f t="shared" si="101"/>
        <v/>
      </c>
    </row>
    <row r="743" spans="7:21" x14ac:dyDescent="0.2">
      <c r="G743" s="8"/>
      <c r="H743" s="5"/>
      <c r="J743" s="10" t="str">
        <f t="shared" si="96"/>
        <v/>
      </c>
      <c r="K743" s="10" t="str">
        <f t="shared" si="97"/>
        <v/>
      </c>
      <c r="L743" s="11" t="str">
        <f t="shared" si="99"/>
        <v/>
      </c>
      <c r="M743" s="9" t="str">
        <f>IF(G743&lt;&gt;"",J743/MAX(J$3:J743)-1,"")</f>
        <v/>
      </c>
      <c r="N743" s="9" t="str">
        <f>IF(G743&lt;&gt;"",K743/MAX(K$3:K743)-1,"")</f>
        <v/>
      </c>
      <c r="O743" s="16" t="str">
        <f t="shared" si="95"/>
        <v/>
      </c>
      <c r="P743" s="16" t="str">
        <f t="shared" si="95"/>
        <v/>
      </c>
      <c r="Q743" s="16" t="str">
        <f t="shared" si="95"/>
        <v/>
      </c>
      <c r="R743" s="5" t="str">
        <f t="shared" si="94"/>
        <v/>
      </c>
      <c r="S743" s="5" t="str">
        <f t="shared" si="98"/>
        <v/>
      </c>
      <c r="T743" s="5" t="str">
        <f t="shared" si="101"/>
        <v/>
      </c>
      <c r="U743" s="5" t="str">
        <f t="shared" si="101"/>
        <v/>
      </c>
    </row>
    <row r="744" spans="7:21" x14ac:dyDescent="0.2">
      <c r="G744" s="8"/>
      <c r="H744" s="5"/>
      <c r="J744" s="10" t="str">
        <f t="shared" si="96"/>
        <v/>
      </c>
      <c r="K744" s="10" t="str">
        <f t="shared" si="97"/>
        <v/>
      </c>
      <c r="L744" s="11" t="str">
        <f t="shared" si="99"/>
        <v/>
      </c>
      <c r="M744" s="9" t="str">
        <f>IF(G744&lt;&gt;"",J744/MAX(J$3:J744)-1,"")</f>
        <v/>
      </c>
      <c r="N744" s="9" t="str">
        <f>IF(G744&lt;&gt;"",K744/MAX(K$3:K744)-1,"")</f>
        <v/>
      </c>
      <c r="O744" s="16" t="str">
        <f t="shared" si="95"/>
        <v/>
      </c>
      <c r="P744" s="16" t="str">
        <f t="shared" si="95"/>
        <v/>
      </c>
      <c r="Q744" s="16" t="str">
        <f t="shared" si="95"/>
        <v/>
      </c>
      <c r="R744" s="5" t="str">
        <f t="shared" si="94"/>
        <v/>
      </c>
      <c r="S744" s="5" t="str">
        <f t="shared" si="98"/>
        <v/>
      </c>
      <c r="T744" s="5" t="str">
        <f t="shared" ref="T744:U759" si="102">IF($G744&lt;&gt;"",_xlfn.STDEV.S(O500:O744),"")</f>
        <v/>
      </c>
      <c r="U744" s="5" t="str">
        <f t="shared" si="102"/>
        <v/>
      </c>
    </row>
    <row r="745" spans="7:21" x14ac:dyDescent="0.2">
      <c r="G745" s="8"/>
      <c r="H745" s="5"/>
      <c r="J745" s="10" t="str">
        <f t="shared" si="96"/>
        <v/>
      </c>
      <c r="K745" s="10" t="str">
        <f t="shared" si="97"/>
        <v/>
      </c>
      <c r="L745" s="11" t="str">
        <f t="shared" si="99"/>
        <v/>
      </c>
      <c r="M745" s="9" t="str">
        <f>IF(G745&lt;&gt;"",J745/MAX(J$3:J745)-1,"")</f>
        <v/>
      </c>
      <c r="N745" s="9" t="str">
        <f>IF(G745&lt;&gt;"",K745/MAX(K$3:K745)-1,"")</f>
        <v/>
      </c>
      <c r="O745" s="16" t="str">
        <f t="shared" si="95"/>
        <v/>
      </c>
      <c r="P745" s="16" t="str">
        <f t="shared" si="95"/>
        <v/>
      </c>
      <c r="Q745" s="16" t="str">
        <f t="shared" si="95"/>
        <v/>
      </c>
      <c r="R745" s="5" t="str">
        <f t="shared" si="94"/>
        <v/>
      </c>
      <c r="S745" s="5" t="str">
        <f t="shared" si="98"/>
        <v/>
      </c>
      <c r="T745" s="5" t="str">
        <f t="shared" si="102"/>
        <v/>
      </c>
      <c r="U745" s="5" t="str">
        <f t="shared" si="102"/>
        <v/>
      </c>
    </row>
    <row r="746" spans="7:21" x14ac:dyDescent="0.2">
      <c r="G746" s="8"/>
      <c r="H746" s="5"/>
      <c r="J746" s="10" t="str">
        <f t="shared" si="96"/>
        <v/>
      </c>
      <c r="K746" s="10" t="str">
        <f t="shared" si="97"/>
        <v/>
      </c>
      <c r="L746" s="11" t="str">
        <f t="shared" si="99"/>
        <v/>
      </c>
      <c r="M746" s="9" t="str">
        <f>IF(G746&lt;&gt;"",J746/MAX(J$3:J746)-1,"")</f>
        <v/>
      </c>
      <c r="N746" s="9" t="str">
        <f>IF(G746&lt;&gt;"",K746/MAX(K$3:K746)-1,"")</f>
        <v/>
      </c>
      <c r="O746" s="16" t="str">
        <f t="shared" si="95"/>
        <v/>
      </c>
      <c r="P746" s="16" t="str">
        <f t="shared" si="95"/>
        <v/>
      </c>
      <c r="Q746" s="16" t="str">
        <f t="shared" si="95"/>
        <v/>
      </c>
      <c r="R746" s="5" t="str">
        <f t="shared" si="94"/>
        <v/>
      </c>
      <c r="S746" s="5" t="str">
        <f t="shared" si="98"/>
        <v/>
      </c>
      <c r="T746" s="5" t="str">
        <f t="shared" si="102"/>
        <v/>
      </c>
      <c r="U746" s="5" t="str">
        <f t="shared" si="102"/>
        <v/>
      </c>
    </row>
    <row r="747" spans="7:21" x14ac:dyDescent="0.2">
      <c r="G747" s="8"/>
      <c r="H747" s="5"/>
      <c r="J747" s="10" t="str">
        <f t="shared" si="96"/>
        <v/>
      </c>
      <c r="K747" s="10" t="str">
        <f t="shared" si="97"/>
        <v/>
      </c>
      <c r="L747" s="11" t="str">
        <f t="shared" si="99"/>
        <v/>
      </c>
      <c r="M747" s="9" t="str">
        <f>IF(G747&lt;&gt;"",J747/MAX(J$3:J747)-1,"")</f>
        <v/>
      </c>
      <c r="N747" s="9" t="str">
        <f>IF(G747&lt;&gt;"",K747/MAX(K$3:K747)-1,"")</f>
        <v/>
      </c>
      <c r="O747" s="16" t="str">
        <f t="shared" si="95"/>
        <v/>
      </c>
      <c r="P747" s="16" t="str">
        <f t="shared" si="95"/>
        <v/>
      </c>
      <c r="Q747" s="16" t="str">
        <f t="shared" si="95"/>
        <v/>
      </c>
      <c r="R747" s="5" t="str">
        <f t="shared" si="94"/>
        <v/>
      </c>
      <c r="S747" s="5" t="str">
        <f t="shared" si="98"/>
        <v/>
      </c>
      <c r="T747" s="5" t="str">
        <f t="shared" si="102"/>
        <v/>
      </c>
      <c r="U747" s="5" t="str">
        <f t="shared" si="102"/>
        <v/>
      </c>
    </row>
    <row r="748" spans="7:21" x14ac:dyDescent="0.2">
      <c r="G748" s="8"/>
      <c r="H748" s="5"/>
      <c r="J748" s="10" t="str">
        <f t="shared" si="96"/>
        <v/>
      </c>
      <c r="K748" s="10" t="str">
        <f t="shared" si="97"/>
        <v/>
      </c>
      <c r="L748" s="11" t="str">
        <f t="shared" si="99"/>
        <v/>
      </c>
      <c r="M748" s="9" t="str">
        <f>IF(G748&lt;&gt;"",J748/MAX(J$3:J748)-1,"")</f>
        <v/>
      </c>
      <c r="N748" s="9" t="str">
        <f>IF(G748&lt;&gt;"",K748/MAX(K$3:K748)-1,"")</f>
        <v/>
      </c>
      <c r="O748" s="16" t="str">
        <f t="shared" si="95"/>
        <v/>
      </c>
      <c r="P748" s="16" t="str">
        <f t="shared" si="95"/>
        <v/>
      </c>
      <c r="Q748" s="16" t="str">
        <f t="shared" si="95"/>
        <v/>
      </c>
      <c r="R748" s="5" t="str">
        <f t="shared" si="94"/>
        <v/>
      </c>
      <c r="S748" s="5" t="str">
        <f t="shared" si="98"/>
        <v/>
      </c>
      <c r="T748" s="5" t="str">
        <f t="shared" si="102"/>
        <v/>
      </c>
      <c r="U748" s="5" t="str">
        <f t="shared" si="102"/>
        <v/>
      </c>
    </row>
    <row r="749" spans="7:21" x14ac:dyDescent="0.2">
      <c r="G749" s="8"/>
      <c r="H749" s="5"/>
      <c r="J749" s="10" t="str">
        <f t="shared" si="96"/>
        <v/>
      </c>
      <c r="K749" s="10" t="str">
        <f t="shared" si="97"/>
        <v/>
      </c>
      <c r="L749" s="11" t="str">
        <f t="shared" si="99"/>
        <v/>
      </c>
      <c r="M749" s="9" t="str">
        <f>IF(G749&lt;&gt;"",J749/MAX(J$3:J749)-1,"")</f>
        <v/>
      </c>
      <c r="N749" s="9" t="str">
        <f>IF(G749&lt;&gt;"",K749/MAX(K$3:K749)-1,"")</f>
        <v/>
      </c>
      <c r="O749" s="16" t="str">
        <f t="shared" si="95"/>
        <v/>
      </c>
      <c r="P749" s="16" t="str">
        <f t="shared" si="95"/>
        <v/>
      </c>
      <c r="Q749" s="16" t="str">
        <f t="shared" si="95"/>
        <v/>
      </c>
      <c r="R749" s="5" t="str">
        <f t="shared" si="94"/>
        <v/>
      </c>
      <c r="S749" s="5" t="str">
        <f t="shared" si="98"/>
        <v/>
      </c>
      <c r="T749" s="5" t="str">
        <f t="shared" si="102"/>
        <v/>
      </c>
      <c r="U749" s="5" t="str">
        <f t="shared" si="102"/>
        <v/>
      </c>
    </row>
    <row r="750" spans="7:21" x14ac:dyDescent="0.2">
      <c r="G750" s="8"/>
      <c r="H750" s="5"/>
      <c r="J750" s="10" t="str">
        <f t="shared" si="96"/>
        <v/>
      </c>
      <c r="K750" s="10" t="str">
        <f t="shared" si="97"/>
        <v/>
      </c>
      <c r="L750" s="11" t="str">
        <f t="shared" si="99"/>
        <v/>
      </c>
      <c r="M750" s="9" t="str">
        <f>IF(G750&lt;&gt;"",J750/MAX(J$3:J750)-1,"")</f>
        <v/>
      </c>
      <c r="N750" s="9" t="str">
        <f>IF(G750&lt;&gt;"",K750/MAX(K$3:K750)-1,"")</f>
        <v/>
      </c>
      <c r="O750" s="16" t="str">
        <f t="shared" si="95"/>
        <v/>
      </c>
      <c r="P750" s="16" t="str">
        <f t="shared" si="95"/>
        <v/>
      </c>
      <c r="Q750" s="16" t="str">
        <f t="shared" si="95"/>
        <v/>
      </c>
      <c r="R750" s="5" t="str">
        <f t="shared" si="94"/>
        <v/>
      </c>
      <c r="S750" s="5" t="str">
        <f t="shared" si="98"/>
        <v/>
      </c>
      <c r="T750" s="5" t="str">
        <f t="shared" si="102"/>
        <v/>
      </c>
      <c r="U750" s="5" t="str">
        <f t="shared" si="102"/>
        <v/>
      </c>
    </row>
    <row r="751" spans="7:21" x14ac:dyDescent="0.2">
      <c r="G751" s="8"/>
      <c r="H751" s="5"/>
      <c r="J751" s="10" t="str">
        <f t="shared" si="96"/>
        <v/>
      </c>
      <c r="K751" s="10" t="str">
        <f t="shared" si="97"/>
        <v/>
      </c>
      <c r="L751" s="11" t="str">
        <f t="shared" si="99"/>
        <v/>
      </c>
      <c r="M751" s="9" t="str">
        <f>IF(G751&lt;&gt;"",J751/MAX(J$3:J751)-1,"")</f>
        <v/>
      </c>
      <c r="N751" s="9" t="str">
        <f>IF(G751&lt;&gt;"",K751/MAX(K$3:K751)-1,"")</f>
        <v/>
      </c>
      <c r="O751" s="16" t="str">
        <f t="shared" si="95"/>
        <v/>
      </c>
      <c r="P751" s="16" t="str">
        <f t="shared" si="95"/>
        <v/>
      </c>
      <c r="Q751" s="16" t="str">
        <f t="shared" si="95"/>
        <v/>
      </c>
      <c r="R751" s="5" t="str">
        <f t="shared" si="94"/>
        <v/>
      </c>
      <c r="S751" s="5" t="str">
        <f t="shared" si="98"/>
        <v/>
      </c>
      <c r="T751" s="5" t="str">
        <f t="shared" si="102"/>
        <v/>
      </c>
      <c r="U751" s="5" t="str">
        <f t="shared" si="102"/>
        <v/>
      </c>
    </row>
    <row r="752" spans="7:21" x14ac:dyDescent="0.2">
      <c r="G752" s="8"/>
      <c r="H752" s="5"/>
      <c r="J752" s="10" t="str">
        <f t="shared" si="96"/>
        <v/>
      </c>
      <c r="K752" s="10" t="str">
        <f t="shared" si="97"/>
        <v/>
      </c>
      <c r="L752" s="11" t="str">
        <f t="shared" si="99"/>
        <v/>
      </c>
      <c r="M752" s="9" t="str">
        <f>IF(G752&lt;&gt;"",J752/MAX(J$3:J752)-1,"")</f>
        <v/>
      </c>
      <c r="N752" s="9" t="str">
        <f>IF(G752&lt;&gt;"",K752/MAX(K$3:K752)-1,"")</f>
        <v/>
      </c>
      <c r="O752" s="16" t="str">
        <f t="shared" si="95"/>
        <v/>
      </c>
      <c r="P752" s="16" t="str">
        <f t="shared" si="95"/>
        <v/>
      </c>
      <c r="Q752" s="16" t="str">
        <f t="shared" si="95"/>
        <v/>
      </c>
      <c r="R752" s="5" t="str">
        <f t="shared" si="94"/>
        <v/>
      </c>
      <c r="S752" s="5" t="str">
        <f t="shared" si="98"/>
        <v/>
      </c>
      <c r="T752" s="5" t="str">
        <f t="shared" si="102"/>
        <v/>
      </c>
      <c r="U752" s="5" t="str">
        <f t="shared" si="102"/>
        <v/>
      </c>
    </row>
    <row r="753" spans="7:21" x14ac:dyDescent="0.2">
      <c r="G753" s="8"/>
      <c r="H753" s="5"/>
      <c r="J753" s="10" t="str">
        <f t="shared" si="96"/>
        <v/>
      </c>
      <c r="K753" s="10" t="str">
        <f t="shared" si="97"/>
        <v/>
      </c>
      <c r="L753" s="11" t="str">
        <f t="shared" si="99"/>
        <v/>
      </c>
      <c r="M753" s="9" t="str">
        <f>IF(G753&lt;&gt;"",J753/MAX(J$3:J753)-1,"")</f>
        <v/>
      </c>
      <c r="N753" s="9" t="str">
        <f>IF(G753&lt;&gt;"",K753/MAX(K$3:K753)-1,"")</f>
        <v/>
      </c>
      <c r="O753" s="16" t="str">
        <f t="shared" si="95"/>
        <v/>
      </c>
      <c r="P753" s="16" t="str">
        <f t="shared" si="95"/>
        <v/>
      </c>
      <c r="Q753" s="16" t="str">
        <f t="shared" si="95"/>
        <v/>
      </c>
      <c r="R753" s="5" t="str">
        <f t="shared" si="94"/>
        <v/>
      </c>
      <c r="S753" s="5" t="str">
        <f t="shared" si="98"/>
        <v/>
      </c>
      <c r="T753" s="5" t="str">
        <f t="shared" si="102"/>
        <v/>
      </c>
      <c r="U753" s="5" t="str">
        <f t="shared" si="102"/>
        <v/>
      </c>
    </row>
    <row r="754" spans="7:21" x14ac:dyDescent="0.2">
      <c r="G754" s="8"/>
      <c r="H754" s="5"/>
      <c r="J754" s="10" t="str">
        <f t="shared" si="96"/>
        <v/>
      </c>
      <c r="K754" s="10" t="str">
        <f t="shared" si="97"/>
        <v/>
      </c>
      <c r="L754" s="11" t="str">
        <f t="shared" si="99"/>
        <v/>
      </c>
      <c r="M754" s="9" t="str">
        <f>IF(G754&lt;&gt;"",J754/MAX(J$3:J754)-1,"")</f>
        <v/>
      </c>
      <c r="N754" s="9" t="str">
        <f>IF(G754&lt;&gt;"",K754/MAX(K$3:K754)-1,"")</f>
        <v/>
      </c>
      <c r="O754" s="16" t="str">
        <f t="shared" si="95"/>
        <v/>
      </c>
      <c r="P754" s="16" t="str">
        <f t="shared" si="95"/>
        <v/>
      </c>
      <c r="Q754" s="16" t="str">
        <f t="shared" si="95"/>
        <v/>
      </c>
      <c r="R754" s="5" t="str">
        <f t="shared" si="94"/>
        <v/>
      </c>
      <c r="S754" s="5" t="str">
        <f t="shared" si="98"/>
        <v/>
      </c>
      <c r="T754" s="5" t="str">
        <f t="shared" si="102"/>
        <v/>
      </c>
      <c r="U754" s="5" t="str">
        <f t="shared" si="102"/>
        <v/>
      </c>
    </row>
    <row r="755" spans="7:21" x14ac:dyDescent="0.2">
      <c r="G755" s="8"/>
      <c r="H755" s="5"/>
      <c r="J755" s="10" t="str">
        <f t="shared" si="96"/>
        <v/>
      </c>
      <c r="K755" s="10" t="str">
        <f t="shared" si="97"/>
        <v/>
      </c>
      <c r="L755" s="11" t="str">
        <f t="shared" si="99"/>
        <v/>
      </c>
      <c r="M755" s="9" t="str">
        <f>IF(G755&lt;&gt;"",J755/MAX(J$3:J755)-1,"")</f>
        <v/>
      </c>
      <c r="N755" s="9" t="str">
        <f>IF(G755&lt;&gt;"",K755/MAX(K$3:K755)-1,"")</f>
        <v/>
      </c>
      <c r="O755" s="16" t="str">
        <f t="shared" si="95"/>
        <v/>
      </c>
      <c r="P755" s="16" t="str">
        <f t="shared" si="95"/>
        <v/>
      </c>
      <c r="Q755" s="16" t="str">
        <f t="shared" si="95"/>
        <v/>
      </c>
      <c r="R755" s="5" t="str">
        <f t="shared" si="94"/>
        <v/>
      </c>
      <c r="S755" s="5" t="str">
        <f t="shared" si="98"/>
        <v/>
      </c>
      <c r="T755" s="5" t="str">
        <f t="shared" si="102"/>
        <v/>
      </c>
      <c r="U755" s="5" t="str">
        <f t="shared" si="102"/>
        <v/>
      </c>
    </row>
    <row r="756" spans="7:21" x14ac:dyDescent="0.2">
      <c r="G756" s="8"/>
      <c r="H756" s="5"/>
      <c r="J756" s="10" t="str">
        <f t="shared" si="96"/>
        <v/>
      </c>
      <c r="K756" s="10" t="str">
        <f t="shared" si="97"/>
        <v/>
      </c>
      <c r="L756" s="11" t="str">
        <f t="shared" si="99"/>
        <v/>
      </c>
      <c r="M756" s="9" t="str">
        <f>IF(G756&lt;&gt;"",J756/MAX(J$3:J756)-1,"")</f>
        <v/>
      </c>
      <c r="N756" s="9" t="str">
        <f>IF(G756&lt;&gt;"",K756/MAX(K$3:K756)-1,"")</f>
        <v/>
      </c>
      <c r="O756" s="16" t="str">
        <f t="shared" si="95"/>
        <v/>
      </c>
      <c r="P756" s="16" t="str">
        <f t="shared" si="95"/>
        <v/>
      </c>
      <c r="Q756" s="16" t="str">
        <f t="shared" si="95"/>
        <v/>
      </c>
      <c r="R756" s="5" t="str">
        <f t="shared" si="94"/>
        <v/>
      </c>
      <c r="S756" s="5" t="str">
        <f t="shared" si="98"/>
        <v/>
      </c>
      <c r="T756" s="5" t="str">
        <f t="shared" si="102"/>
        <v/>
      </c>
      <c r="U756" s="5" t="str">
        <f t="shared" si="102"/>
        <v/>
      </c>
    </row>
    <row r="757" spans="7:21" x14ac:dyDescent="0.2">
      <c r="G757" s="8"/>
      <c r="H757" s="5"/>
      <c r="J757" s="10" t="str">
        <f t="shared" si="96"/>
        <v/>
      </c>
      <c r="K757" s="10" t="str">
        <f t="shared" si="97"/>
        <v/>
      </c>
      <c r="L757" s="11" t="str">
        <f t="shared" si="99"/>
        <v/>
      </c>
      <c r="M757" s="9" t="str">
        <f>IF(G757&lt;&gt;"",J757/MAX(J$3:J757)-1,"")</f>
        <v/>
      </c>
      <c r="N757" s="9" t="str">
        <f>IF(G757&lt;&gt;"",K757/MAX(K$3:K757)-1,"")</f>
        <v/>
      </c>
      <c r="O757" s="16" t="str">
        <f t="shared" si="95"/>
        <v/>
      </c>
      <c r="P757" s="16" t="str">
        <f t="shared" si="95"/>
        <v/>
      </c>
      <c r="Q757" s="16" t="str">
        <f t="shared" si="95"/>
        <v/>
      </c>
      <c r="R757" s="5" t="str">
        <f t="shared" si="94"/>
        <v/>
      </c>
      <c r="S757" s="5" t="str">
        <f t="shared" si="98"/>
        <v/>
      </c>
      <c r="T757" s="5" t="str">
        <f t="shared" si="102"/>
        <v/>
      </c>
      <c r="U757" s="5" t="str">
        <f t="shared" si="102"/>
        <v/>
      </c>
    </row>
    <row r="758" spans="7:21" x14ac:dyDescent="0.2">
      <c r="G758" s="8"/>
      <c r="H758" s="5"/>
      <c r="J758" s="10" t="str">
        <f t="shared" si="96"/>
        <v/>
      </c>
      <c r="K758" s="10" t="str">
        <f t="shared" si="97"/>
        <v/>
      </c>
      <c r="L758" s="11" t="str">
        <f t="shared" si="99"/>
        <v/>
      </c>
      <c r="M758" s="9" t="str">
        <f>IF(G758&lt;&gt;"",J758/MAX(J$3:J758)-1,"")</f>
        <v/>
      </c>
      <c r="N758" s="9" t="str">
        <f>IF(G758&lt;&gt;"",K758/MAX(K$3:K758)-1,"")</f>
        <v/>
      </c>
      <c r="O758" s="16" t="str">
        <f t="shared" si="95"/>
        <v/>
      </c>
      <c r="P758" s="16" t="str">
        <f t="shared" si="95"/>
        <v/>
      </c>
      <c r="Q758" s="16" t="str">
        <f t="shared" si="95"/>
        <v/>
      </c>
      <c r="R758" s="5" t="str">
        <f t="shared" si="94"/>
        <v/>
      </c>
      <c r="S758" s="5" t="str">
        <f t="shared" si="98"/>
        <v/>
      </c>
      <c r="T758" s="5" t="str">
        <f t="shared" si="102"/>
        <v/>
      </c>
      <c r="U758" s="5" t="str">
        <f t="shared" si="102"/>
        <v/>
      </c>
    </row>
    <row r="759" spans="7:21" x14ac:dyDescent="0.2">
      <c r="G759" s="8"/>
      <c r="H759" s="5"/>
      <c r="J759" s="10" t="str">
        <f t="shared" si="96"/>
        <v/>
      </c>
      <c r="K759" s="10" t="str">
        <f t="shared" si="97"/>
        <v/>
      </c>
      <c r="L759" s="11" t="str">
        <f t="shared" si="99"/>
        <v/>
      </c>
      <c r="M759" s="9" t="str">
        <f>IF(G759&lt;&gt;"",J759/MAX(J$3:J759)-1,"")</f>
        <v/>
      </c>
      <c r="N759" s="9" t="str">
        <f>IF(G759&lt;&gt;"",K759/MAX(K$3:K759)-1,"")</f>
        <v/>
      </c>
      <c r="O759" s="16" t="str">
        <f t="shared" si="95"/>
        <v/>
      </c>
      <c r="P759" s="16" t="str">
        <f t="shared" si="95"/>
        <v/>
      </c>
      <c r="Q759" s="16" t="str">
        <f t="shared" si="95"/>
        <v/>
      </c>
      <c r="R759" s="5" t="str">
        <f t="shared" si="94"/>
        <v/>
      </c>
      <c r="S759" s="5" t="str">
        <f t="shared" si="98"/>
        <v/>
      </c>
      <c r="T759" s="5" t="str">
        <f t="shared" si="102"/>
        <v/>
      </c>
      <c r="U759" s="5" t="str">
        <f t="shared" si="102"/>
        <v/>
      </c>
    </row>
    <row r="760" spans="7:21" x14ac:dyDescent="0.2">
      <c r="G760" s="8"/>
      <c r="H760" s="5"/>
      <c r="J760" s="10" t="str">
        <f t="shared" si="96"/>
        <v/>
      </c>
      <c r="K760" s="10" t="str">
        <f t="shared" si="97"/>
        <v/>
      </c>
      <c r="L760" s="11" t="str">
        <f t="shared" si="99"/>
        <v/>
      </c>
      <c r="M760" s="9" t="str">
        <f>IF(G760&lt;&gt;"",J760/MAX(J$3:J760)-1,"")</f>
        <v/>
      </c>
      <c r="N760" s="9" t="str">
        <f>IF(G760&lt;&gt;"",K760/MAX(K$3:K760)-1,"")</f>
        <v/>
      </c>
      <c r="O760" s="16" t="str">
        <f t="shared" si="95"/>
        <v/>
      </c>
      <c r="P760" s="16" t="str">
        <f t="shared" si="95"/>
        <v/>
      </c>
      <c r="Q760" s="16" t="str">
        <f t="shared" si="95"/>
        <v/>
      </c>
      <c r="R760" s="5" t="str">
        <f t="shared" si="94"/>
        <v/>
      </c>
      <c r="S760" s="5" t="str">
        <f t="shared" si="98"/>
        <v/>
      </c>
      <c r="T760" s="5" t="str">
        <f t="shared" ref="T760:U775" si="103">IF($G760&lt;&gt;"",_xlfn.STDEV.S(O516:O760),"")</f>
        <v/>
      </c>
      <c r="U760" s="5" t="str">
        <f t="shared" si="103"/>
        <v/>
      </c>
    </row>
    <row r="761" spans="7:21" x14ac:dyDescent="0.2">
      <c r="G761" s="8"/>
      <c r="H761" s="5"/>
      <c r="J761" s="10" t="str">
        <f t="shared" si="96"/>
        <v/>
      </c>
      <c r="K761" s="10" t="str">
        <f t="shared" si="97"/>
        <v/>
      </c>
      <c r="L761" s="11" t="str">
        <f t="shared" si="99"/>
        <v/>
      </c>
      <c r="M761" s="9" t="str">
        <f>IF(G761&lt;&gt;"",J761/MAX(J$3:J761)-1,"")</f>
        <v/>
      </c>
      <c r="N761" s="9" t="str">
        <f>IF(G761&lt;&gt;"",K761/MAX(K$3:K761)-1,"")</f>
        <v/>
      </c>
      <c r="O761" s="16" t="str">
        <f t="shared" si="95"/>
        <v/>
      </c>
      <c r="P761" s="16" t="str">
        <f t="shared" si="95"/>
        <v/>
      </c>
      <c r="Q761" s="16" t="str">
        <f t="shared" si="95"/>
        <v/>
      </c>
      <c r="R761" s="5" t="str">
        <f t="shared" si="94"/>
        <v/>
      </c>
      <c r="S761" s="5" t="str">
        <f t="shared" si="98"/>
        <v/>
      </c>
      <c r="T761" s="5" t="str">
        <f t="shared" si="103"/>
        <v/>
      </c>
      <c r="U761" s="5" t="str">
        <f t="shared" si="103"/>
        <v/>
      </c>
    </row>
    <row r="762" spans="7:21" x14ac:dyDescent="0.2">
      <c r="G762" s="8"/>
      <c r="H762" s="5"/>
      <c r="J762" s="10" t="str">
        <f t="shared" si="96"/>
        <v/>
      </c>
      <c r="K762" s="10" t="str">
        <f t="shared" si="97"/>
        <v/>
      </c>
      <c r="L762" s="11" t="str">
        <f t="shared" si="99"/>
        <v/>
      </c>
      <c r="M762" s="9" t="str">
        <f>IF(G762&lt;&gt;"",J762/MAX(J$3:J762)-1,"")</f>
        <v/>
      </c>
      <c r="N762" s="9" t="str">
        <f>IF(G762&lt;&gt;"",K762/MAX(K$3:K762)-1,"")</f>
        <v/>
      </c>
      <c r="O762" s="16" t="str">
        <f t="shared" si="95"/>
        <v/>
      </c>
      <c r="P762" s="16" t="str">
        <f t="shared" si="95"/>
        <v/>
      </c>
      <c r="Q762" s="16" t="str">
        <f t="shared" si="95"/>
        <v/>
      </c>
      <c r="R762" s="5" t="str">
        <f t="shared" si="94"/>
        <v/>
      </c>
      <c r="S762" s="5" t="str">
        <f t="shared" si="98"/>
        <v/>
      </c>
      <c r="T762" s="5" t="str">
        <f t="shared" si="103"/>
        <v/>
      </c>
      <c r="U762" s="5" t="str">
        <f t="shared" si="103"/>
        <v/>
      </c>
    </row>
    <row r="763" spans="7:21" x14ac:dyDescent="0.2">
      <c r="G763" s="8"/>
      <c r="H763" s="5"/>
      <c r="J763" s="10" t="str">
        <f t="shared" si="96"/>
        <v/>
      </c>
      <c r="K763" s="10" t="str">
        <f t="shared" si="97"/>
        <v/>
      </c>
      <c r="L763" s="11" t="str">
        <f t="shared" si="99"/>
        <v/>
      </c>
      <c r="M763" s="9" t="str">
        <f>IF(G763&lt;&gt;"",J763/MAX(J$3:J763)-1,"")</f>
        <v/>
      </c>
      <c r="N763" s="9" t="str">
        <f>IF(G763&lt;&gt;"",K763/MAX(K$3:K763)-1,"")</f>
        <v/>
      </c>
      <c r="O763" s="16" t="str">
        <f t="shared" si="95"/>
        <v/>
      </c>
      <c r="P763" s="16" t="str">
        <f t="shared" si="95"/>
        <v/>
      </c>
      <c r="Q763" s="16" t="str">
        <f t="shared" si="95"/>
        <v/>
      </c>
      <c r="R763" s="5" t="str">
        <f t="shared" si="94"/>
        <v/>
      </c>
      <c r="S763" s="5" t="str">
        <f t="shared" si="98"/>
        <v/>
      </c>
      <c r="T763" s="5" t="str">
        <f t="shared" si="103"/>
        <v/>
      </c>
      <c r="U763" s="5" t="str">
        <f t="shared" si="103"/>
        <v/>
      </c>
    </row>
    <row r="764" spans="7:21" x14ac:dyDescent="0.2">
      <c r="G764" s="8"/>
      <c r="H764" s="5"/>
      <c r="J764" s="10" t="str">
        <f t="shared" si="96"/>
        <v/>
      </c>
      <c r="K764" s="10" t="str">
        <f t="shared" si="97"/>
        <v/>
      </c>
      <c r="L764" s="11" t="str">
        <f t="shared" si="99"/>
        <v/>
      </c>
      <c r="M764" s="9" t="str">
        <f>IF(G764&lt;&gt;"",J764/MAX(J$3:J764)-1,"")</f>
        <v/>
      </c>
      <c r="N764" s="9" t="str">
        <f>IF(G764&lt;&gt;"",K764/MAX(K$3:K764)-1,"")</f>
        <v/>
      </c>
      <c r="O764" s="16" t="str">
        <f t="shared" si="95"/>
        <v/>
      </c>
      <c r="P764" s="16" t="str">
        <f t="shared" si="95"/>
        <v/>
      </c>
      <c r="Q764" s="16" t="str">
        <f t="shared" si="95"/>
        <v/>
      </c>
      <c r="R764" s="5" t="str">
        <f t="shared" si="94"/>
        <v/>
      </c>
      <c r="S764" s="5" t="str">
        <f t="shared" si="98"/>
        <v/>
      </c>
      <c r="T764" s="5" t="str">
        <f t="shared" si="103"/>
        <v/>
      </c>
      <c r="U764" s="5" t="str">
        <f t="shared" si="103"/>
        <v/>
      </c>
    </row>
    <row r="765" spans="7:21" x14ac:dyDescent="0.2">
      <c r="G765" s="8"/>
      <c r="H765" s="5"/>
      <c r="J765" s="10" t="str">
        <f t="shared" si="96"/>
        <v/>
      </c>
      <c r="K765" s="10" t="str">
        <f t="shared" si="97"/>
        <v/>
      </c>
      <c r="L765" s="11" t="str">
        <f t="shared" si="99"/>
        <v/>
      </c>
      <c r="M765" s="9" t="str">
        <f>IF(G765&lt;&gt;"",J765/MAX(J$3:J765)-1,"")</f>
        <v/>
      </c>
      <c r="N765" s="9" t="str">
        <f>IF(G765&lt;&gt;"",K765/MAX(K$3:K765)-1,"")</f>
        <v/>
      </c>
      <c r="O765" s="16" t="str">
        <f t="shared" si="95"/>
        <v/>
      </c>
      <c r="P765" s="16" t="str">
        <f t="shared" si="95"/>
        <v/>
      </c>
      <c r="Q765" s="16" t="str">
        <f t="shared" si="95"/>
        <v/>
      </c>
      <c r="R765" s="5" t="str">
        <f t="shared" ref="R765:R828" si="104">IF(G765&lt;&gt;"",_xlfn.STDEV.S(Q644:Q765)*SQRT($B$5),"")</f>
        <v/>
      </c>
      <c r="S765" s="5" t="str">
        <f t="shared" si="98"/>
        <v/>
      </c>
      <c r="T765" s="5" t="str">
        <f t="shared" si="103"/>
        <v/>
      </c>
      <c r="U765" s="5" t="str">
        <f t="shared" si="103"/>
        <v/>
      </c>
    </row>
    <row r="766" spans="7:21" x14ac:dyDescent="0.2">
      <c r="G766" s="8"/>
      <c r="H766" s="5"/>
      <c r="J766" s="10" t="str">
        <f t="shared" si="96"/>
        <v/>
      </c>
      <c r="K766" s="10" t="str">
        <f t="shared" si="97"/>
        <v/>
      </c>
      <c r="L766" s="11" t="str">
        <f t="shared" si="99"/>
        <v/>
      </c>
      <c r="M766" s="9" t="str">
        <f>IF(G766&lt;&gt;"",J766/MAX(J$3:J766)-1,"")</f>
        <v/>
      </c>
      <c r="N766" s="9" t="str">
        <f>IF(G766&lt;&gt;"",K766/MAX(K$3:K766)-1,"")</f>
        <v/>
      </c>
      <c r="O766" s="16" t="str">
        <f t="shared" si="95"/>
        <v/>
      </c>
      <c r="P766" s="16" t="str">
        <f t="shared" si="95"/>
        <v/>
      </c>
      <c r="Q766" s="16" t="str">
        <f t="shared" si="95"/>
        <v/>
      </c>
      <c r="R766" s="5" t="str">
        <f t="shared" si="104"/>
        <v/>
      </c>
      <c r="S766" s="5" t="str">
        <f t="shared" si="98"/>
        <v/>
      </c>
      <c r="T766" s="5" t="str">
        <f t="shared" si="103"/>
        <v/>
      </c>
      <c r="U766" s="5" t="str">
        <f t="shared" si="103"/>
        <v/>
      </c>
    </row>
    <row r="767" spans="7:21" x14ac:dyDescent="0.2">
      <c r="G767" s="8"/>
      <c r="H767" s="5"/>
      <c r="J767" s="10" t="str">
        <f t="shared" si="96"/>
        <v/>
      </c>
      <c r="K767" s="10" t="str">
        <f t="shared" si="97"/>
        <v/>
      </c>
      <c r="L767" s="11" t="str">
        <f t="shared" si="99"/>
        <v/>
      </c>
      <c r="M767" s="9" t="str">
        <f>IF(G767&lt;&gt;"",J767/MAX(J$3:J767)-1,"")</f>
        <v/>
      </c>
      <c r="N767" s="9" t="str">
        <f>IF(G767&lt;&gt;"",K767/MAX(K$3:K767)-1,"")</f>
        <v/>
      </c>
      <c r="O767" s="16" t="str">
        <f t="shared" si="95"/>
        <v/>
      </c>
      <c r="P767" s="16" t="str">
        <f t="shared" si="95"/>
        <v/>
      </c>
      <c r="Q767" s="16" t="str">
        <f t="shared" si="95"/>
        <v/>
      </c>
      <c r="R767" s="5" t="str">
        <f t="shared" si="104"/>
        <v/>
      </c>
      <c r="S767" s="5" t="str">
        <f t="shared" si="98"/>
        <v/>
      </c>
      <c r="T767" s="5" t="str">
        <f t="shared" si="103"/>
        <v/>
      </c>
      <c r="U767" s="5" t="str">
        <f t="shared" si="103"/>
        <v/>
      </c>
    </row>
    <row r="768" spans="7:21" x14ac:dyDescent="0.2">
      <c r="G768" s="8"/>
      <c r="H768" s="5"/>
      <c r="J768" s="10" t="str">
        <f t="shared" si="96"/>
        <v/>
      </c>
      <c r="K768" s="10" t="str">
        <f t="shared" si="97"/>
        <v/>
      </c>
      <c r="L768" s="11" t="str">
        <f t="shared" si="99"/>
        <v/>
      </c>
      <c r="M768" s="9" t="str">
        <f>IF(G768&lt;&gt;"",J768/MAX(J$3:J768)-1,"")</f>
        <v/>
      </c>
      <c r="N768" s="9" t="str">
        <f>IF(G768&lt;&gt;"",K768/MAX(K$3:K768)-1,"")</f>
        <v/>
      </c>
      <c r="O768" s="16" t="str">
        <f t="shared" si="95"/>
        <v/>
      </c>
      <c r="P768" s="16" t="str">
        <f t="shared" si="95"/>
        <v/>
      </c>
      <c r="Q768" s="16" t="str">
        <f t="shared" si="95"/>
        <v/>
      </c>
      <c r="R768" s="5" t="str">
        <f t="shared" si="104"/>
        <v/>
      </c>
      <c r="S768" s="5" t="str">
        <f t="shared" si="98"/>
        <v/>
      </c>
      <c r="T768" s="5" t="str">
        <f t="shared" si="103"/>
        <v/>
      </c>
      <c r="U768" s="5" t="str">
        <f t="shared" si="103"/>
        <v/>
      </c>
    </row>
    <row r="769" spans="7:21" x14ac:dyDescent="0.2">
      <c r="G769" s="8"/>
      <c r="H769" s="5"/>
      <c r="J769" s="10" t="str">
        <f t="shared" si="96"/>
        <v/>
      </c>
      <c r="K769" s="10" t="str">
        <f t="shared" si="97"/>
        <v/>
      </c>
      <c r="L769" s="11" t="str">
        <f t="shared" si="99"/>
        <v/>
      </c>
      <c r="M769" s="9" t="str">
        <f>IF(G769&lt;&gt;"",J769/MAX(J$3:J769)-1,"")</f>
        <v/>
      </c>
      <c r="N769" s="9" t="str">
        <f>IF(G769&lt;&gt;"",K769/MAX(K$3:K769)-1,"")</f>
        <v/>
      </c>
      <c r="O769" s="16" t="str">
        <f t="shared" si="95"/>
        <v/>
      </c>
      <c r="P769" s="16" t="str">
        <f t="shared" si="95"/>
        <v/>
      </c>
      <c r="Q769" s="16" t="str">
        <f t="shared" si="95"/>
        <v/>
      </c>
      <c r="R769" s="5" t="str">
        <f t="shared" si="104"/>
        <v/>
      </c>
      <c r="S769" s="5" t="str">
        <f t="shared" si="98"/>
        <v/>
      </c>
      <c r="T769" s="5" t="str">
        <f t="shared" si="103"/>
        <v/>
      </c>
      <c r="U769" s="5" t="str">
        <f t="shared" si="103"/>
        <v/>
      </c>
    </row>
    <row r="770" spans="7:21" x14ac:dyDescent="0.2">
      <c r="G770" s="8"/>
      <c r="H770" s="5"/>
      <c r="J770" s="10" t="str">
        <f t="shared" si="96"/>
        <v/>
      </c>
      <c r="K770" s="10" t="str">
        <f t="shared" si="97"/>
        <v/>
      </c>
      <c r="L770" s="11" t="str">
        <f t="shared" si="99"/>
        <v/>
      </c>
      <c r="M770" s="9" t="str">
        <f>IF(G770&lt;&gt;"",J770/MAX(J$3:J770)-1,"")</f>
        <v/>
      </c>
      <c r="N770" s="9" t="str">
        <f>IF(G770&lt;&gt;"",K770/MAX(K$3:K770)-1,"")</f>
        <v/>
      </c>
      <c r="O770" s="16" t="str">
        <f t="shared" ref="O770:Q833" si="105">IF($G770&lt;&gt;"",J770/J769-1,"")</f>
        <v/>
      </c>
      <c r="P770" s="16" t="str">
        <f t="shared" si="105"/>
        <v/>
      </c>
      <c r="Q770" s="16" t="str">
        <f t="shared" si="105"/>
        <v/>
      </c>
      <c r="R770" s="5" t="str">
        <f t="shared" si="104"/>
        <v/>
      </c>
      <c r="S770" s="5" t="str">
        <f t="shared" si="98"/>
        <v/>
      </c>
      <c r="T770" s="5" t="str">
        <f t="shared" si="103"/>
        <v/>
      </c>
      <c r="U770" s="5" t="str">
        <f t="shared" si="103"/>
        <v/>
      </c>
    </row>
    <row r="771" spans="7:21" x14ac:dyDescent="0.2">
      <c r="G771" s="8"/>
      <c r="H771" s="5"/>
      <c r="J771" s="10" t="str">
        <f t="shared" si="96"/>
        <v/>
      </c>
      <c r="K771" s="10" t="str">
        <f t="shared" si="97"/>
        <v/>
      </c>
      <c r="L771" s="11" t="str">
        <f t="shared" si="99"/>
        <v/>
      </c>
      <c r="M771" s="9" t="str">
        <f>IF(G771&lt;&gt;"",J771/MAX(J$3:J771)-1,"")</f>
        <v/>
      </c>
      <c r="N771" s="9" t="str">
        <f>IF(G771&lt;&gt;"",K771/MAX(K$3:K771)-1,"")</f>
        <v/>
      </c>
      <c r="O771" s="16" t="str">
        <f t="shared" si="105"/>
        <v/>
      </c>
      <c r="P771" s="16" t="str">
        <f t="shared" si="105"/>
        <v/>
      </c>
      <c r="Q771" s="16" t="str">
        <f t="shared" si="105"/>
        <v/>
      </c>
      <c r="R771" s="5" t="str">
        <f t="shared" si="104"/>
        <v/>
      </c>
      <c r="S771" s="5" t="str">
        <f t="shared" si="98"/>
        <v/>
      </c>
      <c r="T771" s="5" t="str">
        <f t="shared" si="103"/>
        <v/>
      </c>
      <c r="U771" s="5" t="str">
        <f t="shared" si="103"/>
        <v/>
      </c>
    </row>
    <row r="772" spans="7:21" x14ac:dyDescent="0.2">
      <c r="G772" s="8"/>
      <c r="H772" s="5"/>
      <c r="J772" s="10" t="str">
        <f t="shared" ref="J772:J835" si="106">IF(G772&lt;&gt;"",1+H772,"")</f>
        <v/>
      </c>
      <c r="K772" s="10" t="str">
        <f t="shared" ref="K772:K835" si="107">IF(G772&lt;&gt;"",1+I772,"")</f>
        <v/>
      </c>
      <c r="L772" s="11" t="str">
        <f t="shared" si="99"/>
        <v/>
      </c>
      <c r="M772" s="9" t="str">
        <f>IF(G772&lt;&gt;"",J772/MAX(J$3:J772)-1,"")</f>
        <v/>
      </c>
      <c r="N772" s="9" t="str">
        <f>IF(G772&lt;&gt;"",K772/MAX(K$3:K772)-1,"")</f>
        <v/>
      </c>
      <c r="O772" s="16" t="str">
        <f t="shared" si="105"/>
        <v/>
      </c>
      <c r="P772" s="16" t="str">
        <f t="shared" si="105"/>
        <v/>
      </c>
      <c r="Q772" s="16" t="str">
        <f t="shared" si="105"/>
        <v/>
      </c>
      <c r="R772" s="5" t="str">
        <f t="shared" si="104"/>
        <v/>
      </c>
      <c r="S772" s="5" t="str">
        <f t="shared" ref="S772:S835" si="108">IF(R772&lt;&gt;"",B$12,"")</f>
        <v/>
      </c>
      <c r="T772" s="5" t="str">
        <f t="shared" si="103"/>
        <v/>
      </c>
      <c r="U772" s="5" t="str">
        <f t="shared" si="103"/>
        <v/>
      </c>
    </row>
    <row r="773" spans="7:21" x14ac:dyDescent="0.2">
      <c r="G773" s="8"/>
      <c r="H773" s="5"/>
      <c r="J773" s="10" t="str">
        <f t="shared" si="106"/>
        <v/>
      </c>
      <c r="K773" s="10" t="str">
        <f t="shared" si="107"/>
        <v/>
      </c>
      <c r="L773" s="11" t="str">
        <f t="shared" ref="L773:L836" si="109">IF(G773&lt;&gt;"",J773/K773,"")</f>
        <v/>
      </c>
      <c r="M773" s="9" t="str">
        <f>IF(G773&lt;&gt;"",J773/MAX(J$3:J773)-1,"")</f>
        <v/>
      </c>
      <c r="N773" s="9" t="str">
        <f>IF(G773&lt;&gt;"",K773/MAX(K$3:K773)-1,"")</f>
        <v/>
      </c>
      <c r="O773" s="16" t="str">
        <f t="shared" si="105"/>
        <v/>
      </c>
      <c r="P773" s="16" t="str">
        <f t="shared" si="105"/>
        <v/>
      </c>
      <c r="Q773" s="16" t="str">
        <f t="shared" si="105"/>
        <v/>
      </c>
      <c r="R773" s="5" t="str">
        <f t="shared" si="104"/>
        <v/>
      </c>
      <c r="S773" s="5" t="str">
        <f t="shared" si="108"/>
        <v/>
      </c>
      <c r="T773" s="5" t="str">
        <f t="shared" si="103"/>
        <v/>
      </c>
      <c r="U773" s="5" t="str">
        <f t="shared" si="103"/>
        <v/>
      </c>
    </row>
    <row r="774" spans="7:21" x14ac:dyDescent="0.2">
      <c r="G774" s="8"/>
      <c r="H774" s="5"/>
      <c r="J774" s="10" t="str">
        <f t="shared" si="106"/>
        <v/>
      </c>
      <c r="K774" s="10" t="str">
        <f t="shared" si="107"/>
        <v/>
      </c>
      <c r="L774" s="11" t="str">
        <f t="shared" si="109"/>
        <v/>
      </c>
      <c r="M774" s="9" t="str">
        <f>IF(G774&lt;&gt;"",J774/MAX(J$3:J774)-1,"")</f>
        <v/>
      </c>
      <c r="N774" s="9" t="str">
        <f>IF(G774&lt;&gt;"",K774/MAX(K$3:K774)-1,"")</f>
        <v/>
      </c>
      <c r="O774" s="16" t="str">
        <f t="shared" si="105"/>
        <v/>
      </c>
      <c r="P774" s="16" t="str">
        <f t="shared" si="105"/>
        <v/>
      </c>
      <c r="Q774" s="16" t="str">
        <f t="shared" si="105"/>
        <v/>
      </c>
      <c r="R774" s="5" t="str">
        <f t="shared" si="104"/>
        <v/>
      </c>
      <c r="S774" s="5" t="str">
        <f t="shared" si="108"/>
        <v/>
      </c>
      <c r="T774" s="5" t="str">
        <f t="shared" si="103"/>
        <v/>
      </c>
      <c r="U774" s="5" t="str">
        <f t="shared" si="103"/>
        <v/>
      </c>
    </row>
    <row r="775" spans="7:21" x14ac:dyDescent="0.2">
      <c r="G775" s="8"/>
      <c r="H775" s="5"/>
      <c r="J775" s="10" t="str">
        <f t="shared" si="106"/>
        <v/>
      </c>
      <c r="K775" s="10" t="str">
        <f t="shared" si="107"/>
        <v/>
      </c>
      <c r="L775" s="11" t="str">
        <f t="shared" si="109"/>
        <v/>
      </c>
      <c r="M775" s="9" t="str">
        <f>IF(G775&lt;&gt;"",J775/MAX(J$3:J775)-1,"")</f>
        <v/>
      </c>
      <c r="N775" s="9" t="str">
        <f>IF(G775&lt;&gt;"",K775/MAX(K$3:K775)-1,"")</f>
        <v/>
      </c>
      <c r="O775" s="16" t="str">
        <f t="shared" si="105"/>
        <v/>
      </c>
      <c r="P775" s="16" t="str">
        <f t="shared" si="105"/>
        <v/>
      </c>
      <c r="Q775" s="16" t="str">
        <f t="shared" si="105"/>
        <v/>
      </c>
      <c r="R775" s="5" t="str">
        <f t="shared" si="104"/>
        <v/>
      </c>
      <c r="S775" s="5" t="str">
        <f t="shared" si="108"/>
        <v/>
      </c>
      <c r="T775" s="5" t="str">
        <f t="shared" si="103"/>
        <v/>
      </c>
      <c r="U775" s="5" t="str">
        <f t="shared" si="103"/>
        <v/>
      </c>
    </row>
    <row r="776" spans="7:21" x14ac:dyDescent="0.2">
      <c r="G776" s="8"/>
      <c r="H776" s="5"/>
      <c r="J776" s="10" t="str">
        <f t="shared" si="106"/>
        <v/>
      </c>
      <c r="K776" s="10" t="str">
        <f t="shared" si="107"/>
        <v/>
      </c>
      <c r="L776" s="11" t="str">
        <f t="shared" si="109"/>
        <v/>
      </c>
      <c r="M776" s="9" t="str">
        <f>IF(G776&lt;&gt;"",J776/MAX(J$3:J776)-1,"")</f>
        <v/>
      </c>
      <c r="N776" s="9" t="str">
        <f>IF(G776&lt;&gt;"",K776/MAX(K$3:K776)-1,"")</f>
        <v/>
      </c>
      <c r="O776" s="16" t="str">
        <f t="shared" si="105"/>
        <v/>
      </c>
      <c r="P776" s="16" t="str">
        <f t="shared" si="105"/>
        <v/>
      </c>
      <c r="Q776" s="16" t="str">
        <f t="shared" si="105"/>
        <v/>
      </c>
      <c r="R776" s="5" t="str">
        <f t="shared" si="104"/>
        <v/>
      </c>
      <c r="S776" s="5" t="str">
        <f t="shared" si="108"/>
        <v/>
      </c>
      <c r="T776" s="5" t="str">
        <f t="shared" ref="T776:U791" si="110">IF($G776&lt;&gt;"",_xlfn.STDEV.S(O532:O776),"")</f>
        <v/>
      </c>
      <c r="U776" s="5" t="str">
        <f t="shared" si="110"/>
        <v/>
      </c>
    </row>
    <row r="777" spans="7:21" x14ac:dyDescent="0.2">
      <c r="G777" s="8"/>
      <c r="H777" s="5"/>
      <c r="J777" s="10" t="str">
        <f t="shared" si="106"/>
        <v/>
      </c>
      <c r="K777" s="10" t="str">
        <f t="shared" si="107"/>
        <v/>
      </c>
      <c r="L777" s="11" t="str">
        <f t="shared" si="109"/>
        <v/>
      </c>
      <c r="M777" s="9" t="str">
        <f>IF(G777&lt;&gt;"",J777/MAX(J$3:J777)-1,"")</f>
        <v/>
      </c>
      <c r="N777" s="9" t="str">
        <f>IF(G777&lt;&gt;"",K777/MAX(K$3:K777)-1,"")</f>
        <v/>
      </c>
      <c r="O777" s="16" t="str">
        <f t="shared" si="105"/>
        <v/>
      </c>
      <c r="P777" s="16" t="str">
        <f t="shared" si="105"/>
        <v/>
      </c>
      <c r="Q777" s="16" t="str">
        <f t="shared" si="105"/>
        <v/>
      </c>
      <c r="R777" s="5" t="str">
        <f t="shared" si="104"/>
        <v/>
      </c>
      <c r="S777" s="5" t="str">
        <f t="shared" si="108"/>
        <v/>
      </c>
      <c r="T777" s="5" t="str">
        <f t="shared" si="110"/>
        <v/>
      </c>
      <c r="U777" s="5" t="str">
        <f t="shared" si="110"/>
        <v/>
      </c>
    </row>
    <row r="778" spans="7:21" x14ac:dyDescent="0.2">
      <c r="G778" s="8"/>
      <c r="H778" s="5"/>
      <c r="J778" s="10" t="str">
        <f t="shared" si="106"/>
        <v/>
      </c>
      <c r="K778" s="10" t="str">
        <f t="shared" si="107"/>
        <v/>
      </c>
      <c r="L778" s="11" t="str">
        <f t="shared" si="109"/>
        <v/>
      </c>
      <c r="M778" s="9" t="str">
        <f>IF(G778&lt;&gt;"",J778/MAX(J$3:J778)-1,"")</f>
        <v/>
      </c>
      <c r="N778" s="9" t="str">
        <f>IF(G778&lt;&gt;"",K778/MAX(K$3:K778)-1,"")</f>
        <v/>
      </c>
      <c r="O778" s="16" t="str">
        <f t="shared" si="105"/>
        <v/>
      </c>
      <c r="P778" s="16" t="str">
        <f t="shared" si="105"/>
        <v/>
      </c>
      <c r="Q778" s="16" t="str">
        <f t="shared" si="105"/>
        <v/>
      </c>
      <c r="R778" s="5" t="str">
        <f t="shared" si="104"/>
        <v/>
      </c>
      <c r="S778" s="5" t="str">
        <f t="shared" si="108"/>
        <v/>
      </c>
      <c r="T778" s="5" t="str">
        <f t="shared" si="110"/>
        <v/>
      </c>
      <c r="U778" s="5" t="str">
        <f t="shared" si="110"/>
        <v/>
      </c>
    </row>
    <row r="779" spans="7:21" x14ac:dyDescent="0.2">
      <c r="G779" s="8"/>
      <c r="H779" s="5"/>
      <c r="J779" s="10" t="str">
        <f t="shared" si="106"/>
        <v/>
      </c>
      <c r="K779" s="10" t="str">
        <f t="shared" si="107"/>
        <v/>
      </c>
      <c r="L779" s="11" t="str">
        <f t="shared" si="109"/>
        <v/>
      </c>
      <c r="M779" s="9" t="str">
        <f>IF(G779&lt;&gt;"",J779/MAX(J$3:J779)-1,"")</f>
        <v/>
      </c>
      <c r="N779" s="9" t="str">
        <f>IF(G779&lt;&gt;"",K779/MAX(K$3:K779)-1,"")</f>
        <v/>
      </c>
      <c r="O779" s="16" t="str">
        <f t="shared" si="105"/>
        <v/>
      </c>
      <c r="P779" s="16" t="str">
        <f t="shared" si="105"/>
        <v/>
      </c>
      <c r="Q779" s="16" t="str">
        <f t="shared" si="105"/>
        <v/>
      </c>
      <c r="R779" s="5" t="str">
        <f t="shared" si="104"/>
        <v/>
      </c>
      <c r="S779" s="5" t="str">
        <f t="shared" si="108"/>
        <v/>
      </c>
      <c r="T779" s="5" t="str">
        <f t="shared" si="110"/>
        <v/>
      </c>
      <c r="U779" s="5" t="str">
        <f t="shared" si="110"/>
        <v/>
      </c>
    </row>
    <row r="780" spans="7:21" x14ac:dyDescent="0.2">
      <c r="G780" s="8"/>
      <c r="H780" s="5"/>
      <c r="J780" s="10" t="str">
        <f t="shared" si="106"/>
        <v/>
      </c>
      <c r="K780" s="10" t="str">
        <f t="shared" si="107"/>
        <v/>
      </c>
      <c r="L780" s="11" t="str">
        <f t="shared" si="109"/>
        <v/>
      </c>
      <c r="M780" s="9" t="str">
        <f>IF(G780&lt;&gt;"",J780/MAX(J$3:J780)-1,"")</f>
        <v/>
      </c>
      <c r="N780" s="9" t="str">
        <f>IF(G780&lt;&gt;"",K780/MAX(K$3:K780)-1,"")</f>
        <v/>
      </c>
      <c r="O780" s="16" t="str">
        <f t="shared" si="105"/>
        <v/>
      </c>
      <c r="P780" s="16" t="str">
        <f t="shared" si="105"/>
        <v/>
      </c>
      <c r="Q780" s="16" t="str">
        <f t="shared" si="105"/>
        <v/>
      </c>
      <c r="R780" s="5" t="str">
        <f t="shared" si="104"/>
        <v/>
      </c>
      <c r="S780" s="5" t="str">
        <f t="shared" si="108"/>
        <v/>
      </c>
      <c r="T780" s="5" t="str">
        <f t="shared" si="110"/>
        <v/>
      </c>
      <c r="U780" s="5" t="str">
        <f t="shared" si="110"/>
        <v/>
      </c>
    </row>
    <row r="781" spans="7:21" x14ac:dyDescent="0.2">
      <c r="G781" s="8"/>
      <c r="H781" s="5"/>
      <c r="J781" s="10" t="str">
        <f t="shared" si="106"/>
        <v/>
      </c>
      <c r="K781" s="10" t="str">
        <f t="shared" si="107"/>
        <v/>
      </c>
      <c r="L781" s="11" t="str">
        <f t="shared" si="109"/>
        <v/>
      </c>
      <c r="M781" s="9" t="str">
        <f>IF(G781&lt;&gt;"",J781/MAX(J$3:J781)-1,"")</f>
        <v/>
      </c>
      <c r="N781" s="9" t="str">
        <f>IF(G781&lt;&gt;"",K781/MAX(K$3:K781)-1,"")</f>
        <v/>
      </c>
      <c r="O781" s="16" t="str">
        <f t="shared" si="105"/>
        <v/>
      </c>
      <c r="P781" s="16" t="str">
        <f t="shared" si="105"/>
        <v/>
      </c>
      <c r="Q781" s="16" t="str">
        <f t="shared" si="105"/>
        <v/>
      </c>
      <c r="R781" s="5" t="str">
        <f t="shared" si="104"/>
        <v/>
      </c>
      <c r="S781" s="5" t="str">
        <f t="shared" si="108"/>
        <v/>
      </c>
      <c r="T781" s="5" t="str">
        <f t="shared" si="110"/>
        <v/>
      </c>
      <c r="U781" s="5" t="str">
        <f t="shared" si="110"/>
        <v/>
      </c>
    </row>
    <row r="782" spans="7:21" x14ac:dyDescent="0.2">
      <c r="G782" s="8"/>
      <c r="H782" s="5"/>
      <c r="J782" s="10" t="str">
        <f t="shared" si="106"/>
        <v/>
      </c>
      <c r="K782" s="10" t="str">
        <f t="shared" si="107"/>
        <v/>
      </c>
      <c r="L782" s="11" t="str">
        <f t="shared" si="109"/>
        <v/>
      </c>
      <c r="M782" s="9" t="str">
        <f>IF(G782&lt;&gt;"",J782/MAX(J$3:J782)-1,"")</f>
        <v/>
      </c>
      <c r="N782" s="9" t="str">
        <f>IF(G782&lt;&gt;"",K782/MAX(K$3:K782)-1,"")</f>
        <v/>
      </c>
      <c r="O782" s="16" t="str">
        <f t="shared" si="105"/>
        <v/>
      </c>
      <c r="P782" s="16" t="str">
        <f t="shared" si="105"/>
        <v/>
      </c>
      <c r="Q782" s="16" t="str">
        <f t="shared" si="105"/>
        <v/>
      </c>
      <c r="R782" s="5" t="str">
        <f t="shared" si="104"/>
        <v/>
      </c>
      <c r="S782" s="5" t="str">
        <f t="shared" si="108"/>
        <v/>
      </c>
      <c r="T782" s="5" t="str">
        <f t="shared" si="110"/>
        <v/>
      </c>
      <c r="U782" s="5" t="str">
        <f t="shared" si="110"/>
        <v/>
      </c>
    </row>
    <row r="783" spans="7:21" x14ac:dyDescent="0.2">
      <c r="G783" s="8"/>
      <c r="H783" s="5"/>
      <c r="J783" s="10" t="str">
        <f t="shared" si="106"/>
        <v/>
      </c>
      <c r="K783" s="10" t="str">
        <f t="shared" si="107"/>
        <v/>
      </c>
      <c r="L783" s="11" t="str">
        <f t="shared" si="109"/>
        <v/>
      </c>
      <c r="M783" s="9" t="str">
        <f>IF(G783&lt;&gt;"",J783/MAX(J$3:J783)-1,"")</f>
        <v/>
      </c>
      <c r="N783" s="9" t="str">
        <f>IF(G783&lt;&gt;"",K783/MAX(K$3:K783)-1,"")</f>
        <v/>
      </c>
      <c r="O783" s="16" t="str">
        <f t="shared" si="105"/>
        <v/>
      </c>
      <c r="P783" s="16" t="str">
        <f t="shared" si="105"/>
        <v/>
      </c>
      <c r="Q783" s="16" t="str">
        <f t="shared" si="105"/>
        <v/>
      </c>
      <c r="R783" s="5" t="str">
        <f t="shared" si="104"/>
        <v/>
      </c>
      <c r="S783" s="5" t="str">
        <f t="shared" si="108"/>
        <v/>
      </c>
      <c r="T783" s="5" t="str">
        <f t="shared" si="110"/>
        <v/>
      </c>
      <c r="U783" s="5" t="str">
        <f t="shared" si="110"/>
        <v/>
      </c>
    </row>
    <row r="784" spans="7:21" x14ac:dyDescent="0.2">
      <c r="G784" s="8"/>
      <c r="H784" s="5"/>
      <c r="J784" s="10" t="str">
        <f t="shared" si="106"/>
        <v/>
      </c>
      <c r="K784" s="10" t="str">
        <f t="shared" si="107"/>
        <v/>
      </c>
      <c r="L784" s="11" t="str">
        <f t="shared" si="109"/>
        <v/>
      </c>
      <c r="M784" s="9" t="str">
        <f>IF(G784&lt;&gt;"",J784/MAX(J$3:J784)-1,"")</f>
        <v/>
      </c>
      <c r="N784" s="9" t="str">
        <f>IF(G784&lt;&gt;"",K784/MAX(K$3:K784)-1,"")</f>
        <v/>
      </c>
      <c r="O784" s="16" t="str">
        <f t="shared" si="105"/>
        <v/>
      </c>
      <c r="P784" s="16" t="str">
        <f t="shared" si="105"/>
        <v/>
      </c>
      <c r="Q784" s="16" t="str">
        <f t="shared" si="105"/>
        <v/>
      </c>
      <c r="R784" s="5" t="str">
        <f t="shared" si="104"/>
        <v/>
      </c>
      <c r="S784" s="5" t="str">
        <f t="shared" si="108"/>
        <v/>
      </c>
      <c r="T784" s="5" t="str">
        <f t="shared" si="110"/>
        <v/>
      </c>
      <c r="U784" s="5" t="str">
        <f t="shared" si="110"/>
        <v/>
      </c>
    </row>
    <row r="785" spans="7:21" x14ac:dyDescent="0.2">
      <c r="G785" s="8"/>
      <c r="H785" s="5"/>
      <c r="J785" s="10" t="str">
        <f t="shared" si="106"/>
        <v/>
      </c>
      <c r="K785" s="10" t="str">
        <f t="shared" si="107"/>
        <v/>
      </c>
      <c r="L785" s="11" t="str">
        <f t="shared" si="109"/>
        <v/>
      </c>
      <c r="M785" s="9" t="str">
        <f>IF(G785&lt;&gt;"",J785/MAX(J$3:J785)-1,"")</f>
        <v/>
      </c>
      <c r="N785" s="9" t="str">
        <f>IF(G785&lt;&gt;"",K785/MAX(K$3:K785)-1,"")</f>
        <v/>
      </c>
      <c r="O785" s="16" t="str">
        <f t="shared" si="105"/>
        <v/>
      </c>
      <c r="P785" s="16" t="str">
        <f t="shared" si="105"/>
        <v/>
      </c>
      <c r="Q785" s="16" t="str">
        <f t="shared" si="105"/>
        <v/>
      </c>
      <c r="R785" s="5" t="str">
        <f t="shared" si="104"/>
        <v/>
      </c>
      <c r="S785" s="5" t="str">
        <f t="shared" si="108"/>
        <v/>
      </c>
      <c r="T785" s="5" t="str">
        <f t="shared" si="110"/>
        <v/>
      </c>
      <c r="U785" s="5" t="str">
        <f t="shared" si="110"/>
        <v/>
      </c>
    </row>
    <row r="786" spans="7:21" x14ac:dyDescent="0.2">
      <c r="G786" s="8"/>
      <c r="H786" s="5"/>
      <c r="J786" s="10" t="str">
        <f t="shared" si="106"/>
        <v/>
      </c>
      <c r="K786" s="10" t="str">
        <f t="shared" si="107"/>
        <v/>
      </c>
      <c r="L786" s="11" t="str">
        <f t="shared" si="109"/>
        <v/>
      </c>
      <c r="M786" s="9" t="str">
        <f>IF(G786&lt;&gt;"",J786/MAX(J$3:J786)-1,"")</f>
        <v/>
      </c>
      <c r="N786" s="9" t="str">
        <f>IF(G786&lt;&gt;"",K786/MAX(K$3:K786)-1,"")</f>
        <v/>
      </c>
      <c r="O786" s="16" t="str">
        <f t="shared" si="105"/>
        <v/>
      </c>
      <c r="P786" s="16" t="str">
        <f t="shared" si="105"/>
        <v/>
      </c>
      <c r="Q786" s="16" t="str">
        <f t="shared" si="105"/>
        <v/>
      </c>
      <c r="R786" s="5" t="str">
        <f t="shared" si="104"/>
        <v/>
      </c>
      <c r="S786" s="5" t="str">
        <f t="shared" si="108"/>
        <v/>
      </c>
      <c r="T786" s="5" t="str">
        <f t="shared" si="110"/>
        <v/>
      </c>
      <c r="U786" s="5" t="str">
        <f t="shared" si="110"/>
        <v/>
      </c>
    </row>
    <row r="787" spans="7:21" x14ac:dyDescent="0.2">
      <c r="G787" s="8"/>
      <c r="H787" s="5"/>
      <c r="J787" s="10" t="str">
        <f t="shared" si="106"/>
        <v/>
      </c>
      <c r="K787" s="10" t="str">
        <f t="shared" si="107"/>
        <v/>
      </c>
      <c r="L787" s="11" t="str">
        <f t="shared" si="109"/>
        <v/>
      </c>
      <c r="M787" s="9" t="str">
        <f>IF(G787&lt;&gt;"",J787/MAX(J$3:J787)-1,"")</f>
        <v/>
      </c>
      <c r="N787" s="9" t="str">
        <f>IF(G787&lt;&gt;"",K787/MAX(K$3:K787)-1,"")</f>
        <v/>
      </c>
      <c r="O787" s="16" t="str">
        <f t="shared" si="105"/>
        <v/>
      </c>
      <c r="P787" s="16" t="str">
        <f t="shared" si="105"/>
        <v/>
      </c>
      <c r="Q787" s="16" t="str">
        <f t="shared" si="105"/>
        <v/>
      </c>
      <c r="R787" s="5" t="str">
        <f t="shared" si="104"/>
        <v/>
      </c>
      <c r="S787" s="5" t="str">
        <f t="shared" si="108"/>
        <v/>
      </c>
      <c r="T787" s="5" t="str">
        <f t="shared" si="110"/>
        <v/>
      </c>
      <c r="U787" s="5" t="str">
        <f t="shared" si="110"/>
        <v/>
      </c>
    </row>
    <row r="788" spans="7:21" x14ac:dyDescent="0.2">
      <c r="G788" s="8"/>
      <c r="H788" s="5"/>
      <c r="J788" s="10" t="str">
        <f t="shared" si="106"/>
        <v/>
      </c>
      <c r="K788" s="10" t="str">
        <f t="shared" si="107"/>
        <v/>
      </c>
      <c r="L788" s="11" t="str">
        <f t="shared" si="109"/>
        <v/>
      </c>
      <c r="M788" s="9" t="str">
        <f>IF(G788&lt;&gt;"",J788/MAX(J$3:J788)-1,"")</f>
        <v/>
      </c>
      <c r="N788" s="9" t="str">
        <f>IF(G788&lt;&gt;"",K788/MAX(K$3:K788)-1,"")</f>
        <v/>
      </c>
      <c r="O788" s="16" t="str">
        <f t="shared" si="105"/>
        <v/>
      </c>
      <c r="P788" s="16" t="str">
        <f t="shared" si="105"/>
        <v/>
      </c>
      <c r="Q788" s="16" t="str">
        <f t="shared" si="105"/>
        <v/>
      </c>
      <c r="R788" s="5" t="str">
        <f t="shared" si="104"/>
        <v/>
      </c>
      <c r="S788" s="5" t="str">
        <f t="shared" si="108"/>
        <v/>
      </c>
      <c r="T788" s="5" t="str">
        <f t="shared" si="110"/>
        <v/>
      </c>
      <c r="U788" s="5" t="str">
        <f t="shared" si="110"/>
        <v/>
      </c>
    </row>
    <row r="789" spans="7:21" x14ac:dyDescent="0.2">
      <c r="G789" s="8"/>
      <c r="H789" s="5"/>
      <c r="J789" s="10" t="str">
        <f t="shared" si="106"/>
        <v/>
      </c>
      <c r="K789" s="10" t="str">
        <f t="shared" si="107"/>
        <v/>
      </c>
      <c r="L789" s="11" t="str">
        <f t="shared" si="109"/>
        <v/>
      </c>
      <c r="M789" s="9" t="str">
        <f>IF(G789&lt;&gt;"",J789/MAX(J$3:J789)-1,"")</f>
        <v/>
      </c>
      <c r="N789" s="9" t="str">
        <f>IF(G789&lt;&gt;"",K789/MAX(K$3:K789)-1,"")</f>
        <v/>
      </c>
      <c r="O789" s="16" t="str">
        <f t="shared" si="105"/>
        <v/>
      </c>
      <c r="P789" s="16" t="str">
        <f t="shared" si="105"/>
        <v/>
      </c>
      <c r="Q789" s="16" t="str">
        <f t="shared" si="105"/>
        <v/>
      </c>
      <c r="R789" s="5" t="str">
        <f t="shared" si="104"/>
        <v/>
      </c>
      <c r="S789" s="5" t="str">
        <f t="shared" si="108"/>
        <v/>
      </c>
      <c r="T789" s="5" t="str">
        <f t="shared" si="110"/>
        <v/>
      </c>
      <c r="U789" s="5" t="str">
        <f t="shared" si="110"/>
        <v/>
      </c>
    </row>
    <row r="790" spans="7:21" x14ac:dyDescent="0.2">
      <c r="G790" s="8"/>
      <c r="H790" s="5"/>
      <c r="J790" s="10" t="str">
        <f t="shared" si="106"/>
        <v/>
      </c>
      <c r="K790" s="10" t="str">
        <f t="shared" si="107"/>
        <v/>
      </c>
      <c r="L790" s="11" t="str">
        <f t="shared" si="109"/>
        <v/>
      </c>
      <c r="M790" s="9" t="str">
        <f>IF(G790&lt;&gt;"",J790/MAX(J$3:J790)-1,"")</f>
        <v/>
      </c>
      <c r="N790" s="9" t="str">
        <f>IF(G790&lt;&gt;"",K790/MAX(K$3:K790)-1,"")</f>
        <v/>
      </c>
      <c r="O790" s="16" t="str">
        <f t="shared" si="105"/>
        <v/>
      </c>
      <c r="P790" s="16" t="str">
        <f t="shared" si="105"/>
        <v/>
      </c>
      <c r="Q790" s="16" t="str">
        <f t="shared" si="105"/>
        <v/>
      </c>
      <c r="R790" s="5" t="str">
        <f t="shared" si="104"/>
        <v/>
      </c>
      <c r="S790" s="5" t="str">
        <f t="shared" si="108"/>
        <v/>
      </c>
      <c r="T790" s="5" t="str">
        <f t="shared" si="110"/>
        <v/>
      </c>
      <c r="U790" s="5" t="str">
        <f t="shared" si="110"/>
        <v/>
      </c>
    </row>
    <row r="791" spans="7:21" x14ac:dyDescent="0.2">
      <c r="G791" s="8"/>
      <c r="H791" s="5"/>
      <c r="J791" s="10" t="str">
        <f t="shared" si="106"/>
        <v/>
      </c>
      <c r="K791" s="10" t="str">
        <f t="shared" si="107"/>
        <v/>
      </c>
      <c r="L791" s="11" t="str">
        <f t="shared" si="109"/>
        <v/>
      </c>
      <c r="M791" s="9" t="str">
        <f>IF(G791&lt;&gt;"",J791/MAX(J$3:J791)-1,"")</f>
        <v/>
      </c>
      <c r="N791" s="9" t="str">
        <f>IF(G791&lt;&gt;"",K791/MAX(K$3:K791)-1,"")</f>
        <v/>
      </c>
      <c r="O791" s="16" t="str">
        <f t="shared" si="105"/>
        <v/>
      </c>
      <c r="P791" s="16" t="str">
        <f t="shared" si="105"/>
        <v/>
      </c>
      <c r="Q791" s="16" t="str">
        <f t="shared" si="105"/>
        <v/>
      </c>
      <c r="R791" s="5" t="str">
        <f t="shared" si="104"/>
        <v/>
      </c>
      <c r="S791" s="5" t="str">
        <f t="shared" si="108"/>
        <v/>
      </c>
      <c r="T791" s="5" t="str">
        <f t="shared" si="110"/>
        <v/>
      </c>
      <c r="U791" s="5" t="str">
        <f t="shared" si="110"/>
        <v/>
      </c>
    </row>
    <row r="792" spans="7:21" x14ac:dyDescent="0.2">
      <c r="G792" s="8"/>
      <c r="H792" s="5"/>
      <c r="J792" s="10" t="str">
        <f t="shared" si="106"/>
        <v/>
      </c>
      <c r="K792" s="10" t="str">
        <f t="shared" si="107"/>
        <v/>
      </c>
      <c r="L792" s="11" t="str">
        <f t="shared" si="109"/>
        <v/>
      </c>
      <c r="M792" s="9" t="str">
        <f>IF(G792&lt;&gt;"",J792/MAX(J$3:J792)-1,"")</f>
        <v/>
      </c>
      <c r="N792" s="9" t="str">
        <f>IF(G792&lt;&gt;"",K792/MAX(K$3:K792)-1,"")</f>
        <v/>
      </c>
      <c r="O792" s="16" t="str">
        <f t="shared" si="105"/>
        <v/>
      </c>
      <c r="P792" s="16" t="str">
        <f t="shared" si="105"/>
        <v/>
      </c>
      <c r="Q792" s="16" t="str">
        <f t="shared" si="105"/>
        <v/>
      </c>
      <c r="R792" s="5" t="str">
        <f t="shared" si="104"/>
        <v/>
      </c>
      <c r="S792" s="5" t="str">
        <f t="shared" si="108"/>
        <v/>
      </c>
      <c r="T792" s="5" t="str">
        <f t="shared" ref="T792:U807" si="111">IF($G792&lt;&gt;"",_xlfn.STDEV.S(O548:O792),"")</f>
        <v/>
      </c>
      <c r="U792" s="5" t="str">
        <f t="shared" si="111"/>
        <v/>
      </c>
    </row>
    <row r="793" spans="7:21" x14ac:dyDescent="0.2">
      <c r="G793" s="8"/>
      <c r="H793" s="5"/>
      <c r="J793" s="10" t="str">
        <f t="shared" si="106"/>
        <v/>
      </c>
      <c r="K793" s="10" t="str">
        <f t="shared" si="107"/>
        <v/>
      </c>
      <c r="L793" s="11" t="str">
        <f t="shared" si="109"/>
        <v/>
      </c>
      <c r="M793" s="9" t="str">
        <f>IF(G793&lt;&gt;"",J793/MAX(J$3:J793)-1,"")</f>
        <v/>
      </c>
      <c r="N793" s="9" t="str">
        <f>IF(G793&lt;&gt;"",K793/MAX(K$3:K793)-1,"")</f>
        <v/>
      </c>
      <c r="O793" s="16" t="str">
        <f t="shared" si="105"/>
        <v/>
      </c>
      <c r="P793" s="16" t="str">
        <f t="shared" si="105"/>
        <v/>
      </c>
      <c r="Q793" s="16" t="str">
        <f t="shared" si="105"/>
        <v/>
      </c>
      <c r="R793" s="5" t="str">
        <f t="shared" si="104"/>
        <v/>
      </c>
      <c r="S793" s="5" t="str">
        <f t="shared" si="108"/>
        <v/>
      </c>
      <c r="T793" s="5" t="str">
        <f t="shared" si="111"/>
        <v/>
      </c>
      <c r="U793" s="5" t="str">
        <f t="shared" si="111"/>
        <v/>
      </c>
    </row>
    <row r="794" spans="7:21" x14ac:dyDescent="0.2">
      <c r="G794" s="8"/>
      <c r="H794" s="5"/>
      <c r="J794" s="10" t="str">
        <f t="shared" si="106"/>
        <v/>
      </c>
      <c r="K794" s="10" t="str">
        <f t="shared" si="107"/>
        <v/>
      </c>
      <c r="L794" s="11" t="str">
        <f t="shared" si="109"/>
        <v/>
      </c>
      <c r="M794" s="9" t="str">
        <f>IF(G794&lt;&gt;"",J794/MAX(J$3:J794)-1,"")</f>
        <v/>
      </c>
      <c r="N794" s="9" t="str">
        <f>IF(G794&lt;&gt;"",K794/MAX(K$3:K794)-1,"")</f>
        <v/>
      </c>
      <c r="O794" s="16" t="str">
        <f t="shared" si="105"/>
        <v/>
      </c>
      <c r="P794" s="16" t="str">
        <f t="shared" si="105"/>
        <v/>
      </c>
      <c r="Q794" s="16" t="str">
        <f t="shared" si="105"/>
        <v/>
      </c>
      <c r="R794" s="5" t="str">
        <f t="shared" si="104"/>
        <v/>
      </c>
      <c r="S794" s="5" t="str">
        <f t="shared" si="108"/>
        <v/>
      </c>
      <c r="T794" s="5" t="str">
        <f t="shared" si="111"/>
        <v/>
      </c>
      <c r="U794" s="5" t="str">
        <f t="shared" si="111"/>
        <v/>
      </c>
    </row>
    <row r="795" spans="7:21" x14ac:dyDescent="0.2">
      <c r="G795" s="8"/>
      <c r="H795" s="5"/>
      <c r="J795" s="10" t="str">
        <f t="shared" si="106"/>
        <v/>
      </c>
      <c r="K795" s="10" t="str">
        <f t="shared" si="107"/>
        <v/>
      </c>
      <c r="L795" s="11" t="str">
        <f t="shared" si="109"/>
        <v/>
      </c>
      <c r="M795" s="9" t="str">
        <f>IF(G795&lt;&gt;"",J795/MAX(J$3:J795)-1,"")</f>
        <v/>
      </c>
      <c r="N795" s="9" t="str">
        <f>IF(G795&lt;&gt;"",K795/MAX(K$3:K795)-1,"")</f>
        <v/>
      </c>
      <c r="O795" s="16" t="str">
        <f t="shared" si="105"/>
        <v/>
      </c>
      <c r="P795" s="16" t="str">
        <f t="shared" si="105"/>
        <v/>
      </c>
      <c r="Q795" s="16" t="str">
        <f t="shared" si="105"/>
        <v/>
      </c>
      <c r="R795" s="5" t="str">
        <f t="shared" si="104"/>
        <v/>
      </c>
      <c r="S795" s="5" t="str">
        <f t="shared" si="108"/>
        <v/>
      </c>
      <c r="T795" s="5" t="str">
        <f t="shared" si="111"/>
        <v/>
      </c>
      <c r="U795" s="5" t="str">
        <f t="shared" si="111"/>
        <v/>
      </c>
    </row>
    <row r="796" spans="7:21" x14ac:dyDescent="0.2">
      <c r="G796" s="8"/>
      <c r="H796" s="5"/>
      <c r="J796" s="10" t="str">
        <f t="shared" si="106"/>
        <v/>
      </c>
      <c r="K796" s="10" t="str">
        <f t="shared" si="107"/>
        <v/>
      </c>
      <c r="L796" s="11" t="str">
        <f t="shared" si="109"/>
        <v/>
      </c>
      <c r="M796" s="9" t="str">
        <f>IF(G796&lt;&gt;"",J796/MAX(J$3:J796)-1,"")</f>
        <v/>
      </c>
      <c r="N796" s="9" t="str">
        <f>IF(G796&lt;&gt;"",K796/MAX(K$3:K796)-1,"")</f>
        <v/>
      </c>
      <c r="O796" s="16" t="str">
        <f t="shared" si="105"/>
        <v/>
      </c>
      <c r="P796" s="16" t="str">
        <f t="shared" si="105"/>
        <v/>
      </c>
      <c r="Q796" s="16" t="str">
        <f t="shared" si="105"/>
        <v/>
      </c>
      <c r="R796" s="5" t="str">
        <f t="shared" si="104"/>
        <v/>
      </c>
      <c r="S796" s="5" t="str">
        <f t="shared" si="108"/>
        <v/>
      </c>
      <c r="T796" s="5" t="str">
        <f t="shared" si="111"/>
        <v/>
      </c>
      <c r="U796" s="5" t="str">
        <f t="shared" si="111"/>
        <v/>
      </c>
    </row>
    <row r="797" spans="7:21" x14ac:dyDescent="0.2">
      <c r="G797" s="8"/>
      <c r="H797" s="5"/>
      <c r="J797" s="10" t="str">
        <f t="shared" si="106"/>
        <v/>
      </c>
      <c r="K797" s="10" t="str">
        <f t="shared" si="107"/>
        <v/>
      </c>
      <c r="L797" s="11" t="str">
        <f t="shared" si="109"/>
        <v/>
      </c>
      <c r="M797" s="9" t="str">
        <f>IF(G797&lt;&gt;"",J797/MAX(J$3:J797)-1,"")</f>
        <v/>
      </c>
      <c r="N797" s="9" t="str">
        <f>IF(G797&lt;&gt;"",K797/MAX(K$3:K797)-1,"")</f>
        <v/>
      </c>
      <c r="O797" s="16" t="str">
        <f t="shared" si="105"/>
        <v/>
      </c>
      <c r="P797" s="16" t="str">
        <f t="shared" si="105"/>
        <v/>
      </c>
      <c r="Q797" s="16" t="str">
        <f t="shared" si="105"/>
        <v/>
      </c>
      <c r="R797" s="5" t="str">
        <f t="shared" si="104"/>
        <v/>
      </c>
      <c r="S797" s="5" t="str">
        <f t="shared" si="108"/>
        <v/>
      </c>
      <c r="T797" s="5" t="str">
        <f t="shared" si="111"/>
        <v/>
      </c>
      <c r="U797" s="5" t="str">
        <f t="shared" si="111"/>
        <v/>
      </c>
    </row>
    <row r="798" spans="7:21" x14ac:dyDescent="0.2">
      <c r="G798" s="8"/>
      <c r="H798" s="5"/>
      <c r="J798" s="10" t="str">
        <f t="shared" si="106"/>
        <v/>
      </c>
      <c r="K798" s="10" t="str">
        <f t="shared" si="107"/>
        <v/>
      </c>
      <c r="L798" s="11" t="str">
        <f t="shared" si="109"/>
        <v/>
      </c>
      <c r="M798" s="9" t="str">
        <f>IF(G798&lt;&gt;"",J798/MAX(J$3:J798)-1,"")</f>
        <v/>
      </c>
      <c r="N798" s="9" t="str">
        <f>IF(G798&lt;&gt;"",K798/MAX(K$3:K798)-1,"")</f>
        <v/>
      </c>
      <c r="O798" s="16" t="str">
        <f t="shared" si="105"/>
        <v/>
      </c>
      <c r="P798" s="16" t="str">
        <f t="shared" si="105"/>
        <v/>
      </c>
      <c r="Q798" s="16" t="str">
        <f t="shared" si="105"/>
        <v/>
      </c>
      <c r="R798" s="5" t="str">
        <f t="shared" si="104"/>
        <v/>
      </c>
      <c r="S798" s="5" t="str">
        <f t="shared" si="108"/>
        <v/>
      </c>
      <c r="T798" s="5" t="str">
        <f t="shared" si="111"/>
        <v/>
      </c>
      <c r="U798" s="5" t="str">
        <f t="shared" si="111"/>
        <v/>
      </c>
    </row>
    <row r="799" spans="7:21" x14ac:dyDescent="0.2">
      <c r="G799" s="8"/>
      <c r="H799" s="5"/>
      <c r="J799" s="10" t="str">
        <f t="shared" si="106"/>
        <v/>
      </c>
      <c r="K799" s="10" t="str">
        <f t="shared" si="107"/>
        <v/>
      </c>
      <c r="L799" s="11" t="str">
        <f t="shared" si="109"/>
        <v/>
      </c>
      <c r="M799" s="9" t="str">
        <f>IF(G799&lt;&gt;"",J799/MAX(J$3:J799)-1,"")</f>
        <v/>
      </c>
      <c r="N799" s="9" t="str">
        <f>IF(G799&lt;&gt;"",K799/MAX(K$3:K799)-1,"")</f>
        <v/>
      </c>
      <c r="O799" s="16" t="str">
        <f t="shared" si="105"/>
        <v/>
      </c>
      <c r="P799" s="16" t="str">
        <f t="shared" si="105"/>
        <v/>
      </c>
      <c r="Q799" s="16" t="str">
        <f t="shared" si="105"/>
        <v/>
      </c>
      <c r="R799" s="5" t="str">
        <f t="shared" si="104"/>
        <v/>
      </c>
      <c r="S799" s="5" t="str">
        <f t="shared" si="108"/>
        <v/>
      </c>
      <c r="T799" s="5" t="str">
        <f t="shared" si="111"/>
        <v/>
      </c>
      <c r="U799" s="5" t="str">
        <f t="shared" si="111"/>
        <v/>
      </c>
    </row>
    <row r="800" spans="7:21" x14ac:dyDescent="0.2">
      <c r="G800" s="8"/>
      <c r="H800" s="5"/>
      <c r="J800" s="10" t="str">
        <f t="shared" si="106"/>
        <v/>
      </c>
      <c r="K800" s="10" t="str">
        <f t="shared" si="107"/>
        <v/>
      </c>
      <c r="L800" s="11" t="str">
        <f t="shared" si="109"/>
        <v/>
      </c>
      <c r="M800" s="9" t="str">
        <f>IF(G800&lt;&gt;"",J800/MAX(J$3:J800)-1,"")</f>
        <v/>
      </c>
      <c r="N800" s="9" t="str">
        <f>IF(G800&lt;&gt;"",K800/MAX(K$3:K800)-1,"")</f>
        <v/>
      </c>
      <c r="O800" s="16" t="str">
        <f t="shared" si="105"/>
        <v/>
      </c>
      <c r="P800" s="16" t="str">
        <f t="shared" si="105"/>
        <v/>
      </c>
      <c r="Q800" s="16" t="str">
        <f t="shared" si="105"/>
        <v/>
      </c>
      <c r="R800" s="5" t="str">
        <f t="shared" si="104"/>
        <v/>
      </c>
      <c r="S800" s="5" t="str">
        <f t="shared" si="108"/>
        <v/>
      </c>
      <c r="T800" s="5" t="str">
        <f t="shared" si="111"/>
        <v/>
      </c>
      <c r="U800" s="5" t="str">
        <f t="shared" si="111"/>
        <v/>
      </c>
    </row>
    <row r="801" spans="7:21" x14ac:dyDescent="0.2">
      <c r="G801" s="8"/>
      <c r="H801" s="5"/>
      <c r="J801" s="10" t="str">
        <f t="shared" si="106"/>
        <v/>
      </c>
      <c r="K801" s="10" t="str">
        <f t="shared" si="107"/>
        <v/>
      </c>
      <c r="L801" s="11" t="str">
        <f t="shared" si="109"/>
        <v/>
      </c>
      <c r="M801" s="9" t="str">
        <f>IF(G801&lt;&gt;"",J801/MAX(J$3:J801)-1,"")</f>
        <v/>
      </c>
      <c r="N801" s="9" t="str">
        <f>IF(G801&lt;&gt;"",K801/MAX(K$3:K801)-1,"")</f>
        <v/>
      </c>
      <c r="O801" s="16" t="str">
        <f t="shared" si="105"/>
        <v/>
      </c>
      <c r="P801" s="16" t="str">
        <f t="shared" si="105"/>
        <v/>
      </c>
      <c r="Q801" s="16" t="str">
        <f t="shared" si="105"/>
        <v/>
      </c>
      <c r="R801" s="5" t="str">
        <f t="shared" si="104"/>
        <v/>
      </c>
      <c r="S801" s="5" t="str">
        <f t="shared" si="108"/>
        <v/>
      </c>
      <c r="T801" s="5" t="str">
        <f t="shared" si="111"/>
        <v/>
      </c>
      <c r="U801" s="5" t="str">
        <f t="shared" si="111"/>
        <v/>
      </c>
    </row>
    <row r="802" spans="7:21" x14ac:dyDescent="0.2">
      <c r="G802" s="8"/>
      <c r="H802" s="5"/>
      <c r="J802" s="10" t="str">
        <f t="shared" si="106"/>
        <v/>
      </c>
      <c r="K802" s="10" t="str">
        <f t="shared" si="107"/>
        <v/>
      </c>
      <c r="L802" s="11" t="str">
        <f t="shared" si="109"/>
        <v/>
      </c>
      <c r="M802" s="9" t="str">
        <f>IF(G802&lt;&gt;"",J802/MAX(J$3:J802)-1,"")</f>
        <v/>
      </c>
      <c r="N802" s="9" t="str">
        <f>IF(G802&lt;&gt;"",K802/MAX(K$3:K802)-1,"")</f>
        <v/>
      </c>
      <c r="O802" s="16" t="str">
        <f t="shared" si="105"/>
        <v/>
      </c>
      <c r="P802" s="16" t="str">
        <f t="shared" si="105"/>
        <v/>
      </c>
      <c r="Q802" s="16" t="str">
        <f t="shared" si="105"/>
        <v/>
      </c>
      <c r="R802" s="5" t="str">
        <f t="shared" si="104"/>
        <v/>
      </c>
      <c r="S802" s="5" t="str">
        <f t="shared" si="108"/>
        <v/>
      </c>
      <c r="T802" s="5" t="str">
        <f t="shared" si="111"/>
        <v/>
      </c>
      <c r="U802" s="5" t="str">
        <f t="shared" si="111"/>
        <v/>
      </c>
    </row>
    <row r="803" spans="7:21" x14ac:dyDescent="0.2">
      <c r="G803" s="8"/>
      <c r="H803" s="5"/>
      <c r="J803" s="10" t="str">
        <f t="shared" si="106"/>
        <v/>
      </c>
      <c r="K803" s="10" t="str">
        <f t="shared" si="107"/>
        <v/>
      </c>
      <c r="L803" s="11" t="str">
        <f t="shared" si="109"/>
        <v/>
      </c>
      <c r="M803" s="9" t="str">
        <f>IF(G803&lt;&gt;"",J803/MAX(J$3:J803)-1,"")</f>
        <v/>
      </c>
      <c r="N803" s="9" t="str">
        <f>IF(G803&lt;&gt;"",K803/MAX(K$3:K803)-1,"")</f>
        <v/>
      </c>
      <c r="O803" s="16" t="str">
        <f t="shared" si="105"/>
        <v/>
      </c>
      <c r="P803" s="16" t="str">
        <f t="shared" si="105"/>
        <v/>
      </c>
      <c r="Q803" s="16" t="str">
        <f t="shared" si="105"/>
        <v/>
      </c>
      <c r="R803" s="5" t="str">
        <f t="shared" si="104"/>
        <v/>
      </c>
      <c r="S803" s="5" t="str">
        <f t="shared" si="108"/>
        <v/>
      </c>
      <c r="T803" s="5" t="str">
        <f t="shared" si="111"/>
        <v/>
      </c>
      <c r="U803" s="5" t="str">
        <f t="shared" si="111"/>
        <v/>
      </c>
    </row>
    <row r="804" spans="7:21" x14ac:dyDescent="0.2">
      <c r="G804" s="8"/>
      <c r="H804" s="5"/>
      <c r="J804" s="10" t="str">
        <f t="shared" si="106"/>
        <v/>
      </c>
      <c r="K804" s="10" t="str">
        <f t="shared" si="107"/>
        <v/>
      </c>
      <c r="L804" s="11" t="str">
        <f t="shared" si="109"/>
        <v/>
      </c>
      <c r="M804" s="9" t="str">
        <f>IF(G804&lt;&gt;"",J804/MAX(J$3:J804)-1,"")</f>
        <v/>
      </c>
      <c r="N804" s="9" t="str">
        <f>IF(G804&lt;&gt;"",K804/MAX(K$3:K804)-1,"")</f>
        <v/>
      </c>
      <c r="O804" s="16" t="str">
        <f t="shared" si="105"/>
        <v/>
      </c>
      <c r="P804" s="16" t="str">
        <f t="shared" si="105"/>
        <v/>
      </c>
      <c r="Q804" s="16" t="str">
        <f t="shared" si="105"/>
        <v/>
      </c>
      <c r="R804" s="5" t="str">
        <f t="shared" si="104"/>
        <v/>
      </c>
      <c r="S804" s="5" t="str">
        <f t="shared" si="108"/>
        <v/>
      </c>
      <c r="T804" s="5" t="str">
        <f t="shared" si="111"/>
        <v/>
      </c>
      <c r="U804" s="5" t="str">
        <f t="shared" si="111"/>
        <v/>
      </c>
    </row>
    <row r="805" spans="7:21" x14ac:dyDescent="0.2">
      <c r="G805" s="8"/>
      <c r="H805" s="5"/>
      <c r="J805" s="10" t="str">
        <f t="shared" si="106"/>
        <v/>
      </c>
      <c r="K805" s="10" t="str">
        <f t="shared" si="107"/>
        <v/>
      </c>
      <c r="L805" s="11" t="str">
        <f t="shared" si="109"/>
        <v/>
      </c>
      <c r="M805" s="9" t="str">
        <f>IF(G805&lt;&gt;"",J805/MAX(J$3:J805)-1,"")</f>
        <v/>
      </c>
      <c r="N805" s="9" t="str">
        <f>IF(G805&lt;&gt;"",K805/MAX(K$3:K805)-1,"")</f>
        <v/>
      </c>
      <c r="O805" s="16" t="str">
        <f t="shared" si="105"/>
        <v/>
      </c>
      <c r="P805" s="16" t="str">
        <f t="shared" si="105"/>
        <v/>
      </c>
      <c r="Q805" s="16" t="str">
        <f t="shared" si="105"/>
        <v/>
      </c>
      <c r="R805" s="5" t="str">
        <f t="shared" si="104"/>
        <v/>
      </c>
      <c r="S805" s="5" t="str">
        <f t="shared" si="108"/>
        <v/>
      </c>
      <c r="T805" s="5" t="str">
        <f t="shared" si="111"/>
        <v/>
      </c>
      <c r="U805" s="5" t="str">
        <f t="shared" si="111"/>
        <v/>
      </c>
    </row>
    <row r="806" spans="7:21" x14ac:dyDescent="0.2">
      <c r="G806" s="8"/>
      <c r="H806" s="5"/>
      <c r="J806" s="10" t="str">
        <f t="shared" si="106"/>
        <v/>
      </c>
      <c r="K806" s="10" t="str">
        <f t="shared" si="107"/>
        <v/>
      </c>
      <c r="L806" s="11" t="str">
        <f t="shared" si="109"/>
        <v/>
      </c>
      <c r="M806" s="9" t="str">
        <f>IF(G806&lt;&gt;"",J806/MAX(J$3:J806)-1,"")</f>
        <v/>
      </c>
      <c r="N806" s="9" t="str">
        <f>IF(G806&lt;&gt;"",K806/MAX(K$3:K806)-1,"")</f>
        <v/>
      </c>
      <c r="O806" s="16" t="str">
        <f t="shared" si="105"/>
        <v/>
      </c>
      <c r="P806" s="16" t="str">
        <f t="shared" si="105"/>
        <v/>
      </c>
      <c r="Q806" s="16" t="str">
        <f t="shared" si="105"/>
        <v/>
      </c>
      <c r="R806" s="5" t="str">
        <f t="shared" si="104"/>
        <v/>
      </c>
      <c r="S806" s="5" t="str">
        <f t="shared" si="108"/>
        <v/>
      </c>
      <c r="T806" s="5" t="str">
        <f t="shared" si="111"/>
        <v/>
      </c>
      <c r="U806" s="5" t="str">
        <f t="shared" si="111"/>
        <v/>
      </c>
    </row>
    <row r="807" spans="7:21" x14ac:dyDescent="0.2">
      <c r="G807" s="8"/>
      <c r="H807" s="5"/>
      <c r="J807" s="10" t="str">
        <f t="shared" si="106"/>
        <v/>
      </c>
      <c r="K807" s="10" t="str">
        <f t="shared" si="107"/>
        <v/>
      </c>
      <c r="L807" s="11" t="str">
        <f t="shared" si="109"/>
        <v/>
      </c>
      <c r="M807" s="9" t="str">
        <f>IF(G807&lt;&gt;"",J807/MAX(J$3:J807)-1,"")</f>
        <v/>
      </c>
      <c r="N807" s="9" t="str">
        <f>IF(G807&lt;&gt;"",K807/MAX(K$3:K807)-1,"")</f>
        <v/>
      </c>
      <c r="O807" s="16" t="str">
        <f t="shared" si="105"/>
        <v/>
      </c>
      <c r="P807" s="16" t="str">
        <f t="shared" si="105"/>
        <v/>
      </c>
      <c r="Q807" s="16" t="str">
        <f t="shared" si="105"/>
        <v/>
      </c>
      <c r="R807" s="5" t="str">
        <f t="shared" si="104"/>
        <v/>
      </c>
      <c r="S807" s="5" t="str">
        <f t="shared" si="108"/>
        <v/>
      </c>
      <c r="T807" s="5" t="str">
        <f t="shared" si="111"/>
        <v/>
      </c>
      <c r="U807" s="5" t="str">
        <f t="shared" si="111"/>
        <v/>
      </c>
    </row>
    <row r="808" spans="7:21" x14ac:dyDescent="0.2">
      <c r="G808" s="8"/>
      <c r="H808" s="5"/>
      <c r="J808" s="10" t="str">
        <f t="shared" si="106"/>
        <v/>
      </c>
      <c r="K808" s="10" t="str">
        <f t="shared" si="107"/>
        <v/>
      </c>
      <c r="L808" s="11" t="str">
        <f t="shared" si="109"/>
        <v/>
      </c>
      <c r="M808" s="9" t="str">
        <f>IF(G808&lt;&gt;"",J808/MAX(J$3:J808)-1,"")</f>
        <v/>
      </c>
      <c r="N808" s="9" t="str">
        <f>IF(G808&lt;&gt;"",K808/MAX(K$3:K808)-1,"")</f>
        <v/>
      </c>
      <c r="O808" s="16" t="str">
        <f t="shared" si="105"/>
        <v/>
      </c>
      <c r="P808" s="16" t="str">
        <f t="shared" si="105"/>
        <v/>
      </c>
      <c r="Q808" s="16" t="str">
        <f t="shared" si="105"/>
        <v/>
      </c>
      <c r="R808" s="5" t="str">
        <f t="shared" si="104"/>
        <v/>
      </c>
      <c r="S808" s="5" t="str">
        <f t="shared" si="108"/>
        <v/>
      </c>
      <c r="T808" s="5" t="str">
        <f t="shared" ref="T808:U823" si="112">IF($G808&lt;&gt;"",_xlfn.STDEV.S(O564:O808),"")</f>
        <v/>
      </c>
      <c r="U808" s="5" t="str">
        <f t="shared" si="112"/>
        <v/>
      </c>
    </row>
    <row r="809" spans="7:21" x14ac:dyDescent="0.2">
      <c r="G809" s="8"/>
      <c r="H809" s="5"/>
      <c r="J809" s="10" t="str">
        <f t="shared" si="106"/>
        <v/>
      </c>
      <c r="K809" s="10" t="str">
        <f t="shared" si="107"/>
        <v/>
      </c>
      <c r="L809" s="11" t="str">
        <f t="shared" si="109"/>
        <v/>
      </c>
      <c r="M809" s="9" t="str">
        <f>IF(G809&lt;&gt;"",J809/MAX(J$3:J809)-1,"")</f>
        <v/>
      </c>
      <c r="N809" s="9" t="str">
        <f>IF(G809&lt;&gt;"",K809/MAX(K$3:K809)-1,"")</f>
        <v/>
      </c>
      <c r="O809" s="16" t="str">
        <f t="shared" si="105"/>
        <v/>
      </c>
      <c r="P809" s="16" t="str">
        <f t="shared" si="105"/>
        <v/>
      </c>
      <c r="Q809" s="16" t="str">
        <f t="shared" si="105"/>
        <v/>
      </c>
      <c r="R809" s="5" t="str">
        <f t="shared" si="104"/>
        <v/>
      </c>
      <c r="S809" s="5" t="str">
        <f t="shared" si="108"/>
        <v/>
      </c>
      <c r="T809" s="5" t="str">
        <f t="shared" si="112"/>
        <v/>
      </c>
      <c r="U809" s="5" t="str">
        <f t="shared" si="112"/>
        <v/>
      </c>
    </row>
    <row r="810" spans="7:21" x14ac:dyDescent="0.2">
      <c r="G810" s="8"/>
      <c r="H810" s="5"/>
      <c r="J810" s="10" t="str">
        <f t="shared" si="106"/>
        <v/>
      </c>
      <c r="K810" s="10" t="str">
        <f t="shared" si="107"/>
        <v/>
      </c>
      <c r="L810" s="11" t="str">
        <f t="shared" si="109"/>
        <v/>
      </c>
      <c r="M810" s="9" t="str">
        <f>IF(G810&lt;&gt;"",J810/MAX(J$3:J810)-1,"")</f>
        <v/>
      </c>
      <c r="N810" s="9" t="str">
        <f>IF(G810&lt;&gt;"",K810/MAX(K$3:K810)-1,"")</f>
        <v/>
      </c>
      <c r="O810" s="16" t="str">
        <f t="shared" si="105"/>
        <v/>
      </c>
      <c r="P810" s="16" t="str">
        <f t="shared" si="105"/>
        <v/>
      </c>
      <c r="Q810" s="16" t="str">
        <f t="shared" si="105"/>
        <v/>
      </c>
      <c r="R810" s="5" t="str">
        <f t="shared" si="104"/>
        <v/>
      </c>
      <c r="S810" s="5" t="str">
        <f t="shared" si="108"/>
        <v/>
      </c>
      <c r="T810" s="5" t="str">
        <f t="shared" si="112"/>
        <v/>
      </c>
      <c r="U810" s="5" t="str">
        <f t="shared" si="112"/>
        <v/>
      </c>
    </row>
    <row r="811" spans="7:21" x14ac:dyDescent="0.2">
      <c r="G811" s="8"/>
      <c r="H811" s="5"/>
      <c r="J811" s="10" t="str">
        <f t="shared" si="106"/>
        <v/>
      </c>
      <c r="K811" s="10" t="str">
        <f t="shared" si="107"/>
        <v/>
      </c>
      <c r="L811" s="11" t="str">
        <f t="shared" si="109"/>
        <v/>
      </c>
      <c r="M811" s="9" t="str">
        <f>IF(G811&lt;&gt;"",J811/MAX(J$3:J811)-1,"")</f>
        <v/>
      </c>
      <c r="N811" s="9" t="str">
        <f>IF(G811&lt;&gt;"",K811/MAX(K$3:K811)-1,"")</f>
        <v/>
      </c>
      <c r="O811" s="16" t="str">
        <f t="shared" si="105"/>
        <v/>
      </c>
      <c r="P811" s="16" t="str">
        <f t="shared" si="105"/>
        <v/>
      </c>
      <c r="Q811" s="16" t="str">
        <f t="shared" si="105"/>
        <v/>
      </c>
      <c r="R811" s="5" t="str">
        <f t="shared" si="104"/>
        <v/>
      </c>
      <c r="S811" s="5" t="str">
        <f t="shared" si="108"/>
        <v/>
      </c>
      <c r="T811" s="5" t="str">
        <f t="shared" si="112"/>
        <v/>
      </c>
      <c r="U811" s="5" t="str">
        <f t="shared" si="112"/>
        <v/>
      </c>
    </row>
    <row r="812" spans="7:21" x14ac:dyDescent="0.2">
      <c r="G812" s="8"/>
      <c r="H812" s="5"/>
      <c r="J812" s="10" t="str">
        <f t="shared" si="106"/>
        <v/>
      </c>
      <c r="K812" s="10" t="str">
        <f t="shared" si="107"/>
        <v/>
      </c>
      <c r="L812" s="11" t="str">
        <f t="shared" si="109"/>
        <v/>
      </c>
      <c r="M812" s="9" t="str">
        <f>IF(G812&lt;&gt;"",J812/MAX(J$3:J812)-1,"")</f>
        <v/>
      </c>
      <c r="N812" s="9" t="str">
        <f>IF(G812&lt;&gt;"",K812/MAX(K$3:K812)-1,"")</f>
        <v/>
      </c>
      <c r="O812" s="16" t="str">
        <f t="shared" si="105"/>
        <v/>
      </c>
      <c r="P812" s="16" t="str">
        <f t="shared" si="105"/>
        <v/>
      </c>
      <c r="Q812" s="16" t="str">
        <f t="shared" si="105"/>
        <v/>
      </c>
      <c r="R812" s="5" t="str">
        <f t="shared" si="104"/>
        <v/>
      </c>
      <c r="S812" s="5" t="str">
        <f t="shared" si="108"/>
        <v/>
      </c>
      <c r="T812" s="5" t="str">
        <f t="shared" si="112"/>
        <v/>
      </c>
      <c r="U812" s="5" t="str">
        <f t="shared" si="112"/>
        <v/>
      </c>
    </row>
    <row r="813" spans="7:21" x14ac:dyDescent="0.2">
      <c r="G813" s="8"/>
      <c r="H813" s="5"/>
      <c r="J813" s="10" t="str">
        <f t="shared" si="106"/>
        <v/>
      </c>
      <c r="K813" s="10" t="str">
        <f t="shared" si="107"/>
        <v/>
      </c>
      <c r="L813" s="11" t="str">
        <f t="shared" si="109"/>
        <v/>
      </c>
      <c r="M813" s="9" t="str">
        <f>IF(G813&lt;&gt;"",J813/MAX(J$3:J813)-1,"")</f>
        <v/>
      </c>
      <c r="N813" s="9" t="str">
        <f>IF(G813&lt;&gt;"",K813/MAX(K$3:K813)-1,"")</f>
        <v/>
      </c>
      <c r="O813" s="16" t="str">
        <f t="shared" si="105"/>
        <v/>
      </c>
      <c r="P813" s="16" t="str">
        <f t="shared" si="105"/>
        <v/>
      </c>
      <c r="Q813" s="16" t="str">
        <f t="shared" si="105"/>
        <v/>
      </c>
      <c r="R813" s="5" t="str">
        <f t="shared" si="104"/>
        <v/>
      </c>
      <c r="S813" s="5" t="str">
        <f t="shared" si="108"/>
        <v/>
      </c>
      <c r="T813" s="5" t="str">
        <f t="shared" si="112"/>
        <v/>
      </c>
      <c r="U813" s="5" t="str">
        <f t="shared" si="112"/>
        <v/>
      </c>
    </row>
    <row r="814" spans="7:21" x14ac:dyDescent="0.2">
      <c r="G814" s="8"/>
      <c r="H814" s="5"/>
      <c r="J814" s="10" t="str">
        <f t="shared" si="106"/>
        <v/>
      </c>
      <c r="K814" s="10" t="str">
        <f t="shared" si="107"/>
        <v/>
      </c>
      <c r="L814" s="11" t="str">
        <f t="shared" si="109"/>
        <v/>
      </c>
      <c r="M814" s="9" t="str">
        <f>IF(G814&lt;&gt;"",J814/MAX(J$3:J814)-1,"")</f>
        <v/>
      </c>
      <c r="N814" s="9" t="str">
        <f>IF(G814&lt;&gt;"",K814/MAX(K$3:K814)-1,"")</f>
        <v/>
      </c>
      <c r="O814" s="16" t="str">
        <f t="shared" si="105"/>
        <v/>
      </c>
      <c r="P814" s="16" t="str">
        <f t="shared" si="105"/>
        <v/>
      </c>
      <c r="Q814" s="16" t="str">
        <f t="shared" si="105"/>
        <v/>
      </c>
      <c r="R814" s="5" t="str">
        <f t="shared" si="104"/>
        <v/>
      </c>
      <c r="S814" s="5" t="str">
        <f t="shared" si="108"/>
        <v/>
      </c>
      <c r="T814" s="5" t="str">
        <f t="shared" si="112"/>
        <v/>
      </c>
      <c r="U814" s="5" t="str">
        <f t="shared" si="112"/>
        <v/>
      </c>
    </row>
    <row r="815" spans="7:21" x14ac:dyDescent="0.2">
      <c r="G815" s="8"/>
      <c r="H815" s="5"/>
      <c r="J815" s="10" t="str">
        <f t="shared" si="106"/>
        <v/>
      </c>
      <c r="K815" s="10" t="str">
        <f t="shared" si="107"/>
        <v/>
      </c>
      <c r="L815" s="11" t="str">
        <f t="shared" si="109"/>
        <v/>
      </c>
      <c r="M815" s="9" t="str">
        <f>IF(G815&lt;&gt;"",J815/MAX(J$3:J815)-1,"")</f>
        <v/>
      </c>
      <c r="N815" s="9" t="str">
        <f>IF(G815&lt;&gt;"",K815/MAX(K$3:K815)-1,"")</f>
        <v/>
      </c>
      <c r="O815" s="16" t="str">
        <f t="shared" si="105"/>
        <v/>
      </c>
      <c r="P815" s="16" t="str">
        <f t="shared" si="105"/>
        <v/>
      </c>
      <c r="Q815" s="16" t="str">
        <f t="shared" si="105"/>
        <v/>
      </c>
      <c r="R815" s="5" t="str">
        <f t="shared" si="104"/>
        <v/>
      </c>
      <c r="S815" s="5" t="str">
        <f t="shared" si="108"/>
        <v/>
      </c>
      <c r="T815" s="5" t="str">
        <f t="shared" si="112"/>
        <v/>
      </c>
      <c r="U815" s="5" t="str">
        <f t="shared" si="112"/>
        <v/>
      </c>
    </row>
    <row r="816" spans="7:21" x14ac:dyDescent="0.2">
      <c r="G816" s="8"/>
      <c r="H816" s="5"/>
      <c r="J816" s="10" t="str">
        <f t="shared" si="106"/>
        <v/>
      </c>
      <c r="K816" s="10" t="str">
        <f t="shared" si="107"/>
        <v/>
      </c>
      <c r="L816" s="11" t="str">
        <f t="shared" si="109"/>
        <v/>
      </c>
      <c r="M816" s="9" t="str">
        <f>IF(G816&lt;&gt;"",J816/MAX(J$3:J816)-1,"")</f>
        <v/>
      </c>
      <c r="N816" s="9" t="str">
        <f>IF(G816&lt;&gt;"",K816/MAX(K$3:K816)-1,"")</f>
        <v/>
      </c>
      <c r="O816" s="16" t="str">
        <f t="shared" si="105"/>
        <v/>
      </c>
      <c r="P816" s="16" t="str">
        <f t="shared" si="105"/>
        <v/>
      </c>
      <c r="Q816" s="16" t="str">
        <f t="shared" si="105"/>
        <v/>
      </c>
      <c r="R816" s="5" t="str">
        <f t="shared" si="104"/>
        <v/>
      </c>
      <c r="S816" s="5" t="str">
        <f t="shared" si="108"/>
        <v/>
      </c>
      <c r="T816" s="5" t="str">
        <f t="shared" si="112"/>
        <v/>
      </c>
      <c r="U816" s="5" t="str">
        <f t="shared" si="112"/>
        <v/>
      </c>
    </row>
    <row r="817" spans="7:21" x14ac:dyDescent="0.2">
      <c r="G817" s="8"/>
      <c r="H817" s="5"/>
      <c r="J817" s="10" t="str">
        <f t="shared" si="106"/>
        <v/>
      </c>
      <c r="K817" s="10" t="str">
        <f t="shared" si="107"/>
        <v/>
      </c>
      <c r="L817" s="11" t="str">
        <f t="shared" si="109"/>
        <v/>
      </c>
      <c r="M817" s="9" t="str">
        <f>IF(G817&lt;&gt;"",J817/MAX(J$3:J817)-1,"")</f>
        <v/>
      </c>
      <c r="N817" s="9" t="str">
        <f>IF(G817&lt;&gt;"",K817/MAX(K$3:K817)-1,"")</f>
        <v/>
      </c>
      <c r="O817" s="16" t="str">
        <f t="shared" si="105"/>
        <v/>
      </c>
      <c r="P817" s="16" t="str">
        <f t="shared" si="105"/>
        <v/>
      </c>
      <c r="Q817" s="16" t="str">
        <f t="shared" si="105"/>
        <v/>
      </c>
      <c r="R817" s="5" t="str">
        <f t="shared" si="104"/>
        <v/>
      </c>
      <c r="S817" s="5" t="str">
        <f t="shared" si="108"/>
        <v/>
      </c>
      <c r="T817" s="5" t="str">
        <f t="shared" si="112"/>
        <v/>
      </c>
      <c r="U817" s="5" t="str">
        <f t="shared" si="112"/>
        <v/>
      </c>
    </row>
    <row r="818" spans="7:21" x14ac:dyDescent="0.2">
      <c r="G818" s="8"/>
      <c r="H818" s="5"/>
      <c r="J818" s="10" t="str">
        <f t="shared" si="106"/>
        <v/>
      </c>
      <c r="K818" s="10" t="str">
        <f t="shared" si="107"/>
        <v/>
      </c>
      <c r="L818" s="11" t="str">
        <f t="shared" si="109"/>
        <v/>
      </c>
      <c r="M818" s="9" t="str">
        <f>IF(G818&lt;&gt;"",J818/MAX(J$3:J818)-1,"")</f>
        <v/>
      </c>
      <c r="N818" s="9" t="str">
        <f>IF(G818&lt;&gt;"",K818/MAX(K$3:K818)-1,"")</f>
        <v/>
      </c>
      <c r="O818" s="16" t="str">
        <f t="shared" si="105"/>
        <v/>
      </c>
      <c r="P818" s="16" t="str">
        <f t="shared" si="105"/>
        <v/>
      </c>
      <c r="Q818" s="16" t="str">
        <f t="shared" si="105"/>
        <v/>
      </c>
      <c r="R818" s="5" t="str">
        <f t="shared" si="104"/>
        <v/>
      </c>
      <c r="S818" s="5" t="str">
        <f t="shared" si="108"/>
        <v/>
      </c>
      <c r="T818" s="5" t="str">
        <f t="shared" si="112"/>
        <v/>
      </c>
      <c r="U818" s="5" t="str">
        <f t="shared" si="112"/>
        <v/>
      </c>
    </row>
    <row r="819" spans="7:21" x14ac:dyDescent="0.2">
      <c r="G819" s="8"/>
      <c r="H819" s="5"/>
      <c r="J819" s="10" t="str">
        <f t="shared" si="106"/>
        <v/>
      </c>
      <c r="K819" s="10" t="str">
        <f t="shared" si="107"/>
        <v/>
      </c>
      <c r="L819" s="11" t="str">
        <f t="shared" si="109"/>
        <v/>
      </c>
      <c r="M819" s="9" t="str">
        <f>IF(G819&lt;&gt;"",J819/MAX(J$3:J819)-1,"")</f>
        <v/>
      </c>
      <c r="N819" s="9" t="str">
        <f>IF(G819&lt;&gt;"",K819/MAX(K$3:K819)-1,"")</f>
        <v/>
      </c>
      <c r="O819" s="16" t="str">
        <f t="shared" si="105"/>
        <v/>
      </c>
      <c r="P819" s="16" t="str">
        <f t="shared" si="105"/>
        <v/>
      </c>
      <c r="Q819" s="16" t="str">
        <f t="shared" si="105"/>
        <v/>
      </c>
      <c r="R819" s="5" t="str">
        <f t="shared" si="104"/>
        <v/>
      </c>
      <c r="S819" s="5" t="str">
        <f t="shared" si="108"/>
        <v/>
      </c>
      <c r="T819" s="5" t="str">
        <f t="shared" si="112"/>
        <v/>
      </c>
      <c r="U819" s="5" t="str">
        <f t="shared" si="112"/>
        <v/>
      </c>
    </row>
    <row r="820" spans="7:21" x14ac:dyDescent="0.2">
      <c r="G820" s="8"/>
      <c r="H820" s="5"/>
      <c r="J820" s="10" t="str">
        <f t="shared" si="106"/>
        <v/>
      </c>
      <c r="K820" s="10" t="str">
        <f t="shared" si="107"/>
        <v/>
      </c>
      <c r="L820" s="11" t="str">
        <f t="shared" si="109"/>
        <v/>
      </c>
      <c r="M820" s="9" t="str">
        <f>IF(G820&lt;&gt;"",J820/MAX(J$3:J820)-1,"")</f>
        <v/>
      </c>
      <c r="N820" s="9" t="str">
        <f>IF(G820&lt;&gt;"",K820/MAX(K$3:K820)-1,"")</f>
        <v/>
      </c>
      <c r="O820" s="16" t="str">
        <f t="shared" si="105"/>
        <v/>
      </c>
      <c r="P820" s="16" t="str">
        <f t="shared" si="105"/>
        <v/>
      </c>
      <c r="Q820" s="16" t="str">
        <f t="shared" si="105"/>
        <v/>
      </c>
      <c r="R820" s="5" t="str">
        <f t="shared" si="104"/>
        <v/>
      </c>
      <c r="S820" s="5" t="str">
        <f t="shared" si="108"/>
        <v/>
      </c>
      <c r="T820" s="5" t="str">
        <f t="shared" si="112"/>
        <v/>
      </c>
      <c r="U820" s="5" t="str">
        <f t="shared" si="112"/>
        <v/>
      </c>
    </row>
    <row r="821" spans="7:21" x14ac:dyDescent="0.2">
      <c r="G821" s="8"/>
      <c r="H821" s="5"/>
      <c r="J821" s="10" t="str">
        <f t="shared" si="106"/>
        <v/>
      </c>
      <c r="K821" s="10" t="str">
        <f t="shared" si="107"/>
        <v/>
      </c>
      <c r="L821" s="11" t="str">
        <f t="shared" si="109"/>
        <v/>
      </c>
      <c r="M821" s="9" t="str">
        <f>IF(G821&lt;&gt;"",J821/MAX(J$3:J821)-1,"")</f>
        <v/>
      </c>
      <c r="N821" s="9" t="str">
        <f>IF(G821&lt;&gt;"",K821/MAX(K$3:K821)-1,"")</f>
        <v/>
      </c>
      <c r="O821" s="16" t="str">
        <f t="shared" si="105"/>
        <v/>
      </c>
      <c r="P821" s="16" t="str">
        <f t="shared" si="105"/>
        <v/>
      </c>
      <c r="Q821" s="16" t="str">
        <f t="shared" si="105"/>
        <v/>
      </c>
      <c r="R821" s="5" t="str">
        <f t="shared" si="104"/>
        <v/>
      </c>
      <c r="S821" s="5" t="str">
        <f t="shared" si="108"/>
        <v/>
      </c>
      <c r="T821" s="5" t="str">
        <f t="shared" si="112"/>
        <v/>
      </c>
      <c r="U821" s="5" t="str">
        <f t="shared" si="112"/>
        <v/>
      </c>
    </row>
    <row r="822" spans="7:21" x14ac:dyDescent="0.2">
      <c r="G822" s="8"/>
      <c r="H822" s="5"/>
      <c r="J822" s="10" t="str">
        <f t="shared" si="106"/>
        <v/>
      </c>
      <c r="K822" s="10" t="str">
        <f t="shared" si="107"/>
        <v/>
      </c>
      <c r="L822" s="11" t="str">
        <f t="shared" si="109"/>
        <v/>
      </c>
      <c r="M822" s="9" t="str">
        <f>IF(G822&lt;&gt;"",J822/MAX(J$3:J822)-1,"")</f>
        <v/>
      </c>
      <c r="N822" s="9" t="str">
        <f>IF(G822&lt;&gt;"",K822/MAX(K$3:K822)-1,"")</f>
        <v/>
      </c>
      <c r="O822" s="16" t="str">
        <f t="shared" si="105"/>
        <v/>
      </c>
      <c r="P822" s="16" t="str">
        <f t="shared" si="105"/>
        <v/>
      </c>
      <c r="Q822" s="16" t="str">
        <f t="shared" si="105"/>
        <v/>
      </c>
      <c r="R822" s="5" t="str">
        <f t="shared" si="104"/>
        <v/>
      </c>
      <c r="S822" s="5" t="str">
        <f t="shared" si="108"/>
        <v/>
      </c>
      <c r="T822" s="5" t="str">
        <f t="shared" si="112"/>
        <v/>
      </c>
      <c r="U822" s="5" t="str">
        <f t="shared" si="112"/>
        <v/>
      </c>
    </row>
    <row r="823" spans="7:21" x14ac:dyDescent="0.2">
      <c r="G823" s="8"/>
      <c r="H823" s="5"/>
      <c r="J823" s="10" t="str">
        <f t="shared" si="106"/>
        <v/>
      </c>
      <c r="K823" s="10" t="str">
        <f t="shared" si="107"/>
        <v/>
      </c>
      <c r="L823" s="11" t="str">
        <f t="shared" si="109"/>
        <v/>
      </c>
      <c r="M823" s="9" t="str">
        <f>IF(G823&lt;&gt;"",J823/MAX(J$3:J823)-1,"")</f>
        <v/>
      </c>
      <c r="N823" s="9" t="str">
        <f>IF(G823&lt;&gt;"",K823/MAX(K$3:K823)-1,"")</f>
        <v/>
      </c>
      <c r="O823" s="16" t="str">
        <f t="shared" si="105"/>
        <v/>
      </c>
      <c r="P823" s="16" t="str">
        <f t="shared" si="105"/>
        <v/>
      </c>
      <c r="Q823" s="16" t="str">
        <f t="shared" si="105"/>
        <v/>
      </c>
      <c r="R823" s="5" t="str">
        <f t="shared" si="104"/>
        <v/>
      </c>
      <c r="S823" s="5" t="str">
        <f t="shared" si="108"/>
        <v/>
      </c>
      <c r="T823" s="5" t="str">
        <f t="shared" si="112"/>
        <v/>
      </c>
      <c r="U823" s="5" t="str">
        <f t="shared" si="112"/>
        <v/>
      </c>
    </row>
    <row r="824" spans="7:21" x14ac:dyDescent="0.2">
      <c r="G824" s="8"/>
      <c r="H824" s="5"/>
      <c r="J824" s="10" t="str">
        <f t="shared" si="106"/>
        <v/>
      </c>
      <c r="K824" s="10" t="str">
        <f t="shared" si="107"/>
        <v/>
      </c>
      <c r="L824" s="11" t="str">
        <f t="shared" si="109"/>
        <v/>
      </c>
      <c r="M824" s="9" t="str">
        <f>IF(G824&lt;&gt;"",J824/MAX(J$3:J824)-1,"")</f>
        <v/>
      </c>
      <c r="N824" s="9" t="str">
        <f>IF(G824&lt;&gt;"",K824/MAX(K$3:K824)-1,"")</f>
        <v/>
      </c>
      <c r="O824" s="16" t="str">
        <f t="shared" si="105"/>
        <v/>
      </c>
      <c r="P824" s="16" t="str">
        <f t="shared" si="105"/>
        <v/>
      </c>
      <c r="Q824" s="16" t="str">
        <f t="shared" si="105"/>
        <v/>
      </c>
      <c r="R824" s="5" t="str">
        <f t="shared" si="104"/>
        <v/>
      </c>
      <c r="S824" s="5" t="str">
        <f t="shared" si="108"/>
        <v/>
      </c>
      <c r="T824" s="5" t="str">
        <f t="shared" ref="T824:U839" si="113">IF($G824&lt;&gt;"",_xlfn.STDEV.S(O580:O824),"")</f>
        <v/>
      </c>
      <c r="U824" s="5" t="str">
        <f t="shared" si="113"/>
        <v/>
      </c>
    </row>
    <row r="825" spans="7:21" x14ac:dyDescent="0.2">
      <c r="G825" s="8"/>
      <c r="H825" s="5"/>
      <c r="J825" s="10" t="str">
        <f t="shared" si="106"/>
        <v/>
      </c>
      <c r="K825" s="10" t="str">
        <f t="shared" si="107"/>
        <v/>
      </c>
      <c r="L825" s="11" t="str">
        <f t="shared" si="109"/>
        <v/>
      </c>
      <c r="M825" s="9" t="str">
        <f>IF(G825&lt;&gt;"",J825/MAX(J$3:J825)-1,"")</f>
        <v/>
      </c>
      <c r="N825" s="9" t="str">
        <f>IF(G825&lt;&gt;"",K825/MAX(K$3:K825)-1,"")</f>
        <v/>
      </c>
      <c r="O825" s="16" t="str">
        <f t="shared" si="105"/>
        <v/>
      </c>
      <c r="P825" s="16" t="str">
        <f t="shared" si="105"/>
        <v/>
      </c>
      <c r="Q825" s="16" t="str">
        <f t="shared" si="105"/>
        <v/>
      </c>
      <c r="R825" s="5" t="str">
        <f t="shared" si="104"/>
        <v/>
      </c>
      <c r="S825" s="5" t="str">
        <f t="shared" si="108"/>
        <v/>
      </c>
      <c r="T825" s="5" t="str">
        <f t="shared" si="113"/>
        <v/>
      </c>
      <c r="U825" s="5" t="str">
        <f t="shared" si="113"/>
        <v/>
      </c>
    </row>
    <row r="826" spans="7:21" x14ac:dyDescent="0.2">
      <c r="G826" s="8"/>
      <c r="H826" s="5"/>
      <c r="J826" s="10" t="str">
        <f t="shared" si="106"/>
        <v/>
      </c>
      <c r="K826" s="10" t="str">
        <f t="shared" si="107"/>
        <v/>
      </c>
      <c r="L826" s="11" t="str">
        <f t="shared" si="109"/>
        <v/>
      </c>
      <c r="M826" s="9" t="str">
        <f>IF(G826&lt;&gt;"",J826/MAX(J$3:J826)-1,"")</f>
        <v/>
      </c>
      <c r="N826" s="9" t="str">
        <f>IF(G826&lt;&gt;"",K826/MAX(K$3:K826)-1,"")</f>
        <v/>
      </c>
      <c r="O826" s="16" t="str">
        <f t="shared" si="105"/>
        <v/>
      </c>
      <c r="P826" s="16" t="str">
        <f t="shared" si="105"/>
        <v/>
      </c>
      <c r="Q826" s="16" t="str">
        <f t="shared" si="105"/>
        <v/>
      </c>
      <c r="R826" s="5" t="str">
        <f t="shared" si="104"/>
        <v/>
      </c>
      <c r="S826" s="5" t="str">
        <f t="shared" si="108"/>
        <v/>
      </c>
      <c r="T826" s="5" t="str">
        <f t="shared" si="113"/>
        <v/>
      </c>
      <c r="U826" s="5" t="str">
        <f t="shared" si="113"/>
        <v/>
      </c>
    </row>
    <row r="827" spans="7:21" x14ac:dyDescent="0.2">
      <c r="G827" s="8"/>
      <c r="H827" s="5"/>
      <c r="J827" s="10" t="str">
        <f t="shared" si="106"/>
        <v/>
      </c>
      <c r="K827" s="10" t="str">
        <f t="shared" si="107"/>
        <v/>
      </c>
      <c r="L827" s="11" t="str">
        <f t="shared" si="109"/>
        <v/>
      </c>
      <c r="M827" s="9" t="str">
        <f>IF(G827&lt;&gt;"",J827/MAX(J$3:J827)-1,"")</f>
        <v/>
      </c>
      <c r="N827" s="9" t="str">
        <f>IF(G827&lt;&gt;"",K827/MAX(K$3:K827)-1,"")</f>
        <v/>
      </c>
      <c r="O827" s="16" t="str">
        <f t="shared" si="105"/>
        <v/>
      </c>
      <c r="P827" s="16" t="str">
        <f t="shared" si="105"/>
        <v/>
      </c>
      <c r="Q827" s="16" t="str">
        <f t="shared" si="105"/>
        <v/>
      </c>
      <c r="R827" s="5" t="str">
        <f t="shared" si="104"/>
        <v/>
      </c>
      <c r="S827" s="5" t="str">
        <f t="shared" si="108"/>
        <v/>
      </c>
      <c r="T827" s="5" t="str">
        <f t="shared" si="113"/>
        <v/>
      </c>
      <c r="U827" s="5" t="str">
        <f t="shared" si="113"/>
        <v/>
      </c>
    </row>
    <row r="828" spans="7:21" x14ac:dyDescent="0.2">
      <c r="G828" s="8"/>
      <c r="H828" s="5"/>
      <c r="J828" s="10" t="str">
        <f t="shared" si="106"/>
        <v/>
      </c>
      <c r="K828" s="10" t="str">
        <f t="shared" si="107"/>
        <v/>
      </c>
      <c r="L828" s="11" t="str">
        <f t="shared" si="109"/>
        <v/>
      </c>
      <c r="M828" s="9" t="str">
        <f>IF(G828&lt;&gt;"",J828/MAX(J$3:J828)-1,"")</f>
        <v/>
      </c>
      <c r="N828" s="9" t="str">
        <f>IF(G828&lt;&gt;"",K828/MAX(K$3:K828)-1,"")</f>
        <v/>
      </c>
      <c r="O828" s="16" t="str">
        <f t="shared" si="105"/>
        <v/>
      </c>
      <c r="P828" s="16" t="str">
        <f t="shared" si="105"/>
        <v/>
      </c>
      <c r="Q828" s="16" t="str">
        <f t="shared" si="105"/>
        <v/>
      </c>
      <c r="R828" s="5" t="str">
        <f t="shared" si="104"/>
        <v/>
      </c>
      <c r="S828" s="5" t="str">
        <f t="shared" si="108"/>
        <v/>
      </c>
      <c r="T828" s="5" t="str">
        <f t="shared" si="113"/>
        <v/>
      </c>
      <c r="U828" s="5" t="str">
        <f t="shared" si="113"/>
        <v/>
      </c>
    </row>
    <row r="829" spans="7:21" x14ac:dyDescent="0.2">
      <c r="G829" s="8"/>
      <c r="H829" s="5"/>
      <c r="J829" s="10" t="str">
        <f t="shared" si="106"/>
        <v/>
      </c>
      <c r="K829" s="10" t="str">
        <f t="shared" si="107"/>
        <v/>
      </c>
      <c r="L829" s="11" t="str">
        <f t="shared" si="109"/>
        <v/>
      </c>
      <c r="M829" s="9" t="str">
        <f>IF(G829&lt;&gt;"",J829/MAX(J$3:J829)-1,"")</f>
        <v/>
      </c>
      <c r="N829" s="9" t="str">
        <f>IF(G829&lt;&gt;"",K829/MAX(K$3:K829)-1,"")</f>
        <v/>
      </c>
      <c r="O829" s="16" t="str">
        <f t="shared" si="105"/>
        <v/>
      </c>
      <c r="P829" s="16" t="str">
        <f t="shared" si="105"/>
        <v/>
      </c>
      <c r="Q829" s="16" t="str">
        <f t="shared" si="105"/>
        <v/>
      </c>
      <c r="R829" s="5" t="str">
        <f t="shared" ref="R829:R892" si="114">IF(G829&lt;&gt;"",_xlfn.STDEV.S(Q708:Q829)*SQRT($B$5),"")</f>
        <v/>
      </c>
      <c r="S829" s="5" t="str">
        <f t="shared" si="108"/>
        <v/>
      </c>
      <c r="T829" s="5" t="str">
        <f t="shared" si="113"/>
        <v/>
      </c>
      <c r="U829" s="5" t="str">
        <f t="shared" si="113"/>
        <v/>
      </c>
    </row>
    <row r="830" spans="7:21" x14ac:dyDescent="0.2">
      <c r="G830" s="8"/>
      <c r="H830" s="5"/>
      <c r="J830" s="10" t="str">
        <f t="shared" si="106"/>
        <v/>
      </c>
      <c r="K830" s="10" t="str">
        <f t="shared" si="107"/>
        <v/>
      </c>
      <c r="L830" s="11" t="str">
        <f t="shared" si="109"/>
        <v/>
      </c>
      <c r="M830" s="9" t="str">
        <f>IF(G830&lt;&gt;"",J830/MAX(J$3:J830)-1,"")</f>
        <v/>
      </c>
      <c r="N830" s="9" t="str">
        <f>IF(G830&lt;&gt;"",K830/MAX(K$3:K830)-1,"")</f>
        <v/>
      </c>
      <c r="O830" s="16" t="str">
        <f t="shared" si="105"/>
        <v/>
      </c>
      <c r="P830" s="16" t="str">
        <f t="shared" si="105"/>
        <v/>
      </c>
      <c r="Q830" s="16" t="str">
        <f t="shared" si="105"/>
        <v/>
      </c>
      <c r="R830" s="5" t="str">
        <f t="shared" si="114"/>
        <v/>
      </c>
      <c r="S830" s="5" t="str">
        <f t="shared" si="108"/>
        <v/>
      </c>
      <c r="T830" s="5" t="str">
        <f t="shared" si="113"/>
        <v/>
      </c>
      <c r="U830" s="5" t="str">
        <f t="shared" si="113"/>
        <v/>
      </c>
    </row>
    <row r="831" spans="7:21" x14ac:dyDescent="0.2">
      <c r="G831" s="8"/>
      <c r="H831" s="5"/>
      <c r="J831" s="10" t="str">
        <f t="shared" si="106"/>
        <v/>
      </c>
      <c r="K831" s="10" t="str">
        <f t="shared" si="107"/>
        <v/>
      </c>
      <c r="L831" s="11" t="str">
        <f t="shared" si="109"/>
        <v/>
      </c>
      <c r="M831" s="9" t="str">
        <f>IF(G831&lt;&gt;"",J831/MAX(J$3:J831)-1,"")</f>
        <v/>
      </c>
      <c r="N831" s="9" t="str">
        <f>IF(G831&lt;&gt;"",K831/MAX(K$3:K831)-1,"")</f>
        <v/>
      </c>
      <c r="O831" s="16" t="str">
        <f t="shared" si="105"/>
        <v/>
      </c>
      <c r="P831" s="16" t="str">
        <f t="shared" si="105"/>
        <v/>
      </c>
      <c r="Q831" s="16" t="str">
        <f t="shared" si="105"/>
        <v/>
      </c>
      <c r="R831" s="5" t="str">
        <f t="shared" si="114"/>
        <v/>
      </c>
      <c r="S831" s="5" t="str">
        <f t="shared" si="108"/>
        <v/>
      </c>
      <c r="T831" s="5" t="str">
        <f t="shared" si="113"/>
        <v/>
      </c>
      <c r="U831" s="5" t="str">
        <f t="shared" si="113"/>
        <v/>
      </c>
    </row>
    <row r="832" spans="7:21" x14ac:dyDescent="0.2">
      <c r="G832" s="8"/>
      <c r="H832" s="5"/>
      <c r="J832" s="10" t="str">
        <f t="shared" si="106"/>
        <v/>
      </c>
      <c r="K832" s="10" t="str">
        <f t="shared" si="107"/>
        <v/>
      </c>
      <c r="L832" s="11" t="str">
        <f t="shared" si="109"/>
        <v/>
      </c>
      <c r="M832" s="9" t="str">
        <f>IF(G832&lt;&gt;"",J832/MAX(J$3:J832)-1,"")</f>
        <v/>
      </c>
      <c r="N832" s="9" t="str">
        <f>IF(G832&lt;&gt;"",K832/MAX(K$3:K832)-1,"")</f>
        <v/>
      </c>
      <c r="O832" s="16" t="str">
        <f t="shared" si="105"/>
        <v/>
      </c>
      <c r="P832" s="16" t="str">
        <f t="shared" si="105"/>
        <v/>
      </c>
      <c r="Q832" s="16" t="str">
        <f t="shared" si="105"/>
        <v/>
      </c>
      <c r="R832" s="5" t="str">
        <f t="shared" si="114"/>
        <v/>
      </c>
      <c r="S832" s="5" t="str">
        <f t="shared" si="108"/>
        <v/>
      </c>
      <c r="T832" s="5" t="str">
        <f t="shared" si="113"/>
        <v/>
      </c>
      <c r="U832" s="5" t="str">
        <f t="shared" si="113"/>
        <v/>
      </c>
    </row>
    <row r="833" spans="7:21" x14ac:dyDescent="0.2">
      <c r="G833" s="8"/>
      <c r="H833" s="5"/>
      <c r="J833" s="10" t="str">
        <f t="shared" si="106"/>
        <v/>
      </c>
      <c r="K833" s="10" t="str">
        <f t="shared" si="107"/>
        <v/>
      </c>
      <c r="L833" s="11" t="str">
        <f t="shared" si="109"/>
        <v/>
      </c>
      <c r="M833" s="9" t="str">
        <f>IF(G833&lt;&gt;"",J833/MAX(J$3:J833)-1,"")</f>
        <v/>
      </c>
      <c r="N833" s="9" t="str">
        <f>IF(G833&lt;&gt;"",K833/MAX(K$3:K833)-1,"")</f>
        <v/>
      </c>
      <c r="O833" s="16" t="str">
        <f t="shared" si="105"/>
        <v/>
      </c>
      <c r="P833" s="16" t="str">
        <f t="shared" si="105"/>
        <v/>
      </c>
      <c r="Q833" s="16" t="str">
        <f t="shared" si="105"/>
        <v/>
      </c>
      <c r="R833" s="5" t="str">
        <f t="shared" si="114"/>
        <v/>
      </c>
      <c r="S833" s="5" t="str">
        <f t="shared" si="108"/>
        <v/>
      </c>
      <c r="T833" s="5" t="str">
        <f t="shared" si="113"/>
        <v/>
      </c>
      <c r="U833" s="5" t="str">
        <f t="shared" si="113"/>
        <v/>
      </c>
    </row>
    <row r="834" spans="7:21" x14ac:dyDescent="0.2">
      <c r="G834" s="8"/>
      <c r="H834" s="5"/>
      <c r="J834" s="10" t="str">
        <f t="shared" si="106"/>
        <v/>
      </c>
      <c r="K834" s="10" t="str">
        <f t="shared" si="107"/>
        <v/>
      </c>
      <c r="L834" s="11" t="str">
        <f t="shared" si="109"/>
        <v/>
      </c>
      <c r="M834" s="9" t="str">
        <f>IF(G834&lt;&gt;"",J834/MAX(J$3:J834)-1,"")</f>
        <v/>
      </c>
      <c r="N834" s="9" t="str">
        <f>IF(G834&lt;&gt;"",K834/MAX(K$3:K834)-1,"")</f>
        <v/>
      </c>
      <c r="O834" s="16" t="str">
        <f t="shared" ref="O834:Q897" si="115">IF($G834&lt;&gt;"",J834/J833-1,"")</f>
        <v/>
      </c>
      <c r="P834" s="16" t="str">
        <f t="shared" si="115"/>
        <v/>
      </c>
      <c r="Q834" s="16" t="str">
        <f t="shared" si="115"/>
        <v/>
      </c>
      <c r="R834" s="5" t="str">
        <f t="shared" si="114"/>
        <v/>
      </c>
      <c r="S834" s="5" t="str">
        <f t="shared" si="108"/>
        <v/>
      </c>
      <c r="T834" s="5" t="str">
        <f t="shared" si="113"/>
        <v/>
      </c>
      <c r="U834" s="5" t="str">
        <f t="shared" si="113"/>
        <v/>
      </c>
    </row>
    <row r="835" spans="7:21" x14ac:dyDescent="0.2">
      <c r="G835" s="8"/>
      <c r="H835" s="5"/>
      <c r="J835" s="10" t="str">
        <f t="shared" si="106"/>
        <v/>
      </c>
      <c r="K835" s="10" t="str">
        <f t="shared" si="107"/>
        <v/>
      </c>
      <c r="L835" s="11" t="str">
        <f t="shared" si="109"/>
        <v/>
      </c>
      <c r="M835" s="9" t="str">
        <f>IF(G835&lt;&gt;"",J835/MAX(J$3:J835)-1,"")</f>
        <v/>
      </c>
      <c r="N835" s="9" t="str">
        <f>IF(G835&lt;&gt;"",K835/MAX(K$3:K835)-1,"")</f>
        <v/>
      </c>
      <c r="O835" s="16" t="str">
        <f t="shared" si="115"/>
        <v/>
      </c>
      <c r="P835" s="16" t="str">
        <f t="shared" si="115"/>
        <v/>
      </c>
      <c r="Q835" s="16" t="str">
        <f t="shared" si="115"/>
        <v/>
      </c>
      <c r="R835" s="5" t="str">
        <f t="shared" si="114"/>
        <v/>
      </c>
      <c r="S835" s="5" t="str">
        <f t="shared" si="108"/>
        <v/>
      </c>
      <c r="T835" s="5" t="str">
        <f t="shared" si="113"/>
        <v/>
      </c>
      <c r="U835" s="5" t="str">
        <f t="shared" si="113"/>
        <v/>
      </c>
    </row>
    <row r="836" spans="7:21" x14ac:dyDescent="0.2">
      <c r="G836" s="8"/>
      <c r="H836" s="5"/>
      <c r="J836" s="10" t="str">
        <f t="shared" ref="J836:J899" si="116">IF(G836&lt;&gt;"",1+H836,"")</f>
        <v/>
      </c>
      <c r="K836" s="10" t="str">
        <f t="shared" ref="K836:K899" si="117">IF(G836&lt;&gt;"",1+I836,"")</f>
        <v/>
      </c>
      <c r="L836" s="11" t="str">
        <f t="shared" si="109"/>
        <v/>
      </c>
      <c r="M836" s="9" t="str">
        <f>IF(G836&lt;&gt;"",J836/MAX(J$3:J836)-1,"")</f>
        <v/>
      </c>
      <c r="N836" s="9" t="str">
        <f>IF(G836&lt;&gt;"",K836/MAX(K$3:K836)-1,"")</f>
        <v/>
      </c>
      <c r="O836" s="16" t="str">
        <f t="shared" si="115"/>
        <v/>
      </c>
      <c r="P836" s="16" t="str">
        <f t="shared" si="115"/>
        <v/>
      </c>
      <c r="Q836" s="16" t="str">
        <f t="shared" si="115"/>
        <v/>
      </c>
      <c r="R836" s="5" t="str">
        <f t="shared" si="114"/>
        <v/>
      </c>
      <c r="S836" s="5" t="str">
        <f t="shared" ref="S836:S899" si="118">IF(R836&lt;&gt;"",B$12,"")</f>
        <v/>
      </c>
      <c r="T836" s="5" t="str">
        <f t="shared" si="113"/>
        <v/>
      </c>
      <c r="U836" s="5" t="str">
        <f t="shared" si="113"/>
        <v/>
      </c>
    </row>
    <row r="837" spans="7:21" x14ac:dyDescent="0.2">
      <c r="G837" s="8"/>
      <c r="H837" s="5"/>
      <c r="J837" s="10" t="str">
        <f t="shared" si="116"/>
        <v/>
      </c>
      <c r="K837" s="10" t="str">
        <f t="shared" si="117"/>
        <v/>
      </c>
      <c r="L837" s="11" t="str">
        <f t="shared" ref="L837:L900" si="119">IF(G837&lt;&gt;"",J837/K837,"")</f>
        <v/>
      </c>
      <c r="M837" s="9" t="str">
        <f>IF(G837&lt;&gt;"",J837/MAX(J$3:J837)-1,"")</f>
        <v/>
      </c>
      <c r="N837" s="9" t="str">
        <f>IF(G837&lt;&gt;"",K837/MAX(K$3:K837)-1,"")</f>
        <v/>
      </c>
      <c r="O837" s="16" t="str">
        <f t="shared" si="115"/>
        <v/>
      </c>
      <c r="P837" s="16" t="str">
        <f t="shared" si="115"/>
        <v/>
      </c>
      <c r="Q837" s="16" t="str">
        <f t="shared" si="115"/>
        <v/>
      </c>
      <c r="R837" s="5" t="str">
        <f t="shared" si="114"/>
        <v/>
      </c>
      <c r="S837" s="5" t="str">
        <f t="shared" si="118"/>
        <v/>
      </c>
      <c r="T837" s="5" t="str">
        <f t="shared" si="113"/>
        <v/>
      </c>
      <c r="U837" s="5" t="str">
        <f t="shared" si="113"/>
        <v/>
      </c>
    </row>
    <row r="838" spans="7:21" x14ac:dyDescent="0.2">
      <c r="G838" s="8"/>
      <c r="H838" s="5"/>
      <c r="J838" s="10" t="str">
        <f t="shared" si="116"/>
        <v/>
      </c>
      <c r="K838" s="10" t="str">
        <f t="shared" si="117"/>
        <v/>
      </c>
      <c r="L838" s="11" t="str">
        <f t="shared" si="119"/>
        <v/>
      </c>
      <c r="M838" s="9" t="str">
        <f>IF(G838&lt;&gt;"",J838/MAX(J$3:J838)-1,"")</f>
        <v/>
      </c>
      <c r="N838" s="9" t="str">
        <f>IF(G838&lt;&gt;"",K838/MAX(K$3:K838)-1,"")</f>
        <v/>
      </c>
      <c r="O838" s="16" t="str">
        <f t="shared" si="115"/>
        <v/>
      </c>
      <c r="P838" s="16" t="str">
        <f t="shared" si="115"/>
        <v/>
      </c>
      <c r="Q838" s="16" t="str">
        <f t="shared" si="115"/>
        <v/>
      </c>
      <c r="R838" s="5" t="str">
        <f t="shared" si="114"/>
        <v/>
      </c>
      <c r="S838" s="5" t="str">
        <f t="shared" si="118"/>
        <v/>
      </c>
      <c r="T838" s="5" t="str">
        <f t="shared" si="113"/>
        <v/>
      </c>
      <c r="U838" s="5" t="str">
        <f t="shared" si="113"/>
        <v/>
      </c>
    </row>
    <row r="839" spans="7:21" x14ac:dyDescent="0.2">
      <c r="G839" s="8"/>
      <c r="H839" s="5"/>
      <c r="J839" s="10" t="str">
        <f t="shared" si="116"/>
        <v/>
      </c>
      <c r="K839" s="10" t="str">
        <f t="shared" si="117"/>
        <v/>
      </c>
      <c r="L839" s="11" t="str">
        <f t="shared" si="119"/>
        <v/>
      </c>
      <c r="M839" s="9" t="str">
        <f>IF(G839&lt;&gt;"",J839/MAX(J$3:J839)-1,"")</f>
        <v/>
      </c>
      <c r="N839" s="9" t="str">
        <f>IF(G839&lt;&gt;"",K839/MAX(K$3:K839)-1,"")</f>
        <v/>
      </c>
      <c r="O839" s="16" t="str">
        <f t="shared" si="115"/>
        <v/>
      </c>
      <c r="P839" s="16" t="str">
        <f t="shared" si="115"/>
        <v/>
      </c>
      <c r="Q839" s="16" t="str">
        <f t="shared" si="115"/>
        <v/>
      </c>
      <c r="R839" s="5" t="str">
        <f t="shared" si="114"/>
        <v/>
      </c>
      <c r="S839" s="5" t="str">
        <f t="shared" si="118"/>
        <v/>
      </c>
      <c r="T839" s="5" t="str">
        <f t="shared" si="113"/>
        <v/>
      </c>
      <c r="U839" s="5" t="str">
        <f t="shared" si="113"/>
        <v/>
      </c>
    </row>
    <row r="840" spans="7:21" x14ac:dyDescent="0.2">
      <c r="G840" s="8"/>
      <c r="H840" s="5"/>
      <c r="J840" s="10" t="str">
        <f t="shared" si="116"/>
        <v/>
      </c>
      <c r="K840" s="10" t="str">
        <f t="shared" si="117"/>
        <v/>
      </c>
      <c r="L840" s="11" t="str">
        <f t="shared" si="119"/>
        <v/>
      </c>
      <c r="M840" s="9" t="str">
        <f>IF(G840&lt;&gt;"",J840/MAX(J$3:J840)-1,"")</f>
        <v/>
      </c>
      <c r="N840" s="9" t="str">
        <f>IF(G840&lt;&gt;"",K840/MAX(K$3:K840)-1,"")</f>
        <v/>
      </c>
      <c r="O840" s="16" t="str">
        <f t="shared" si="115"/>
        <v/>
      </c>
      <c r="P840" s="16" t="str">
        <f t="shared" si="115"/>
        <v/>
      </c>
      <c r="Q840" s="16" t="str">
        <f t="shared" si="115"/>
        <v/>
      </c>
      <c r="R840" s="5" t="str">
        <f t="shared" si="114"/>
        <v/>
      </c>
      <c r="S840" s="5" t="str">
        <f t="shared" si="118"/>
        <v/>
      </c>
      <c r="T840" s="5" t="str">
        <f t="shared" ref="T840:U855" si="120">IF($G840&lt;&gt;"",_xlfn.STDEV.S(O596:O840),"")</f>
        <v/>
      </c>
      <c r="U840" s="5" t="str">
        <f t="shared" si="120"/>
        <v/>
      </c>
    </row>
    <row r="841" spans="7:21" x14ac:dyDescent="0.2">
      <c r="G841" s="8"/>
      <c r="H841" s="5"/>
      <c r="J841" s="10" t="str">
        <f t="shared" si="116"/>
        <v/>
      </c>
      <c r="K841" s="10" t="str">
        <f t="shared" si="117"/>
        <v/>
      </c>
      <c r="L841" s="11" t="str">
        <f t="shared" si="119"/>
        <v/>
      </c>
      <c r="M841" s="9" t="str">
        <f>IF(G841&lt;&gt;"",J841/MAX(J$3:J841)-1,"")</f>
        <v/>
      </c>
      <c r="N841" s="9" t="str">
        <f>IF(G841&lt;&gt;"",K841/MAX(K$3:K841)-1,"")</f>
        <v/>
      </c>
      <c r="O841" s="16" t="str">
        <f t="shared" si="115"/>
        <v/>
      </c>
      <c r="P841" s="16" t="str">
        <f t="shared" si="115"/>
        <v/>
      </c>
      <c r="Q841" s="16" t="str">
        <f t="shared" si="115"/>
        <v/>
      </c>
      <c r="R841" s="5" t="str">
        <f t="shared" si="114"/>
        <v/>
      </c>
      <c r="S841" s="5" t="str">
        <f t="shared" si="118"/>
        <v/>
      </c>
      <c r="T841" s="5" t="str">
        <f t="shared" si="120"/>
        <v/>
      </c>
      <c r="U841" s="5" t="str">
        <f t="shared" si="120"/>
        <v/>
      </c>
    </row>
    <row r="842" spans="7:21" x14ac:dyDescent="0.2">
      <c r="G842" s="8"/>
      <c r="H842" s="5"/>
      <c r="J842" s="10" t="str">
        <f t="shared" si="116"/>
        <v/>
      </c>
      <c r="K842" s="10" t="str">
        <f t="shared" si="117"/>
        <v/>
      </c>
      <c r="L842" s="11" t="str">
        <f t="shared" si="119"/>
        <v/>
      </c>
      <c r="M842" s="9" t="str">
        <f>IF(G842&lt;&gt;"",J842/MAX(J$3:J842)-1,"")</f>
        <v/>
      </c>
      <c r="N842" s="9" t="str">
        <f>IF(G842&lt;&gt;"",K842/MAX(K$3:K842)-1,"")</f>
        <v/>
      </c>
      <c r="O842" s="16" t="str">
        <f t="shared" si="115"/>
        <v/>
      </c>
      <c r="P842" s="16" t="str">
        <f t="shared" si="115"/>
        <v/>
      </c>
      <c r="Q842" s="16" t="str">
        <f t="shared" si="115"/>
        <v/>
      </c>
      <c r="R842" s="5" t="str">
        <f t="shared" si="114"/>
        <v/>
      </c>
      <c r="S842" s="5" t="str">
        <f t="shared" si="118"/>
        <v/>
      </c>
      <c r="T842" s="5" t="str">
        <f t="shared" si="120"/>
        <v/>
      </c>
      <c r="U842" s="5" t="str">
        <f t="shared" si="120"/>
        <v/>
      </c>
    </row>
    <row r="843" spans="7:21" x14ac:dyDescent="0.2">
      <c r="G843" s="8"/>
      <c r="H843" s="5"/>
      <c r="J843" s="10" t="str">
        <f t="shared" si="116"/>
        <v/>
      </c>
      <c r="K843" s="10" t="str">
        <f t="shared" si="117"/>
        <v/>
      </c>
      <c r="L843" s="11" t="str">
        <f t="shared" si="119"/>
        <v/>
      </c>
      <c r="M843" s="9" t="str">
        <f>IF(G843&lt;&gt;"",J843/MAX(J$3:J843)-1,"")</f>
        <v/>
      </c>
      <c r="N843" s="9" t="str">
        <f>IF(G843&lt;&gt;"",K843/MAX(K$3:K843)-1,"")</f>
        <v/>
      </c>
      <c r="O843" s="16" t="str">
        <f t="shared" si="115"/>
        <v/>
      </c>
      <c r="P843" s="16" t="str">
        <f t="shared" si="115"/>
        <v/>
      </c>
      <c r="Q843" s="16" t="str">
        <f t="shared" si="115"/>
        <v/>
      </c>
      <c r="R843" s="5" t="str">
        <f t="shared" si="114"/>
        <v/>
      </c>
      <c r="S843" s="5" t="str">
        <f t="shared" si="118"/>
        <v/>
      </c>
      <c r="T843" s="5" t="str">
        <f t="shared" si="120"/>
        <v/>
      </c>
      <c r="U843" s="5" t="str">
        <f t="shared" si="120"/>
        <v/>
      </c>
    </row>
    <row r="844" spans="7:21" x14ac:dyDescent="0.2">
      <c r="G844" s="8"/>
      <c r="H844" s="5"/>
      <c r="J844" s="10" t="str">
        <f t="shared" si="116"/>
        <v/>
      </c>
      <c r="K844" s="10" t="str">
        <f t="shared" si="117"/>
        <v/>
      </c>
      <c r="L844" s="11" t="str">
        <f t="shared" si="119"/>
        <v/>
      </c>
      <c r="M844" s="9" t="str">
        <f>IF(G844&lt;&gt;"",J844/MAX(J$3:J844)-1,"")</f>
        <v/>
      </c>
      <c r="N844" s="9" t="str">
        <f>IF(G844&lt;&gt;"",K844/MAX(K$3:K844)-1,"")</f>
        <v/>
      </c>
      <c r="O844" s="16" t="str">
        <f t="shared" si="115"/>
        <v/>
      </c>
      <c r="P844" s="16" t="str">
        <f t="shared" si="115"/>
        <v/>
      </c>
      <c r="Q844" s="16" t="str">
        <f t="shared" si="115"/>
        <v/>
      </c>
      <c r="R844" s="5" t="str">
        <f t="shared" si="114"/>
        <v/>
      </c>
      <c r="S844" s="5" t="str">
        <f t="shared" si="118"/>
        <v/>
      </c>
      <c r="T844" s="5" t="str">
        <f t="shared" si="120"/>
        <v/>
      </c>
      <c r="U844" s="5" t="str">
        <f t="shared" si="120"/>
        <v/>
      </c>
    </row>
    <row r="845" spans="7:21" x14ac:dyDescent="0.2">
      <c r="G845" s="8"/>
      <c r="H845" s="5"/>
      <c r="J845" s="10" t="str">
        <f t="shared" si="116"/>
        <v/>
      </c>
      <c r="K845" s="10" t="str">
        <f t="shared" si="117"/>
        <v/>
      </c>
      <c r="L845" s="11" t="str">
        <f t="shared" si="119"/>
        <v/>
      </c>
      <c r="M845" s="9" t="str">
        <f>IF(G845&lt;&gt;"",J845/MAX(J$3:J845)-1,"")</f>
        <v/>
      </c>
      <c r="N845" s="9" t="str">
        <f>IF(G845&lt;&gt;"",K845/MAX(K$3:K845)-1,"")</f>
        <v/>
      </c>
      <c r="O845" s="16" t="str">
        <f t="shared" si="115"/>
        <v/>
      </c>
      <c r="P845" s="16" t="str">
        <f t="shared" si="115"/>
        <v/>
      </c>
      <c r="Q845" s="16" t="str">
        <f t="shared" si="115"/>
        <v/>
      </c>
      <c r="R845" s="5" t="str">
        <f t="shared" si="114"/>
        <v/>
      </c>
      <c r="S845" s="5" t="str">
        <f t="shared" si="118"/>
        <v/>
      </c>
      <c r="T845" s="5" t="str">
        <f t="shared" si="120"/>
        <v/>
      </c>
      <c r="U845" s="5" t="str">
        <f t="shared" si="120"/>
        <v/>
      </c>
    </row>
    <row r="846" spans="7:21" x14ac:dyDescent="0.2">
      <c r="G846" s="8"/>
      <c r="H846" s="5"/>
      <c r="J846" s="10" t="str">
        <f t="shared" si="116"/>
        <v/>
      </c>
      <c r="K846" s="10" t="str">
        <f t="shared" si="117"/>
        <v/>
      </c>
      <c r="L846" s="11" t="str">
        <f t="shared" si="119"/>
        <v/>
      </c>
      <c r="M846" s="9" t="str">
        <f>IF(G846&lt;&gt;"",J846/MAX(J$3:J846)-1,"")</f>
        <v/>
      </c>
      <c r="N846" s="9" t="str">
        <f>IF(G846&lt;&gt;"",K846/MAX(K$3:K846)-1,"")</f>
        <v/>
      </c>
      <c r="O846" s="16" t="str">
        <f t="shared" si="115"/>
        <v/>
      </c>
      <c r="P846" s="16" t="str">
        <f t="shared" si="115"/>
        <v/>
      </c>
      <c r="Q846" s="16" t="str">
        <f t="shared" si="115"/>
        <v/>
      </c>
      <c r="R846" s="5" t="str">
        <f t="shared" si="114"/>
        <v/>
      </c>
      <c r="S846" s="5" t="str">
        <f t="shared" si="118"/>
        <v/>
      </c>
      <c r="T846" s="5" t="str">
        <f t="shared" si="120"/>
        <v/>
      </c>
      <c r="U846" s="5" t="str">
        <f t="shared" si="120"/>
        <v/>
      </c>
    </row>
    <row r="847" spans="7:21" x14ac:dyDescent="0.2">
      <c r="G847" s="8"/>
      <c r="H847" s="5"/>
      <c r="J847" s="10" t="str">
        <f t="shared" si="116"/>
        <v/>
      </c>
      <c r="K847" s="10" t="str">
        <f t="shared" si="117"/>
        <v/>
      </c>
      <c r="L847" s="11" t="str">
        <f t="shared" si="119"/>
        <v/>
      </c>
      <c r="M847" s="9" t="str">
        <f>IF(G847&lt;&gt;"",J847/MAX(J$3:J847)-1,"")</f>
        <v/>
      </c>
      <c r="N847" s="9" t="str">
        <f>IF(G847&lt;&gt;"",K847/MAX(K$3:K847)-1,"")</f>
        <v/>
      </c>
      <c r="O847" s="16" t="str">
        <f t="shared" si="115"/>
        <v/>
      </c>
      <c r="P847" s="16" t="str">
        <f t="shared" si="115"/>
        <v/>
      </c>
      <c r="Q847" s="16" t="str">
        <f t="shared" si="115"/>
        <v/>
      </c>
      <c r="R847" s="5" t="str">
        <f t="shared" si="114"/>
        <v/>
      </c>
      <c r="S847" s="5" t="str">
        <f t="shared" si="118"/>
        <v/>
      </c>
      <c r="T847" s="5" t="str">
        <f t="shared" si="120"/>
        <v/>
      </c>
      <c r="U847" s="5" t="str">
        <f t="shared" si="120"/>
        <v/>
      </c>
    </row>
    <row r="848" spans="7:21" x14ac:dyDescent="0.2">
      <c r="G848" s="8"/>
      <c r="H848" s="5"/>
      <c r="J848" s="10" t="str">
        <f t="shared" si="116"/>
        <v/>
      </c>
      <c r="K848" s="10" t="str">
        <f t="shared" si="117"/>
        <v/>
      </c>
      <c r="L848" s="11" t="str">
        <f t="shared" si="119"/>
        <v/>
      </c>
      <c r="M848" s="9" t="str">
        <f>IF(G848&lt;&gt;"",J848/MAX(J$3:J848)-1,"")</f>
        <v/>
      </c>
      <c r="N848" s="9" t="str">
        <f>IF(G848&lt;&gt;"",K848/MAX(K$3:K848)-1,"")</f>
        <v/>
      </c>
      <c r="O848" s="16" t="str">
        <f t="shared" si="115"/>
        <v/>
      </c>
      <c r="P848" s="16" t="str">
        <f t="shared" si="115"/>
        <v/>
      </c>
      <c r="Q848" s="16" t="str">
        <f t="shared" si="115"/>
        <v/>
      </c>
      <c r="R848" s="5" t="str">
        <f t="shared" si="114"/>
        <v/>
      </c>
      <c r="S848" s="5" t="str">
        <f t="shared" si="118"/>
        <v/>
      </c>
      <c r="T848" s="5" t="str">
        <f t="shared" si="120"/>
        <v/>
      </c>
      <c r="U848" s="5" t="str">
        <f t="shared" si="120"/>
        <v/>
      </c>
    </row>
    <row r="849" spans="7:21" x14ac:dyDescent="0.2">
      <c r="G849" s="8"/>
      <c r="H849" s="5"/>
      <c r="J849" s="10" t="str">
        <f t="shared" si="116"/>
        <v/>
      </c>
      <c r="K849" s="10" t="str">
        <f t="shared" si="117"/>
        <v/>
      </c>
      <c r="L849" s="11" t="str">
        <f t="shared" si="119"/>
        <v/>
      </c>
      <c r="M849" s="9" t="str">
        <f>IF(G849&lt;&gt;"",J849/MAX(J$3:J849)-1,"")</f>
        <v/>
      </c>
      <c r="N849" s="9" t="str">
        <f>IF(G849&lt;&gt;"",K849/MAX(K$3:K849)-1,"")</f>
        <v/>
      </c>
      <c r="O849" s="16" t="str">
        <f t="shared" si="115"/>
        <v/>
      </c>
      <c r="P849" s="16" t="str">
        <f t="shared" si="115"/>
        <v/>
      </c>
      <c r="Q849" s="16" t="str">
        <f t="shared" si="115"/>
        <v/>
      </c>
      <c r="R849" s="5" t="str">
        <f t="shared" si="114"/>
        <v/>
      </c>
      <c r="S849" s="5" t="str">
        <f t="shared" si="118"/>
        <v/>
      </c>
      <c r="T849" s="5" t="str">
        <f t="shared" si="120"/>
        <v/>
      </c>
      <c r="U849" s="5" t="str">
        <f t="shared" si="120"/>
        <v/>
      </c>
    </row>
    <row r="850" spans="7:21" x14ac:dyDescent="0.2">
      <c r="G850" s="8"/>
      <c r="H850" s="5"/>
      <c r="J850" s="10" t="str">
        <f t="shared" si="116"/>
        <v/>
      </c>
      <c r="K850" s="10" t="str">
        <f t="shared" si="117"/>
        <v/>
      </c>
      <c r="L850" s="11" t="str">
        <f t="shared" si="119"/>
        <v/>
      </c>
      <c r="M850" s="9" t="str">
        <f>IF(G850&lt;&gt;"",J850/MAX(J$3:J850)-1,"")</f>
        <v/>
      </c>
      <c r="N850" s="9" t="str">
        <f>IF(G850&lt;&gt;"",K850/MAX(K$3:K850)-1,"")</f>
        <v/>
      </c>
      <c r="O850" s="16" t="str">
        <f t="shared" si="115"/>
        <v/>
      </c>
      <c r="P850" s="16" t="str">
        <f t="shared" si="115"/>
        <v/>
      </c>
      <c r="Q850" s="16" t="str">
        <f t="shared" si="115"/>
        <v/>
      </c>
      <c r="R850" s="5" t="str">
        <f t="shared" si="114"/>
        <v/>
      </c>
      <c r="S850" s="5" t="str">
        <f t="shared" si="118"/>
        <v/>
      </c>
      <c r="T850" s="5" t="str">
        <f t="shared" si="120"/>
        <v/>
      </c>
      <c r="U850" s="5" t="str">
        <f t="shared" si="120"/>
        <v/>
      </c>
    </row>
    <row r="851" spans="7:21" x14ac:dyDescent="0.2">
      <c r="G851" s="8"/>
      <c r="H851" s="5"/>
      <c r="J851" s="10" t="str">
        <f t="shared" si="116"/>
        <v/>
      </c>
      <c r="K851" s="10" t="str">
        <f t="shared" si="117"/>
        <v/>
      </c>
      <c r="L851" s="11" t="str">
        <f t="shared" si="119"/>
        <v/>
      </c>
      <c r="M851" s="9" t="str">
        <f>IF(G851&lt;&gt;"",J851/MAX(J$3:J851)-1,"")</f>
        <v/>
      </c>
      <c r="N851" s="9" t="str">
        <f>IF(G851&lt;&gt;"",K851/MAX(K$3:K851)-1,"")</f>
        <v/>
      </c>
      <c r="O851" s="16" t="str">
        <f t="shared" si="115"/>
        <v/>
      </c>
      <c r="P851" s="16" t="str">
        <f t="shared" si="115"/>
        <v/>
      </c>
      <c r="Q851" s="16" t="str">
        <f t="shared" si="115"/>
        <v/>
      </c>
      <c r="R851" s="5" t="str">
        <f t="shared" si="114"/>
        <v/>
      </c>
      <c r="S851" s="5" t="str">
        <f t="shared" si="118"/>
        <v/>
      </c>
      <c r="T851" s="5" t="str">
        <f t="shared" si="120"/>
        <v/>
      </c>
      <c r="U851" s="5" t="str">
        <f t="shared" si="120"/>
        <v/>
      </c>
    </row>
    <row r="852" spans="7:21" x14ac:dyDescent="0.2">
      <c r="G852" s="8"/>
      <c r="H852" s="5"/>
      <c r="J852" s="10" t="str">
        <f t="shared" si="116"/>
        <v/>
      </c>
      <c r="K852" s="10" t="str">
        <f t="shared" si="117"/>
        <v/>
      </c>
      <c r="L852" s="11" t="str">
        <f t="shared" si="119"/>
        <v/>
      </c>
      <c r="M852" s="9" t="str">
        <f>IF(G852&lt;&gt;"",J852/MAX(J$3:J852)-1,"")</f>
        <v/>
      </c>
      <c r="N852" s="9" t="str">
        <f>IF(G852&lt;&gt;"",K852/MAX(K$3:K852)-1,"")</f>
        <v/>
      </c>
      <c r="O852" s="16" t="str">
        <f t="shared" si="115"/>
        <v/>
      </c>
      <c r="P852" s="16" t="str">
        <f t="shared" si="115"/>
        <v/>
      </c>
      <c r="Q852" s="16" t="str">
        <f t="shared" si="115"/>
        <v/>
      </c>
      <c r="R852" s="5" t="str">
        <f t="shared" si="114"/>
        <v/>
      </c>
      <c r="S852" s="5" t="str">
        <f t="shared" si="118"/>
        <v/>
      </c>
      <c r="T852" s="5" t="str">
        <f t="shared" si="120"/>
        <v/>
      </c>
      <c r="U852" s="5" t="str">
        <f t="shared" si="120"/>
        <v/>
      </c>
    </row>
    <row r="853" spans="7:21" x14ac:dyDescent="0.2">
      <c r="G853" s="8"/>
      <c r="H853" s="5"/>
      <c r="J853" s="10" t="str">
        <f t="shared" si="116"/>
        <v/>
      </c>
      <c r="K853" s="10" t="str">
        <f t="shared" si="117"/>
        <v/>
      </c>
      <c r="L853" s="11" t="str">
        <f t="shared" si="119"/>
        <v/>
      </c>
      <c r="M853" s="9" t="str">
        <f>IF(G853&lt;&gt;"",J853/MAX(J$3:J853)-1,"")</f>
        <v/>
      </c>
      <c r="N853" s="9" t="str">
        <f>IF(G853&lt;&gt;"",K853/MAX(K$3:K853)-1,"")</f>
        <v/>
      </c>
      <c r="O853" s="16" t="str">
        <f t="shared" si="115"/>
        <v/>
      </c>
      <c r="P853" s="16" t="str">
        <f t="shared" si="115"/>
        <v/>
      </c>
      <c r="Q853" s="16" t="str">
        <f t="shared" si="115"/>
        <v/>
      </c>
      <c r="R853" s="5" t="str">
        <f t="shared" si="114"/>
        <v/>
      </c>
      <c r="S853" s="5" t="str">
        <f t="shared" si="118"/>
        <v/>
      </c>
      <c r="T853" s="5" t="str">
        <f t="shared" si="120"/>
        <v/>
      </c>
      <c r="U853" s="5" t="str">
        <f t="shared" si="120"/>
        <v/>
      </c>
    </row>
    <row r="854" spans="7:21" x14ac:dyDescent="0.2">
      <c r="G854" s="8"/>
      <c r="H854" s="5"/>
      <c r="J854" s="10" t="str">
        <f t="shared" si="116"/>
        <v/>
      </c>
      <c r="K854" s="10" t="str">
        <f t="shared" si="117"/>
        <v/>
      </c>
      <c r="L854" s="11" t="str">
        <f t="shared" si="119"/>
        <v/>
      </c>
      <c r="M854" s="9" t="str">
        <f>IF(G854&lt;&gt;"",J854/MAX(J$3:J854)-1,"")</f>
        <v/>
      </c>
      <c r="N854" s="9" t="str">
        <f>IF(G854&lt;&gt;"",K854/MAX(K$3:K854)-1,"")</f>
        <v/>
      </c>
      <c r="O854" s="16" t="str">
        <f t="shared" si="115"/>
        <v/>
      </c>
      <c r="P854" s="16" t="str">
        <f t="shared" si="115"/>
        <v/>
      </c>
      <c r="Q854" s="16" t="str">
        <f t="shared" si="115"/>
        <v/>
      </c>
      <c r="R854" s="5" t="str">
        <f t="shared" si="114"/>
        <v/>
      </c>
      <c r="S854" s="5" t="str">
        <f t="shared" si="118"/>
        <v/>
      </c>
      <c r="T854" s="5" t="str">
        <f t="shared" si="120"/>
        <v/>
      </c>
      <c r="U854" s="5" t="str">
        <f t="shared" si="120"/>
        <v/>
      </c>
    </row>
    <row r="855" spans="7:21" x14ac:dyDescent="0.2">
      <c r="G855" s="8"/>
      <c r="H855" s="5"/>
      <c r="J855" s="10" t="str">
        <f t="shared" si="116"/>
        <v/>
      </c>
      <c r="K855" s="10" t="str">
        <f t="shared" si="117"/>
        <v/>
      </c>
      <c r="L855" s="11" t="str">
        <f t="shared" si="119"/>
        <v/>
      </c>
      <c r="M855" s="9" t="str">
        <f>IF(G855&lt;&gt;"",J855/MAX(J$3:J855)-1,"")</f>
        <v/>
      </c>
      <c r="N855" s="9" t="str">
        <f>IF(G855&lt;&gt;"",K855/MAX(K$3:K855)-1,"")</f>
        <v/>
      </c>
      <c r="O855" s="16" t="str">
        <f t="shared" si="115"/>
        <v/>
      </c>
      <c r="P855" s="16" t="str">
        <f t="shared" si="115"/>
        <v/>
      </c>
      <c r="Q855" s="16" t="str">
        <f t="shared" si="115"/>
        <v/>
      </c>
      <c r="R855" s="5" t="str">
        <f t="shared" si="114"/>
        <v/>
      </c>
      <c r="S855" s="5" t="str">
        <f t="shared" si="118"/>
        <v/>
      </c>
      <c r="T855" s="5" t="str">
        <f t="shared" si="120"/>
        <v/>
      </c>
      <c r="U855" s="5" t="str">
        <f t="shared" si="120"/>
        <v/>
      </c>
    </row>
    <row r="856" spans="7:21" x14ac:dyDescent="0.2">
      <c r="G856" s="8"/>
      <c r="H856" s="5"/>
      <c r="J856" s="10" t="str">
        <f t="shared" si="116"/>
        <v/>
      </c>
      <c r="K856" s="10" t="str">
        <f t="shared" si="117"/>
        <v/>
      </c>
      <c r="L856" s="11" t="str">
        <f t="shared" si="119"/>
        <v/>
      </c>
      <c r="M856" s="9" t="str">
        <f>IF(G856&lt;&gt;"",J856/MAX(J$3:J856)-1,"")</f>
        <v/>
      </c>
      <c r="N856" s="9" t="str">
        <f>IF(G856&lt;&gt;"",K856/MAX(K$3:K856)-1,"")</f>
        <v/>
      </c>
      <c r="O856" s="16" t="str">
        <f t="shared" si="115"/>
        <v/>
      </c>
      <c r="P856" s="16" t="str">
        <f t="shared" si="115"/>
        <v/>
      </c>
      <c r="Q856" s="16" t="str">
        <f t="shared" si="115"/>
        <v/>
      </c>
      <c r="R856" s="5" t="str">
        <f t="shared" si="114"/>
        <v/>
      </c>
      <c r="S856" s="5" t="str">
        <f t="shared" si="118"/>
        <v/>
      </c>
      <c r="T856" s="5" t="str">
        <f t="shared" ref="T856:U871" si="121">IF($G856&lt;&gt;"",_xlfn.STDEV.S(O612:O856),"")</f>
        <v/>
      </c>
      <c r="U856" s="5" t="str">
        <f t="shared" si="121"/>
        <v/>
      </c>
    </row>
    <row r="857" spans="7:21" x14ac:dyDescent="0.2">
      <c r="G857" s="8"/>
      <c r="H857" s="5"/>
      <c r="J857" s="10" t="str">
        <f t="shared" si="116"/>
        <v/>
      </c>
      <c r="K857" s="10" t="str">
        <f t="shared" si="117"/>
        <v/>
      </c>
      <c r="L857" s="11" t="str">
        <f t="shared" si="119"/>
        <v/>
      </c>
      <c r="M857" s="9" t="str">
        <f>IF(G857&lt;&gt;"",J857/MAX(J$3:J857)-1,"")</f>
        <v/>
      </c>
      <c r="N857" s="9" t="str">
        <f>IF(G857&lt;&gt;"",K857/MAX(K$3:K857)-1,"")</f>
        <v/>
      </c>
      <c r="O857" s="16" t="str">
        <f t="shared" si="115"/>
        <v/>
      </c>
      <c r="P857" s="16" t="str">
        <f t="shared" si="115"/>
        <v/>
      </c>
      <c r="Q857" s="16" t="str">
        <f t="shared" si="115"/>
        <v/>
      </c>
      <c r="R857" s="5" t="str">
        <f t="shared" si="114"/>
        <v/>
      </c>
      <c r="S857" s="5" t="str">
        <f t="shared" si="118"/>
        <v/>
      </c>
      <c r="T857" s="5" t="str">
        <f t="shared" si="121"/>
        <v/>
      </c>
      <c r="U857" s="5" t="str">
        <f t="shared" si="121"/>
        <v/>
      </c>
    </row>
    <row r="858" spans="7:21" x14ac:dyDescent="0.2">
      <c r="G858" s="8"/>
      <c r="H858" s="5"/>
      <c r="J858" s="10" t="str">
        <f t="shared" si="116"/>
        <v/>
      </c>
      <c r="K858" s="10" t="str">
        <f t="shared" si="117"/>
        <v/>
      </c>
      <c r="L858" s="11" t="str">
        <f t="shared" si="119"/>
        <v/>
      </c>
      <c r="M858" s="9" t="str">
        <f>IF(G858&lt;&gt;"",J858/MAX(J$3:J858)-1,"")</f>
        <v/>
      </c>
      <c r="N858" s="9" t="str">
        <f>IF(G858&lt;&gt;"",K858/MAX(K$3:K858)-1,"")</f>
        <v/>
      </c>
      <c r="O858" s="16" t="str">
        <f t="shared" si="115"/>
        <v/>
      </c>
      <c r="P858" s="16" t="str">
        <f t="shared" si="115"/>
        <v/>
      </c>
      <c r="Q858" s="16" t="str">
        <f t="shared" si="115"/>
        <v/>
      </c>
      <c r="R858" s="5" t="str">
        <f t="shared" si="114"/>
        <v/>
      </c>
      <c r="S858" s="5" t="str">
        <f t="shared" si="118"/>
        <v/>
      </c>
      <c r="T858" s="5" t="str">
        <f t="shared" si="121"/>
        <v/>
      </c>
      <c r="U858" s="5" t="str">
        <f t="shared" si="121"/>
        <v/>
      </c>
    </row>
    <row r="859" spans="7:21" x14ac:dyDescent="0.2">
      <c r="G859" s="8"/>
      <c r="H859" s="5"/>
      <c r="J859" s="10" t="str">
        <f t="shared" si="116"/>
        <v/>
      </c>
      <c r="K859" s="10" t="str">
        <f t="shared" si="117"/>
        <v/>
      </c>
      <c r="L859" s="11" t="str">
        <f t="shared" si="119"/>
        <v/>
      </c>
      <c r="M859" s="9" t="str">
        <f>IF(G859&lt;&gt;"",J859/MAX(J$3:J859)-1,"")</f>
        <v/>
      </c>
      <c r="N859" s="9" t="str">
        <f>IF(G859&lt;&gt;"",K859/MAX(K$3:K859)-1,"")</f>
        <v/>
      </c>
      <c r="O859" s="16" t="str">
        <f t="shared" si="115"/>
        <v/>
      </c>
      <c r="P859" s="16" t="str">
        <f t="shared" si="115"/>
        <v/>
      </c>
      <c r="Q859" s="16" t="str">
        <f t="shared" si="115"/>
        <v/>
      </c>
      <c r="R859" s="5" t="str">
        <f t="shared" si="114"/>
        <v/>
      </c>
      <c r="S859" s="5" t="str">
        <f t="shared" si="118"/>
        <v/>
      </c>
      <c r="T859" s="5" t="str">
        <f t="shared" si="121"/>
        <v/>
      </c>
      <c r="U859" s="5" t="str">
        <f t="shared" si="121"/>
        <v/>
      </c>
    </row>
    <row r="860" spans="7:21" x14ac:dyDescent="0.2">
      <c r="G860" s="8"/>
      <c r="H860" s="5"/>
      <c r="J860" s="10" t="str">
        <f t="shared" si="116"/>
        <v/>
      </c>
      <c r="K860" s="10" t="str">
        <f t="shared" si="117"/>
        <v/>
      </c>
      <c r="L860" s="11" t="str">
        <f t="shared" si="119"/>
        <v/>
      </c>
      <c r="M860" s="9" t="str">
        <f>IF(G860&lt;&gt;"",J860/MAX(J$3:J860)-1,"")</f>
        <v/>
      </c>
      <c r="N860" s="9" t="str">
        <f>IF(G860&lt;&gt;"",K860/MAX(K$3:K860)-1,"")</f>
        <v/>
      </c>
      <c r="O860" s="16" t="str">
        <f t="shared" si="115"/>
        <v/>
      </c>
      <c r="P860" s="16" t="str">
        <f t="shared" si="115"/>
        <v/>
      </c>
      <c r="Q860" s="16" t="str">
        <f t="shared" si="115"/>
        <v/>
      </c>
      <c r="R860" s="5" t="str">
        <f t="shared" si="114"/>
        <v/>
      </c>
      <c r="S860" s="5" t="str">
        <f t="shared" si="118"/>
        <v/>
      </c>
      <c r="T860" s="5" t="str">
        <f t="shared" si="121"/>
        <v/>
      </c>
      <c r="U860" s="5" t="str">
        <f t="shared" si="121"/>
        <v/>
      </c>
    </row>
    <row r="861" spans="7:21" x14ac:dyDescent="0.2">
      <c r="G861" s="8"/>
      <c r="H861" s="5"/>
      <c r="J861" s="10" t="str">
        <f t="shared" si="116"/>
        <v/>
      </c>
      <c r="K861" s="10" t="str">
        <f t="shared" si="117"/>
        <v/>
      </c>
      <c r="L861" s="11" t="str">
        <f t="shared" si="119"/>
        <v/>
      </c>
      <c r="M861" s="9" t="str">
        <f>IF(G861&lt;&gt;"",J861/MAX(J$3:J861)-1,"")</f>
        <v/>
      </c>
      <c r="N861" s="9" t="str">
        <f>IF(G861&lt;&gt;"",K861/MAX(K$3:K861)-1,"")</f>
        <v/>
      </c>
      <c r="O861" s="16" t="str">
        <f t="shared" si="115"/>
        <v/>
      </c>
      <c r="P861" s="16" t="str">
        <f t="shared" si="115"/>
        <v/>
      </c>
      <c r="Q861" s="16" t="str">
        <f t="shared" si="115"/>
        <v/>
      </c>
      <c r="R861" s="5" t="str">
        <f t="shared" si="114"/>
        <v/>
      </c>
      <c r="S861" s="5" t="str">
        <f t="shared" si="118"/>
        <v/>
      </c>
      <c r="T861" s="5" t="str">
        <f t="shared" si="121"/>
        <v/>
      </c>
      <c r="U861" s="5" t="str">
        <f t="shared" si="121"/>
        <v/>
      </c>
    </row>
    <row r="862" spans="7:21" x14ac:dyDescent="0.2">
      <c r="G862" s="8"/>
      <c r="H862" s="5"/>
      <c r="J862" s="10" t="str">
        <f t="shared" si="116"/>
        <v/>
      </c>
      <c r="K862" s="10" t="str">
        <f t="shared" si="117"/>
        <v/>
      </c>
      <c r="L862" s="11" t="str">
        <f t="shared" si="119"/>
        <v/>
      </c>
      <c r="M862" s="9" t="str">
        <f>IF(G862&lt;&gt;"",J862/MAX(J$3:J862)-1,"")</f>
        <v/>
      </c>
      <c r="N862" s="9" t="str">
        <f>IF(G862&lt;&gt;"",K862/MAX(K$3:K862)-1,"")</f>
        <v/>
      </c>
      <c r="O862" s="16" t="str">
        <f t="shared" si="115"/>
        <v/>
      </c>
      <c r="P862" s="16" t="str">
        <f t="shared" si="115"/>
        <v/>
      </c>
      <c r="Q862" s="16" t="str">
        <f t="shared" si="115"/>
        <v/>
      </c>
      <c r="R862" s="5" t="str">
        <f t="shared" si="114"/>
        <v/>
      </c>
      <c r="S862" s="5" t="str">
        <f t="shared" si="118"/>
        <v/>
      </c>
      <c r="T862" s="5" t="str">
        <f t="shared" si="121"/>
        <v/>
      </c>
      <c r="U862" s="5" t="str">
        <f t="shared" si="121"/>
        <v/>
      </c>
    </row>
    <row r="863" spans="7:21" x14ac:dyDescent="0.2">
      <c r="G863" s="8"/>
      <c r="H863" s="5"/>
      <c r="J863" s="10" t="str">
        <f t="shared" si="116"/>
        <v/>
      </c>
      <c r="K863" s="10" t="str">
        <f t="shared" si="117"/>
        <v/>
      </c>
      <c r="L863" s="11" t="str">
        <f t="shared" si="119"/>
        <v/>
      </c>
      <c r="M863" s="9" t="str">
        <f>IF(G863&lt;&gt;"",J863/MAX(J$3:J863)-1,"")</f>
        <v/>
      </c>
      <c r="N863" s="9" t="str">
        <f>IF(G863&lt;&gt;"",K863/MAX(K$3:K863)-1,"")</f>
        <v/>
      </c>
      <c r="O863" s="16" t="str">
        <f t="shared" si="115"/>
        <v/>
      </c>
      <c r="P863" s="16" t="str">
        <f t="shared" si="115"/>
        <v/>
      </c>
      <c r="Q863" s="16" t="str">
        <f t="shared" si="115"/>
        <v/>
      </c>
      <c r="R863" s="5" t="str">
        <f t="shared" si="114"/>
        <v/>
      </c>
      <c r="S863" s="5" t="str">
        <f t="shared" si="118"/>
        <v/>
      </c>
      <c r="T863" s="5" t="str">
        <f t="shared" si="121"/>
        <v/>
      </c>
      <c r="U863" s="5" t="str">
        <f t="shared" si="121"/>
        <v/>
      </c>
    </row>
    <row r="864" spans="7:21" x14ac:dyDescent="0.2">
      <c r="G864" s="8"/>
      <c r="H864" s="5"/>
      <c r="J864" s="10" t="str">
        <f t="shared" si="116"/>
        <v/>
      </c>
      <c r="K864" s="10" t="str">
        <f t="shared" si="117"/>
        <v/>
      </c>
      <c r="L864" s="11" t="str">
        <f t="shared" si="119"/>
        <v/>
      </c>
      <c r="M864" s="9" t="str">
        <f>IF(G864&lt;&gt;"",J864/MAX(J$3:J864)-1,"")</f>
        <v/>
      </c>
      <c r="N864" s="9" t="str">
        <f>IF(G864&lt;&gt;"",K864/MAX(K$3:K864)-1,"")</f>
        <v/>
      </c>
      <c r="O864" s="16" t="str">
        <f t="shared" si="115"/>
        <v/>
      </c>
      <c r="P864" s="16" t="str">
        <f t="shared" si="115"/>
        <v/>
      </c>
      <c r="Q864" s="16" t="str">
        <f t="shared" si="115"/>
        <v/>
      </c>
      <c r="R864" s="5" t="str">
        <f t="shared" si="114"/>
        <v/>
      </c>
      <c r="S864" s="5" t="str">
        <f t="shared" si="118"/>
        <v/>
      </c>
      <c r="T864" s="5" t="str">
        <f t="shared" si="121"/>
        <v/>
      </c>
      <c r="U864" s="5" t="str">
        <f t="shared" si="121"/>
        <v/>
      </c>
    </row>
    <row r="865" spans="7:21" x14ac:dyDescent="0.2">
      <c r="G865" s="8"/>
      <c r="H865" s="5"/>
      <c r="J865" s="10" t="str">
        <f t="shared" si="116"/>
        <v/>
      </c>
      <c r="K865" s="10" t="str">
        <f t="shared" si="117"/>
        <v/>
      </c>
      <c r="L865" s="11" t="str">
        <f t="shared" si="119"/>
        <v/>
      </c>
      <c r="M865" s="9" t="str">
        <f>IF(G865&lt;&gt;"",J865/MAX(J$3:J865)-1,"")</f>
        <v/>
      </c>
      <c r="N865" s="9" t="str">
        <f>IF(G865&lt;&gt;"",K865/MAX(K$3:K865)-1,"")</f>
        <v/>
      </c>
      <c r="O865" s="16" t="str">
        <f t="shared" si="115"/>
        <v/>
      </c>
      <c r="P865" s="16" t="str">
        <f t="shared" si="115"/>
        <v/>
      </c>
      <c r="Q865" s="16" t="str">
        <f t="shared" si="115"/>
        <v/>
      </c>
      <c r="R865" s="5" t="str">
        <f t="shared" si="114"/>
        <v/>
      </c>
      <c r="S865" s="5" t="str">
        <f t="shared" si="118"/>
        <v/>
      </c>
      <c r="T865" s="5" t="str">
        <f t="shared" si="121"/>
        <v/>
      </c>
      <c r="U865" s="5" t="str">
        <f t="shared" si="121"/>
        <v/>
      </c>
    </row>
    <row r="866" spans="7:21" x14ac:dyDescent="0.2">
      <c r="G866" s="8"/>
      <c r="H866" s="5"/>
      <c r="J866" s="10" t="str">
        <f t="shared" si="116"/>
        <v/>
      </c>
      <c r="K866" s="10" t="str">
        <f t="shared" si="117"/>
        <v/>
      </c>
      <c r="L866" s="11" t="str">
        <f t="shared" si="119"/>
        <v/>
      </c>
      <c r="M866" s="9" t="str">
        <f>IF(G866&lt;&gt;"",J866/MAX(J$3:J866)-1,"")</f>
        <v/>
      </c>
      <c r="N866" s="9" t="str">
        <f>IF(G866&lt;&gt;"",K866/MAX(K$3:K866)-1,"")</f>
        <v/>
      </c>
      <c r="O866" s="16" t="str">
        <f t="shared" si="115"/>
        <v/>
      </c>
      <c r="P866" s="16" t="str">
        <f t="shared" si="115"/>
        <v/>
      </c>
      <c r="Q866" s="16" t="str">
        <f t="shared" si="115"/>
        <v/>
      </c>
      <c r="R866" s="5" t="str">
        <f t="shared" si="114"/>
        <v/>
      </c>
      <c r="S866" s="5" t="str">
        <f t="shared" si="118"/>
        <v/>
      </c>
      <c r="T866" s="5" t="str">
        <f t="shared" si="121"/>
        <v/>
      </c>
      <c r="U866" s="5" t="str">
        <f t="shared" si="121"/>
        <v/>
      </c>
    </row>
    <row r="867" spans="7:21" x14ac:dyDescent="0.2">
      <c r="G867" s="8"/>
      <c r="H867" s="5"/>
      <c r="J867" s="10" t="str">
        <f t="shared" si="116"/>
        <v/>
      </c>
      <c r="K867" s="10" t="str">
        <f t="shared" si="117"/>
        <v/>
      </c>
      <c r="L867" s="11" t="str">
        <f t="shared" si="119"/>
        <v/>
      </c>
      <c r="M867" s="9" t="str">
        <f>IF(G867&lt;&gt;"",J867/MAX(J$3:J867)-1,"")</f>
        <v/>
      </c>
      <c r="N867" s="9" t="str">
        <f>IF(G867&lt;&gt;"",K867/MAX(K$3:K867)-1,"")</f>
        <v/>
      </c>
      <c r="O867" s="16" t="str">
        <f t="shared" si="115"/>
        <v/>
      </c>
      <c r="P867" s="16" t="str">
        <f t="shared" si="115"/>
        <v/>
      </c>
      <c r="Q867" s="16" t="str">
        <f t="shared" si="115"/>
        <v/>
      </c>
      <c r="R867" s="5" t="str">
        <f t="shared" si="114"/>
        <v/>
      </c>
      <c r="S867" s="5" t="str">
        <f t="shared" si="118"/>
        <v/>
      </c>
      <c r="T867" s="5" t="str">
        <f t="shared" si="121"/>
        <v/>
      </c>
      <c r="U867" s="5" t="str">
        <f t="shared" si="121"/>
        <v/>
      </c>
    </row>
    <row r="868" spans="7:21" x14ac:dyDescent="0.2">
      <c r="G868" s="8"/>
      <c r="H868" s="5"/>
      <c r="J868" s="10" t="str">
        <f t="shared" si="116"/>
        <v/>
      </c>
      <c r="K868" s="10" t="str">
        <f t="shared" si="117"/>
        <v/>
      </c>
      <c r="L868" s="11" t="str">
        <f t="shared" si="119"/>
        <v/>
      </c>
      <c r="M868" s="9" t="str">
        <f>IF(G868&lt;&gt;"",J868/MAX(J$3:J868)-1,"")</f>
        <v/>
      </c>
      <c r="N868" s="9" t="str">
        <f>IF(G868&lt;&gt;"",K868/MAX(K$3:K868)-1,"")</f>
        <v/>
      </c>
      <c r="O868" s="16" t="str">
        <f t="shared" si="115"/>
        <v/>
      </c>
      <c r="P868" s="16" t="str">
        <f t="shared" si="115"/>
        <v/>
      </c>
      <c r="Q868" s="16" t="str">
        <f t="shared" si="115"/>
        <v/>
      </c>
      <c r="R868" s="5" t="str">
        <f t="shared" si="114"/>
        <v/>
      </c>
      <c r="S868" s="5" t="str">
        <f t="shared" si="118"/>
        <v/>
      </c>
      <c r="T868" s="5" t="str">
        <f t="shared" si="121"/>
        <v/>
      </c>
      <c r="U868" s="5" t="str">
        <f t="shared" si="121"/>
        <v/>
      </c>
    </row>
    <row r="869" spans="7:21" x14ac:dyDescent="0.2">
      <c r="G869" s="8"/>
      <c r="H869" s="5"/>
      <c r="J869" s="10" t="str">
        <f t="shared" si="116"/>
        <v/>
      </c>
      <c r="K869" s="10" t="str">
        <f t="shared" si="117"/>
        <v/>
      </c>
      <c r="L869" s="11" t="str">
        <f t="shared" si="119"/>
        <v/>
      </c>
      <c r="M869" s="9" t="str">
        <f>IF(G869&lt;&gt;"",J869/MAX(J$3:J869)-1,"")</f>
        <v/>
      </c>
      <c r="N869" s="9" t="str">
        <f>IF(G869&lt;&gt;"",K869/MAX(K$3:K869)-1,"")</f>
        <v/>
      </c>
      <c r="O869" s="16" t="str">
        <f t="shared" si="115"/>
        <v/>
      </c>
      <c r="P869" s="16" t="str">
        <f t="shared" si="115"/>
        <v/>
      </c>
      <c r="Q869" s="16" t="str">
        <f t="shared" si="115"/>
        <v/>
      </c>
      <c r="R869" s="5" t="str">
        <f t="shared" si="114"/>
        <v/>
      </c>
      <c r="S869" s="5" t="str">
        <f t="shared" si="118"/>
        <v/>
      </c>
      <c r="T869" s="5" t="str">
        <f t="shared" si="121"/>
        <v/>
      </c>
      <c r="U869" s="5" t="str">
        <f t="shared" si="121"/>
        <v/>
      </c>
    </row>
    <row r="870" spans="7:21" x14ac:dyDescent="0.2">
      <c r="G870" s="8"/>
      <c r="H870" s="5"/>
      <c r="J870" s="10" t="str">
        <f t="shared" si="116"/>
        <v/>
      </c>
      <c r="K870" s="10" t="str">
        <f t="shared" si="117"/>
        <v/>
      </c>
      <c r="L870" s="11" t="str">
        <f t="shared" si="119"/>
        <v/>
      </c>
      <c r="M870" s="9" t="str">
        <f>IF(G870&lt;&gt;"",J870/MAX(J$3:J870)-1,"")</f>
        <v/>
      </c>
      <c r="N870" s="9" t="str">
        <f>IF(G870&lt;&gt;"",K870/MAX(K$3:K870)-1,"")</f>
        <v/>
      </c>
      <c r="O870" s="16" t="str">
        <f t="shared" si="115"/>
        <v/>
      </c>
      <c r="P870" s="16" t="str">
        <f t="shared" si="115"/>
        <v/>
      </c>
      <c r="Q870" s="16" t="str">
        <f t="shared" si="115"/>
        <v/>
      </c>
      <c r="R870" s="5" t="str">
        <f t="shared" si="114"/>
        <v/>
      </c>
      <c r="S870" s="5" t="str">
        <f t="shared" si="118"/>
        <v/>
      </c>
      <c r="T870" s="5" t="str">
        <f t="shared" si="121"/>
        <v/>
      </c>
      <c r="U870" s="5" t="str">
        <f t="shared" si="121"/>
        <v/>
      </c>
    </row>
    <row r="871" spans="7:21" x14ac:dyDescent="0.2">
      <c r="G871" s="8"/>
      <c r="H871" s="5"/>
      <c r="J871" s="10" t="str">
        <f t="shared" si="116"/>
        <v/>
      </c>
      <c r="K871" s="10" t="str">
        <f t="shared" si="117"/>
        <v/>
      </c>
      <c r="L871" s="11" t="str">
        <f t="shared" si="119"/>
        <v/>
      </c>
      <c r="M871" s="9" t="str">
        <f>IF(G871&lt;&gt;"",J871/MAX(J$3:J871)-1,"")</f>
        <v/>
      </c>
      <c r="N871" s="9" t="str">
        <f>IF(G871&lt;&gt;"",K871/MAX(K$3:K871)-1,"")</f>
        <v/>
      </c>
      <c r="O871" s="16" t="str">
        <f t="shared" si="115"/>
        <v/>
      </c>
      <c r="P871" s="16" t="str">
        <f t="shared" si="115"/>
        <v/>
      </c>
      <c r="Q871" s="16" t="str">
        <f t="shared" si="115"/>
        <v/>
      </c>
      <c r="R871" s="5" t="str">
        <f t="shared" si="114"/>
        <v/>
      </c>
      <c r="S871" s="5" t="str">
        <f t="shared" si="118"/>
        <v/>
      </c>
      <c r="T871" s="5" t="str">
        <f t="shared" si="121"/>
        <v/>
      </c>
      <c r="U871" s="5" t="str">
        <f t="shared" si="121"/>
        <v/>
      </c>
    </row>
    <row r="872" spans="7:21" x14ac:dyDescent="0.2">
      <c r="G872" s="8"/>
      <c r="H872" s="5"/>
      <c r="J872" s="10" t="str">
        <f t="shared" si="116"/>
        <v/>
      </c>
      <c r="K872" s="10" t="str">
        <f t="shared" si="117"/>
        <v/>
      </c>
      <c r="L872" s="11" t="str">
        <f t="shared" si="119"/>
        <v/>
      </c>
      <c r="M872" s="9" t="str">
        <f>IF(G872&lt;&gt;"",J872/MAX(J$3:J872)-1,"")</f>
        <v/>
      </c>
      <c r="N872" s="9" t="str">
        <f>IF(G872&lt;&gt;"",K872/MAX(K$3:K872)-1,"")</f>
        <v/>
      </c>
      <c r="O872" s="16" t="str">
        <f t="shared" si="115"/>
        <v/>
      </c>
      <c r="P872" s="16" t="str">
        <f t="shared" si="115"/>
        <v/>
      </c>
      <c r="Q872" s="16" t="str">
        <f t="shared" si="115"/>
        <v/>
      </c>
      <c r="R872" s="5" t="str">
        <f t="shared" si="114"/>
        <v/>
      </c>
      <c r="S872" s="5" t="str">
        <f t="shared" si="118"/>
        <v/>
      </c>
      <c r="T872" s="5" t="str">
        <f t="shared" ref="T872:U887" si="122">IF($G872&lt;&gt;"",_xlfn.STDEV.S(O628:O872),"")</f>
        <v/>
      </c>
      <c r="U872" s="5" t="str">
        <f t="shared" si="122"/>
        <v/>
      </c>
    </row>
    <row r="873" spans="7:21" x14ac:dyDescent="0.2">
      <c r="G873" s="8"/>
      <c r="H873" s="5"/>
      <c r="J873" s="10" t="str">
        <f t="shared" si="116"/>
        <v/>
      </c>
      <c r="K873" s="10" t="str">
        <f t="shared" si="117"/>
        <v/>
      </c>
      <c r="L873" s="11" t="str">
        <f t="shared" si="119"/>
        <v/>
      </c>
      <c r="M873" s="9" t="str">
        <f>IF(G873&lt;&gt;"",J873/MAX(J$3:J873)-1,"")</f>
        <v/>
      </c>
      <c r="N873" s="9" t="str">
        <f>IF(G873&lt;&gt;"",K873/MAX(K$3:K873)-1,"")</f>
        <v/>
      </c>
      <c r="O873" s="16" t="str">
        <f t="shared" si="115"/>
        <v/>
      </c>
      <c r="P873" s="16" t="str">
        <f t="shared" si="115"/>
        <v/>
      </c>
      <c r="Q873" s="16" t="str">
        <f t="shared" si="115"/>
        <v/>
      </c>
      <c r="R873" s="5" t="str">
        <f t="shared" si="114"/>
        <v/>
      </c>
      <c r="S873" s="5" t="str">
        <f t="shared" si="118"/>
        <v/>
      </c>
      <c r="T873" s="5" t="str">
        <f t="shared" si="122"/>
        <v/>
      </c>
      <c r="U873" s="5" t="str">
        <f t="shared" si="122"/>
        <v/>
      </c>
    </row>
    <row r="874" spans="7:21" x14ac:dyDescent="0.2">
      <c r="G874" s="8"/>
      <c r="H874" s="5"/>
      <c r="J874" s="10" t="str">
        <f t="shared" si="116"/>
        <v/>
      </c>
      <c r="K874" s="10" t="str">
        <f t="shared" si="117"/>
        <v/>
      </c>
      <c r="L874" s="11" t="str">
        <f t="shared" si="119"/>
        <v/>
      </c>
      <c r="M874" s="9" t="str">
        <f>IF(G874&lt;&gt;"",J874/MAX(J$3:J874)-1,"")</f>
        <v/>
      </c>
      <c r="N874" s="9" t="str">
        <f>IF(G874&lt;&gt;"",K874/MAX(K$3:K874)-1,"")</f>
        <v/>
      </c>
      <c r="O874" s="16" t="str">
        <f t="shared" si="115"/>
        <v/>
      </c>
      <c r="P874" s="16" t="str">
        <f t="shared" si="115"/>
        <v/>
      </c>
      <c r="Q874" s="16" t="str">
        <f t="shared" si="115"/>
        <v/>
      </c>
      <c r="R874" s="5" t="str">
        <f t="shared" si="114"/>
        <v/>
      </c>
      <c r="S874" s="5" t="str">
        <f t="shared" si="118"/>
        <v/>
      </c>
      <c r="T874" s="5" t="str">
        <f t="shared" si="122"/>
        <v/>
      </c>
      <c r="U874" s="5" t="str">
        <f t="shared" si="122"/>
        <v/>
      </c>
    </row>
    <row r="875" spans="7:21" x14ac:dyDescent="0.2">
      <c r="G875" s="8"/>
      <c r="H875" s="5"/>
      <c r="J875" s="10" t="str">
        <f t="shared" si="116"/>
        <v/>
      </c>
      <c r="K875" s="10" t="str">
        <f t="shared" si="117"/>
        <v/>
      </c>
      <c r="L875" s="11" t="str">
        <f t="shared" si="119"/>
        <v/>
      </c>
      <c r="M875" s="9" t="str">
        <f>IF(G875&lt;&gt;"",J875/MAX(J$3:J875)-1,"")</f>
        <v/>
      </c>
      <c r="N875" s="9" t="str">
        <f>IF(G875&lt;&gt;"",K875/MAX(K$3:K875)-1,"")</f>
        <v/>
      </c>
      <c r="O875" s="16" t="str">
        <f t="shared" si="115"/>
        <v/>
      </c>
      <c r="P875" s="16" t="str">
        <f t="shared" si="115"/>
        <v/>
      </c>
      <c r="Q875" s="16" t="str">
        <f t="shared" si="115"/>
        <v/>
      </c>
      <c r="R875" s="5" t="str">
        <f t="shared" si="114"/>
        <v/>
      </c>
      <c r="S875" s="5" t="str">
        <f t="shared" si="118"/>
        <v/>
      </c>
      <c r="T875" s="5" t="str">
        <f t="shared" si="122"/>
        <v/>
      </c>
      <c r="U875" s="5" t="str">
        <f t="shared" si="122"/>
        <v/>
      </c>
    </row>
    <row r="876" spans="7:21" x14ac:dyDescent="0.2">
      <c r="G876" s="8"/>
      <c r="H876" s="5"/>
      <c r="J876" s="10" t="str">
        <f t="shared" si="116"/>
        <v/>
      </c>
      <c r="K876" s="10" t="str">
        <f t="shared" si="117"/>
        <v/>
      </c>
      <c r="L876" s="11" t="str">
        <f t="shared" si="119"/>
        <v/>
      </c>
      <c r="M876" s="9" t="str">
        <f>IF(G876&lt;&gt;"",J876/MAX(J$3:J876)-1,"")</f>
        <v/>
      </c>
      <c r="N876" s="9" t="str">
        <f>IF(G876&lt;&gt;"",K876/MAX(K$3:K876)-1,"")</f>
        <v/>
      </c>
      <c r="O876" s="16" t="str">
        <f t="shared" si="115"/>
        <v/>
      </c>
      <c r="P876" s="16" t="str">
        <f t="shared" si="115"/>
        <v/>
      </c>
      <c r="Q876" s="16" t="str">
        <f t="shared" si="115"/>
        <v/>
      </c>
      <c r="R876" s="5" t="str">
        <f t="shared" si="114"/>
        <v/>
      </c>
      <c r="S876" s="5" t="str">
        <f t="shared" si="118"/>
        <v/>
      </c>
      <c r="T876" s="5" t="str">
        <f t="shared" si="122"/>
        <v/>
      </c>
      <c r="U876" s="5" t="str">
        <f t="shared" si="122"/>
        <v/>
      </c>
    </row>
    <row r="877" spans="7:21" x14ac:dyDescent="0.2">
      <c r="G877" s="8"/>
      <c r="H877" s="5"/>
      <c r="J877" s="10" t="str">
        <f t="shared" si="116"/>
        <v/>
      </c>
      <c r="K877" s="10" t="str">
        <f t="shared" si="117"/>
        <v/>
      </c>
      <c r="L877" s="11" t="str">
        <f t="shared" si="119"/>
        <v/>
      </c>
      <c r="M877" s="9" t="str">
        <f>IF(G877&lt;&gt;"",J877/MAX(J$3:J877)-1,"")</f>
        <v/>
      </c>
      <c r="N877" s="9" t="str">
        <f>IF(G877&lt;&gt;"",K877/MAX(K$3:K877)-1,"")</f>
        <v/>
      </c>
      <c r="O877" s="16" t="str">
        <f t="shared" si="115"/>
        <v/>
      </c>
      <c r="P877" s="16" t="str">
        <f t="shared" si="115"/>
        <v/>
      </c>
      <c r="Q877" s="16" t="str">
        <f t="shared" si="115"/>
        <v/>
      </c>
      <c r="R877" s="5" t="str">
        <f t="shared" si="114"/>
        <v/>
      </c>
      <c r="S877" s="5" t="str">
        <f t="shared" si="118"/>
        <v/>
      </c>
      <c r="T877" s="5" t="str">
        <f t="shared" si="122"/>
        <v/>
      </c>
      <c r="U877" s="5" t="str">
        <f t="shared" si="122"/>
        <v/>
      </c>
    </row>
    <row r="878" spans="7:21" x14ac:dyDescent="0.2">
      <c r="G878" s="8"/>
      <c r="H878" s="5"/>
      <c r="J878" s="10" t="str">
        <f t="shared" si="116"/>
        <v/>
      </c>
      <c r="K878" s="10" t="str">
        <f t="shared" si="117"/>
        <v/>
      </c>
      <c r="L878" s="11" t="str">
        <f t="shared" si="119"/>
        <v/>
      </c>
      <c r="M878" s="9" t="str">
        <f>IF(G878&lt;&gt;"",J878/MAX(J$3:J878)-1,"")</f>
        <v/>
      </c>
      <c r="N878" s="9" t="str">
        <f>IF(G878&lt;&gt;"",K878/MAX(K$3:K878)-1,"")</f>
        <v/>
      </c>
      <c r="O878" s="16" t="str">
        <f t="shared" si="115"/>
        <v/>
      </c>
      <c r="P878" s="16" t="str">
        <f t="shared" si="115"/>
        <v/>
      </c>
      <c r="Q878" s="16" t="str">
        <f t="shared" si="115"/>
        <v/>
      </c>
      <c r="R878" s="5" t="str">
        <f t="shared" si="114"/>
        <v/>
      </c>
      <c r="S878" s="5" t="str">
        <f t="shared" si="118"/>
        <v/>
      </c>
      <c r="T878" s="5" t="str">
        <f t="shared" si="122"/>
        <v/>
      </c>
      <c r="U878" s="5" t="str">
        <f t="shared" si="122"/>
        <v/>
      </c>
    </row>
    <row r="879" spans="7:21" x14ac:dyDescent="0.2">
      <c r="G879" s="8"/>
      <c r="H879" s="5"/>
      <c r="J879" s="10" t="str">
        <f t="shared" si="116"/>
        <v/>
      </c>
      <c r="K879" s="10" t="str">
        <f t="shared" si="117"/>
        <v/>
      </c>
      <c r="L879" s="11" t="str">
        <f t="shared" si="119"/>
        <v/>
      </c>
      <c r="M879" s="9" t="str">
        <f>IF(G879&lt;&gt;"",J879/MAX(J$3:J879)-1,"")</f>
        <v/>
      </c>
      <c r="N879" s="9" t="str">
        <f>IF(G879&lt;&gt;"",K879/MAX(K$3:K879)-1,"")</f>
        <v/>
      </c>
      <c r="O879" s="16" t="str">
        <f t="shared" si="115"/>
        <v/>
      </c>
      <c r="P879" s="16" t="str">
        <f t="shared" si="115"/>
        <v/>
      </c>
      <c r="Q879" s="16" t="str">
        <f t="shared" si="115"/>
        <v/>
      </c>
      <c r="R879" s="5" t="str">
        <f t="shared" si="114"/>
        <v/>
      </c>
      <c r="S879" s="5" t="str">
        <f t="shared" si="118"/>
        <v/>
      </c>
      <c r="T879" s="5" t="str">
        <f t="shared" si="122"/>
        <v/>
      </c>
      <c r="U879" s="5" t="str">
        <f t="shared" si="122"/>
        <v/>
      </c>
    </row>
    <row r="880" spans="7:21" x14ac:dyDescent="0.2">
      <c r="G880" s="8"/>
      <c r="H880" s="5"/>
      <c r="J880" s="10" t="str">
        <f t="shared" si="116"/>
        <v/>
      </c>
      <c r="K880" s="10" t="str">
        <f t="shared" si="117"/>
        <v/>
      </c>
      <c r="L880" s="11" t="str">
        <f t="shared" si="119"/>
        <v/>
      </c>
      <c r="M880" s="9" t="str">
        <f>IF(G880&lt;&gt;"",J880/MAX(J$3:J880)-1,"")</f>
        <v/>
      </c>
      <c r="N880" s="9" t="str">
        <f>IF(G880&lt;&gt;"",K880/MAX(K$3:K880)-1,"")</f>
        <v/>
      </c>
      <c r="O880" s="16" t="str">
        <f t="shared" si="115"/>
        <v/>
      </c>
      <c r="P880" s="16" t="str">
        <f t="shared" si="115"/>
        <v/>
      </c>
      <c r="Q880" s="16" t="str">
        <f t="shared" si="115"/>
        <v/>
      </c>
      <c r="R880" s="5" t="str">
        <f t="shared" si="114"/>
        <v/>
      </c>
      <c r="S880" s="5" t="str">
        <f t="shared" si="118"/>
        <v/>
      </c>
      <c r="T880" s="5" t="str">
        <f t="shared" si="122"/>
        <v/>
      </c>
      <c r="U880" s="5" t="str">
        <f t="shared" si="122"/>
        <v/>
      </c>
    </row>
    <row r="881" spans="7:21" x14ac:dyDescent="0.2">
      <c r="G881" s="8"/>
      <c r="H881" s="5"/>
      <c r="J881" s="10" t="str">
        <f t="shared" si="116"/>
        <v/>
      </c>
      <c r="K881" s="10" t="str">
        <f t="shared" si="117"/>
        <v/>
      </c>
      <c r="L881" s="11" t="str">
        <f t="shared" si="119"/>
        <v/>
      </c>
      <c r="M881" s="9" t="str">
        <f>IF(G881&lt;&gt;"",J881/MAX(J$3:J881)-1,"")</f>
        <v/>
      </c>
      <c r="N881" s="9" t="str">
        <f>IF(G881&lt;&gt;"",K881/MAX(K$3:K881)-1,"")</f>
        <v/>
      </c>
      <c r="O881" s="16" t="str">
        <f t="shared" si="115"/>
        <v/>
      </c>
      <c r="P881" s="16" t="str">
        <f t="shared" si="115"/>
        <v/>
      </c>
      <c r="Q881" s="16" t="str">
        <f t="shared" si="115"/>
        <v/>
      </c>
      <c r="R881" s="5" t="str">
        <f t="shared" si="114"/>
        <v/>
      </c>
      <c r="S881" s="5" t="str">
        <f t="shared" si="118"/>
        <v/>
      </c>
      <c r="T881" s="5" t="str">
        <f t="shared" si="122"/>
        <v/>
      </c>
      <c r="U881" s="5" t="str">
        <f t="shared" si="122"/>
        <v/>
      </c>
    </row>
    <row r="882" spans="7:21" x14ac:dyDescent="0.2">
      <c r="G882" s="8"/>
      <c r="H882" s="5"/>
      <c r="J882" s="10" t="str">
        <f t="shared" si="116"/>
        <v/>
      </c>
      <c r="K882" s="10" t="str">
        <f t="shared" si="117"/>
        <v/>
      </c>
      <c r="L882" s="11" t="str">
        <f t="shared" si="119"/>
        <v/>
      </c>
      <c r="M882" s="9" t="str">
        <f>IF(G882&lt;&gt;"",J882/MAX(J$3:J882)-1,"")</f>
        <v/>
      </c>
      <c r="N882" s="9" t="str">
        <f>IF(G882&lt;&gt;"",K882/MAX(K$3:K882)-1,"")</f>
        <v/>
      </c>
      <c r="O882" s="16" t="str">
        <f t="shared" si="115"/>
        <v/>
      </c>
      <c r="P882" s="16" t="str">
        <f t="shared" si="115"/>
        <v/>
      </c>
      <c r="Q882" s="16" t="str">
        <f t="shared" si="115"/>
        <v/>
      </c>
      <c r="R882" s="5" t="str">
        <f t="shared" si="114"/>
        <v/>
      </c>
      <c r="S882" s="5" t="str">
        <f t="shared" si="118"/>
        <v/>
      </c>
      <c r="T882" s="5" t="str">
        <f t="shared" si="122"/>
        <v/>
      </c>
      <c r="U882" s="5" t="str">
        <f t="shared" si="122"/>
        <v/>
      </c>
    </row>
    <row r="883" spans="7:21" x14ac:dyDescent="0.2">
      <c r="G883" s="8"/>
      <c r="H883" s="5"/>
      <c r="J883" s="10" t="str">
        <f t="shared" si="116"/>
        <v/>
      </c>
      <c r="K883" s="10" t="str">
        <f t="shared" si="117"/>
        <v/>
      </c>
      <c r="L883" s="11" t="str">
        <f t="shared" si="119"/>
        <v/>
      </c>
      <c r="M883" s="9" t="str">
        <f>IF(G883&lt;&gt;"",J883/MAX(J$3:J883)-1,"")</f>
        <v/>
      </c>
      <c r="N883" s="9" t="str">
        <f>IF(G883&lt;&gt;"",K883/MAX(K$3:K883)-1,"")</f>
        <v/>
      </c>
      <c r="O883" s="16" t="str">
        <f t="shared" si="115"/>
        <v/>
      </c>
      <c r="P883" s="16" t="str">
        <f t="shared" si="115"/>
        <v/>
      </c>
      <c r="Q883" s="16" t="str">
        <f t="shared" si="115"/>
        <v/>
      </c>
      <c r="R883" s="5" t="str">
        <f t="shared" si="114"/>
        <v/>
      </c>
      <c r="S883" s="5" t="str">
        <f t="shared" si="118"/>
        <v/>
      </c>
      <c r="T883" s="5" t="str">
        <f t="shared" si="122"/>
        <v/>
      </c>
      <c r="U883" s="5" t="str">
        <f t="shared" si="122"/>
        <v/>
      </c>
    </row>
    <row r="884" spans="7:21" x14ac:dyDescent="0.2">
      <c r="G884" s="8"/>
      <c r="H884" s="5"/>
      <c r="J884" s="10" t="str">
        <f t="shared" si="116"/>
        <v/>
      </c>
      <c r="K884" s="10" t="str">
        <f t="shared" si="117"/>
        <v/>
      </c>
      <c r="L884" s="11" t="str">
        <f t="shared" si="119"/>
        <v/>
      </c>
      <c r="M884" s="9" t="str">
        <f>IF(G884&lt;&gt;"",J884/MAX(J$3:J884)-1,"")</f>
        <v/>
      </c>
      <c r="N884" s="9" t="str">
        <f>IF(G884&lt;&gt;"",K884/MAX(K$3:K884)-1,"")</f>
        <v/>
      </c>
      <c r="O884" s="16" t="str">
        <f t="shared" si="115"/>
        <v/>
      </c>
      <c r="P884" s="16" t="str">
        <f t="shared" si="115"/>
        <v/>
      </c>
      <c r="Q884" s="16" t="str">
        <f t="shared" si="115"/>
        <v/>
      </c>
      <c r="R884" s="5" t="str">
        <f t="shared" si="114"/>
        <v/>
      </c>
      <c r="S884" s="5" t="str">
        <f t="shared" si="118"/>
        <v/>
      </c>
      <c r="T884" s="5" t="str">
        <f t="shared" si="122"/>
        <v/>
      </c>
      <c r="U884" s="5" t="str">
        <f t="shared" si="122"/>
        <v/>
      </c>
    </row>
    <row r="885" spans="7:21" x14ac:dyDescent="0.2">
      <c r="G885" s="8"/>
      <c r="H885" s="5"/>
      <c r="J885" s="10" t="str">
        <f t="shared" si="116"/>
        <v/>
      </c>
      <c r="K885" s="10" t="str">
        <f t="shared" si="117"/>
        <v/>
      </c>
      <c r="L885" s="11" t="str">
        <f t="shared" si="119"/>
        <v/>
      </c>
      <c r="M885" s="9" t="str">
        <f>IF(G885&lt;&gt;"",J885/MAX(J$3:J885)-1,"")</f>
        <v/>
      </c>
      <c r="N885" s="9" t="str">
        <f>IF(G885&lt;&gt;"",K885/MAX(K$3:K885)-1,"")</f>
        <v/>
      </c>
      <c r="O885" s="16" t="str">
        <f t="shared" si="115"/>
        <v/>
      </c>
      <c r="P885" s="16" t="str">
        <f t="shared" si="115"/>
        <v/>
      </c>
      <c r="Q885" s="16" t="str">
        <f t="shared" si="115"/>
        <v/>
      </c>
      <c r="R885" s="5" t="str">
        <f t="shared" si="114"/>
        <v/>
      </c>
      <c r="S885" s="5" t="str">
        <f t="shared" si="118"/>
        <v/>
      </c>
      <c r="T885" s="5" t="str">
        <f t="shared" si="122"/>
        <v/>
      </c>
      <c r="U885" s="5" t="str">
        <f t="shared" si="122"/>
        <v/>
      </c>
    </row>
    <row r="886" spans="7:21" x14ac:dyDescent="0.2">
      <c r="G886" s="8"/>
      <c r="H886" s="5"/>
      <c r="J886" s="10" t="str">
        <f t="shared" si="116"/>
        <v/>
      </c>
      <c r="K886" s="10" t="str">
        <f t="shared" si="117"/>
        <v/>
      </c>
      <c r="L886" s="11" t="str">
        <f t="shared" si="119"/>
        <v/>
      </c>
      <c r="M886" s="9" t="str">
        <f>IF(G886&lt;&gt;"",J886/MAX(J$3:J886)-1,"")</f>
        <v/>
      </c>
      <c r="N886" s="9" t="str">
        <f>IF(G886&lt;&gt;"",K886/MAX(K$3:K886)-1,"")</f>
        <v/>
      </c>
      <c r="O886" s="16" t="str">
        <f t="shared" si="115"/>
        <v/>
      </c>
      <c r="P886" s="16" t="str">
        <f t="shared" si="115"/>
        <v/>
      </c>
      <c r="Q886" s="16" t="str">
        <f t="shared" si="115"/>
        <v/>
      </c>
      <c r="R886" s="5" t="str">
        <f t="shared" si="114"/>
        <v/>
      </c>
      <c r="S886" s="5" t="str">
        <f t="shared" si="118"/>
        <v/>
      </c>
      <c r="T886" s="5" t="str">
        <f t="shared" si="122"/>
        <v/>
      </c>
      <c r="U886" s="5" t="str">
        <f t="shared" si="122"/>
        <v/>
      </c>
    </row>
    <row r="887" spans="7:21" x14ac:dyDescent="0.2">
      <c r="G887" s="8"/>
      <c r="H887" s="5"/>
      <c r="J887" s="10" t="str">
        <f t="shared" si="116"/>
        <v/>
      </c>
      <c r="K887" s="10" t="str">
        <f t="shared" si="117"/>
        <v/>
      </c>
      <c r="L887" s="11" t="str">
        <f t="shared" si="119"/>
        <v/>
      </c>
      <c r="M887" s="9" t="str">
        <f>IF(G887&lt;&gt;"",J887/MAX(J$3:J887)-1,"")</f>
        <v/>
      </c>
      <c r="N887" s="9" t="str">
        <f>IF(G887&lt;&gt;"",K887/MAX(K$3:K887)-1,"")</f>
        <v/>
      </c>
      <c r="O887" s="16" t="str">
        <f t="shared" si="115"/>
        <v/>
      </c>
      <c r="P887" s="16" t="str">
        <f t="shared" si="115"/>
        <v/>
      </c>
      <c r="Q887" s="16" t="str">
        <f t="shared" si="115"/>
        <v/>
      </c>
      <c r="R887" s="5" t="str">
        <f t="shared" si="114"/>
        <v/>
      </c>
      <c r="S887" s="5" t="str">
        <f t="shared" si="118"/>
        <v/>
      </c>
      <c r="T887" s="5" t="str">
        <f t="shared" si="122"/>
        <v/>
      </c>
      <c r="U887" s="5" t="str">
        <f t="shared" si="122"/>
        <v/>
      </c>
    </row>
    <row r="888" spans="7:21" x14ac:dyDescent="0.2">
      <c r="G888" s="8"/>
      <c r="H888" s="5"/>
      <c r="J888" s="10" t="str">
        <f t="shared" si="116"/>
        <v/>
      </c>
      <c r="K888" s="10" t="str">
        <f t="shared" si="117"/>
        <v/>
      </c>
      <c r="L888" s="11" t="str">
        <f t="shared" si="119"/>
        <v/>
      </c>
      <c r="M888" s="9" t="str">
        <f>IF(G888&lt;&gt;"",J888/MAX(J$3:J888)-1,"")</f>
        <v/>
      </c>
      <c r="N888" s="9" t="str">
        <f>IF(G888&lt;&gt;"",K888/MAX(K$3:K888)-1,"")</f>
        <v/>
      </c>
      <c r="O888" s="16" t="str">
        <f t="shared" si="115"/>
        <v/>
      </c>
      <c r="P888" s="16" t="str">
        <f t="shared" si="115"/>
        <v/>
      </c>
      <c r="Q888" s="16" t="str">
        <f t="shared" si="115"/>
        <v/>
      </c>
      <c r="R888" s="5" t="str">
        <f t="shared" si="114"/>
        <v/>
      </c>
      <c r="S888" s="5" t="str">
        <f t="shared" si="118"/>
        <v/>
      </c>
      <c r="T888" s="5" t="str">
        <f t="shared" ref="T888:U903" si="123">IF($G888&lt;&gt;"",_xlfn.STDEV.S(O644:O888),"")</f>
        <v/>
      </c>
      <c r="U888" s="5" t="str">
        <f t="shared" si="123"/>
        <v/>
      </c>
    </row>
    <row r="889" spans="7:21" x14ac:dyDescent="0.2">
      <c r="G889" s="8"/>
      <c r="H889" s="5"/>
      <c r="J889" s="10" t="str">
        <f t="shared" si="116"/>
        <v/>
      </c>
      <c r="K889" s="10" t="str">
        <f t="shared" si="117"/>
        <v/>
      </c>
      <c r="L889" s="11" t="str">
        <f t="shared" si="119"/>
        <v/>
      </c>
      <c r="M889" s="9" t="str">
        <f>IF(G889&lt;&gt;"",J889/MAX(J$3:J889)-1,"")</f>
        <v/>
      </c>
      <c r="N889" s="9" t="str">
        <f>IF(G889&lt;&gt;"",K889/MAX(K$3:K889)-1,"")</f>
        <v/>
      </c>
      <c r="O889" s="16" t="str">
        <f t="shared" si="115"/>
        <v/>
      </c>
      <c r="P889" s="16" t="str">
        <f t="shared" si="115"/>
        <v/>
      </c>
      <c r="Q889" s="16" t="str">
        <f t="shared" si="115"/>
        <v/>
      </c>
      <c r="R889" s="5" t="str">
        <f t="shared" si="114"/>
        <v/>
      </c>
      <c r="S889" s="5" t="str">
        <f t="shared" si="118"/>
        <v/>
      </c>
      <c r="T889" s="5" t="str">
        <f t="shared" si="123"/>
        <v/>
      </c>
      <c r="U889" s="5" t="str">
        <f t="shared" si="123"/>
        <v/>
      </c>
    </row>
    <row r="890" spans="7:21" x14ac:dyDescent="0.2">
      <c r="G890" s="8"/>
      <c r="H890" s="5"/>
      <c r="J890" s="10" t="str">
        <f t="shared" si="116"/>
        <v/>
      </c>
      <c r="K890" s="10" t="str">
        <f t="shared" si="117"/>
        <v/>
      </c>
      <c r="L890" s="11" t="str">
        <f t="shared" si="119"/>
        <v/>
      </c>
      <c r="M890" s="9" t="str">
        <f>IF(G890&lt;&gt;"",J890/MAX(J$3:J890)-1,"")</f>
        <v/>
      </c>
      <c r="N890" s="9" t="str">
        <f>IF(G890&lt;&gt;"",K890/MAX(K$3:K890)-1,"")</f>
        <v/>
      </c>
      <c r="O890" s="16" t="str">
        <f t="shared" si="115"/>
        <v/>
      </c>
      <c r="P890" s="16" t="str">
        <f t="shared" si="115"/>
        <v/>
      </c>
      <c r="Q890" s="16" t="str">
        <f t="shared" si="115"/>
        <v/>
      </c>
      <c r="R890" s="5" t="str">
        <f t="shared" si="114"/>
        <v/>
      </c>
      <c r="S890" s="5" t="str">
        <f t="shared" si="118"/>
        <v/>
      </c>
      <c r="T890" s="5" t="str">
        <f t="shared" si="123"/>
        <v/>
      </c>
      <c r="U890" s="5" t="str">
        <f t="shared" si="123"/>
        <v/>
      </c>
    </row>
    <row r="891" spans="7:21" x14ac:dyDescent="0.2">
      <c r="G891" s="8"/>
      <c r="H891" s="5"/>
      <c r="J891" s="10" t="str">
        <f t="shared" si="116"/>
        <v/>
      </c>
      <c r="K891" s="10" t="str">
        <f t="shared" si="117"/>
        <v/>
      </c>
      <c r="L891" s="11" t="str">
        <f t="shared" si="119"/>
        <v/>
      </c>
      <c r="M891" s="9" t="str">
        <f>IF(G891&lt;&gt;"",J891/MAX(J$3:J891)-1,"")</f>
        <v/>
      </c>
      <c r="N891" s="9" t="str">
        <f>IF(G891&lt;&gt;"",K891/MAX(K$3:K891)-1,"")</f>
        <v/>
      </c>
      <c r="O891" s="16" t="str">
        <f t="shared" si="115"/>
        <v/>
      </c>
      <c r="P891" s="16" t="str">
        <f t="shared" si="115"/>
        <v/>
      </c>
      <c r="Q891" s="16" t="str">
        <f t="shared" si="115"/>
        <v/>
      </c>
      <c r="R891" s="5" t="str">
        <f t="shared" si="114"/>
        <v/>
      </c>
      <c r="S891" s="5" t="str">
        <f t="shared" si="118"/>
        <v/>
      </c>
      <c r="T891" s="5" t="str">
        <f t="shared" si="123"/>
        <v/>
      </c>
      <c r="U891" s="5" t="str">
        <f t="shared" si="123"/>
        <v/>
      </c>
    </row>
    <row r="892" spans="7:21" x14ac:dyDescent="0.2">
      <c r="G892" s="8"/>
      <c r="H892" s="5"/>
      <c r="J892" s="10" t="str">
        <f t="shared" si="116"/>
        <v/>
      </c>
      <c r="K892" s="10" t="str">
        <f t="shared" si="117"/>
        <v/>
      </c>
      <c r="L892" s="11" t="str">
        <f t="shared" si="119"/>
        <v/>
      </c>
      <c r="M892" s="9" t="str">
        <f>IF(G892&lt;&gt;"",J892/MAX(J$3:J892)-1,"")</f>
        <v/>
      </c>
      <c r="N892" s="9" t="str">
        <f>IF(G892&lt;&gt;"",K892/MAX(K$3:K892)-1,"")</f>
        <v/>
      </c>
      <c r="O892" s="16" t="str">
        <f t="shared" si="115"/>
        <v/>
      </c>
      <c r="P892" s="16" t="str">
        <f t="shared" si="115"/>
        <v/>
      </c>
      <c r="Q892" s="16" t="str">
        <f t="shared" si="115"/>
        <v/>
      </c>
      <c r="R892" s="5" t="str">
        <f t="shared" si="114"/>
        <v/>
      </c>
      <c r="S892" s="5" t="str">
        <f t="shared" si="118"/>
        <v/>
      </c>
      <c r="T892" s="5" t="str">
        <f t="shared" si="123"/>
        <v/>
      </c>
      <c r="U892" s="5" t="str">
        <f t="shared" si="123"/>
        <v/>
      </c>
    </row>
    <row r="893" spans="7:21" x14ac:dyDescent="0.2">
      <c r="G893" s="8"/>
      <c r="H893" s="5"/>
      <c r="J893" s="10" t="str">
        <f t="shared" si="116"/>
        <v/>
      </c>
      <c r="K893" s="10" t="str">
        <f t="shared" si="117"/>
        <v/>
      </c>
      <c r="L893" s="11" t="str">
        <f t="shared" si="119"/>
        <v/>
      </c>
      <c r="M893" s="9" t="str">
        <f>IF(G893&lt;&gt;"",J893/MAX(J$3:J893)-1,"")</f>
        <v/>
      </c>
      <c r="N893" s="9" t="str">
        <f>IF(G893&lt;&gt;"",K893/MAX(K$3:K893)-1,"")</f>
        <v/>
      </c>
      <c r="O893" s="16" t="str">
        <f t="shared" si="115"/>
        <v/>
      </c>
      <c r="P893" s="16" t="str">
        <f t="shared" si="115"/>
        <v/>
      </c>
      <c r="Q893" s="16" t="str">
        <f t="shared" si="115"/>
        <v/>
      </c>
      <c r="R893" s="5" t="str">
        <f t="shared" ref="R893:R956" si="124">IF(G893&lt;&gt;"",_xlfn.STDEV.S(Q772:Q893)*SQRT($B$5),"")</f>
        <v/>
      </c>
      <c r="S893" s="5" t="str">
        <f t="shared" si="118"/>
        <v/>
      </c>
      <c r="T893" s="5" t="str">
        <f t="shared" si="123"/>
        <v/>
      </c>
      <c r="U893" s="5" t="str">
        <f t="shared" si="123"/>
        <v/>
      </c>
    </row>
    <row r="894" spans="7:21" x14ac:dyDescent="0.2">
      <c r="G894" s="8"/>
      <c r="H894" s="5"/>
      <c r="J894" s="10" t="str">
        <f t="shared" si="116"/>
        <v/>
      </c>
      <c r="K894" s="10" t="str">
        <f t="shared" si="117"/>
        <v/>
      </c>
      <c r="L894" s="11" t="str">
        <f t="shared" si="119"/>
        <v/>
      </c>
      <c r="M894" s="9" t="str">
        <f>IF(G894&lt;&gt;"",J894/MAX(J$3:J894)-1,"")</f>
        <v/>
      </c>
      <c r="N894" s="9" t="str">
        <f>IF(G894&lt;&gt;"",K894/MAX(K$3:K894)-1,"")</f>
        <v/>
      </c>
      <c r="O894" s="16" t="str">
        <f t="shared" si="115"/>
        <v/>
      </c>
      <c r="P894" s="16" t="str">
        <f t="shared" si="115"/>
        <v/>
      </c>
      <c r="Q894" s="16" t="str">
        <f t="shared" si="115"/>
        <v/>
      </c>
      <c r="R894" s="5" t="str">
        <f t="shared" si="124"/>
        <v/>
      </c>
      <c r="S894" s="5" t="str">
        <f t="shared" si="118"/>
        <v/>
      </c>
      <c r="T894" s="5" t="str">
        <f t="shared" si="123"/>
        <v/>
      </c>
      <c r="U894" s="5" t="str">
        <f t="shared" si="123"/>
        <v/>
      </c>
    </row>
    <row r="895" spans="7:21" x14ac:dyDescent="0.2">
      <c r="G895" s="8"/>
      <c r="H895" s="5"/>
      <c r="J895" s="10" t="str">
        <f t="shared" si="116"/>
        <v/>
      </c>
      <c r="K895" s="10" t="str">
        <f t="shared" si="117"/>
        <v/>
      </c>
      <c r="L895" s="11" t="str">
        <f t="shared" si="119"/>
        <v/>
      </c>
      <c r="M895" s="9" t="str">
        <f>IF(G895&lt;&gt;"",J895/MAX(J$3:J895)-1,"")</f>
        <v/>
      </c>
      <c r="N895" s="9" t="str">
        <f>IF(G895&lt;&gt;"",K895/MAX(K$3:K895)-1,"")</f>
        <v/>
      </c>
      <c r="O895" s="16" t="str">
        <f t="shared" si="115"/>
        <v/>
      </c>
      <c r="P895" s="16" t="str">
        <f t="shared" si="115"/>
        <v/>
      </c>
      <c r="Q895" s="16" t="str">
        <f t="shared" si="115"/>
        <v/>
      </c>
      <c r="R895" s="5" t="str">
        <f t="shared" si="124"/>
        <v/>
      </c>
      <c r="S895" s="5" t="str">
        <f t="shared" si="118"/>
        <v/>
      </c>
      <c r="T895" s="5" t="str">
        <f t="shared" si="123"/>
        <v/>
      </c>
      <c r="U895" s="5" t="str">
        <f t="shared" si="123"/>
        <v/>
      </c>
    </row>
    <row r="896" spans="7:21" x14ac:dyDescent="0.2">
      <c r="G896" s="8"/>
      <c r="H896" s="5"/>
      <c r="J896" s="10" t="str">
        <f t="shared" si="116"/>
        <v/>
      </c>
      <c r="K896" s="10" t="str">
        <f t="shared" si="117"/>
        <v/>
      </c>
      <c r="L896" s="11" t="str">
        <f t="shared" si="119"/>
        <v/>
      </c>
      <c r="M896" s="9" t="str">
        <f>IF(G896&lt;&gt;"",J896/MAX(J$3:J896)-1,"")</f>
        <v/>
      </c>
      <c r="N896" s="9" t="str">
        <f>IF(G896&lt;&gt;"",K896/MAX(K$3:K896)-1,"")</f>
        <v/>
      </c>
      <c r="O896" s="16" t="str">
        <f t="shared" si="115"/>
        <v/>
      </c>
      <c r="P896" s="16" t="str">
        <f t="shared" si="115"/>
        <v/>
      </c>
      <c r="Q896" s="16" t="str">
        <f t="shared" si="115"/>
        <v/>
      </c>
      <c r="R896" s="5" t="str">
        <f t="shared" si="124"/>
        <v/>
      </c>
      <c r="S896" s="5" t="str">
        <f t="shared" si="118"/>
        <v/>
      </c>
      <c r="T896" s="5" t="str">
        <f t="shared" si="123"/>
        <v/>
      </c>
      <c r="U896" s="5" t="str">
        <f t="shared" si="123"/>
        <v/>
      </c>
    </row>
    <row r="897" spans="7:21" x14ac:dyDescent="0.2">
      <c r="G897" s="8"/>
      <c r="H897" s="5"/>
      <c r="J897" s="10" t="str">
        <f t="shared" si="116"/>
        <v/>
      </c>
      <c r="K897" s="10" t="str">
        <f t="shared" si="117"/>
        <v/>
      </c>
      <c r="L897" s="11" t="str">
        <f t="shared" si="119"/>
        <v/>
      </c>
      <c r="M897" s="9" t="str">
        <f>IF(G897&lt;&gt;"",J897/MAX(J$3:J897)-1,"")</f>
        <v/>
      </c>
      <c r="N897" s="9" t="str">
        <f>IF(G897&lt;&gt;"",K897/MAX(K$3:K897)-1,"")</f>
        <v/>
      </c>
      <c r="O897" s="16" t="str">
        <f t="shared" si="115"/>
        <v/>
      </c>
      <c r="P897" s="16" t="str">
        <f t="shared" si="115"/>
        <v/>
      </c>
      <c r="Q897" s="16" t="str">
        <f t="shared" si="115"/>
        <v/>
      </c>
      <c r="R897" s="5" t="str">
        <f t="shared" si="124"/>
        <v/>
      </c>
      <c r="S897" s="5" t="str">
        <f t="shared" si="118"/>
        <v/>
      </c>
      <c r="T897" s="5" t="str">
        <f t="shared" si="123"/>
        <v/>
      </c>
      <c r="U897" s="5" t="str">
        <f t="shared" si="123"/>
        <v/>
      </c>
    </row>
    <row r="898" spans="7:21" x14ac:dyDescent="0.2">
      <c r="G898" s="8"/>
      <c r="H898" s="5"/>
      <c r="J898" s="10" t="str">
        <f t="shared" si="116"/>
        <v/>
      </c>
      <c r="K898" s="10" t="str">
        <f t="shared" si="117"/>
        <v/>
      </c>
      <c r="L898" s="11" t="str">
        <f t="shared" si="119"/>
        <v/>
      </c>
      <c r="M898" s="9" t="str">
        <f>IF(G898&lt;&gt;"",J898/MAX(J$3:J898)-1,"")</f>
        <v/>
      </c>
      <c r="N898" s="9" t="str">
        <f>IF(G898&lt;&gt;"",K898/MAX(K$3:K898)-1,"")</f>
        <v/>
      </c>
      <c r="O898" s="16" t="str">
        <f t="shared" ref="O898:Q961" si="125">IF($G898&lt;&gt;"",J898/J897-1,"")</f>
        <v/>
      </c>
      <c r="P898" s="16" t="str">
        <f t="shared" si="125"/>
        <v/>
      </c>
      <c r="Q898" s="16" t="str">
        <f t="shared" si="125"/>
        <v/>
      </c>
      <c r="R898" s="5" t="str">
        <f t="shared" si="124"/>
        <v/>
      </c>
      <c r="S898" s="5" t="str">
        <f t="shared" si="118"/>
        <v/>
      </c>
      <c r="T898" s="5" t="str">
        <f t="shared" si="123"/>
        <v/>
      </c>
      <c r="U898" s="5" t="str">
        <f t="shared" si="123"/>
        <v/>
      </c>
    </row>
    <row r="899" spans="7:21" x14ac:dyDescent="0.2">
      <c r="G899" s="8"/>
      <c r="H899" s="5"/>
      <c r="J899" s="10" t="str">
        <f t="shared" si="116"/>
        <v/>
      </c>
      <c r="K899" s="10" t="str">
        <f t="shared" si="117"/>
        <v/>
      </c>
      <c r="L899" s="11" t="str">
        <f t="shared" si="119"/>
        <v/>
      </c>
      <c r="M899" s="9" t="str">
        <f>IF(G899&lt;&gt;"",J899/MAX(J$3:J899)-1,"")</f>
        <v/>
      </c>
      <c r="N899" s="9" t="str">
        <f>IF(G899&lt;&gt;"",K899/MAX(K$3:K899)-1,"")</f>
        <v/>
      </c>
      <c r="O899" s="16" t="str">
        <f t="shared" si="125"/>
        <v/>
      </c>
      <c r="P899" s="16" t="str">
        <f t="shared" si="125"/>
        <v/>
      </c>
      <c r="Q899" s="16" t="str">
        <f t="shared" si="125"/>
        <v/>
      </c>
      <c r="R899" s="5" t="str">
        <f t="shared" si="124"/>
        <v/>
      </c>
      <c r="S899" s="5" t="str">
        <f t="shared" si="118"/>
        <v/>
      </c>
      <c r="T899" s="5" t="str">
        <f t="shared" si="123"/>
        <v/>
      </c>
      <c r="U899" s="5" t="str">
        <f t="shared" si="123"/>
        <v/>
      </c>
    </row>
    <row r="900" spans="7:21" x14ac:dyDescent="0.2">
      <c r="G900" s="8"/>
      <c r="H900" s="5"/>
      <c r="J900" s="10" t="str">
        <f t="shared" ref="J900:J963" si="126">IF(G900&lt;&gt;"",1+H900,"")</f>
        <v/>
      </c>
      <c r="K900" s="10" t="str">
        <f t="shared" ref="K900:K963" si="127">IF(G900&lt;&gt;"",1+I900,"")</f>
        <v/>
      </c>
      <c r="L900" s="11" t="str">
        <f t="shared" si="119"/>
        <v/>
      </c>
      <c r="M900" s="9" t="str">
        <f>IF(G900&lt;&gt;"",J900/MAX(J$3:J900)-1,"")</f>
        <v/>
      </c>
      <c r="N900" s="9" t="str">
        <f>IF(G900&lt;&gt;"",K900/MAX(K$3:K900)-1,"")</f>
        <v/>
      </c>
      <c r="O900" s="16" t="str">
        <f t="shared" si="125"/>
        <v/>
      </c>
      <c r="P900" s="16" t="str">
        <f t="shared" si="125"/>
        <v/>
      </c>
      <c r="Q900" s="16" t="str">
        <f t="shared" si="125"/>
        <v/>
      </c>
      <c r="R900" s="5" t="str">
        <f t="shared" si="124"/>
        <v/>
      </c>
      <c r="S900" s="5" t="str">
        <f t="shared" ref="S900:S963" si="128">IF(R900&lt;&gt;"",B$12,"")</f>
        <v/>
      </c>
      <c r="T900" s="5" t="str">
        <f t="shared" si="123"/>
        <v/>
      </c>
      <c r="U900" s="5" t="str">
        <f t="shared" si="123"/>
        <v/>
      </c>
    </row>
    <row r="901" spans="7:21" x14ac:dyDescent="0.2">
      <c r="G901" s="8"/>
      <c r="H901" s="5"/>
      <c r="J901" s="10" t="str">
        <f t="shared" si="126"/>
        <v/>
      </c>
      <c r="K901" s="10" t="str">
        <f t="shared" si="127"/>
        <v/>
      </c>
      <c r="L901" s="11" t="str">
        <f t="shared" ref="L901:L964" si="129">IF(G901&lt;&gt;"",J901/K901,"")</f>
        <v/>
      </c>
      <c r="M901" s="9" t="str">
        <f>IF(G901&lt;&gt;"",J901/MAX(J$3:J901)-1,"")</f>
        <v/>
      </c>
      <c r="N901" s="9" t="str">
        <f>IF(G901&lt;&gt;"",K901/MAX(K$3:K901)-1,"")</f>
        <v/>
      </c>
      <c r="O901" s="16" t="str">
        <f t="shared" si="125"/>
        <v/>
      </c>
      <c r="P901" s="16" t="str">
        <f t="shared" si="125"/>
        <v/>
      </c>
      <c r="Q901" s="16" t="str">
        <f t="shared" si="125"/>
        <v/>
      </c>
      <c r="R901" s="5" t="str">
        <f t="shared" si="124"/>
        <v/>
      </c>
      <c r="S901" s="5" t="str">
        <f t="shared" si="128"/>
        <v/>
      </c>
      <c r="T901" s="5" t="str">
        <f t="shared" si="123"/>
        <v/>
      </c>
      <c r="U901" s="5" t="str">
        <f t="shared" si="123"/>
        <v/>
      </c>
    </row>
    <row r="902" spans="7:21" x14ac:dyDescent="0.2">
      <c r="G902" s="8"/>
      <c r="H902" s="5"/>
      <c r="J902" s="10" t="str">
        <f t="shared" si="126"/>
        <v/>
      </c>
      <c r="K902" s="10" t="str">
        <f t="shared" si="127"/>
        <v/>
      </c>
      <c r="L902" s="11" t="str">
        <f t="shared" si="129"/>
        <v/>
      </c>
      <c r="M902" s="9" t="str">
        <f>IF(G902&lt;&gt;"",J902/MAX(J$3:J902)-1,"")</f>
        <v/>
      </c>
      <c r="N902" s="9" t="str">
        <f>IF(G902&lt;&gt;"",K902/MAX(K$3:K902)-1,"")</f>
        <v/>
      </c>
      <c r="O902" s="16" t="str">
        <f t="shared" si="125"/>
        <v/>
      </c>
      <c r="P902" s="16" t="str">
        <f t="shared" si="125"/>
        <v/>
      </c>
      <c r="Q902" s="16" t="str">
        <f t="shared" si="125"/>
        <v/>
      </c>
      <c r="R902" s="5" t="str">
        <f t="shared" si="124"/>
        <v/>
      </c>
      <c r="S902" s="5" t="str">
        <f t="shared" si="128"/>
        <v/>
      </c>
      <c r="T902" s="5" t="str">
        <f t="shared" si="123"/>
        <v/>
      </c>
      <c r="U902" s="5" t="str">
        <f t="shared" si="123"/>
        <v/>
      </c>
    </row>
    <row r="903" spans="7:21" x14ac:dyDescent="0.2">
      <c r="G903" s="8"/>
      <c r="H903" s="5"/>
      <c r="J903" s="10" t="str">
        <f t="shared" si="126"/>
        <v/>
      </c>
      <c r="K903" s="10" t="str">
        <f t="shared" si="127"/>
        <v/>
      </c>
      <c r="L903" s="11" t="str">
        <f t="shared" si="129"/>
        <v/>
      </c>
      <c r="M903" s="9" t="str">
        <f>IF(G903&lt;&gt;"",J903/MAX(J$3:J903)-1,"")</f>
        <v/>
      </c>
      <c r="N903" s="9" t="str">
        <f>IF(G903&lt;&gt;"",K903/MAX(K$3:K903)-1,"")</f>
        <v/>
      </c>
      <c r="O903" s="16" t="str">
        <f t="shared" si="125"/>
        <v/>
      </c>
      <c r="P903" s="16" t="str">
        <f t="shared" si="125"/>
        <v/>
      </c>
      <c r="Q903" s="16" t="str">
        <f t="shared" si="125"/>
        <v/>
      </c>
      <c r="R903" s="5" t="str">
        <f t="shared" si="124"/>
        <v/>
      </c>
      <c r="S903" s="5" t="str">
        <f t="shared" si="128"/>
        <v/>
      </c>
      <c r="T903" s="5" t="str">
        <f t="shared" si="123"/>
        <v/>
      </c>
      <c r="U903" s="5" t="str">
        <f t="shared" si="123"/>
        <v/>
      </c>
    </row>
    <row r="904" spans="7:21" x14ac:dyDescent="0.2">
      <c r="G904" s="8"/>
      <c r="H904" s="5"/>
      <c r="J904" s="10" t="str">
        <f t="shared" si="126"/>
        <v/>
      </c>
      <c r="K904" s="10" t="str">
        <f t="shared" si="127"/>
        <v/>
      </c>
      <c r="L904" s="11" t="str">
        <f t="shared" si="129"/>
        <v/>
      </c>
      <c r="M904" s="9" t="str">
        <f>IF(G904&lt;&gt;"",J904/MAX(J$3:J904)-1,"")</f>
        <v/>
      </c>
      <c r="N904" s="9" t="str">
        <f>IF(G904&lt;&gt;"",K904/MAX(K$3:K904)-1,"")</f>
        <v/>
      </c>
      <c r="O904" s="16" t="str">
        <f t="shared" si="125"/>
        <v/>
      </c>
      <c r="P904" s="16" t="str">
        <f t="shared" si="125"/>
        <v/>
      </c>
      <c r="Q904" s="16" t="str">
        <f t="shared" si="125"/>
        <v/>
      </c>
      <c r="R904" s="5" t="str">
        <f t="shared" si="124"/>
        <v/>
      </c>
      <c r="S904" s="5" t="str">
        <f t="shared" si="128"/>
        <v/>
      </c>
      <c r="T904" s="5" t="str">
        <f t="shared" ref="T904:U919" si="130">IF($G904&lt;&gt;"",_xlfn.STDEV.S(O660:O904),"")</f>
        <v/>
      </c>
      <c r="U904" s="5" t="str">
        <f t="shared" si="130"/>
        <v/>
      </c>
    </row>
    <row r="905" spans="7:21" x14ac:dyDescent="0.2">
      <c r="G905" s="8"/>
      <c r="H905" s="5"/>
      <c r="J905" s="10" t="str">
        <f t="shared" si="126"/>
        <v/>
      </c>
      <c r="K905" s="10" t="str">
        <f t="shared" si="127"/>
        <v/>
      </c>
      <c r="L905" s="11" t="str">
        <f t="shared" si="129"/>
        <v/>
      </c>
      <c r="M905" s="9" t="str">
        <f>IF(G905&lt;&gt;"",J905/MAX(J$3:J905)-1,"")</f>
        <v/>
      </c>
      <c r="N905" s="9" t="str">
        <f>IF(G905&lt;&gt;"",K905/MAX(K$3:K905)-1,"")</f>
        <v/>
      </c>
      <c r="O905" s="16" t="str">
        <f t="shared" si="125"/>
        <v/>
      </c>
      <c r="P905" s="16" t="str">
        <f t="shared" si="125"/>
        <v/>
      </c>
      <c r="Q905" s="16" t="str">
        <f t="shared" si="125"/>
        <v/>
      </c>
      <c r="R905" s="5" t="str">
        <f t="shared" si="124"/>
        <v/>
      </c>
      <c r="S905" s="5" t="str">
        <f t="shared" si="128"/>
        <v/>
      </c>
      <c r="T905" s="5" t="str">
        <f t="shared" si="130"/>
        <v/>
      </c>
      <c r="U905" s="5" t="str">
        <f t="shared" si="130"/>
        <v/>
      </c>
    </row>
    <row r="906" spans="7:21" x14ac:dyDescent="0.2">
      <c r="G906" s="8"/>
      <c r="H906" s="5"/>
      <c r="J906" s="10" t="str">
        <f t="shared" si="126"/>
        <v/>
      </c>
      <c r="K906" s="10" t="str">
        <f t="shared" si="127"/>
        <v/>
      </c>
      <c r="L906" s="11" t="str">
        <f t="shared" si="129"/>
        <v/>
      </c>
      <c r="M906" s="9" t="str">
        <f>IF(G906&lt;&gt;"",J906/MAX(J$3:J906)-1,"")</f>
        <v/>
      </c>
      <c r="N906" s="9" t="str">
        <f>IF(G906&lt;&gt;"",K906/MAX(K$3:K906)-1,"")</f>
        <v/>
      </c>
      <c r="O906" s="16" t="str">
        <f t="shared" si="125"/>
        <v/>
      </c>
      <c r="P906" s="16" t="str">
        <f t="shared" si="125"/>
        <v/>
      </c>
      <c r="Q906" s="16" t="str">
        <f t="shared" si="125"/>
        <v/>
      </c>
      <c r="R906" s="5" t="str">
        <f t="shared" si="124"/>
        <v/>
      </c>
      <c r="S906" s="5" t="str">
        <f t="shared" si="128"/>
        <v/>
      </c>
      <c r="T906" s="5" t="str">
        <f t="shared" si="130"/>
        <v/>
      </c>
      <c r="U906" s="5" t="str">
        <f t="shared" si="130"/>
        <v/>
      </c>
    </row>
    <row r="907" spans="7:21" x14ac:dyDescent="0.2">
      <c r="G907" s="8"/>
      <c r="H907" s="5"/>
      <c r="J907" s="10" t="str">
        <f t="shared" si="126"/>
        <v/>
      </c>
      <c r="K907" s="10" t="str">
        <f t="shared" si="127"/>
        <v/>
      </c>
      <c r="L907" s="11" t="str">
        <f t="shared" si="129"/>
        <v/>
      </c>
      <c r="M907" s="9" t="str">
        <f>IF(G907&lt;&gt;"",J907/MAX(J$3:J907)-1,"")</f>
        <v/>
      </c>
      <c r="N907" s="9" t="str">
        <f>IF(G907&lt;&gt;"",K907/MAX(K$3:K907)-1,"")</f>
        <v/>
      </c>
      <c r="O907" s="16" t="str">
        <f t="shared" si="125"/>
        <v/>
      </c>
      <c r="P907" s="16" t="str">
        <f t="shared" si="125"/>
        <v/>
      </c>
      <c r="Q907" s="16" t="str">
        <f t="shared" si="125"/>
        <v/>
      </c>
      <c r="R907" s="5" t="str">
        <f t="shared" si="124"/>
        <v/>
      </c>
      <c r="S907" s="5" t="str">
        <f t="shared" si="128"/>
        <v/>
      </c>
      <c r="T907" s="5" t="str">
        <f t="shared" si="130"/>
        <v/>
      </c>
      <c r="U907" s="5" t="str">
        <f t="shared" si="130"/>
        <v/>
      </c>
    </row>
    <row r="908" spans="7:21" x14ac:dyDescent="0.2">
      <c r="G908" s="8"/>
      <c r="H908" s="5"/>
      <c r="J908" s="10" t="str">
        <f t="shared" si="126"/>
        <v/>
      </c>
      <c r="K908" s="10" t="str">
        <f t="shared" si="127"/>
        <v/>
      </c>
      <c r="L908" s="11" t="str">
        <f t="shared" si="129"/>
        <v/>
      </c>
      <c r="M908" s="9" t="str">
        <f>IF(G908&lt;&gt;"",J908/MAX(J$3:J908)-1,"")</f>
        <v/>
      </c>
      <c r="N908" s="9" t="str">
        <f>IF(G908&lt;&gt;"",K908/MAX(K$3:K908)-1,"")</f>
        <v/>
      </c>
      <c r="O908" s="16" t="str">
        <f t="shared" si="125"/>
        <v/>
      </c>
      <c r="P908" s="16" t="str">
        <f t="shared" si="125"/>
        <v/>
      </c>
      <c r="Q908" s="16" t="str">
        <f t="shared" si="125"/>
        <v/>
      </c>
      <c r="R908" s="5" t="str">
        <f t="shared" si="124"/>
        <v/>
      </c>
      <c r="S908" s="5" t="str">
        <f t="shared" si="128"/>
        <v/>
      </c>
      <c r="T908" s="5" t="str">
        <f t="shared" si="130"/>
        <v/>
      </c>
      <c r="U908" s="5" t="str">
        <f t="shared" si="130"/>
        <v/>
      </c>
    </row>
    <row r="909" spans="7:21" x14ac:dyDescent="0.2">
      <c r="G909" s="8"/>
      <c r="H909" s="5"/>
      <c r="J909" s="10" t="str">
        <f t="shared" si="126"/>
        <v/>
      </c>
      <c r="K909" s="10" t="str">
        <f t="shared" si="127"/>
        <v/>
      </c>
      <c r="L909" s="11" t="str">
        <f t="shared" si="129"/>
        <v/>
      </c>
      <c r="M909" s="9" t="str">
        <f>IF(G909&lt;&gt;"",J909/MAX(J$3:J909)-1,"")</f>
        <v/>
      </c>
      <c r="N909" s="9" t="str">
        <f>IF(G909&lt;&gt;"",K909/MAX(K$3:K909)-1,"")</f>
        <v/>
      </c>
      <c r="O909" s="16" t="str">
        <f t="shared" si="125"/>
        <v/>
      </c>
      <c r="P909" s="16" t="str">
        <f t="shared" si="125"/>
        <v/>
      </c>
      <c r="Q909" s="16" t="str">
        <f t="shared" si="125"/>
        <v/>
      </c>
      <c r="R909" s="5" t="str">
        <f t="shared" si="124"/>
        <v/>
      </c>
      <c r="S909" s="5" t="str">
        <f t="shared" si="128"/>
        <v/>
      </c>
      <c r="T909" s="5" t="str">
        <f t="shared" si="130"/>
        <v/>
      </c>
      <c r="U909" s="5" t="str">
        <f t="shared" si="130"/>
        <v/>
      </c>
    </row>
    <row r="910" spans="7:21" x14ac:dyDescent="0.2">
      <c r="G910" s="8"/>
      <c r="H910" s="5"/>
      <c r="J910" s="10" t="str">
        <f t="shared" si="126"/>
        <v/>
      </c>
      <c r="K910" s="10" t="str">
        <f t="shared" si="127"/>
        <v/>
      </c>
      <c r="L910" s="11" t="str">
        <f t="shared" si="129"/>
        <v/>
      </c>
      <c r="M910" s="9" t="str">
        <f>IF(G910&lt;&gt;"",J910/MAX(J$3:J910)-1,"")</f>
        <v/>
      </c>
      <c r="N910" s="9" t="str">
        <f>IF(G910&lt;&gt;"",K910/MAX(K$3:K910)-1,"")</f>
        <v/>
      </c>
      <c r="O910" s="16" t="str">
        <f t="shared" si="125"/>
        <v/>
      </c>
      <c r="P910" s="16" t="str">
        <f t="shared" si="125"/>
        <v/>
      </c>
      <c r="Q910" s="16" t="str">
        <f t="shared" si="125"/>
        <v/>
      </c>
      <c r="R910" s="5" t="str">
        <f t="shared" si="124"/>
        <v/>
      </c>
      <c r="S910" s="5" t="str">
        <f t="shared" si="128"/>
        <v/>
      </c>
      <c r="T910" s="5" t="str">
        <f t="shared" si="130"/>
        <v/>
      </c>
      <c r="U910" s="5" t="str">
        <f t="shared" si="130"/>
        <v/>
      </c>
    </row>
    <row r="911" spans="7:21" x14ac:dyDescent="0.2">
      <c r="G911" s="8"/>
      <c r="H911" s="5"/>
      <c r="J911" s="10" t="str">
        <f t="shared" si="126"/>
        <v/>
      </c>
      <c r="K911" s="10" t="str">
        <f t="shared" si="127"/>
        <v/>
      </c>
      <c r="L911" s="11" t="str">
        <f t="shared" si="129"/>
        <v/>
      </c>
      <c r="M911" s="9" t="str">
        <f>IF(G911&lt;&gt;"",J911/MAX(J$3:J911)-1,"")</f>
        <v/>
      </c>
      <c r="N911" s="9" t="str">
        <f>IF(G911&lt;&gt;"",K911/MAX(K$3:K911)-1,"")</f>
        <v/>
      </c>
      <c r="O911" s="16" t="str">
        <f t="shared" si="125"/>
        <v/>
      </c>
      <c r="P911" s="16" t="str">
        <f t="shared" si="125"/>
        <v/>
      </c>
      <c r="Q911" s="16" t="str">
        <f t="shared" si="125"/>
        <v/>
      </c>
      <c r="R911" s="5" t="str">
        <f t="shared" si="124"/>
        <v/>
      </c>
      <c r="S911" s="5" t="str">
        <f t="shared" si="128"/>
        <v/>
      </c>
      <c r="T911" s="5" t="str">
        <f t="shared" si="130"/>
        <v/>
      </c>
      <c r="U911" s="5" t="str">
        <f t="shared" si="130"/>
        <v/>
      </c>
    </row>
    <row r="912" spans="7:21" x14ac:dyDescent="0.2">
      <c r="G912" s="8"/>
      <c r="H912" s="5"/>
      <c r="J912" s="10" t="str">
        <f t="shared" si="126"/>
        <v/>
      </c>
      <c r="K912" s="10" t="str">
        <f t="shared" si="127"/>
        <v/>
      </c>
      <c r="L912" s="11" t="str">
        <f t="shared" si="129"/>
        <v/>
      </c>
      <c r="M912" s="9" t="str">
        <f>IF(G912&lt;&gt;"",J912/MAX(J$3:J912)-1,"")</f>
        <v/>
      </c>
      <c r="N912" s="9" t="str">
        <f>IF(G912&lt;&gt;"",K912/MAX(K$3:K912)-1,"")</f>
        <v/>
      </c>
      <c r="O912" s="16" t="str">
        <f t="shared" si="125"/>
        <v/>
      </c>
      <c r="P912" s="16" t="str">
        <f t="shared" si="125"/>
        <v/>
      </c>
      <c r="Q912" s="16" t="str">
        <f t="shared" si="125"/>
        <v/>
      </c>
      <c r="R912" s="5" t="str">
        <f t="shared" si="124"/>
        <v/>
      </c>
      <c r="S912" s="5" t="str">
        <f t="shared" si="128"/>
        <v/>
      </c>
      <c r="T912" s="5" t="str">
        <f t="shared" si="130"/>
        <v/>
      </c>
      <c r="U912" s="5" t="str">
        <f t="shared" si="130"/>
        <v/>
      </c>
    </row>
    <row r="913" spans="7:21" x14ac:dyDescent="0.2">
      <c r="G913" s="8"/>
      <c r="H913" s="5"/>
      <c r="J913" s="10" t="str">
        <f t="shared" si="126"/>
        <v/>
      </c>
      <c r="K913" s="10" t="str">
        <f t="shared" si="127"/>
        <v/>
      </c>
      <c r="L913" s="11" t="str">
        <f t="shared" si="129"/>
        <v/>
      </c>
      <c r="M913" s="9" t="str">
        <f>IF(G913&lt;&gt;"",J913/MAX(J$3:J913)-1,"")</f>
        <v/>
      </c>
      <c r="N913" s="9" t="str">
        <f>IF(G913&lt;&gt;"",K913/MAX(K$3:K913)-1,"")</f>
        <v/>
      </c>
      <c r="O913" s="16" t="str">
        <f t="shared" si="125"/>
        <v/>
      </c>
      <c r="P913" s="16" t="str">
        <f t="shared" si="125"/>
        <v/>
      </c>
      <c r="Q913" s="16" t="str">
        <f t="shared" si="125"/>
        <v/>
      </c>
      <c r="R913" s="5" t="str">
        <f t="shared" si="124"/>
        <v/>
      </c>
      <c r="S913" s="5" t="str">
        <f t="shared" si="128"/>
        <v/>
      </c>
      <c r="T913" s="5" t="str">
        <f t="shared" si="130"/>
        <v/>
      </c>
      <c r="U913" s="5" t="str">
        <f t="shared" si="130"/>
        <v/>
      </c>
    </row>
    <row r="914" spans="7:21" x14ac:dyDescent="0.2">
      <c r="G914" s="8"/>
      <c r="H914" s="5"/>
      <c r="J914" s="10" t="str">
        <f t="shared" si="126"/>
        <v/>
      </c>
      <c r="K914" s="10" t="str">
        <f t="shared" si="127"/>
        <v/>
      </c>
      <c r="L914" s="11" t="str">
        <f t="shared" si="129"/>
        <v/>
      </c>
      <c r="M914" s="9" t="str">
        <f>IF(G914&lt;&gt;"",J914/MAX(J$3:J914)-1,"")</f>
        <v/>
      </c>
      <c r="N914" s="9" t="str">
        <f>IF(G914&lt;&gt;"",K914/MAX(K$3:K914)-1,"")</f>
        <v/>
      </c>
      <c r="O914" s="16" t="str">
        <f t="shared" si="125"/>
        <v/>
      </c>
      <c r="P914" s="16" t="str">
        <f t="shared" si="125"/>
        <v/>
      </c>
      <c r="Q914" s="16" t="str">
        <f t="shared" si="125"/>
        <v/>
      </c>
      <c r="R914" s="5" t="str">
        <f t="shared" si="124"/>
        <v/>
      </c>
      <c r="S914" s="5" t="str">
        <f t="shared" si="128"/>
        <v/>
      </c>
      <c r="T914" s="5" t="str">
        <f t="shared" si="130"/>
        <v/>
      </c>
      <c r="U914" s="5" t="str">
        <f t="shared" si="130"/>
        <v/>
      </c>
    </row>
    <row r="915" spans="7:21" x14ac:dyDescent="0.2">
      <c r="G915" s="8"/>
      <c r="H915" s="5"/>
      <c r="J915" s="10" t="str">
        <f t="shared" si="126"/>
        <v/>
      </c>
      <c r="K915" s="10" t="str">
        <f t="shared" si="127"/>
        <v/>
      </c>
      <c r="L915" s="11" t="str">
        <f t="shared" si="129"/>
        <v/>
      </c>
      <c r="M915" s="9" t="str">
        <f>IF(G915&lt;&gt;"",J915/MAX(J$3:J915)-1,"")</f>
        <v/>
      </c>
      <c r="N915" s="9" t="str">
        <f>IF(G915&lt;&gt;"",K915/MAX(K$3:K915)-1,"")</f>
        <v/>
      </c>
      <c r="O915" s="16" t="str">
        <f t="shared" si="125"/>
        <v/>
      </c>
      <c r="P915" s="16" t="str">
        <f t="shared" si="125"/>
        <v/>
      </c>
      <c r="Q915" s="16" t="str">
        <f t="shared" si="125"/>
        <v/>
      </c>
      <c r="R915" s="5" t="str">
        <f t="shared" si="124"/>
        <v/>
      </c>
      <c r="S915" s="5" t="str">
        <f t="shared" si="128"/>
        <v/>
      </c>
      <c r="T915" s="5" t="str">
        <f t="shared" si="130"/>
        <v/>
      </c>
      <c r="U915" s="5" t="str">
        <f t="shared" si="130"/>
        <v/>
      </c>
    </row>
    <row r="916" spans="7:21" x14ac:dyDescent="0.2">
      <c r="G916" s="8"/>
      <c r="H916" s="5"/>
      <c r="J916" s="10" t="str">
        <f t="shared" si="126"/>
        <v/>
      </c>
      <c r="K916" s="10" t="str">
        <f t="shared" si="127"/>
        <v/>
      </c>
      <c r="L916" s="11" t="str">
        <f t="shared" si="129"/>
        <v/>
      </c>
      <c r="M916" s="9" t="str">
        <f>IF(G916&lt;&gt;"",J916/MAX(J$3:J916)-1,"")</f>
        <v/>
      </c>
      <c r="N916" s="9" t="str">
        <f>IF(G916&lt;&gt;"",K916/MAX(K$3:K916)-1,"")</f>
        <v/>
      </c>
      <c r="O916" s="16" t="str">
        <f t="shared" si="125"/>
        <v/>
      </c>
      <c r="P916" s="16" t="str">
        <f t="shared" si="125"/>
        <v/>
      </c>
      <c r="Q916" s="16" t="str">
        <f t="shared" si="125"/>
        <v/>
      </c>
      <c r="R916" s="5" t="str">
        <f t="shared" si="124"/>
        <v/>
      </c>
      <c r="S916" s="5" t="str">
        <f t="shared" si="128"/>
        <v/>
      </c>
      <c r="T916" s="5" t="str">
        <f t="shared" si="130"/>
        <v/>
      </c>
      <c r="U916" s="5" t="str">
        <f t="shared" si="130"/>
        <v/>
      </c>
    </row>
    <row r="917" spans="7:21" x14ac:dyDescent="0.2">
      <c r="G917" s="8"/>
      <c r="H917" s="5"/>
      <c r="J917" s="10" t="str">
        <f t="shared" si="126"/>
        <v/>
      </c>
      <c r="K917" s="10" t="str">
        <f t="shared" si="127"/>
        <v/>
      </c>
      <c r="L917" s="11" t="str">
        <f t="shared" si="129"/>
        <v/>
      </c>
      <c r="M917" s="9" t="str">
        <f>IF(G917&lt;&gt;"",J917/MAX(J$3:J917)-1,"")</f>
        <v/>
      </c>
      <c r="N917" s="9" t="str">
        <f>IF(G917&lt;&gt;"",K917/MAX(K$3:K917)-1,"")</f>
        <v/>
      </c>
      <c r="O917" s="16" t="str">
        <f t="shared" si="125"/>
        <v/>
      </c>
      <c r="P917" s="16" t="str">
        <f t="shared" si="125"/>
        <v/>
      </c>
      <c r="Q917" s="16" t="str">
        <f t="shared" si="125"/>
        <v/>
      </c>
      <c r="R917" s="5" t="str">
        <f t="shared" si="124"/>
        <v/>
      </c>
      <c r="S917" s="5" t="str">
        <f t="shared" si="128"/>
        <v/>
      </c>
      <c r="T917" s="5" t="str">
        <f t="shared" si="130"/>
        <v/>
      </c>
      <c r="U917" s="5" t="str">
        <f t="shared" si="130"/>
        <v/>
      </c>
    </row>
    <row r="918" spans="7:21" x14ac:dyDescent="0.2">
      <c r="G918" s="8"/>
      <c r="H918" s="5"/>
      <c r="J918" s="10" t="str">
        <f t="shared" si="126"/>
        <v/>
      </c>
      <c r="K918" s="10" t="str">
        <f t="shared" si="127"/>
        <v/>
      </c>
      <c r="L918" s="11" t="str">
        <f t="shared" si="129"/>
        <v/>
      </c>
      <c r="M918" s="9" t="str">
        <f>IF(G918&lt;&gt;"",J918/MAX(J$3:J918)-1,"")</f>
        <v/>
      </c>
      <c r="N918" s="9" t="str">
        <f>IF(G918&lt;&gt;"",K918/MAX(K$3:K918)-1,"")</f>
        <v/>
      </c>
      <c r="O918" s="16" t="str">
        <f t="shared" si="125"/>
        <v/>
      </c>
      <c r="P918" s="16" t="str">
        <f t="shared" si="125"/>
        <v/>
      </c>
      <c r="Q918" s="16" t="str">
        <f t="shared" si="125"/>
        <v/>
      </c>
      <c r="R918" s="5" t="str">
        <f t="shared" si="124"/>
        <v/>
      </c>
      <c r="S918" s="5" t="str">
        <f t="shared" si="128"/>
        <v/>
      </c>
      <c r="T918" s="5" t="str">
        <f t="shared" si="130"/>
        <v/>
      </c>
      <c r="U918" s="5" t="str">
        <f t="shared" si="130"/>
        <v/>
      </c>
    </row>
    <row r="919" spans="7:21" x14ac:dyDescent="0.2">
      <c r="G919" s="8"/>
      <c r="H919" s="5"/>
      <c r="J919" s="10" t="str">
        <f t="shared" si="126"/>
        <v/>
      </c>
      <c r="K919" s="10" t="str">
        <f t="shared" si="127"/>
        <v/>
      </c>
      <c r="L919" s="11" t="str">
        <f t="shared" si="129"/>
        <v/>
      </c>
      <c r="M919" s="9" t="str">
        <f>IF(G919&lt;&gt;"",J919/MAX(J$3:J919)-1,"")</f>
        <v/>
      </c>
      <c r="N919" s="9" t="str">
        <f>IF(G919&lt;&gt;"",K919/MAX(K$3:K919)-1,"")</f>
        <v/>
      </c>
      <c r="O919" s="16" t="str">
        <f t="shared" si="125"/>
        <v/>
      </c>
      <c r="P919" s="16" t="str">
        <f t="shared" si="125"/>
        <v/>
      </c>
      <c r="Q919" s="16" t="str">
        <f t="shared" si="125"/>
        <v/>
      </c>
      <c r="R919" s="5" t="str">
        <f t="shared" si="124"/>
        <v/>
      </c>
      <c r="S919" s="5" t="str">
        <f t="shared" si="128"/>
        <v/>
      </c>
      <c r="T919" s="5" t="str">
        <f t="shared" si="130"/>
        <v/>
      </c>
      <c r="U919" s="5" t="str">
        <f t="shared" si="130"/>
        <v/>
      </c>
    </row>
    <row r="920" spans="7:21" x14ac:dyDescent="0.2">
      <c r="G920" s="8"/>
      <c r="H920" s="5"/>
      <c r="J920" s="10" t="str">
        <f t="shared" si="126"/>
        <v/>
      </c>
      <c r="K920" s="10" t="str">
        <f t="shared" si="127"/>
        <v/>
      </c>
      <c r="L920" s="11" t="str">
        <f t="shared" si="129"/>
        <v/>
      </c>
      <c r="M920" s="9" t="str">
        <f>IF(G920&lt;&gt;"",J920/MAX(J$3:J920)-1,"")</f>
        <v/>
      </c>
      <c r="N920" s="9" t="str">
        <f>IF(G920&lt;&gt;"",K920/MAX(K$3:K920)-1,"")</f>
        <v/>
      </c>
      <c r="O920" s="16" t="str">
        <f t="shared" si="125"/>
        <v/>
      </c>
      <c r="P920" s="16" t="str">
        <f t="shared" si="125"/>
        <v/>
      </c>
      <c r="Q920" s="16" t="str">
        <f t="shared" si="125"/>
        <v/>
      </c>
      <c r="R920" s="5" t="str">
        <f t="shared" si="124"/>
        <v/>
      </c>
      <c r="S920" s="5" t="str">
        <f t="shared" si="128"/>
        <v/>
      </c>
      <c r="T920" s="5" t="str">
        <f t="shared" ref="T920:U935" si="131">IF($G920&lt;&gt;"",_xlfn.STDEV.S(O676:O920),"")</f>
        <v/>
      </c>
      <c r="U920" s="5" t="str">
        <f t="shared" si="131"/>
        <v/>
      </c>
    </row>
    <row r="921" spans="7:21" x14ac:dyDescent="0.2">
      <c r="G921" s="8"/>
      <c r="H921" s="5"/>
      <c r="J921" s="10" t="str">
        <f t="shared" si="126"/>
        <v/>
      </c>
      <c r="K921" s="10" t="str">
        <f t="shared" si="127"/>
        <v/>
      </c>
      <c r="L921" s="11" t="str">
        <f t="shared" si="129"/>
        <v/>
      </c>
      <c r="M921" s="9" t="str">
        <f>IF(G921&lt;&gt;"",J921/MAX(J$3:J921)-1,"")</f>
        <v/>
      </c>
      <c r="N921" s="9" t="str">
        <f>IF(G921&lt;&gt;"",K921/MAX(K$3:K921)-1,"")</f>
        <v/>
      </c>
      <c r="O921" s="16" t="str">
        <f t="shared" si="125"/>
        <v/>
      </c>
      <c r="P921" s="16" t="str">
        <f t="shared" si="125"/>
        <v/>
      </c>
      <c r="Q921" s="16" t="str">
        <f t="shared" si="125"/>
        <v/>
      </c>
      <c r="R921" s="5" t="str">
        <f t="shared" si="124"/>
        <v/>
      </c>
      <c r="S921" s="5" t="str">
        <f t="shared" si="128"/>
        <v/>
      </c>
      <c r="T921" s="5" t="str">
        <f t="shared" si="131"/>
        <v/>
      </c>
      <c r="U921" s="5" t="str">
        <f t="shared" si="131"/>
        <v/>
      </c>
    </row>
    <row r="922" spans="7:21" x14ac:dyDescent="0.2">
      <c r="G922" s="8"/>
      <c r="H922" s="5"/>
      <c r="J922" s="10" t="str">
        <f t="shared" si="126"/>
        <v/>
      </c>
      <c r="K922" s="10" t="str">
        <f t="shared" si="127"/>
        <v/>
      </c>
      <c r="L922" s="11" t="str">
        <f t="shared" si="129"/>
        <v/>
      </c>
      <c r="M922" s="9" t="str">
        <f>IF(G922&lt;&gt;"",J922/MAX(J$3:J922)-1,"")</f>
        <v/>
      </c>
      <c r="N922" s="9" t="str">
        <f>IF(G922&lt;&gt;"",K922/MAX(K$3:K922)-1,"")</f>
        <v/>
      </c>
      <c r="O922" s="16" t="str">
        <f t="shared" si="125"/>
        <v/>
      </c>
      <c r="P922" s="16" t="str">
        <f t="shared" si="125"/>
        <v/>
      </c>
      <c r="Q922" s="16" t="str">
        <f t="shared" si="125"/>
        <v/>
      </c>
      <c r="R922" s="5" t="str">
        <f t="shared" si="124"/>
        <v/>
      </c>
      <c r="S922" s="5" t="str">
        <f t="shared" si="128"/>
        <v/>
      </c>
      <c r="T922" s="5" t="str">
        <f t="shared" si="131"/>
        <v/>
      </c>
      <c r="U922" s="5" t="str">
        <f t="shared" si="131"/>
        <v/>
      </c>
    </row>
    <row r="923" spans="7:21" x14ac:dyDescent="0.2">
      <c r="G923" s="8"/>
      <c r="H923" s="5"/>
      <c r="J923" s="10" t="str">
        <f t="shared" si="126"/>
        <v/>
      </c>
      <c r="K923" s="10" t="str">
        <f t="shared" si="127"/>
        <v/>
      </c>
      <c r="L923" s="11" t="str">
        <f t="shared" si="129"/>
        <v/>
      </c>
      <c r="M923" s="9" t="str">
        <f>IF(G923&lt;&gt;"",J923/MAX(J$3:J923)-1,"")</f>
        <v/>
      </c>
      <c r="N923" s="9" t="str">
        <f>IF(G923&lt;&gt;"",K923/MAX(K$3:K923)-1,"")</f>
        <v/>
      </c>
      <c r="O923" s="16" t="str">
        <f t="shared" si="125"/>
        <v/>
      </c>
      <c r="P923" s="16" t="str">
        <f t="shared" si="125"/>
        <v/>
      </c>
      <c r="Q923" s="16" t="str">
        <f t="shared" si="125"/>
        <v/>
      </c>
      <c r="R923" s="5" t="str">
        <f t="shared" si="124"/>
        <v/>
      </c>
      <c r="S923" s="5" t="str">
        <f t="shared" si="128"/>
        <v/>
      </c>
      <c r="T923" s="5" t="str">
        <f t="shared" si="131"/>
        <v/>
      </c>
      <c r="U923" s="5" t="str">
        <f t="shared" si="131"/>
        <v/>
      </c>
    </row>
    <row r="924" spans="7:21" x14ac:dyDescent="0.2">
      <c r="G924" s="8"/>
      <c r="H924" s="5"/>
      <c r="J924" s="10" t="str">
        <f t="shared" si="126"/>
        <v/>
      </c>
      <c r="K924" s="10" t="str">
        <f t="shared" si="127"/>
        <v/>
      </c>
      <c r="L924" s="11" t="str">
        <f t="shared" si="129"/>
        <v/>
      </c>
      <c r="M924" s="9" t="str">
        <f>IF(G924&lt;&gt;"",J924/MAX(J$3:J924)-1,"")</f>
        <v/>
      </c>
      <c r="N924" s="9" t="str">
        <f>IF(G924&lt;&gt;"",K924/MAX(K$3:K924)-1,"")</f>
        <v/>
      </c>
      <c r="O924" s="16" t="str">
        <f t="shared" si="125"/>
        <v/>
      </c>
      <c r="P924" s="16" t="str">
        <f t="shared" si="125"/>
        <v/>
      </c>
      <c r="Q924" s="16" t="str">
        <f t="shared" si="125"/>
        <v/>
      </c>
      <c r="R924" s="5" t="str">
        <f t="shared" si="124"/>
        <v/>
      </c>
      <c r="S924" s="5" t="str">
        <f t="shared" si="128"/>
        <v/>
      </c>
      <c r="T924" s="5" t="str">
        <f t="shared" si="131"/>
        <v/>
      </c>
      <c r="U924" s="5" t="str">
        <f t="shared" si="131"/>
        <v/>
      </c>
    </row>
    <row r="925" spans="7:21" x14ac:dyDescent="0.2">
      <c r="G925" s="8"/>
      <c r="H925" s="5"/>
      <c r="J925" s="10" t="str">
        <f t="shared" si="126"/>
        <v/>
      </c>
      <c r="K925" s="10" t="str">
        <f t="shared" si="127"/>
        <v/>
      </c>
      <c r="L925" s="11" t="str">
        <f t="shared" si="129"/>
        <v/>
      </c>
      <c r="M925" s="9" t="str">
        <f>IF(G925&lt;&gt;"",J925/MAX(J$3:J925)-1,"")</f>
        <v/>
      </c>
      <c r="N925" s="9" t="str">
        <f>IF(G925&lt;&gt;"",K925/MAX(K$3:K925)-1,"")</f>
        <v/>
      </c>
      <c r="O925" s="16" t="str">
        <f t="shared" si="125"/>
        <v/>
      </c>
      <c r="P925" s="16" t="str">
        <f t="shared" si="125"/>
        <v/>
      </c>
      <c r="Q925" s="16" t="str">
        <f t="shared" si="125"/>
        <v/>
      </c>
      <c r="R925" s="5" t="str">
        <f t="shared" si="124"/>
        <v/>
      </c>
      <c r="S925" s="5" t="str">
        <f t="shared" si="128"/>
        <v/>
      </c>
      <c r="T925" s="5" t="str">
        <f t="shared" si="131"/>
        <v/>
      </c>
      <c r="U925" s="5" t="str">
        <f t="shared" si="131"/>
        <v/>
      </c>
    </row>
    <row r="926" spans="7:21" x14ac:dyDescent="0.2">
      <c r="G926" s="8"/>
      <c r="H926" s="5"/>
      <c r="J926" s="10" t="str">
        <f t="shared" si="126"/>
        <v/>
      </c>
      <c r="K926" s="10" t="str">
        <f t="shared" si="127"/>
        <v/>
      </c>
      <c r="L926" s="11" t="str">
        <f t="shared" si="129"/>
        <v/>
      </c>
      <c r="M926" s="9" t="str">
        <f>IF(G926&lt;&gt;"",J926/MAX(J$3:J926)-1,"")</f>
        <v/>
      </c>
      <c r="N926" s="9" t="str">
        <f>IF(G926&lt;&gt;"",K926/MAX(K$3:K926)-1,"")</f>
        <v/>
      </c>
      <c r="O926" s="16" t="str">
        <f t="shared" si="125"/>
        <v/>
      </c>
      <c r="P926" s="16" t="str">
        <f t="shared" si="125"/>
        <v/>
      </c>
      <c r="Q926" s="16" t="str">
        <f t="shared" si="125"/>
        <v/>
      </c>
      <c r="R926" s="5" t="str">
        <f t="shared" si="124"/>
        <v/>
      </c>
      <c r="S926" s="5" t="str">
        <f t="shared" si="128"/>
        <v/>
      </c>
      <c r="T926" s="5" t="str">
        <f t="shared" si="131"/>
        <v/>
      </c>
      <c r="U926" s="5" t="str">
        <f t="shared" si="131"/>
        <v/>
      </c>
    </row>
    <row r="927" spans="7:21" x14ac:dyDescent="0.2">
      <c r="G927" s="8"/>
      <c r="H927" s="5"/>
      <c r="J927" s="10" t="str">
        <f t="shared" si="126"/>
        <v/>
      </c>
      <c r="K927" s="10" t="str">
        <f t="shared" si="127"/>
        <v/>
      </c>
      <c r="L927" s="11" t="str">
        <f t="shared" si="129"/>
        <v/>
      </c>
      <c r="M927" s="9" t="str">
        <f>IF(G927&lt;&gt;"",J927/MAX(J$3:J927)-1,"")</f>
        <v/>
      </c>
      <c r="N927" s="9" t="str">
        <f>IF(G927&lt;&gt;"",K927/MAX(K$3:K927)-1,"")</f>
        <v/>
      </c>
      <c r="O927" s="16" t="str">
        <f t="shared" si="125"/>
        <v/>
      </c>
      <c r="P927" s="16" t="str">
        <f t="shared" si="125"/>
        <v/>
      </c>
      <c r="Q927" s="16" t="str">
        <f t="shared" si="125"/>
        <v/>
      </c>
      <c r="R927" s="5" t="str">
        <f t="shared" si="124"/>
        <v/>
      </c>
      <c r="S927" s="5" t="str">
        <f t="shared" si="128"/>
        <v/>
      </c>
      <c r="T927" s="5" t="str">
        <f t="shared" si="131"/>
        <v/>
      </c>
      <c r="U927" s="5" t="str">
        <f t="shared" si="131"/>
        <v/>
      </c>
    </row>
    <row r="928" spans="7:21" x14ac:dyDescent="0.2">
      <c r="G928" s="8"/>
      <c r="H928" s="5"/>
      <c r="J928" s="10" t="str">
        <f t="shared" si="126"/>
        <v/>
      </c>
      <c r="K928" s="10" t="str">
        <f t="shared" si="127"/>
        <v/>
      </c>
      <c r="L928" s="11" t="str">
        <f t="shared" si="129"/>
        <v/>
      </c>
      <c r="M928" s="9" t="str">
        <f>IF(G928&lt;&gt;"",J928/MAX(J$3:J928)-1,"")</f>
        <v/>
      </c>
      <c r="N928" s="9" t="str">
        <f>IF(G928&lt;&gt;"",K928/MAX(K$3:K928)-1,"")</f>
        <v/>
      </c>
      <c r="O928" s="16" t="str">
        <f t="shared" si="125"/>
        <v/>
      </c>
      <c r="P928" s="16" t="str">
        <f t="shared" si="125"/>
        <v/>
      </c>
      <c r="Q928" s="16" t="str">
        <f t="shared" si="125"/>
        <v/>
      </c>
      <c r="R928" s="5" t="str">
        <f t="shared" si="124"/>
        <v/>
      </c>
      <c r="S928" s="5" t="str">
        <f t="shared" si="128"/>
        <v/>
      </c>
      <c r="T928" s="5" t="str">
        <f t="shared" si="131"/>
        <v/>
      </c>
      <c r="U928" s="5" t="str">
        <f t="shared" si="131"/>
        <v/>
      </c>
    </row>
    <row r="929" spans="7:21" x14ac:dyDescent="0.2">
      <c r="G929" s="8"/>
      <c r="H929" s="5"/>
      <c r="J929" s="10" t="str">
        <f t="shared" si="126"/>
        <v/>
      </c>
      <c r="K929" s="10" t="str">
        <f t="shared" si="127"/>
        <v/>
      </c>
      <c r="L929" s="11" t="str">
        <f t="shared" si="129"/>
        <v/>
      </c>
      <c r="M929" s="9" t="str">
        <f>IF(G929&lt;&gt;"",J929/MAX(J$3:J929)-1,"")</f>
        <v/>
      </c>
      <c r="N929" s="9" t="str">
        <f>IF(G929&lt;&gt;"",K929/MAX(K$3:K929)-1,"")</f>
        <v/>
      </c>
      <c r="O929" s="16" t="str">
        <f t="shared" si="125"/>
        <v/>
      </c>
      <c r="P929" s="16" t="str">
        <f t="shared" si="125"/>
        <v/>
      </c>
      <c r="Q929" s="16" t="str">
        <f t="shared" si="125"/>
        <v/>
      </c>
      <c r="R929" s="5" t="str">
        <f t="shared" si="124"/>
        <v/>
      </c>
      <c r="S929" s="5" t="str">
        <f t="shared" si="128"/>
        <v/>
      </c>
      <c r="T929" s="5" t="str">
        <f t="shared" si="131"/>
        <v/>
      </c>
      <c r="U929" s="5" t="str">
        <f t="shared" si="131"/>
        <v/>
      </c>
    </row>
    <row r="930" spans="7:21" x14ac:dyDescent="0.2">
      <c r="G930" s="8"/>
      <c r="H930" s="5"/>
      <c r="J930" s="10" t="str">
        <f t="shared" si="126"/>
        <v/>
      </c>
      <c r="K930" s="10" t="str">
        <f t="shared" si="127"/>
        <v/>
      </c>
      <c r="L930" s="11" t="str">
        <f t="shared" si="129"/>
        <v/>
      </c>
      <c r="M930" s="9" t="str">
        <f>IF(G930&lt;&gt;"",J930/MAX(J$3:J930)-1,"")</f>
        <v/>
      </c>
      <c r="N930" s="9" t="str">
        <f>IF(G930&lt;&gt;"",K930/MAX(K$3:K930)-1,"")</f>
        <v/>
      </c>
      <c r="O930" s="16" t="str">
        <f t="shared" si="125"/>
        <v/>
      </c>
      <c r="P930" s="16" t="str">
        <f t="shared" si="125"/>
        <v/>
      </c>
      <c r="Q930" s="16" t="str">
        <f t="shared" si="125"/>
        <v/>
      </c>
      <c r="R930" s="5" t="str">
        <f t="shared" si="124"/>
        <v/>
      </c>
      <c r="S930" s="5" t="str">
        <f t="shared" si="128"/>
        <v/>
      </c>
      <c r="T930" s="5" t="str">
        <f t="shared" si="131"/>
        <v/>
      </c>
      <c r="U930" s="5" t="str">
        <f t="shared" si="131"/>
        <v/>
      </c>
    </row>
    <row r="931" spans="7:21" x14ac:dyDescent="0.2">
      <c r="G931" s="8"/>
      <c r="H931" s="5"/>
      <c r="J931" s="10" t="str">
        <f t="shared" si="126"/>
        <v/>
      </c>
      <c r="K931" s="10" t="str">
        <f t="shared" si="127"/>
        <v/>
      </c>
      <c r="L931" s="11" t="str">
        <f t="shared" si="129"/>
        <v/>
      </c>
      <c r="M931" s="9" t="str">
        <f>IF(G931&lt;&gt;"",J931/MAX(J$3:J931)-1,"")</f>
        <v/>
      </c>
      <c r="N931" s="9" t="str">
        <f>IF(G931&lt;&gt;"",K931/MAX(K$3:K931)-1,"")</f>
        <v/>
      </c>
      <c r="O931" s="16" t="str">
        <f t="shared" si="125"/>
        <v/>
      </c>
      <c r="P931" s="16" t="str">
        <f t="shared" si="125"/>
        <v/>
      </c>
      <c r="Q931" s="16" t="str">
        <f t="shared" si="125"/>
        <v/>
      </c>
      <c r="R931" s="5" t="str">
        <f t="shared" si="124"/>
        <v/>
      </c>
      <c r="S931" s="5" t="str">
        <f t="shared" si="128"/>
        <v/>
      </c>
      <c r="T931" s="5" t="str">
        <f t="shared" si="131"/>
        <v/>
      </c>
      <c r="U931" s="5" t="str">
        <f t="shared" si="131"/>
        <v/>
      </c>
    </row>
    <row r="932" spans="7:21" x14ac:dyDescent="0.2">
      <c r="G932" s="8"/>
      <c r="H932" s="5"/>
      <c r="J932" s="10" t="str">
        <f t="shared" si="126"/>
        <v/>
      </c>
      <c r="K932" s="10" t="str">
        <f t="shared" si="127"/>
        <v/>
      </c>
      <c r="L932" s="11" t="str">
        <f t="shared" si="129"/>
        <v/>
      </c>
      <c r="M932" s="9" t="str">
        <f>IF(G932&lt;&gt;"",J932/MAX(J$3:J932)-1,"")</f>
        <v/>
      </c>
      <c r="N932" s="9" t="str">
        <f>IF(G932&lt;&gt;"",K932/MAX(K$3:K932)-1,"")</f>
        <v/>
      </c>
      <c r="O932" s="16" t="str">
        <f t="shared" si="125"/>
        <v/>
      </c>
      <c r="P932" s="16" t="str">
        <f t="shared" si="125"/>
        <v/>
      </c>
      <c r="Q932" s="16" t="str">
        <f t="shared" si="125"/>
        <v/>
      </c>
      <c r="R932" s="5" t="str">
        <f t="shared" si="124"/>
        <v/>
      </c>
      <c r="S932" s="5" t="str">
        <f t="shared" si="128"/>
        <v/>
      </c>
      <c r="T932" s="5" t="str">
        <f t="shared" si="131"/>
        <v/>
      </c>
      <c r="U932" s="5" t="str">
        <f t="shared" si="131"/>
        <v/>
      </c>
    </row>
    <row r="933" spans="7:21" x14ac:dyDescent="0.2">
      <c r="G933" s="8"/>
      <c r="H933" s="5"/>
      <c r="J933" s="10" t="str">
        <f t="shared" si="126"/>
        <v/>
      </c>
      <c r="K933" s="10" t="str">
        <f t="shared" si="127"/>
        <v/>
      </c>
      <c r="L933" s="11" t="str">
        <f t="shared" si="129"/>
        <v/>
      </c>
      <c r="M933" s="9" t="str">
        <f>IF(G933&lt;&gt;"",J933/MAX(J$3:J933)-1,"")</f>
        <v/>
      </c>
      <c r="N933" s="9" t="str">
        <f>IF(G933&lt;&gt;"",K933/MAX(K$3:K933)-1,"")</f>
        <v/>
      </c>
      <c r="O933" s="16" t="str">
        <f t="shared" si="125"/>
        <v/>
      </c>
      <c r="P933" s="16" t="str">
        <f t="shared" si="125"/>
        <v/>
      </c>
      <c r="Q933" s="16" t="str">
        <f t="shared" si="125"/>
        <v/>
      </c>
      <c r="R933" s="5" t="str">
        <f t="shared" si="124"/>
        <v/>
      </c>
      <c r="S933" s="5" t="str">
        <f t="shared" si="128"/>
        <v/>
      </c>
      <c r="T933" s="5" t="str">
        <f t="shared" si="131"/>
        <v/>
      </c>
      <c r="U933" s="5" t="str">
        <f t="shared" si="131"/>
        <v/>
      </c>
    </row>
    <row r="934" spans="7:21" x14ac:dyDescent="0.2">
      <c r="G934" s="8"/>
      <c r="H934" s="5"/>
      <c r="J934" s="10" t="str">
        <f t="shared" si="126"/>
        <v/>
      </c>
      <c r="K934" s="10" t="str">
        <f t="shared" si="127"/>
        <v/>
      </c>
      <c r="L934" s="11" t="str">
        <f t="shared" si="129"/>
        <v/>
      </c>
      <c r="M934" s="9" t="str">
        <f>IF(G934&lt;&gt;"",J934/MAX(J$3:J934)-1,"")</f>
        <v/>
      </c>
      <c r="N934" s="9" t="str">
        <f>IF(G934&lt;&gt;"",K934/MAX(K$3:K934)-1,"")</f>
        <v/>
      </c>
      <c r="O934" s="16" t="str">
        <f t="shared" si="125"/>
        <v/>
      </c>
      <c r="P934" s="16" t="str">
        <f t="shared" si="125"/>
        <v/>
      </c>
      <c r="Q934" s="16" t="str">
        <f t="shared" si="125"/>
        <v/>
      </c>
      <c r="R934" s="5" t="str">
        <f t="shared" si="124"/>
        <v/>
      </c>
      <c r="S934" s="5" t="str">
        <f t="shared" si="128"/>
        <v/>
      </c>
      <c r="T934" s="5" t="str">
        <f t="shared" si="131"/>
        <v/>
      </c>
      <c r="U934" s="5" t="str">
        <f t="shared" si="131"/>
        <v/>
      </c>
    </row>
    <row r="935" spans="7:21" x14ac:dyDescent="0.2">
      <c r="G935" s="8"/>
      <c r="H935" s="5"/>
      <c r="J935" s="10" t="str">
        <f t="shared" si="126"/>
        <v/>
      </c>
      <c r="K935" s="10" t="str">
        <f t="shared" si="127"/>
        <v/>
      </c>
      <c r="L935" s="11" t="str">
        <f t="shared" si="129"/>
        <v/>
      </c>
      <c r="M935" s="9" t="str">
        <f>IF(G935&lt;&gt;"",J935/MAX(J$3:J935)-1,"")</f>
        <v/>
      </c>
      <c r="N935" s="9" t="str">
        <f>IF(G935&lt;&gt;"",K935/MAX(K$3:K935)-1,"")</f>
        <v/>
      </c>
      <c r="O935" s="16" t="str">
        <f t="shared" si="125"/>
        <v/>
      </c>
      <c r="P935" s="16" t="str">
        <f t="shared" si="125"/>
        <v/>
      </c>
      <c r="Q935" s="16" t="str">
        <f t="shared" si="125"/>
        <v/>
      </c>
      <c r="R935" s="5" t="str">
        <f t="shared" si="124"/>
        <v/>
      </c>
      <c r="S935" s="5" t="str">
        <f t="shared" si="128"/>
        <v/>
      </c>
      <c r="T935" s="5" t="str">
        <f t="shared" si="131"/>
        <v/>
      </c>
      <c r="U935" s="5" t="str">
        <f t="shared" si="131"/>
        <v/>
      </c>
    </row>
    <row r="936" spans="7:21" x14ac:dyDescent="0.2">
      <c r="G936" s="8"/>
      <c r="H936" s="5"/>
      <c r="J936" s="10" t="str">
        <f t="shared" si="126"/>
        <v/>
      </c>
      <c r="K936" s="10" t="str">
        <f t="shared" si="127"/>
        <v/>
      </c>
      <c r="L936" s="11" t="str">
        <f t="shared" si="129"/>
        <v/>
      </c>
      <c r="M936" s="9" t="str">
        <f>IF(G936&lt;&gt;"",J936/MAX(J$3:J936)-1,"")</f>
        <v/>
      </c>
      <c r="N936" s="9" t="str">
        <f>IF(G936&lt;&gt;"",K936/MAX(K$3:K936)-1,"")</f>
        <v/>
      </c>
      <c r="O936" s="16" t="str">
        <f t="shared" si="125"/>
        <v/>
      </c>
      <c r="P936" s="16" t="str">
        <f t="shared" si="125"/>
        <v/>
      </c>
      <c r="Q936" s="16" t="str">
        <f t="shared" si="125"/>
        <v/>
      </c>
      <c r="R936" s="5" t="str">
        <f t="shared" si="124"/>
        <v/>
      </c>
      <c r="S936" s="5" t="str">
        <f t="shared" si="128"/>
        <v/>
      </c>
      <c r="T936" s="5" t="str">
        <f t="shared" ref="T936:U951" si="132">IF($G936&lt;&gt;"",_xlfn.STDEV.S(O692:O936),"")</f>
        <v/>
      </c>
      <c r="U936" s="5" t="str">
        <f t="shared" si="132"/>
        <v/>
      </c>
    </row>
    <row r="937" spans="7:21" x14ac:dyDescent="0.2">
      <c r="G937" s="8"/>
      <c r="H937" s="5"/>
      <c r="J937" s="10" t="str">
        <f t="shared" si="126"/>
        <v/>
      </c>
      <c r="K937" s="10" t="str">
        <f t="shared" si="127"/>
        <v/>
      </c>
      <c r="L937" s="11" t="str">
        <f t="shared" si="129"/>
        <v/>
      </c>
      <c r="M937" s="9" t="str">
        <f>IF(G937&lt;&gt;"",J937/MAX(J$3:J937)-1,"")</f>
        <v/>
      </c>
      <c r="N937" s="9" t="str">
        <f>IF(G937&lt;&gt;"",K937/MAX(K$3:K937)-1,"")</f>
        <v/>
      </c>
      <c r="O937" s="16" t="str">
        <f t="shared" si="125"/>
        <v/>
      </c>
      <c r="P937" s="16" t="str">
        <f t="shared" si="125"/>
        <v/>
      </c>
      <c r="Q937" s="16" t="str">
        <f t="shared" si="125"/>
        <v/>
      </c>
      <c r="R937" s="5" t="str">
        <f t="shared" si="124"/>
        <v/>
      </c>
      <c r="S937" s="5" t="str">
        <f t="shared" si="128"/>
        <v/>
      </c>
      <c r="T937" s="5" t="str">
        <f t="shared" si="132"/>
        <v/>
      </c>
      <c r="U937" s="5" t="str">
        <f t="shared" si="132"/>
        <v/>
      </c>
    </row>
    <row r="938" spans="7:21" x14ac:dyDescent="0.2">
      <c r="G938" s="8"/>
      <c r="H938" s="5"/>
      <c r="J938" s="10" t="str">
        <f t="shared" si="126"/>
        <v/>
      </c>
      <c r="K938" s="10" t="str">
        <f t="shared" si="127"/>
        <v/>
      </c>
      <c r="L938" s="11" t="str">
        <f t="shared" si="129"/>
        <v/>
      </c>
      <c r="M938" s="9" t="str">
        <f>IF(G938&lt;&gt;"",J938/MAX(J$3:J938)-1,"")</f>
        <v/>
      </c>
      <c r="N938" s="9" t="str">
        <f>IF(G938&lt;&gt;"",K938/MAX(K$3:K938)-1,"")</f>
        <v/>
      </c>
      <c r="O938" s="16" t="str">
        <f t="shared" si="125"/>
        <v/>
      </c>
      <c r="P938" s="16" t="str">
        <f t="shared" si="125"/>
        <v/>
      </c>
      <c r="Q938" s="16" t="str">
        <f t="shared" si="125"/>
        <v/>
      </c>
      <c r="R938" s="5" t="str">
        <f t="shared" si="124"/>
        <v/>
      </c>
      <c r="S938" s="5" t="str">
        <f t="shared" si="128"/>
        <v/>
      </c>
      <c r="T938" s="5" t="str">
        <f t="shared" si="132"/>
        <v/>
      </c>
      <c r="U938" s="5" t="str">
        <f t="shared" si="132"/>
        <v/>
      </c>
    </row>
    <row r="939" spans="7:21" x14ac:dyDescent="0.2">
      <c r="G939" s="8"/>
      <c r="H939" s="5"/>
      <c r="J939" s="10" t="str">
        <f t="shared" si="126"/>
        <v/>
      </c>
      <c r="K939" s="10" t="str">
        <f t="shared" si="127"/>
        <v/>
      </c>
      <c r="L939" s="11" t="str">
        <f t="shared" si="129"/>
        <v/>
      </c>
      <c r="M939" s="9" t="str">
        <f>IF(G939&lt;&gt;"",J939/MAX(J$3:J939)-1,"")</f>
        <v/>
      </c>
      <c r="N939" s="9" t="str">
        <f>IF(G939&lt;&gt;"",K939/MAX(K$3:K939)-1,"")</f>
        <v/>
      </c>
      <c r="O939" s="16" t="str">
        <f t="shared" si="125"/>
        <v/>
      </c>
      <c r="P939" s="16" t="str">
        <f t="shared" si="125"/>
        <v/>
      </c>
      <c r="Q939" s="16" t="str">
        <f t="shared" si="125"/>
        <v/>
      </c>
      <c r="R939" s="5" t="str">
        <f t="shared" si="124"/>
        <v/>
      </c>
      <c r="S939" s="5" t="str">
        <f t="shared" si="128"/>
        <v/>
      </c>
      <c r="T939" s="5" t="str">
        <f t="shared" si="132"/>
        <v/>
      </c>
      <c r="U939" s="5" t="str">
        <f t="shared" si="132"/>
        <v/>
      </c>
    </row>
    <row r="940" spans="7:21" x14ac:dyDescent="0.2">
      <c r="G940" s="8"/>
      <c r="H940" s="5"/>
      <c r="J940" s="10" t="str">
        <f t="shared" si="126"/>
        <v/>
      </c>
      <c r="K940" s="10" t="str">
        <f t="shared" si="127"/>
        <v/>
      </c>
      <c r="L940" s="11" t="str">
        <f t="shared" si="129"/>
        <v/>
      </c>
      <c r="M940" s="9" t="str">
        <f>IF(G940&lt;&gt;"",J940/MAX(J$3:J940)-1,"")</f>
        <v/>
      </c>
      <c r="N940" s="9" t="str">
        <f>IF(G940&lt;&gt;"",K940/MAX(K$3:K940)-1,"")</f>
        <v/>
      </c>
      <c r="O940" s="16" t="str">
        <f t="shared" si="125"/>
        <v/>
      </c>
      <c r="P940" s="16" t="str">
        <f t="shared" si="125"/>
        <v/>
      </c>
      <c r="Q940" s="16" t="str">
        <f t="shared" si="125"/>
        <v/>
      </c>
      <c r="R940" s="5" t="str">
        <f t="shared" si="124"/>
        <v/>
      </c>
      <c r="S940" s="5" t="str">
        <f t="shared" si="128"/>
        <v/>
      </c>
      <c r="T940" s="5" t="str">
        <f t="shared" si="132"/>
        <v/>
      </c>
      <c r="U940" s="5" t="str">
        <f t="shared" si="132"/>
        <v/>
      </c>
    </row>
    <row r="941" spans="7:21" x14ac:dyDescent="0.2">
      <c r="G941" s="8"/>
      <c r="H941" s="5"/>
      <c r="J941" s="10" t="str">
        <f t="shared" si="126"/>
        <v/>
      </c>
      <c r="K941" s="10" t="str">
        <f t="shared" si="127"/>
        <v/>
      </c>
      <c r="L941" s="11" t="str">
        <f t="shared" si="129"/>
        <v/>
      </c>
      <c r="M941" s="9" t="str">
        <f>IF(G941&lt;&gt;"",J941/MAX(J$3:J941)-1,"")</f>
        <v/>
      </c>
      <c r="N941" s="9" t="str">
        <f>IF(G941&lt;&gt;"",K941/MAX(K$3:K941)-1,"")</f>
        <v/>
      </c>
      <c r="O941" s="16" t="str">
        <f t="shared" si="125"/>
        <v/>
      </c>
      <c r="P941" s="16" t="str">
        <f t="shared" si="125"/>
        <v/>
      </c>
      <c r="Q941" s="16" t="str">
        <f t="shared" si="125"/>
        <v/>
      </c>
      <c r="R941" s="5" t="str">
        <f t="shared" si="124"/>
        <v/>
      </c>
      <c r="S941" s="5" t="str">
        <f t="shared" si="128"/>
        <v/>
      </c>
      <c r="T941" s="5" t="str">
        <f t="shared" si="132"/>
        <v/>
      </c>
      <c r="U941" s="5" t="str">
        <f t="shared" si="132"/>
        <v/>
      </c>
    </row>
    <row r="942" spans="7:21" x14ac:dyDescent="0.2">
      <c r="G942" s="8"/>
      <c r="H942" s="5"/>
      <c r="J942" s="10" t="str">
        <f t="shared" si="126"/>
        <v/>
      </c>
      <c r="K942" s="10" t="str">
        <f t="shared" si="127"/>
        <v/>
      </c>
      <c r="L942" s="11" t="str">
        <f t="shared" si="129"/>
        <v/>
      </c>
      <c r="M942" s="9" t="str">
        <f>IF(G942&lt;&gt;"",J942/MAX(J$3:J942)-1,"")</f>
        <v/>
      </c>
      <c r="N942" s="9" t="str">
        <f>IF(G942&lt;&gt;"",K942/MAX(K$3:K942)-1,"")</f>
        <v/>
      </c>
      <c r="O942" s="16" t="str">
        <f t="shared" si="125"/>
        <v/>
      </c>
      <c r="P942" s="16" t="str">
        <f t="shared" si="125"/>
        <v/>
      </c>
      <c r="Q942" s="16" t="str">
        <f t="shared" si="125"/>
        <v/>
      </c>
      <c r="R942" s="5" t="str">
        <f t="shared" si="124"/>
        <v/>
      </c>
      <c r="S942" s="5" t="str">
        <f t="shared" si="128"/>
        <v/>
      </c>
      <c r="T942" s="5" t="str">
        <f t="shared" si="132"/>
        <v/>
      </c>
      <c r="U942" s="5" t="str">
        <f t="shared" si="132"/>
        <v/>
      </c>
    </row>
    <row r="943" spans="7:21" x14ac:dyDescent="0.2">
      <c r="G943" s="8"/>
      <c r="H943" s="5"/>
      <c r="J943" s="10" t="str">
        <f t="shared" si="126"/>
        <v/>
      </c>
      <c r="K943" s="10" t="str">
        <f t="shared" si="127"/>
        <v/>
      </c>
      <c r="L943" s="11" t="str">
        <f t="shared" si="129"/>
        <v/>
      </c>
      <c r="M943" s="9" t="str">
        <f>IF(G943&lt;&gt;"",J943/MAX(J$3:J943)-1,"")</f>
        <v/>
      </c>
      <c r="N943" s="9" t="str">
        <f>IF(G943&lt;&gt;"",K943/MAX(K$3:K943)-1,"")</f>
        <v/>
      </c>
      <c r="O943" s="16" t="str">
        <f t="shared" si="125"/>
        <v/>
      </c>
      <c r="P943" s="16" t="str">
        <f t="shared" si="125"/>
        <v/>
      </c>
      <c r="Q943" s="16" t="str">
        <f t="shared" si="125"/>
        <v/>
      </c>
      <c r="R943" s="5" t="str">
        <f t="shared" si="124"/>
        <v/>
      </c>
      <c r="S943" s="5" t="str">
        <f t="shared" si="128"/>
        <v/>
      </c>
      <c r="T943" s="5" t="str">
        <f t="shared" si="132"/>
        <v/>
      </c>
      <c r="U943" s="5" t="str">
        <f t="shared" si="132"/>
        <v/>
      </c>
    </row>
    <row r="944" spans="7:21" x14ac:dyDescent="0.2">
      <c r="G944" s="8"/>
      <c r="H944" s="5"/>
      <c r="J944" s="10" t="str">
        <f t="shared" si="126"/>
        <v/>
      </c>
      <c r="K944" s="10" t="str">
        <f t="shared" si="127"/>
        <v/>
      </c>
      <c r="L944" s="11" t="str">
        <f t="shared" si="129"/>
        <v/>
      </c>
      <c r="M944" s="9" t="str">
        <f>IF(G944&lt;&gt;"",J944/MAX(J$3:J944)-1,"")</f>
        <v/>
      </c>
      <c r="N944" s="9" t="str">
        <f>IF(G944&lt;&gt;"",K944/MAX(K$3:K944)-1,"")</f>
        <v/>
      </c>
      <c r="O944" s="16" t="str">
        <f t="shared" si="125"/>
        <v/>
      </c>
      <c r="P944" s="16" t="str">
        <f t="shared" si="125"/>
        <v/>
      </c>
      <c r="Q944" s="16" t="str">
        <f t="shared" si="125"/>
        <v/>
      </c>
      <c r="R944" s="5" t="str">
        <f t="shared" si="124"/>
        <v/>
      </c>
      <c r="S944" s="5" t="str">
        <f t="shared" si="128"/>
        <v/>
      </c>
      <c r="T944" s="5" t="str">
        <f t="shared" si="132"/>
        <v/>
      </c>
      <c r="U944" s="5" t="str">
        <f t="shared" si="132"/>
        <v/>
      </c>
    </row>
    <row r="945" spans="7:21" x14ac:dyDescent="0.2">
      <c r="G945" s="8"/>
      <c r="H945" s="5"/>
      <c r="J945" s="10" t="str">
        <f t="shared" si="126"/>
        <v/>
      </c>
      <c r="K945" s="10" t="str">
        <f t="shared" si="127"/>
        <v/>
      </c>
      <c r="L945" s="11" t="str">
        <f t="shared" si="129"/>
        <v/>
      </c>
      <c r="M945" s="9" t="str">
        <f>IF(G945&lt;&gt;"",J945/MAX(J$3:J945)-1,"")</f>
        <v/>
      </c>
      <c r="N945" s="9" t="str">
        <f>IF(G945&lt;&gt;"",K945/MAX(K$3:K945)-1,"")</f>
        <v/>
      </c>
      <c r="O945" s="16" t="str">
        <f t="shared" si="125"/>
        <v/>
      </c>
      <c r="P945" s="16" t="str">
        <f t="shared" si="125"/>
        <v/>
      </c>
      <c r="Q945" s="16" t="str">
        <f t="shared" si="125"/>
        <v/>
      </c>
      <c r="R945" s="5" t="str">
        <f t="shared" si="124"/>
        <v/>
      </c>
      <c r="S945" s="5" t="str">
        <f t="shared" si="128"/>
        <v/>
      </c>
      <c r="T945" s="5" t="str">
        <f t="shared" si="132"/>
        <v/>
      </c>
      <c r="U945" s="5" t="str">
        <f t="shared" si="132"/>
        <v/>
      </c>
    </row>
    <row r="946" spans="7:21" x14ac:dyDescent="0.2">
      <c r="G946" s="8"/>
      <c r="H946" s="5"/>
      <c r="J946" s="10" t="str">
        <f t="shared" si="126"/>
        <v/>
      </c>
      <c r="K946" s="10" t="str">
        <f t="shared" si="127"/>
        <v/>
      </c>
      <c r="L946" s="11" t="str">
        <f t="shared" si="129"/>
        <v/>
      </c>
      <c r="M946" s="9" t="str">
        <f>IF(G946&lt;&gt;"",J946/MAX(J$3:J946)-1,"")</f>
        <v/>
      </c>
      <c r="N946" s="9" t="str">
        <f>IF(G946&lt;&gt;"",K946/MAX(K$3:K946)-1,"")</f>
        <v/>
      </c>
      <c r="O946" s="16" t="str">
        <f t="shared" si="125"/>
        <v/>
      </c>
      <c r="P946" s="16" t="str">
        <f t="shared" si="125"/>
        <v/>
      </c>
      <c r="Q946" s="16" t="str">
        <f t="shared" si="125"/>
        <v/>
      </c>
      <c r="R946" s="5" t="str">
        <f t="shared" si="124"/>
        <v/>
      </c>
      <c r="S946" s="5" t="str">
        <f t="shared" si="128"/>
        <v/>
      </c>
      <c r="T946" s="5" t="str">
        <f t="shared" si="132"/>
        <v/>
      </c>
      <c r="U946" s="5" t="str">
        <f t="shared" si="132"/>
        <v/>
      </c>
    </row>
    <row r="947" spans="7:21" x14ac:dyDescent="0.2">
      <c r="G947" s="8"/>
      <c r="H947" s="5"/>
      <c r="J947" s="10" t="str">
        <f t="shared" si="126"/>
        <v/>
      </c>
      <c r="K947" s="10" t="str">
        <f t="shared" si="127"/>
        <v/>
      </c>
      <c r="L947" s="11" t="str">
        <f t="shared" si="129"/>
        <v/>
      </c>
      <c r="M947" s="9" t="str">
        <f>IF(G947&lt;&gt;"",J947/MAX(J$3:J947)-1,"")</f>
        <v/>
      </c>
      <c r="N947" s="9" t="str">
        <f>IF(G947&lt;&gt;"",K947/MAX(K$3:K947)-1,"")</f>
        <v/>
      </c>
      <c r="O947" s="16" t="str">
        <f t="shared" si="125"/>
        <v/>
      </c>
      <c r="P947" s="16" t="str">
        <f t="shared" si="125"/>
        <v/>
      </c>
      <c r="Q947" s="16" t="str">
        <f t="shared" si="125"/>
        <v/>
      </c>
      <c r="R947" s="5" t="str">
        <f t="shared" si="124"/>
        <v/>
      </c>
      <c r="S947" s="5" t="str">
        <f t="shared" si="128"/>
        <v/>
      </c>
      <c r="T947" s="5" t="str">
        <f t="shared" si="132"/>
        <v/>
      </c>
      <c r="U947" s="5" t="str">
        <f t="shared" si="132"/>
        <v/>
      </c>
    </row>
    <row r="948" spans="7:21" x14ac:dyDescent="0.2">
      <c r="G948" s="8"/>
      <c r="H948" s="5"/>
      <c r="J948" s="10" t="str">
        <f t="shared" si="126"/>
        <v/>
      </c>
      <c r="K948" s="10" t="str">
        <f t="shared" si="127"/>
        <v/>
      </c>
      <c r="L948" s="11" t="str">
        <f t="shared" si="129"/>
        <v/>
      </c>
      <c r="M948" s="9" t="str">
        <f>IF(G948&lt;&gt;"",J948/MAX(J$3:J948)-1,"")</f>
        <v/>
      </c>
      <c r="N948" s="9" t="str">
        <f>IF(G948&lt;&gt;"",K948/MAX(K$3:K948)-1,"")</f>
        <v/>
      </c>
      <c r="O948" s="16" t="str">
        <f t="shared" si="125"/>
        <v/>
      </c>
      <c r="P948" s="16" t="str">
        <f t="shared" si="125"/>
        <v/>
      </c>
      <c r="Q948" s="16" t="str">
        <f t="shared" si="125"/>
        <v/>
      </c>
      <c r="R948" s="5" t="str">
        <f t="shared" si="124"/>
        <v/>
      </c>
      <c r="S948" s="5" t="str">
        <f t="shared" si="128"/>
        <v/>
      </c>
      <c r="T948" s="5" t="str">
        <f t="shared" si="132"/>
        <v/>
      </c>
      <c r="U948" s="5" t="str">
        <f t="shared" si="132"/>
        <v/>
      </c>
    </row>
    <row r="949" spans="7:21" x14ac:dyDescent="0.2">
      <c r="G949" s="8"/>
      <c r="H949" s="5"/>
      <c r="J949" s="10" t="str">
        <f t="shared" si="126"/>
        <v/>
      </c>
      <c r="K949" s="10" t="str">
        <f t="shared" si="127"/>
        <v/>
      </c>
      <c r="L949" s="11" t="str">
        <f t="shared" si="129"/>
        <v/>
      </c>
      <c r="M949" s="9" t="str">
        <f>IF(G949&lt;&gt;"",J949/MAX(J$3:J949)-1,"")</f>
        <v/>
      </c>
      <c r="N949" s="9" t="str">
        <f>IF(G949&lt;&gt;"",K949/MAX(K$3:K949)-1,"")</f>
        <v/>
      </c>
      <c r="O949" s="16" t="str">
        <f t="shared" si="125"/>
        <v/>
      </c>
      <c r="P949" s="16" t="str">
        <f t="shared" si="125"/>
        <v/>
      </c>
      <c r="Q949" s="16" t="str">
        <f t="shared" si="125"/>
        <v/>
      </c>
      <c r="R949" s="5" t="str">
        <f t="shared" si="124"/>
        <v/>
      </c>
      <c r="S949" s="5" t="str">
        <f t="shared" si="128"/>
        <v/>
      </c>
      <c r="T949" s="5" t="str">
        <f t="shared" si="132"/>
        <v/>
      </c>
      <c r="U949" s="5" t="str">
        <f t="shared" si="132"/>
        <v/>
      </c>
    </row>
    <row r="950" spans="7:21" x14ac:dyDescent="0.2">
      <c r="G950" s="8"/>
      <c r="H950" s="5"/>
      <c r="J950" s="10" t="str">
        <f t="shared" si="126"/>
        <v/>
      </c>
      <c r="K950" s="10" t="str">
        <f t="shared" si="127"/>
        <v/>
      </c>
      <c r="L950" s="11" t="str">
        <f t="shared" si="129"/>
        <v/>
      </c>
      <c r="M950" s="9" t="str">
        <f>IF(G950&lt;&gt;"",J950/MAX(J$3:J950)-1,"")</f>
        <v/>
      </c>
      <c r="N950" s="9" t="str">
        <f>IF(G950&lt;&gt;"",K950/MAX(K$3:K950)-1,"")</f>
        <v/>
      </c>
      <c r="O950" s="16" t="str">
        <f t="shared" si="125"/>
        <v/>
      </c>
      <c r="P950" s="16" t="str">
        <f t="shared" si="125"/>
        <v/>
      </c>
      <c r="Q950" s="16" t="str">
        <f t="shared" si="125"/>
        <v/>
      </c>
      <c r="R950" s="5" t="str">
        <f t="shared" si="124"/>
        <v/>
      </c>
      <c r="S950" s="5" t="str">
        <f t="shared" si="128"/>
        <v/>
      </c>
      <c r="T950" s="5" t="str">
        <f t="shared" si="132"/>
        <v/>
      </c>
      <c r="U950" s="5" t="str">
        <f t="shared" si="132"/>
        <v/>
      </c>
    </row>
    <row r="951" spans="7:21" x14ac:dyDescent="0.2">
      <c r="G951" s="8"/>
      <c r="H951" s="5"/>
      <c r="J951" s="10" t="str">
        <f t="shared" si="126"/>
        <v/>
      </c>
      <c r="K951" s="10" t="str">
        <f t="shared" si="127"/>
        <v/>
      </c>
      <c r="L951" s="11" t="str">
        <f t="shared" si="129"/>
        <v/>
      </c>
      <c r="M951" s="9" t="str">
        <f>IF(G951&lt;&gt;"",J951/MAX(J$3:J951)-1,"")</f>
        <v/>
      </c>
      <c r="N951" s="9" t="str">
        <f>IF(G951&lt;&gt;"",K951/MAX(K$3:K951)-1,"")</f>
        <v/>
      </c>
      <c r="O951" s="16" t="str">
        <f t="shared" si="125"/>
        <v/>
      </c>
      <c r="P951" s="16" t="str">
        <f t="shared" si="125"/>
        <v/>
      </c>
      <c r="Q951" s="16" t="str">
        <f t="shared" si="125"/>
        <v/>
      </c>
      <c r="R951" s="5" t="str">
        <f t="shared" si="124"/>
        <v/>
      </c>
      <c r="S951" s="5" t="str">
        <f t="shared" si="128"/>
        <v/>
      </c>
      <c r="T951" s="5" t="str">
        <f t="shared" si="132"/>
        <v/>
      </c>
      <c r="U951" s="5" t="str">
        <f t="shared" si="132"/>
        <v/>
      </c>
    </row>
    <row r="952" spans="7:21" x14ac:dyDescent="0.2">
      <c r="G952" s="8"/>
      <c r="H952" s="5"/>
      <c r="J952" s="10" t="str">
        <f t="shared" si="126"/>
        <v/>
      </c>
      <c r="K952" s="10" t="str">
        <f t="shared" si="127"/>
        <v/>
      </c>
      <c r="L952" s="11" t="str">
        <f t="shared" si="129"/>
        <v/>
      </c>
      <c r="M952" s="9" t="str">
        <f>IF(G952&lt;&gt;"",J952/MAX(J$3:J952)-1,"")</f>
        <v/>
      </c>
      <c r="N952" s="9" t="str">
        <f>IF(G952&lt;&gt;"",K952/MAX(K$3:K952)-1,"")</f>
        <v/>
      </c>
      <c r="O952" s="16" t="str">
        <f t="shared" si="125"/>
        <v/>
      </c>
      <c r="P952" s="16" t="str">
        <f t="shared" si="125"/>
        <v/>
      </c>
      <c r="Q952" s="16" t="str">
        <f t="shared" si="125"/>
        <v/>
      </c>
      <c r="R952" s="5" t="str">
        <f t="shared" si="124"/>
        <v/>
      </c>
      <c r="S952" s="5" t="str">
        <f t="shared" si="128"/>
        <v/>
      </c>
      <c r="T952" s="5" t="str">
        <f t="shared" ref="T952:U967" si="133">IF($G952&lt;&gt;"",_xlfn.STDEV.S(O708:O952),"")</f>
        <v/>
      </c>
      <c r="U952" s="5" t="str">
        <f t="shared" si="133"/>
        <v/>
      </c>
    </row>
    <row r="953" spans="7:21" x14ac:dyDescent="0.2">
      <c r="G953" s="8"/>
      <c r="H953" s="5"/>
      <c r="J953" s="10" t="str">
        <f t="shared" si="126"/>
        <v/>
      </c>
      <c r="K953" s="10" t="str">
        <f t="shared" si="127"/>
        <v/>
      </c>
      <c r="L953" s="11" t="str">
        <f t="shared" si="129"/>
        <v/>
      </c>
      <c r="M953" s="9" t="str">
        <f>IF(G953&lt;&gt;"",J953/MAX(J$3:J953)-1,"")</f>
        <v/>
      </c>
      <c r="N953" s="9" t="str">
        <f>IF(G953&lt;&gt;"",K953/MAX(K$3:K953)-1,"")</f>
        <v/>
      </c>
      <c r="O953" s="16" t="str">
        <f t="shared" si="125"/>
        <v/>
      </c>
      <c r="P953" s="16" t="str">
        <f t="shared" si="125"/>
        <v/>
      </c>
      <c r="Q953" s="16" t="str">
        <f t="shared" si="125"/>
        <v/>
      </c>
      <c r="R953" s="5" t="str">
        <f t="shared" si="124"/>
        <v/>
      </c>
      <c r="S953" s="5" t="str">
        <f t="shared" si="128"/>
        <v/>
      </c>
      <c r="T953" s="5" t="str">
        <f t="shared" si="133"/>
        <v/>
      </c>
      <c r="U953" s="5" t="str">
        <f t="shared" si="133"/>
        <v/>
      </c>
    </row>
    <row r="954" spans="7:21" x14ac:dyDescent="0.2">
      <c r="G954" s="8"/>
      <c r="H954" s="5"/>
      <c r="J954" s="10" t="str">
        <f t="shared" si="126"/>
        <v/>
      </c>
      <c r="K954" s="10" t="str">
        <f t="shared" si="127"/>
        <v/>
      </c>
      <c r="L954" s="11" t="str">
        <f t="shared" si="129"/>
        <v/>
      </c>
      <c r="M954" s="9" t="str">
        <f>IF(G954&lt;&gt;"",J954/MAX(J$3:J954)-1,"")</f>
        <v/>
      </c>
      <c r="N954" s="9" t="str">
        <f>IF(G954&lt;&gt;"",K954/MAX(K$3:K954)-1,"")</f>
        <v/>
      </c>
      <c r="O954" s="16" t="str">
        <f t="shared" si="125"/>
        <v/>
      </c>
      <c r="P954" s="16" t="str">
        <f t="shared" si="125"/>
        <v/>
      </c>
      <c r="Q954" s="16" t="str">
        <f t="shared" si="125"/>
        <v/>
      </c>
      <c r="R954" s="5" t="str">
        <f t="shared" si="124"/>
        <v/>
      </c>
      <c r="S954" s="5" t="str">
        <f t="shared" si="128"/>
        <v/>
      </c>
      <c r="T954" s="5" t="str">
        <f t="shared" si="133"/>
        <v/>
      </c>
      <c r="U954" s="5" t="str">
        <f t="shared" si="133"/>
        <v/>
      </c>
    </row>
    <row r="955" spans="7:21" x14ac:dyDescent="0.2">
      <c r="G955" s="8"/>
      <c r="H955" s="5"/>
      <c r="J955" s="10" t="str">
        <f t="shared" si="126"/>
        <v/>
      </c>
      <c r="K955" s="10" t="str">
        <f t="shared" si="127"/>
        <v/>
      </c>
      <c r="L955" s="11" t="str">
        <f t="shared" si="129"/>
        <v/>
      </c>
      <c r="M955" s="9" t="str">
        <f>IF(G955&lt;&gt;"",J955/MAX(J$3:J955)-1,"")</f>
        <v/>
      </c>
      <c r="N955" s="9" t="str">
        <f>IF(G955&lt;&gt;"",K955/MAX(K$3:K955)-1,"")</f>
        <v/>
      </c>
      <c r="O955" s="16" t="str">
        <f t="shared" si="125"/>
        <v/>
      </c>
      <c r="P955" s="16" t="str">
        <f t="shared" si="125"/>
        <v/>
      </c>
      <c r="Q955" s="16" t="str">
        <f t="shared" si="125"/>
        <v/>
      </c>
      <c r="R955" s="5" t="str">
        <f t="shared" si="124"/>
        <v/>
      </c>
      <c r="S955" s="5" t="str">
        <f t="shared" si="128"/>
        <v/>
      </c>
      <c r="T955" s="5" t="str">
        <f t="shared" si="133"/>
        <v/>
      </c>
      <c r="U955" s="5" t="str">
        <f t="shared" si="133"/>
        <v/>
      </c>
    </row>
    <row r="956" spans="7:21" x14ac:dyDescent="0.2">
      <c r="G956" s="8"/>
      <c r="H956" s="5"/>
      <c r="J956" s="10" t="str">
        <f t="shared" si="126"/>
        <v/>
      </c>
      <c r="K956" s="10" t="str">
        <f t="shared" si="127"/>
        <v/>
      </c>
      <c r="L956" s="11" t="str">
        <f t="shared" si="129"/>
        <v/>
      </c>
      <c r="M956" s="9" t="str">
        <f>IF(G956&lt;&gt;"",J956/MAX(J$3:J956)-1,"")</f>
        <v/>
      </c>
      <c r="N956" s="9" t="str">
        <f>IF(G956&lt;&gt;"",K956/MAX(K$3:K956)-1,"")</f>
        <v/>
      </c>
      <c r="O956" s="16" t="str">
        <f t="shared" si="125"/>
        <v/>
      </c>
      <c r="P956" s="16" t="str">
        <f t="shared" si="125"/>
        <v/>
      </c>
      <c r="Q956" s="16" t="str">
        <f t="shared" si="125"/>
        <v/>
      </c>
      <c r="R956" s="5" t="str">
        <f t="shared" si="124"/>
        <v/>
      </c>
      <c r="S956" s="5" t="str">
        <f t="shared" si="128"/>
        <v/>
      </c>
      <c r="T956" s="5" t="str">
        <f t="shared" si="133"/>
        <v/>
      </c>
      <c r="U956" s="5" t="str">
        <f t="shared" si="133"/>
        <v/>
      </c>
    </row>
    <row r="957" spans="7:21" x14ac:dyDescent="0.2">
      <c r="G957" s="8"/>
      <c r="H957" s="5"/>
      <c r="J957" s="10" t="str">
        <f t="shared" si="126"/>
        <v/>
      </c>
      <c r="K957" s="10" t="str">
        <f t="shared" si="127"/>
        <v/>
      </c>
      <c r="L957" s="11" t="str">
        <f t="shared" si="129"/>
        <v/>
      </c>
      <c r="M957" s="9" t="str">
        <f>IF(G957&lt;&gt;"",J957/MAX(J$3:J957)-1,"")</f>
        <v/>
      </c>
      <c r="N957" s="9" t="str">
        <f>IF(G957&lt;&gt;"",K957/MAX(K$3:K957)-1,"")</f>
        <v/>
      </c>
      <c r="O957" s="16" t="str">
        <f t="shared" si="125"/>
        <v/>
      </c>
      <c r="P957" s="16" t="str">
        <f t="shared" si="125"/>
        <v/>
      </c>
      <c r="Q957" s="16" t="str">
        <f t="shared" si="125"/>
        <v/>
      </c>
      <c r="R957" s="5" t="str">
        <f t="shared" ref="R957:R1020" si="134">IF(G957&lt;&gt;"",_xlfn.STDEV.S(Q836:Q957)*SQRT($B$5),"")</f>
        <v/>
      </c>
      <c r="S957" s="5" t="str">
        <f t="shared" si="128"/>
        <v/>
      </c>
      <c r="T957" s="5" t="str">
        <f t="shared" si="133"/>
        <v/>
      </c>
      <c r="U957" s="5" t="str">
        <f t="shared" si="133"/>
        <v/>
      </c>
    </row>
    <row r="958" spans="7:21" x14ac:dyDescent="0.2">
      <c r="G958" s="8"/>
      <c r="H958" s="5"/>
      <c r="J958" s="10" t="str">
        <f t="shared" si="126"/>
        <v/>
      </c>
      <c r="K958" s="10" t="str">
        <f t="shared" si="127"/>
        <v/>
      </c>
      <c r="L958" s="11" t="str">
        <f t="shared" si="129"/>
        <v/>
      </c>
      <c r="M958" s="9" t="str">
        <f>IF(G958&lt;&gt;"",J958/MAX(J$3:J958)-1,"")</f>
        <v/>
      </c>
      <c r="N958" s="9" t="str">
        <f>IF(G958&lt;&gt;"",K958/MAX(K$3:K958)-1,"")</f>
        <v/>
      </c>
      <c r="O958" s="16" t="str">
        <f t="shared" si="125"/>
        <v/>
      </c>
      <c r="P958" s="16" t="str">
        <f t="shared" si="125"/>
        <v/>
      </c>
      <c r="Q958" s="16" t="str">
        <f t="shared" si="125"/>
        <v/>
      </c>
      <c r="R958" s="5" t="str">
        <f t="shared" si="134"/>
        <v/>
      </c>
      <c r="S958" s="5" t="str">
        <f t="shared" si="128"/>
        <v/>
      </c>
      <c r="T958" s="5" t="str">
        <f t="shared" si="133"/>
        <v/>
      </c>
      <c r="U958" s="5" t="str">
        <f t="shared" si="133"/>
        <v/>
      </c>
    </row>
    <row r="959" spans="7:21" x14ac:dyDescent="0.2">
      <c r="G959" s="8"/>
      <c r="H959" s="5"/>
      <c r="J959" s="10" t="str">
        <f t="shared" si="126"/>
        <v/>
      </c>
      <c r="K959" s="10" t="str">
        <f t="shared" si="127"/>
        <v/>
      </c>
      <c r="L959" s="11" t="str">
        <f t="shared" si="129"/>
        <v/>
      </c>
      <c r="M959" s="9" t="str">
        <f>IF(G959&lt;&gt;"",J959/MAX(J$3:J959)-1,"")</f>
        <v/>
      </c>
      <c r="N959" s="9" t="str">
        <f>IF(G959&lt;&gt;"",K959/MAX(K$3:K959)-1,"")</f>
        <v/>
      </c>
      <c r="O959" s="16" t="str">
        <f t="shared" si="125"/>
        <v/>
      </c>
      <c r="P959" s="16" t="str">
        <f t="shared" si="125"/>
        <v/>
      </c>
      <c r="Q959" s="16" t="str">
        <f t="shared" si="125"/>
        <v/>
      </c>
      <c r="R959" s="5" t="str">
        <f t="shared" si="134"/>
        <v/>
      </c>
      <c r="S959" s="5" t="str">
        <f t="shared" si="128"/>
        <v/>
      </c>
      <c r="T959" s="5" t="str">
        <f t="shared" si="133"/>
        <v/>
      </c>
      <c r="U959" s="5" t="str">
        <f t="shared" si="133"/>
        <v/>
      </c>
    </row>
    <row r="960" spans="7:21" x14ac:dyDescent="0.2">
      <c r="G960" s="8"/>
      <c r="H960" s="5"/>
      <c r="J960" s="10" t="str">
        <f t="shared" si="126"/>
        <v/>
      </c>
      <c r="K960" s="10" t="str">
        <f t="shared" si="127"/>
        <v/>
      </c>
      <c r="L960" s="11" t="str">
        <f t="shared" si="129"/>
        <v/>
      </c>
      <c r="M960" s="9" t="str">
        <f>IF(G960&lt;&gt;"",J960/MAX(J$3:J960)-1,"")</f>
        <v/>
      </c>
      <c r="N960" s="9" t="str">
        <f>IF(G960&lt;&gt;"",K960/MAX(K$3:K960)-1,"")</f>
        <v/>
      </c>
      <c r="O960" s="16" t="str">
        <f t="shared" si="125"/>
        <v/>
      </c>
      <c r="P960" s="16" t="str">
        <f t="shared" si="125"/>
        <v/>
      </c>
      <c r="Q960" s="16" t="str">
        <f t="shared" si="125"/>
        <v/>
      </c>
      <c r="R960" s="5" t="str">
        <f t="shared" si="134"/>
        <v/>
      </c>
      <c r="S960" s="5" t="str">
        <f t="shared" si="128"/>
        <v/>
      </c>
      <c r="T960" s="5" t="str">
        <f t="shared" si="133"/>
        <v/>
      </c>
      <c r="U960" s="5" t="str">
        <f t="shared" si="133"/>
        <v/>
      </c>
    </row>
    <row r="961" spans="7:21" x14ac:dyDescent="0.2">
      <c r="G961" s="8"/>
      <c r="H961" s="5"/>
      <c r="J961" s="10" t="str">
        <f t="shared" si="126"/>
        <v/>
      </c>
      <c r="K961" s="10" t="str">
        <f t="shared" si="127"/>
        <v/>
      </c>
      <c r="L961" s="11" t="str">
        <f t="shared" si="129"/>
        <v/>
      </c>
      <c r="M961" s="9" t="str">
        <f>IF(G961&lt;&gt;"",J961/MAX(J$3:J961)-1,"")</f>
        <v/>
      </c>
      <c r="N961" s="9" t="str">
        <f>IF(G961&lt;&gt;"",K961/MAX(K$3:K961)-1,"")</f>
        <v/>
      </c>
      <c r="O961" s="16" t="str">
        <f t="shared" si="125"/>
        <v/>
      </c>
      <c r="P961" s="16" t="str">
        <f t="shared" si="125"/>
        <v/>
      </c>
      <c r="Q961" s="16" t="str">
        <f t="shared" si="125"/>
        <v/>
      </c>
      <c r="R961" s="5" t="str">
        <f t="shared" si="134"/>
        <v/>
      </c>
      <c r="S961" s="5" t="str">
        <f t="shared" si="128"/>
        <v/>
      </c>
      <c r="T961" s="5" t="str">
        <f t="shared" si="133"/>
        <v/>
      </c>
      <c r="U961" s="5" t="str">
        <f t="shared" si="133"/>
        <v/>
      </c>
    </row>
    <row r="962" spans="7:21" x14ac:dyDescent="0.2">
      <c r="G962" s="8"/>
      <c r="H962" s="5"/>
      <c r="J962" s="10" t="str">
        <f t="shared" si="126"/>
        <v/>
      </c>
      <c r="K962" s="10" t="str">
        <f t="shared" si="127"/>
        <v/>
      </c>
      <c r="L962" s="11" t="str">
        <f t="shared" si="129"/>
        <v/>
      </c>
      <c r="M962" s="9" t="str">
        <f>IF(G962&lt;&gt;"",J962/MAX(J$3:J962)-1,"")</f>
        <v/>
      </c>
      <c r="N962" s="9" t="str">
        <f>IF(G962&lt;&gt;"",K962/MAX(K$3:K962)-1,"")</f>
        <v/>
      </c>
      <c r="O962" s="16" t="str">
        <f t="shared" ref="O962:Q1025" si="135">IF($G962&lt;&gt;"",J962/J961-1,"")</f>
        <v/>
      </c>
      <c r="P962" s="16" t="str">
        <f t="shared" si="135"/>
        <v/>
      </c>
      <c r="Q962" s="16" t="str">
        <f t="shared" si="135"/>
        <v/>
      </c>
      <c r="R962" s="5" t="str">
        <f t="shared" si="134"/>
        <v/>
      </c>
      <c r="S962" s="5" t="str">
        <f t="shared" si="128"/>
        <v/>
      </c>
      <c r="T962" s="5" t="str">
        <f t="shared" si="133"/>
        <v/>
      </c>
      <c r="U962" s="5" t="str">
        <f t="shared" si="133"/>
        <v/>
      </c>
    </row>
    <row r="963" spans="7:21" x14ac:dyDescent="0.2">
      <c r="G963" s="8"/>
      <c r="H963" s="5"/>
      <c r="J963" s="10" t="str">
        <f t="shared" si="126"/>
        <v/>
      </c>
      <c r="K963" s="10" t="str">
        <f t="shared" si="127"/>
        <v/>
      </c>
      <c r="L963" s="11" t="str">
        <f t="shared" si="129"/>
        <v/>
      </c>
      <c r="M963" s="9" t="str">
        <f>IF(G963&lt;&gt;"",J963/MAX(J$3:J963)-1,"")</f>
        <v/>
      </c>
      <c r="N963" s="9" t="str">
        <f>IF(G963&lt;&gt;"",K963/MAX(K$3:K963)-1,"")</f>
        <v/>
      </c>
      <c r="O963" s="16" t="str">
        <f t="shared" si="135"/>
        <v/>
      </c>
      <c r="P963" s="16" t="str">
        <f t="shared" si="135"/>
        <v/>
      </c>
      <c r="Q963" s="16" t="str">
        <f t="shared" si="135"/>
        <v/>
      </c>
      <c r="R963" s="5" t="str">
        <f t="shared" si="134"/>
        <v/>
      </c>
      <c r="S963" s="5" t="str">
        <f t="shared" si="128"/>
        <v/>
      </c>
      <c r="T963" s="5" t="str">
        <f t="shared" si="133"/>
        <v/>
      </c>
      <c r="U963" s="5" t="str">
        <f t="shared" si="133"/>
        <v/>
      </c>
    </row>
    <row r="964" spans="7:21" x14ac:dyDescent="0.2">
      <c r="G964" s="8"/>
      <c r="H964" s="5"/>
      <c r="J964" s="10" t="str">
        <f t="shared" ref="J964:J1027" si="136">IF(G964&lt;&gt;"",1+H964,"")</f>
        <v/>
      </c>
      <c r="K964" s="10" t="str">
        <f t="shared" ref="K964:K1027" si="137">IF(G964&lt;&gt;"",1+I964,"")</f>
        <v/>
      </c>
      <c r="L964" s="11" t="str">
        <f t="shared" si="129"/>
        <v/>
      </c>
      <c r="M964" s="9" t="str">
        <f>IF(G964&lt;&gt;"",J964/MAX(J$3:J964)-1,"")</f>
        <v/>
      </c>
      <c r="N964" s="9" t="str">
        <f>IF(G964&lt;&gt;"",K964/MAX(K$3:K964)-1,"")</f>
        <v/>
      </c>
      <c r="O964" s="16" t="str">
        <f t="shared" si="135"/>
        <v/>
      </c>
      <c r="P964" s="16" t="str">
        <f t="shared" si="135"/>
        <v/>
      </c>
      <c r="Q964" s="16" t="str">
        <f t="shared" si="135"/>
        <v/>
      </c>
      <c r="R964" s="5" t="str">
        <f t="shared" si="134"/>
        <v/>
      </c>
      <c r="S964" s="5" t="str">
        <f t="shared" ref="S964:S1027" si="138">IF(R964&lt;&gt;"",B$12,"")</f>
        <v/>
      </c>
      <c r="T964" s="5" t="str">
        <f t="shared" si="133"/>
        <v/>
      </c>
      <c r="U964" s="5" t="str">
        <f t="shared" si="133"/>
        <v/>
      </c>
    </row>
    <row r="965" spans="7:21" x14ac:dyDescent="0.2">
      <c r="G965" s="8"/>
      <c r="H965" s="5"/>
      <c r="J965" s="10" t="str">
        <f t="shared" si="136"/>
        <v/>
      </c>
      <c r="K965" s="10" t="str">
        <f t="shared" si="137"/>
        <v/>
      </c>
      <c r="L965" s="11" t="str">
        <f t="shared" ref="L965:L1028" si="139">IF(G965&lt;&gt;"",J965/K965,"")</f>
        <v/>
      </c>
      <c r="M965" s="9" t="str">
        <f>IF(G965&lt;&gt;"",J965/MAX(J$3:J965)-1,"")</f>
        <v/>
      </c>
      <c r="N965" s="9" t="str">
        <f>IF(G965&lt;&gt;"",K965/MAX(K$3:K965)-1,"")</f>
        <v/>
      </c>
      <c r="O965" s="16" t="str">
        <f t="shared" si="135"/>
        <v/>
      </c>
      <c r="P965" s="16" t="str">
        <f t="shared" si="135"/>
        <v/>
      </c>
      <c r="Q965" s="16" t="str">
        <f t="shared" si="135"/>
        <v/>
      </c>
      <c r="R965" s="5" t="str">
        <f t="shared" si="134"/>
        <v/>
      </c>
      <c r="S965" s="5" t="str">
        <f t="shared" si="138"/>
        <v/>
      </c>
      <c r="T965" s="5" t="str">
        <f t="shared" si="133"/>
        <v/>
      </c>
      <c r="U965" s="5" t="str">
        <f t="shared" si="133"/>
        <v/>
      </c>
    </row>
    <row r="966" spans="7:21" x14ac:dyDescent="0.2">
      <c r="G966" s="8"/>
      <c r="H966" s="5"/>
      <c r="J966" s="10" t="str">
        <f t="shared" si="136"/>
        <v/>
      </c>
      <c r="K966" s="10" t="str">
        <f t="shared" si="137"/>
        <v/>
      </c>
      <c r="L966" s="11" t="str">
        <f t="shared" si="139"/>
        <v/>
      </c>
      <c r="M966" s="9" t="str">
        <f>IF(G966&lt;&gt;"",J966/MAX(J$3:J966)-1,"")</f>
        <v/>
      </c>
      <c r="N966" s="9" t="str">
        <f>IF(G966&lt;&gt;"",K966/MAX(K$3:K966)-1,"")</f>
        <v/>
      </c>
      <c r="O966" s="16" t="str">
        <f t="shared" si="135"/>
        <v/>
      </c>
      <c r="P966" s="16" t="str">
        <f t="shared" si="135"/>
        <v/>
      </c>
      <c r="Q966" s="16" t="str">
        <f t="shared" si="135"/>
        <v/>
      </c>
      <c r="R966" s="5" t="str">
        <f t="shared" si="134"/>
        <v/>
      </c>
      <c r="S966" s="5" t="str">
        <f t="shared" si="138"/>
        <v/>
      </c>
      <c r="T966" s="5" t="str">
        <f t="shared" si="133"/>
        <v/>
      </c>
      <c r="U966" s="5" t="str">
        <f t="shared" si="133"/>
        <v/>
      </c>
    </row>
    <row r="967" spans="7:21" x14ac:dyDescent="0.2">
      <c r="G967" s="8"/>
      <c r="H967" s="5"/>
      <c r="J967" s="10" t="str">
        <f t="shared" si="136"/>
        <v/>
      </c>
      <c r="K967" s="10" t="str">
        <f t="shared" si="137"/>
        <v/>
      </c>
      <c r="L967" s="11" t="str">
        <f t="shared" si="139"/>
        <v/>
      </c>
      <c r="M967" s="9" t="str">
        <f>IF(G967&lt;&gt;"",J967/MAX(J$3:J967)-1,"")</f>
        <v/>
      </c>
      <c r="N967" s="9" t="str">
        <f>IF(G967&lt;&gt;"",K967/MAX(K$3:K967)-1,"")</f>
        <v/>
      </c>
      <c r="O967" s="16" t="str">
        <f t="shared" si="135"/>
        <v/>
      </c>
      <c r="P967" s="16" t="str">
        <f t="shared" si="135"/>
        <v/>
      </c>
      <c r="Q967" s="16" t="str">
        <f t="shared" si="135"/>
        <v/>
      </c>
      <c r="R967" s="5" t="str">
        <f t="shared" si="134"/>
        <v/>
      </c>
      <c r="S967" s="5" t="str">
        <f t="shared" si="138"/>
        <v/>
      </c>
      <c r="T967" s="5" t="str">
        <f t="shared" si="133"/>
        <v/>
      </c>
      <c r="U967" s="5" t="str">
        <f t="shared" si="133"/>
        <v/>
      </c>
    </row>
    <row r="968" spans="7:21" x14ac:dyDescent="0.2">
      <c r="G968" s="8"/>
      <c r="H968" s="5"/>
      <c r="J968" s="10" t="str">
        <f t="shared" si="136"/>
        <v/>
      </c>
      <c r="K968" s="10" t="str">
        <f t="shared" si="137"/>
        <v/>
      </c>
      <c r="L968" s="11" t="str">
        <f t="shared" si="139"/>
        <v/>
      </c>
      <c r="M968" s="9" t="str">
        <f>IF(G968&lt;&gt;"",J968/MAX(J$3:J968)-1,"")</f>
        <v/>
      </c>
      <c r="N968" s="9" t="str">
        <f>IF(G968&lt;&gt;"",K968/MAX(K$3:K968)-1,"")</f>
        <v/>
      </c>
      <c r="O968" s="16" t="str">
        <f t="shared" si="135"/>
        <v/>
      </c>
      <c r="P968" s="16" t="str">
        <f t="shared" si="135"/>
        <v/>
      </c>
      <c r="Q968" s="16" t="str">
        <f t="shared" si="135"/>
        <v/>
      </c>
      <c r="R968" s="5" t="str">
        <f t="shared" si="134"/>
        <v/>
      </c>
      <c r="S968" s="5" t="str">
        <f t="shared" si="138"/>
        <v/>
      </c>
      <c r="T968" s="5" t="str">
        <f t="shared" ref="T968:U983" si="140">IF($G968&lt;&gt;"",_xlfn.STDEV.S(O724:O968),"")</f>
        <v/>
      </c>
      <c r="U968" s="5" t="str">
        <f t="shared" si="140"/>
        <v/>
      </c>
    </row>
    <row r="969" spans="7:21" x14ac:dyDescent="0.2">
      <c r="G969" s="8"/>
      <c r="H969" s="5"/>
      <c r="J969" s="10" t="str">
        <f t="shared" si="136"/>
        <v/>
      </c>
      <c r="K969" s="10" t="str">
        <f t="shared" si="137"/>
        <v/>
      </c>
      <c r="L969" s="11" t="str">
        <f t="shared" si="139"/>
        <v/>
      </c>
      <c r="M969" s="9" t="str">
        <f>IF(G969&lt;&gt;"",J969/MAX(J$3:J969)-1,"")</f>
        <v/>
      </c>
      <c r="N969" s="9" t="str">
        <f>IF(G969&lt;&gt;"",K969/MAX(K$3:K969)-1,"")</f>
        <v/>
      </c>
      <c r="O969" s="16" t="str">
        <f t="shared" si="135"/>
        <v/>
      </c>
      <c r="P969" s="16" t="str">
        <f t="shared" si="135"/>
        <v/>
      </c>
      <c r="Q969" s="16" t="str">
        <f t="shared" si="135"/>
        <v/>
      </c>
      <c r="R969" s="5" t="str">
        <f t="shared" si="134"/>
        <v/>
      </c>
      <c r="S969" s="5" t="str">
        <f t="shared" si="138"/>
        <v/>
      </c>
      <c r="T969" s="5" t="str">
        <f t="shared" si="140"/>
        <v/>
      </c>
      <c r="U969" s="5" t="str">
        <f t="shared" si="140"/>
        <v/>
      </c>
    </row>
    <row r="970" spans="7:21" x14ac:dyDescent="0.2">
      <c r="G970" s="8"/>
      <c r="H970" s="5"/>
      <c r="J970" s="10" t="str">
        <f t="shared" si="136"/>
        <v/>
      </c>
      <c r="K970" s="10" t="str">
        <f t="shared" si="137"/>
        <v/>
      </c>
      <c r="L970" s="11" t="str">
        <f t="shared" si="139"/>
        <v/>
      </c>
      <c r="M970" s="9" t="str">
        <f>IF(G970&lt;&gt;"",J970/MAX(J$3:J970)-1,"")</f>
        <v/>
      </c>
      <c r="N970" s="9" t="str">
        <f>IF(G970&lt;&gt;"",K970/MAX(K$3:K970)-1,"")</f>
        <v/>
      </c>
      <c r="O970" s="16" t="str">
        <f t="shared" si="135"/>
        <v/>
      </c>
      <c r="P970" s="16" t="str">
        <f t="shared" si="135"/>
        <v/>
      </c>
      <c r="Q970" s="16" t="str">
        <f t="shared" si="135"/>
        <v/>
      </c>
      <c r="R970" s="5" t="str">
        <f t="shared" si="134"/>
        <v/>
      </c>
      <c r="S970" s="5" t="str">
        <f t="shared" si="138"/>
        <v/>
      </c>
      <c r="T970" s="5" t="str">
        <f t="shared" si="140"/>
        <v/>
      </c>
      <c r="U970" s="5" t="str">
        <f t="shared" si="140"/>
        <v/>
      </c>
    </row>
    <row r="971" spans="7:21" x14ac:dyDescent="0.2">
      <c r="G971" s="8"/>
      <c r="H971" s="5"/>
      <c r="J971" s="10" t="str">
        <f t="shared" si="136"/>
        <v/>
      </c>
      <c r="K971" s="10" t="str">
        <f t="shared" si="137"/>
        <v/>
      </c>
      <c r="L971" s="11" t="str">
        <f t="shared" si="139"/>
        <v/>
      </c>
      <c r="M971" s="9" t="str">
        <f>IF(G971&lt;&gt;"",J971/MAX(J$3:J971)-1,"")</f>
        <v/>
      </c>
      <c r="N971" s="9" t="str">
        <f>IF(G971&lt;&gt;"",K971/MAX(K$3:K971)-1,"")</f>
        <v/>
      </c>
      <c r="O971" s="16" t="str">
        <f t="shared" si="135"/>
        <v/>
      </c>
      <c r="P971" s="16" t="str">
        <f t="shared" si="135"/>
        <v/>
      </c>
      <c r="Q971" s="16" t="str">
        <f t="shared" si="135"/>
        <v/>
      </c>
      <c r="R971" s="5" t="str">
        <f t="shared" si="134"/>
        <v/>
      </c>
      <c r="S971" s="5" t="str">
        <f t="shared" si="138"/>
        <v/>
      </c>
      <c r="T971" s="5" t="str">
        <f t="shared" si="140"/>
        <v/>
      </c>
      <c r="U971" s="5" t="str">
        <f t="shared" si="140"/>
        <v/>
      </c>
    </row>
    <row r="972" spans="7:21" x14ac:dyDescent="0.2">
      <c r="G972" s="8"/>
      <c r="H972" s="5"/>
      <c r="J972" s="10" t="str">
        <f t="shared" si="136"/>
        <v/>
      </c>
      <c r="K972" s="10" t="str">
        <f t="shared" si="137"/>
        <v/>
      </c>
      <c r="L972" s="11" t="str">
        <f t="shared" si="139"/>
        <v/>
      </c>
      <c r="M972" s="9" t="str">
        <f>IF(G972&lt;&gt;"",J972/MAX(J$3:J972)-1,"")</f>
        <v/>
      </c>
      <c r="N972" s="9" t="str">
        <f>IF(G972&lt;&gt;"",K972/MAX(K$3:K972)-1,"")</f>
        <v/>
      </c>
      <c r="O972" s="16" t="str">
        <f t="shared" si="135"/>
        <v/>
      </c>
      <c r="P972" s="16" t="str">
        <f t="shared" si="135"/>
        <v/>
      </c>
      <c r="Q972" s="16" t="str">
        <f t="shared" si="135"/>
        <v/>
      </c>
      <c r="R972" s="5" t="str">
        <f t="shared" si="134"/>
        <v/>
      </c>
      <c r="S972" s="5" t="str">
        <f t="shared" si="138"/>
        <v/>
      </c>
      <c r="T972" s="5" t="str">
        <f t="shared" si="140"/>
        <v/>
      </c>
      <c r="U972" s="5" t="str">
        <f t="shared" si="140"/>
        <v/>
      </c>
    </row>
    <row r="973" spans="7:21" x14ac:dyDescent="0.2">
      <c r="G973" s="8"/>
      <c r="H973" s="5"/>
      <c r="J973" s="10" t="str">
        <f t="shared" si="136"/>
        <v/>
      </c>
      <c r="K973" s="10" t="str">
        <f t="shared" si="137"/>
        <v/>
      </c>
      <c r="L973" s="11" t="str">
        <f t="shared" si="139"/>
        <v/>
      </c>
      <c r="M973" s="9" t="str">
        <f>IF(G973&lt;&gt;"",J973/MAX(J$3:J973)-1,"")</f>
        <v/>
      </c>
      <c r="N973" s="9" t="str">
        <f>IF(G973&lt;&gt;"",K973/MAX(K$3:K973)-1,"")</f>
        <v/>
      </c>
      <c r="O973" s="16" t="str">
        <f t="shared" si="135"/>
        <v/>
      </c>
      <c r="P973" s="16" t="str">
        <f t="shared" si="135"/>
        <v/>
      </c>
      <c r="Q973" s="16" t="str">
        <f t="shared" si="135"/>
        <v/>
      </c>
      <c r="R973" s="5" t="str">
        <f t="shared" si="134"/>
        <v/>
      </c>
      <c r="S973" s="5" t="str">
        <f t="shared" si="138"/>
        <v/>
      </c>
      <c r="T973" s="5" t="str">
        <f t="shared" si="140"/>
        <v/>
      </c>
      <c r="U973" s="5" t="str">
        <f t="shared" si="140"/>
        <v/>
      </c>
    </row>
    <row r="974" spans="7:21" x14ac:dyDescent="0.2">
      <c r="G974" s="8"/>
      <c r="H974" s="5"/>
      <c r="J974" s="10" t="str">
        <f t="shared" si="136"/>
        <v/>
      </c>
      <c r="K974" s="10" t="str">
        <f t="shared" si="137"/>
        <v/>
      </c>
      <c r="L974" s="11" t="str">
        <f t="shared" si="139"/>
        <v/>
      </c>
      <c r="M974" s="9" t="str">
        <f>IF(G974&lt;&gt;"",J974/MAX(J$3:J974)-1,"")</f>
        <v/>
      </c>
      <c r="N974" s="9" t="str">
        <f>IF(G974&lt;&gt;"",K974/MAX(K$3:K974)-1,"")</f>
        <v/>
      </c>
      <c r="O974" s="16" t="str">
        <f t="shared" si="135"/>
        <v/>
      </c>
      <c r="P974" s="16" t="str">
        <f t="shared" si="135"/>
        <v/>
      </c>
      <c r="Q974" s="16" t="str">
        <f t="shared" si="135"/>
        <v/>
      </c>
      <c r="R974" s="5" t="str">
        <f t="shared" si="134"/>
        <v/>
      </c>
      <c r="S974" s="5" t="str">
        <f t="shared" si="138"/>
        <v/>
      </c>
      <c r="T974" s="5" t="str">
        <f t="shared" si="140"/>
        <v/>
      </c>
      <c r="U974" s="5" t="str">
        <f t="shared" si="140"/>
        <v/>
      </c>
    </row>
    <row r="975" spans="7:21" x14ac:dyDescent="0.2">
      <c r="G975" s="8"/>
      <c r="H975" s="5"/>
      <c r="J975" s="10" t="str">
        <f t="shared" si="136"/>
        <v/>
      </c>
      <c r="K975" s="10" t="str">
        <f t="shared" si="137"/>
        <v/>
      </c>
      <c r="L975" s="11" t="str">
        <f t="shared" si="139"/>
        <v/>
      </c>
      <c r="M975" s="9" t="str">
        <f>IF(G975&lt;&gt;"",J975/MAX(J$3:J975)-1,"")</f>
        <v/>
      </c>
      <c r="N975" s="9" t="str">
        <f>IF(G975&lt;&gt;"",K975/MAX(K$3:K975)-1,"")</f>
        <v/>
      </c>
      <c r="O975" s="16" t="str">
        <f t="shared" si="135"/>
        <v/>
      </c>
      <c r="P975" s="16" t="str">
        <f t="shared" si="135"/>
        <v/>
      </c>
      <c r="Q975" s="16" t="str">
        <f t="shared" si="135"/>
        <v/>
      </c>
      <c r="R975" s="5" t="str">
        <f t="shared" si="134"/>
        <v/>
      </c>
      <c r="S975" s="5" t="str">
        <f t="shared" si="138"/>
        <v/>
      </c>
      <c r="T975" s="5" t="str">
        <f t="shared" si="140"/>
        <v/>
      </c>
      <c r="U975" s="5" t="str">
        <f t="shared" si="140"/>
        <v/>
      </c>
    </row>
    <row r="976" spans="7:21" x14ac:dyDescent="0.2">
      <c r="G976" s="8"/>
      <c r="H976" s="5"/>
      <c r="J976" s="10" t="str">
        <f t="shared" si="136"/>
        <v/>
      </c>
      <c r="K976" s="10" t="str">
        <f t="shared" si="137"/>
        <v/>
      </c>
      <c r="L976" s="11" t="str">
        <f t="shared" si="139"/>
        <v/>
      </c>
      <c r="M976" s="9" t="str">
        <f>IF(G976&lt;&gt;"",J976/MAX(J$3:J976)-1,"")</f>
        <v/>
      </c>
      <c r="N976" s="9" t="str">
        <f>IF(G976&lt;&gt;"",K976/MAX(K$3:K976)-1,"")</f>
        <v/>
      </c>
      <c r="O976" s="16" t="str">
        <f t="shared" si="135"/>
        <v/>
      </c>
      <c r="P976" s="16" t="str">
        <f t="shared" si="135"/>
        <v/>
      </c>
      <c r="Q976" s="16" t="str">
        <f t="shared" si="135"/>
        <v/>
      </c>
      <c r="R976" s="5" t="str">
        <f t="shared" si="134"/>
        <v/>
      </c>
      <c r="S976" s="5" t="str">
        <f t="shared" si="138"/>
        <v/>
      </c>
      <c r="T976" s="5" t="str">
        <f t="shared" si="140"/>
        <v/>
      </c>
      <c r="U976" s="5" t="str">
        <f t="shared" si="140"/>
        <v/>
      </c>
    </row>
    <row r="977" spans="7:21" x14ac:dyDescent="0.2">
      <c r="G977" s="8"/>
      <c r="H977" s="5"/>
      <c r="J977" s="10" t="str">
        <f t="shared" si="136"/>
        <v/>
      </c>
      <c r="K977" s="10" t="str">
        <f t="shared" si="137"/>
        <v/>
      </c>
      <c r="L977" s="11" t="str">
        <f t="shared" si="139"/>
        <v/>
      </c>
      <c r="M977" s="9" t="str">
        <f>IF(G977&lt;&gt;"",J977/MAX(J$3:J977)-1,"")</f>
        <v/>
      </c>
      <c r="N977" s="9" t="str">
        <f>IF(G977&lt;&gt;"",K977/MAX(K$3:K977)-1,"")</f>
        <v/>
      </c>
      <c r="O977" s="16" t="str">
        <f t="shared" si="135"/>
        <v/>
      </c>
      <c r="P977" s="16" t="str">
        <f t="shared" si="135"/>
        <v/>
      </c>
      <c r="Q977" s="16" t="str">
        <f t="shared" si="135"/>
        <v/>
      </c>
      <c r="R977" s="5" t="str">
        <f t="shared" si="134"/>
        <v/>
      </c>
      <c r="S977" s="5" t="str">
        <f t="shared" si="138"/>
        <v/>
      </c>
      <c r="T977" s="5" t="str">
        <f t="shared" si="140"/>
        <v/>
      </c>
      <c r="U977" s="5" t="str">
        <f t="shared" si="140"/>
        <v/>
      </c>
    </row>
    <row r="978" spans="7:21" x14ac:dyDescent="0.2">
      <c r="G978" s="8"/>
      <c r="H978" s="5"/>
      <c r="J978" s="10" t="str">
        <f t="shared" si="136"/>
        <v/>
      </c>
      <c r="K978" s="10" t="str">
        <f t="shared" si="137"/>
        <v/>
      </c>
      <c r="L978" s="11" t="str">
        <f t="shared" si="139"/>
        <v/>
      </c>
      <c r="M978" s="9" t="str">
        <f>IF(G978&lt;&gt;"",J978/MAX(J$3:J978)-1,"")</f>
        <v/>
      </c>
      <c r="N978" s="9" t="str">
        <f>IF(G978&lt;&gt;"",K978/MAX(K$3:K978)-1,"")</f>
        <v/>
      </c>
      <c r="O978" s="16" t="str">
        <f t="shared" si="135"/>
        <v/>
      </c>
      <c r="P978" s="16" t="str">
        <f t="shared" si="135"/>
        <v/>
      </c>
      <c r="Q978" s="16" t="str">
        <f t="shared" si="135"/>
        <v/>
      </c>
      <c r="R978" s="5" t="str">
        <f t="shared" si="134"/>
        <v/>
      </c>
      <c r="S978" s="5" t="str">
        <f t="shared" si="138"/>
        <v/>
      </c>
      <c r="T978" s="5" t="str">
        <f t="shared" si="140"/>
        <v/>
      </c>
      <c r="U978" s="5" t="str">
        <f t="shared" si="140"/>
        <v/>
      </c>
    </row>
    <row r="979" spans="7:21" x14ac:dyDescent="0.2">
      <c r="G979" s="8"/>
      <c r="H979" s="5"/>
      <c r="J979" s="10" t="str">
        <f t="shared" si="136"/>
        <v/>
      </c>
      <c r="K979" s="10" t="str">
        <f t="shared" si="137"/>
        <v/>
      </c>
      <c r="L979" s="11" t="str">
        <f t="shared" si="139"/>
        <v/>
      </c>
      <c r="M979" s="9" t="str">
        <f>IF(G979&lt;&gt;"",J979/MAX(J$3:J979)-1,"")</f>
        <v/>
      </c>
      <c r="N979" s="9" t="str">
        <f>IF(G979&lt;&gt;"",K979/MAX(K$3:K979)-1,"")</f>
        <v/>
      </c>
      <c r="O979" s="16" t="str">
        <f t="shared" si="135"/>
        <v/>
      </c>
      <c r="P979" s="16" t="str">
        <f t="shared" si="135"/>
        <v/>
      </c>
      <c r="Q979" s="16" t="str">
        <f t="shared" si="135"/>
        <v/>
      </c>
      <c r="R979" s="5" t="str">
        <f t="shared" si="134"/>
        <v/>
      </c>
      <c r="S979" s="5" t="str">
        <f t="shared" si="138"/>
        <v/>
      </c>
      <c r="T979" s="5" t="str">
        <f t="shared" si="140"/>
        <v/>
      </c>
      <c r="U979" s="5" t="str">
        <f t="shared" si="140"/>
        <v/>
      </c>
    </row>
    <row r="980" spans="7:21" x14ac:dyDescent="0.2">
      <c r="G980" s="8"/>
      <c r="H980" s="5"/>
      <c r="J980" s="10" t="str">
        <f t="shared" si="136"/>
        <v/>
      </c>
      <c r="K980" s="10" t="str">
        <f t="shared" si="137"/>
        <v/>
      </c>
      <c r="L980" s="11" t="str">
        <f t="shared" si="139"/>
        <v/>
      </c>
      <c r="M980" s="9" t="str">
        <f>IF(G980&lt;&gt;"",J980/MAX(J$3:J980)-1,"")</f>
        <v/>
      </c>
      <c r="N980" s="9" t="str">
        <f>IF(G980&lt;&gt;"",K980/MAX(K$3:K980)-1,"")</f>
        <v/>
      </c>
      <c r="O980" s="16" t="str">
        <f t="shared" si="135"/>
        <v/>
      </c>
      <c r="P980" s="16" t="str">
        <f t="shared" si="135"/>
        <v/>
      </c>
      <c r="Q980" s="16" t="str">
        <f t="shared" si="135"/>
        <v/>
      </c>
      <c r="R980" s="5" t="str">
        <f t="shared" si="134"/>
        <v/>
      </c>
      <c r="S980" s="5" t="str">
        <f t="shared" si="138"/>
        <v/>
      </c>
      <c r="T980" s="5" t="str">
        <f t="shared" si="140"/>
        <v/>
      </c>
      <c r="U980" s="5" t="str">
        <f t="shared" si="140"/>
        <v/>
      </c>
    </row>
    <row r="981" spans="7:21" x14ac:dyDescent="0.2">
      <c r="G981" s="8"/>
      <c r="H981" s="5"/>
      <c r="J981" s="10" t="str">
        <f t="shared" si="136"/>
        <v/>
      </c>
      <c r="K981" s="10" t="str">
        <f t="shared" si="137"/>
        <v/>
      </c>
      <c r="L981" s="11" t="str">
        <f t="shared" si="139"/>
        <v/>
      </c>
      <c r="M981" s="9" t="str">
        <f>IF(G981&lt;&gt;"",J981/MAX(J$3:J981)-1,"")</f>
        <v/>
      </c>
      <c r="N981" s="9" t="str">
        <f>IF(G981&lt;&gt;"",K981/MAX(K$3:K981)-1,"")</f>
        <v/>
      </c>
      <c r="O981" s="16" t="str">
        <f t="shared" si="135"/>
        <v/>
      </c>
      <c r="P981" s="16" t="str">
        <f t="shared" si="135"/>
        <v/>
      </c>
      <c r="Q981" s="16" t="str">
        <f t="shared" si="135"/>
        <v/>
      </c>
      <c r="R981" s="5" t="str">
        <f t="shared" si="134"/>
        <v/>
      </c>
      <c r="S981" s="5" t="str">
        <f t="shared" si="138"/>
        <v/>
      </c>
      <c r="T981" s="5" t="str">
        <f t="shared" si="140"/>
        <v/>
      </c>
      <c r="U981" s="5" t="str">
        <f t="shared" si="140"/>
        <v/>
      </c>
    </row>
    <row r="982" spans="7:21" x14ac:dyDescent="0.2">
      <c r="G982" s="8"/>
      <c r="H982" s="5"/>
      <c r="J982" s="10" t="str">
        <f t="shared" si="136"/>
        <v/>
      </c>
      <c r="K982" s="10" t="str">
        <f t="shared" si="137"/>
        <v/>
      </c>
      <c r="L982" s="11" t="str">
        <f t="shared" si="139"/>
        <v/>
      </c>
      <c r="M982" s="9" t="str">
        <f>IF(G982&lt;&gt;"",J982/MAX(J$3:J982)-1,"")</f>
        <v/>
      </c>
      <c r="N982" s="9" t="str">
        <f>IF(G982&lt;&gt;"",K982/MAX(K$3:K982)-1,"")</f>
        <v/>
      </c>
      <c r="O982" s="16" t="str">
        <f t="shared" si="135"/>
        <v/>
      </c>
      <c r="P982" s="16" t="str">
        <f t="shared" si="135"/>
        <v/>
      </c>
      <c r="Q982" s="16" t="str">
        <f t="shared" si="135"/>
        <v/>
      </c>
      <c r="R982" s="5" t="str">
        <f t="shared" si="134"/>
        <v/>
      </c>
      <c r="S982" s="5" t="str">
        <f t="shared" si="138"/>
        <v/>
      </c>
      <c r="T982" s="5" t="str">
        <f t="shared" si="140"/>
        <v/>
      </c>
      <c r="U982" s="5" t="str">
        <f t="shared" si="140"/>
        <v/>
      </c>
    </row>
    <row r="983" spans="7:21" x14ac:dyDescent="0.2">
      <c r="G983" s="8"/>
      <c r="H983" s="5"/>
      <c r="J983" s="10" t="str">
        <f t="shared" si="136"/>
        <v/>
      </c>
      <c r="K983" s="10" t="str">
        <f t="shared" si="137"/>
        <v/>
      </c>
      <c r="L983" s="11" t="str">
        <f t="shared" si="139"/>
        <v/>
      </c>
      <c r="M983" s="9" t="str">
        <f>IF(G983&lt;&gt;"",J983/MAX(J$3:J983)-1,"")</f>
        <v/>
      </c>
      <c r="N983" s="9" t="str">
        <f>IF(G983&lt;&gt;"",K983/MAX(K$3:K983)-1,"")</f>
        <v/>
      </c>
      <c r="O983" s="16" t="str">
        <f t="shared" si="135"/>
        <v/>
      </c>
      <c r="P983" s="16" t="str">
        <f t="shared" si="135"/>
        <v/>
      </c>
      <c r="Q983" s="16" t="str">
        <f t="shared" si="135"/>
        <v/>
      </c>
      <c r="R983" s="5" t="str">
        <f t="shared" si="134"/>
        <v/>
      </c>
      <c r="S983" s="5" t="str">
        <f t="shared" si="138"/>
        <v/>
      </c>
      <c r="T983" s="5" t="str">
        <f t="shared" si="140"/>
        <v/>
      </c>
      <c r="U983" s="5" t="str">
        <f t="shared" si="140"/>
        <v/>
      </c>
    </row>
    <row r="984" spans="7:21" x14ac:dyDescent="0.2">
      <c r="G984" s="8"/>
      <c r="H984" s="5"/>
      <c r="J984" s="10" t="str">
        <f t="shared" si="136"/>
        <v/>
      </c>
      <c r="K984" s="10" t="str">
        <f t="shared" si="137"/>
        <v/>
      </c>
      <c r="L984" s="11" t="str">
        <f t="shared" si="139"/>
        <v/>
      </c>
      <c r="M984" s="9" t="str">
        <f>IF(G984&lt;&gt;"",J984/MAX(J$3:J984)-1,"")</f>
        <v/>
      </c>
      <c r="N984" s="9" t="str">
        <f>IF(G984&lt;&gt;"",K984/MAX(K$3:K984)-1,"")</f>
        <v/>
      </c>
      <c r="O984" s="16" t="str">
        <f t="shared" si="135"/>
        <v/>
      </c>
      <c r="P984" s="16" t="str">
        <f t="shared" si="135"/>
        <v/>
      </c>
      <c r="Q984" s="16" t="str">
        <f t="shared" si="135"/>
        <v/>
      </c>
      <c r="R984" s="5" t="str">
        <f t="shared" si="134"/>
        <v/>
      </c>
      <c r="S984" s="5" t="str">
        <f t="shared" si="138"/>
        <v/>
      </c>
      <c r="T984" s="5" t="str">
        <f t="shared" ref="T984:U999" si="141">IF($G984&lt;&gt;"",_xlfn.STDEV.S(O740:O984),"")</f>
        <v/>
      </c>
      <c r="U984" s="5" t="str">
        <f t="shared" si="141"/>
        <v/>
      </c>
    </row>
    <row r="985" spans="7:21" x14ac:dyDescent="0.2">
      <c r="G985" s="8"/>
      <c r="H985" s="5"/>
      <c r="J985" s="10" t="str">
        <f t="shared" si="136"/>
        <v/>
      </c>
      <c r="K985" s="10" t="str">
        <f t="shared" si="137"/>
        <v/>
      </c>
      <c r="L985" s="11" t="str">
        <f t="shared" si="139"/>
        <v/>
      </c>
      <c r="M985" s="9" t="str">
        <f>IF(G985&lt;&gt;"",J985/MAX(J$3:J985)-1,"")</f>
        <v/>
      </c>
      <c r="N985" s="9" t="str">
        <f>IF(G985&lt;&gt;"",K985/MAX(K$3:K985)-1,"")</f>
        <v/>
      </c>
      <c r="O985" s="16" t="str">
        <f t="shared" si="135"/>
        <v/>
      </c>
      <c r="P985" s="16" t="str">
        <f t="shared" si="135"/>
        <v/>
      </c>
      <c r="Q985" s="16" t="str">
        <f t="shared" si="135"/>
        <v/>
      </c>
      <c r="R985" s="5" t="str">
        <f t="shared" si="134"/>
        <v/>
      </c>
      <c r="S985" s="5" t="str">
        <f t="shared" si="138"/>
        <v/>
      </c>
      <c r="T985" s="5" t="str">
        <f t="shared" si="141"/>
        <v/>
      </c>
      <c r="U985" s="5" t="str">
        <f t="shared" si="141"/>
        <v/>
      </c>
    </row>
    <row r="986" spans="7:21" x14ac:dyDescent="0.2">
      <c r="G986" s="8"/>
      <c r="H986" s="5"/>
      <c r="J986" s="10" t="str">
        <f t="shared" si="136"/>
        <v/>
      </c>
      <c r="K986" s="10" t="str">
        <f t="shared" si="137"/>
        <v/>
      </c>
      <c r="L986" s="11" t="str">
        <f t="shared" si="139"/>
        <v/>
      </c>
      <c r="M986" s="9" t="str">
        <f>IF(G986&lt;&gt;"",J986/MAX(J$3:J986)-1,"")</f>
        <v/>
      </c>
      <c r="N986" s="9" t="str">
        <f>IF(G986&lt;&gt;"",K986/MAX(K$3:K986)-1,"")</f>
        <v/>
      </c>
      <c r="O986" s="16" t="str">
        <f t="shared" si="135"/>
        <v/>
      </c>
      <c r="P986" s="16" t="str">
        <f t="shared" si="135"/>
        <v/>
      </c>
      <c r="Q986" s="16" t="str">
        <f t="shared" si="135"/>
        <v/>
      </c>
      <c r="R986" s="5" t="str">
        <f t="shared" si="134"/>
        <v/>
      </c>
      <c r="S986" s="5" t="str">
        <f t="shared" si="138"/>
        <v/>
      </c>
      <c r="T986" s="5" t="str">
        <f t="shared" si="141"/>
        <v/>
      </c>
      <c r="U986" s="5" t="str">
        <f t="shared" si="141"/>
        <v/>
      </c>
    </row>
    <row r="987" spans="7:21" x14ac:dyDescent="0.2">
      <c r="G987" s="8"/>
      <c r="H987" s="5"/>
      <c r="J987" s="10" t="str">
        <f t="shared" si="136"/>
        <v/>
      </c>
      <c r="K987" s="10" t="str">
        <f t="shared" si="137"/>
        <v/>
      </c>
      <c r="L987" s="11" t="str">
        <f t="shared" si="139"/>
        <v/>
      </c>
      <c r="M987" s="9" t="str">
        <f>IF(G987&lt;&gt;"",J987/MAX(J$3:J987)-1,"")</f>
        <v/>
      </c>
      <c r="N987" s="9" t="str">
        <f>IF(G987&lt;&gt;"",K987/MAX(K$3:K987)-1,"")</f>
        <v/>
      </c>
      <c r="O987" s="16" t="str">
        <f t="shared" si="135"/>
        <v/>
      </c>
      <c r="P987" s="16" t="str">
        <f t="shared" si="135"/>
        <v/>
      </c>
      <c r="Q987" s="16" t="str">
        <f t="shared" si="135"/>
        <v/>
      </c>
      <c r="R987" s="5" t="str">
        <f t="shared" si="134"/>
        <v/>
      </c>
      <c r="S987" s="5" t="str">
        <f t="shared" si="138"/>
        <v/>
      </c>
      <c r="T987" s="5" t="str">
        <f t="shared" si="141"/>
        <v/>
      </c>
      <c r="U987" s="5" t="str">
        <f t="shared" si="141"/>
        <v/>
      </c>
    </row>
    <row r="988" spans="7:21" x14ac:dyDescent="0.2">
      <c r="G988" s="8"/>
      <c r="H988" s="5"/>
      <c r="J988" s="10" t="str">
        <f t="shared" si="136"/>
        <v/>
      </c>
      <c r="K988" s="10" t="str">
        <f t="shared" si="137"/>
        <v/>
      </c>
      <c r="L988" s="11" t="str">
        <f t="shared" si="139"/>
        <v/>
      </c>
      <c r="M988" s="9" t="str">
        <f>IF(G988&lt;&gt;"",J988/MAX(J$3:J988)-1,"")</f>
        <v/>
      </c>
      <c r="N988" s="9" t="str">
        <f>IF(G988&lt;&gt;"",K988/MAX(K$3:K988)-1,"")</f>
        <v/>
      </c>
      <c r="O988" s="16" t="str">
        <f t="shared" si="135"/>
        <v/>
      </c>
      <c r="P988" s="16" t="str">
        <f t="shared" si="135"/>
        <v/>
      </c>
      <c r="Q988" s="16" t="str">
        <f t="shared" si="135"/>
        <v/>
      </c>
      <c r="R988" s="5" t="str">
        <f t="shared" si="134"/>
        <v/>
      </c>
      <c r="S988" s="5" t="str">
        <f t="shared" si="138"/>
        <v/>
      </c>
      <c r="T988" s="5" t="str">
        <f t="shared" si="141"/>
        <v/>
      </c>
      <c r="U988" s="5" t="str">
        <f t="shared" si="141"/>
        <v/>
      </c>
    </row>
    <row r="989" spans="7:21" x14ac:dyDescent="0.2">
      <c r="G989" s="8"/>
      <c r="H989" s="5"/>
      <c r="J989" s="10" t="str">
        <f t="shared" si="136"/>
        <v/>
      </c>
      <c r="K989" s="10" t="str">
        <f t="shared" si="137"/>
        <v/>
      </c>
      <c r="L989" s="11" t="str">
        <f t="shared" si="139"/>
        <v/>
      </c>
      <c r="M989" s="9" t="str">
        <f>IF(G989&lt;&gt;"",J989/MAX(J$3:J989)-1,"")</f>
        <v/>
      </c>
      <c r="N989" s="9" t="str">
        <f>IF(G989&lt;&gt;"",K989/MAX(K$3:K989)-1,"")</f>
        <v/>
      </c>
      <c r="O989" s="16" t="str">
        <f t="shared" si="135"/>
        <v/>
      </c>
      <c r="P989" s="16" t="str">
        <f t="shared" si="135"/>
        <v/>
      </c>
      <c r="Q989" s="16" t="str">
        <f t="shared" si="135"/>
        <v/>
      </c>
      <c r="R989" s="5" t="str">
        <f t="shared" si="134"/>
        <v/>
      </c>
      <c r="S989" s="5" t="str">
        <f t="shared" si="138"/>
        <v/>
      </c>
      <c r="T989" s="5" t="str">
        <f t="shared" si="141"/>
        <v/>
      </c>
      <c r="U989" s="5" t="str">
        <f t="shared" si="141"/>
        <v/>
      </c>
    </row>
    <row r="990" spans="7:21" x14ac:dyDescent="0.2">
      <c r="G990" s="8"/>
      <c r="H990" s="5"/>
      <c r="J990" s="10" t="str">
        <f t="shared" si="136"/>
        <v/>
      </c>
      <c r="K990" s="10" t="str">
        <f t="shared" si="137"/>
        <v/>
      </c>
      <c r="L990" s="11" t="str">
        <f t="shared" si="139"/>
        <v/>
      </c>
      <c r="M990" s="9" t="str">
        <f>IF(G990&lt;&gt;"",J990/MAX(J$3:J990)-1,"")</f>
        <v/>
      </c>
      <c r="N990" s="9" t="str">
        <f>IF(G990&lt;&gt;"",K990/MAX(K$3:K990)-1,"")</f>
        <v/>
      </c>
      <c r="O990" s="16" t="str">
        <f t="shared" si="135"/>
        <v/>
      </c>
      <c r="P990" s="16" t="str">
        <f t="shared" si="135"/>
        <v/>
      </c>
      <c r="Q990" s="16" t="str">
        <f t="shared" si="135"/>
        <v/>
      </c>
      <c r="R990" s="5" t="str">
        <f t="shared" si="134"/>
        <v/>
      </c>
      <c r="S990" s="5" t="str">
        <f t="shared" si="138"/>
        <v/>
      </c>
      <c r="T990" s="5" t="str">
        <f t="shared" si="141"/>
        <v/>
      </c>
      <c r="U990" s="5" t="str">
        <f t="shared" si="141"/>
        <v/>
      </c>
    </row>
    <row r="991" spans="7:21" x14ac:dyDescent="0.2">
      <c r="G991" s="8"/>
      <c r="H991" s="5"/>
      <c r="J991" s="10" t="str">
        <f t="shared" si="136"/>
        <v/>
      </c>
      <c r="K991" s="10" t="str">
        <f t="shared" si="137"/>
        <v/>
      </c>
      <c r="L991" s="11" t="str">
        <f t="shared" si="139"/>
        <v/>
      </c>
      <c r="M991" s="9" t="str">
        <f>IF(G991&lt;&gt;"",J991/MAX(J$3:J991)-1,"")</f>
        <v/>
      </c>
      <c r="N991" s="9" t="str">
        <f>IF(G991&lt;&gt;"",K991/MAX(K$3:K991)-1,"")</f>
        <v/>
      </c>
      <c r="O991" s="16" t="str">
        <f t="shared" si="135"/>
        <v/>
      </c>
      <c r="P991" s="16" t="str">
        <f t="shared" si="135"/>
        <v/>
      </c>
      <c r="Q991" s="16" t="str">
        <f t="shared" si="135"/>
        <v/>
      </c>
      <c r="R991" s="5" t="str">
        <f t="shared" si="134"/>
        <v/>
      </c>
      <c r="S991" s="5" t="str">
        <f t="shared" si="138"/>
        <v/>
      </c>
      <c r="T991" s="5" t="str">
        <f t="shared" si="141"/>
        <v/>
      </c>
      <c r="U991" s="5" t="str">
        <f t="shared" si="141"/>
        <v/>
      </c>
    </row>
    <row r="992" spans="7:21" x14ac:dyDescent="0.2">
      <c r="G992" s="8"/>
      <c r="H992" s="5"/>
      <c r="J992" s="10" t="str">
        <f t="shared" si="136"/>
        <v/>
      </c>
      <c r="K992" s="10" t="str">
        <f t="shared" si="137"/>
        <v/>
      </c>
      <c r="L992" s="11" t="str">
        <f t="shared" si="139"/>
        <v/>
      </c>
      <c r="M992" s="9" t="str">
        <f>IF(G992&lt;&gt;"",J992/MAX(J$3:J992)-1,"")</f>
        <v/>
      </c>
      <c r="N992" s="9" t="str">
        <f>IF(G992&lt;&gt;"",K992/MAX(K$3:K992)-1,"")</f>
        <v/>
      </c>
      <c r="O992" s="16" t="str">
        <f t="shared" si="135"/>
        <v/>
      </c>
      <c r="P992" s="16" t="str">
        <f t="shared" si="135"/>
        <v/>
      </c>
      <c r="Q992" s="16" t="str">
        <f t="shared" si="135"/>
        <v/>
      </c>
      <c r="R992" s="5" t="str">
        <f t="shared" si="134"/>
        <v/>
      </c>
      <c r="S992" s="5" t="str">
        <f t="shared" si="138"/>
        <v/>
      </c>
      <c r="T992" s="5" t="str">
        <f t="shared" si="141"/>
        <v/>
      </c>
      <c r="U992" s="5" t="str">
        <f t="shared" si="141"/>
        <v/>
      </c>
    </row>
    <row r="993" spans="7:21" x14ac:dyDescent="0.2">
      <c r="G993" s="8"/>
      <c r="H993" s="5"/>
      <c r="J993" s="10" t="str">
        <f t="shared" si="136"/>
        <v/>
      </c>
      <c r="K993" s="10" t="str">
        <f t="shared" si="137"/>
        <v/>
      </c>
      <c r="L993" s="11" t="str">
        <f t="shared" si="139"/>
        <v/>
      </c>
      <c r="M993" s="9" t="str">
        <f>IF(G993&lt;&gt;"",J993/MAX(J$3:J993)-1,"")</f>
        <v/>
      </c>
      <c r="N993" s="9" t="str">
        <f>IF(G993&lt;&gt;"",K993/MAX(K$3:K993)-1,"")</f>
        <v/>
      </c>
      <c r="O993" s="16" t="str">
        <f t="shared" si="135"/>
        <v/>
      </c>
      <c r="P993" s="16" t="str">
        <f t="shared" si="135"/>
        <v/>
      </c>
      <c r="Q993" s="16" t="str">
        <f t="shared" si="135"/>
        <v/>
      </c>
      <c r="R993" s="5" t="str">
        <f t="shared" si="134"/>
        <v/>
      </c>
      <c r="S993" s="5" t="str">
        <f t="shared" si="138"/>
        <v/>
      </c>
      <c r="T993" s="5" t="str">
        <f t="shared" si="141"/>
        <v/>
      </c>
      <c r="U993" s="5" t="str">
        <f t="shared" si="141"/>
        <v/>
      </c>
    </row>
    <row r="994" spans="7:21" x14ac:dyDescent="0.2">
      <c r="G994" s="8"/>
      <c r="H994" s="5"/>
      <c r="J994" s="10" t="str">
        <f t="shared" si="136"/>
        <v/>
      </c>
      <c r="K994" s="10" t="str">
        <f t="shared" si="137"/>
        <v/>
      </c>
      <c r="L994" s="11" t="str">
        <f t="shared" si="139"/>
        <v/>
      </c>
      <c r="M994" s="9" t="str">
        <f>IF(G994&lt;&gt;"",J994/MAX(J$3:J994)-1,"")</f>
        <v/>
      </c>
      <c r="N994" s="9" t="str">
        <f>IF(G994&lt;&gt;"",K994/MAX(K$3:K994)-1,"")</f>
        <v/>
      </c>
      <c r="O994" s="16" t="str">
        <f t="shared" si="135"/>
        <v/>
      </c>
      <c r="P994" s="16" t="str">
        <f t="shared" si="135"/>
        <v/>
      </c>
      <c r="Q994" s="16" t="str">
        <f t="shared" si="135"/>
        <v/>
      </c>
      <c r="R994" s="5" t="str">
        <f t="shared" si="134"/>
        <v/>
      </c>
      <c r="S994" s="5" t="str">
        <f t="shared" si="138"/>
        <v/>
      </c>
      <c r="T994" s="5" t="str">
        <f t="shared" si="141"/>
        <v/>
      </c>
      <c r="U994" s="5" t="str">
        <f t="shared" si="141"/>
        <v/>
      </c>
    </row>
    <row r="995" spans="7:21" x14ac:dyDescent="0.2">
      <c r="G995" s="8"/>
      <c r="H995" s="5"/>
      <c r="J995" s="10" t="str">
        <f t="shared" si="136"/>
        <v/>
      </c>
      <c r="K995" s="10" t="str">
        <f t="shared" si="137"/>
        <v/>
      </c>
      <c r="L995" s="11" t="str">
        <f t="shared" si="139"/>
        <v/>
      </c>
      <c r="M995" s="9" t="str">
        <f>IF(G995&lt;&gt;"",J995/MAX(J$3:J995)-1,"")</f>
        <v/>
      </c>
      <c r="N995" s="9" t="str">
        <f>IF(G995&lt;&gt;"",K995/MAX(K$3:K995)-1,"")</f>
        <v/>
      </c>
      <c r="O995" s="16" t="str">
        <f t="shared" si="135"/>
        <v/>
      </c>
      <c r="P995" s="16" t="str">
        <f t="shared" si="135"/>
        <v/>
      </c>
      <c r="Q995" s="16" t="str">
        <f t="shared" si="135"/>
        <v/>
      </c>
      <c r="R995" s="5" t="str">
        <f t="shared" si="134"/>
        <v/>
      </c>
      <c r="S995" s="5" t="str">
        <f t="shared" si="138"/>
        <v/>
      </c>
      <c r="T995" s="5" t="str">
        <f t="shared" si="141"/>
        <v/>
      </c>
      <c r="U995" s="5" t="str">
        <f t="shared" si="141"/>
        <v/>
      </c>
    </row>
    <row r="996" spans="7:21" x14ac:dyDescent="0.2">
      <c r="G996" s="8"/>
      <c r="H996" s="5"/>
      <c r="J996" s="10" t="str">
        <f t="shared" si="136"/>
        <v/>
      </c>
      <c r="K996" s="10" t="str">
        <f t="shared" si="137"/>
        <v/>
      </c>
      <c r="L996" s="11" t="str">
        <f t="shared" si="139"/>
        <v/>
      </c>
      <c r="M996" s="9" t="str">
        <f>IF(G996&lt;&gt;"",J996/MAX(J$3:J996)-1,"")</f>
        <v/>
      </c>
      <c r="N996" s="9" t="str">
        <f>IF(G996&lt;&gt;"",K996/MAX(K$3:K996)-1,"")</f>
        <v/>
      </c>
      <c r="O996" s="16" t="str">
        <f t="shared" si="135"/>
        <v/>
      </c>
      <c r="P996" s="16" t="str">
        <f t="shared" si="135"/>
        <v/>
      </c>
      <c r="Q996" s="16" t="str">
        <f t="shared" si="135"/>
        <v/>
      </c>
      <c r="R996" s="5" t="str">
        <f t="shared" si="134"/>
        <v/>
      </c>
      <c r="S996" s="5" t="str">
        <f t="shared" si="138"/>
        <v/>
      </c>
      <c r="T996" s="5" t="str">
        <f t="shared" si="141"/>
        <v/>
      </c>
      <c r="U996" s="5" t="str">
        <f t="shared" si="141"/>
        <v/>
      </c>
    </row>
    <row r="997" spans="7:21" x14ac:dyDescent="0.2">
      <c r="G997" s="8"/>
      <c r="H997" s="5"/>
      <c r="J997" s="10" t="str">
        <f t="shared" si="136"/>
        <v/>
      </c>
      <c r="K997" s="10" t="str">
        <f t="shared" si="137"/>
        <v/>
      </c>
      <c r="L997" s="11" t="str">
        <f t="shared" si="139"/>
        <v/>
      </c>
      <c r="M997" s="9" t="str">
        <f>IF(G997&lt;&gt;"",J997/MAX(J$3:J997)-1,"")</f>
        <v/>
      </c>
      <c r="N997" s="9" t="str">
        <f>IF(G997&lt;&gt;"",K997/MAX(K$3:K997)-1,"")</f>
        <v/>
      </c>
      <c r="O997" s="16" t="str">
        <f t="shared" si="135"/>
        <v/>
      </c>
      <c r="P997" s="16" t="str">
        <f t="shared" si="135"/>
        <v/>
      </c>
      <c r="Q997" s="16" t="str">
        <f t="shared" si="135"/>
        <v/>
      </c>
      <c r="R997" s="5" t="str">
        <f t="shared" si="134"/>
        <v/>
      </c>
      <c r="S997" s="5" t="str">
        <f t="shared" si="138"/>
        <v/>
      </c>
      <c r="T997" s="5" t="str">
        <f t="shared" si="141"/>
        <v/>
      </c>
      <c r="U997" s="5" t="str">
        <f t="shared" si="141"/>
        <v/>
      </c>
    </row>
    <row r="998" spans="7:21" x14ac:dyDescent="0.2">
      <c r="G998" s="8"/>
      <c r="H998" s="5"/>
      <c r="J998" s="10" t="str">
        <f t="shared" si="136"/>
        <v/>
      </c>
      <c r="K998" s="10" t="str">
        <f t="shared" si="137"/>
        <v/>
      </c>
      <c r="L998" s="11" t="str">
        <f t="shared" si="139"/>
        <v/>
      </c>
      <c r="M998" s="9" t="str">
        <f>IF(G998&lt;&gt;"",J998/MAX(J$3:J998)-1,"")</f>
        <v/>
      </c>
      <c r="N998" s="9" t="str">
        <f>IF(G998&lt;&gt;"",K998/MAX(K$3:K998)-1,"")</f>
        <v/>
      </c>
      <c r="O998" s="16" t="str">
        <f t="shared" si="135"/>
        <v/>
      </c>
      <c r="P998" s="16" t="str">
        <f t="shared" si="135"/>
        <v/>
      </c>
      <c r="Q998" s="16" t="str">
        <f t="shared" si="135"/>
        <v/>
      </c>
      <c r="R998" s="5" t="str">
        <f t="shared" si="134"/>
        <v/>
      </c>
      <c r="S998" s="5" t="str">
        <f t="shared" si="138"/>
        <v/>
      </c>
      <c r="T998" s="5" t="str">
        <f t="shared" si="141"/>
        <v/>
      </c>
      <c r="U998" s="5" t="str">
        <f t="shared" si="141"/>
        <v/>
      </c>
    </row>
    <row r="999" spans="7:21" x14ac:dyDescent="0.2">
      <c r="G999" s="8"/>
      <c r="H999" s="5"/>
      <c r="J999" s="10" t="str">
        <f t="shared" si="136"/>
        <v/>
      </c>
      <c r="K999" s="10" t="str">
        <f t="shared" si="137"/>
        <v/>
      </c>
      <c r="L999" s="11" t="str">
        <f t="shared" si="139"/>
        <v/>
      </c>
      <c r="M999" s="9" t="str">
        <f>IF(G999&lt;&gt;"",J999/MAX(J$3:J999)-1,"")</f>
        <v/>
      </c>
      <c r="N999" s="9" t="str">
        <f>IF(G999&lt;&gt;"",K999/MAX(K$3:K999)-1,"")</f>
        <v/>
      </c>
      <c r="O999" s="16" t="str">
        <f t="shared" si="135"/>
        <v/>
      </c>
      <c r="P999" s="16" t="str">
        <f t="shared" si="135"/>
        <v/>
      </c>
      <c r="Q999" s="16" t="str">
        <f t="shared" si="135"/>
        <v/>
      </c>
      <c r="R999" s="5" t="str">
        <f t="shared" si="134"/>
        <v/>
      </c>
      <c r="S999" s="5" t="str">
        <f t="shared" si="138"/>
        <v/>
      </c>
      <c r="T999" s="5" t="str">
        <f t="shared" si="141"/>
        <v/>
      </c>
      <c r="U999" s="5" t="str">
        <f t="shared" si="141"/>
        <v/>
      </c>
    </row>
    <row r="1000" spans="7:21" x14ac:dyDescent="0.2">
      <c r="G1000" s="8"/>
      <c r="H1000" s="5"/>
      <c r="J1000" s="10" t="str">
        <f t="shared" si="136"/>
        <v/>
      </c>
      <c r="K1000" s="10" t="str">
        <f t="shared" si="137"/>
        <v/>
      </c>
      <c r="L1000" s="11" t="str">
        <f t="shared" si="139"/>
        <v/>
      </c>
      <c r="M1000" s="9" t="str">
        <f>IF(G1000&lt;&gt;"",J1000/MAX(J$3:J1000)-1,"")</f>
        <v/>
      </c>
      <c r="N1000" s="9" t="str">
        <f>IF(G1000&lt;&gt;"",K1000/MAX(K$3:K1000)-1,"")</f>
        <v/>
      </c>
      <c r="O1000" s="16" t="str">
        <f t="shared" si="135"/>
        <v/>
      </c>
      <c r="P1000" s="16" t="str">
        <f t="shared" si="135"/>
        <v/>
      </c>
      <c r="Q1000" s="16" t="str">
        <f t="shared" si="135"/>
        <v/>
      </c>
      <c r="R1000" s="5" t="str">
        <f t="shared" si="134"/>
        <v/>
      </c>
      <c r="S1000" s="5" t="str">
        <f t="shared" si="138"/>
        <v/>
      </c>
      <c r="T1000" s="5" t="str">
        <f t="shared" ref="T1000:U1015" si="142">IF($G1000&lt;&gt;"",_xlfn.STDEV.S(O756:O1000),"")</f>
        <v/>
      </c>
      <c r="U1000" s="5" t="str">
        <f t="shared" si="142"/>
        <v/>
      </c>
    </row>
    <row r="1001" spans="7:21" x14ac:dyDescent="0.2">
      <c r="G1001" s="8"/>
      <c r="H1001" s="5"/>
      <c r="J1001" s="10" t="str">
        <f t="shared" si="136"/>
        <v/>
      </c>
      <c r="K1001" s="10" t="str">
        <f t="shared" si="137"/>
        <v/>
      </c>
      <c r="L1001" s="11" t="str">
        <f t="shared" si="139"/>
        <v/>
      </c>
      <c r="M1001" s="9" t="str">
        <f>IF(G1001&lt;&gt;"",J1001/MAX(J$3:J1001)-1,"")</f>
        <v/>
      </c>
      <c r="N1001" s="9" t="str">
        <f>IF(G1001&lt;&gt;"",K1001/MAX(K$3:K1001)-1,"")</f>
        <v/>
      </c>
      <c r="O1001" s="16" t="str">
        <f t="shared" si="135"/>
        <v/>
      </c>
      <c r="P1001" s="16" t="str">
        <f t="shared" si="135"/>
        <v/>
      </c>
      <c r="Q1001" s="16" t="str">
        <f t="shared" si="135"/>
        <v/>
      </c>
      <c r="R1001" s="5" t="str">
        <f t="shared" si="134"/>
        <v/>
      </c>
      <c r="S1001" s="5" t="str">
        <f t="shared" si="138"/>
        <v/>
      </c>
      <c r="T1001" s="5" t="str">
        <f t="shared" si="142"/>
        <v/>
      </c>
      <c r="U1001" s="5" t="str">
        <f t="shared" si="142"/>
        <v/>
      </c>
    </row>
    <row r="1002" spans="7:21" x14ac:dyDescent="0.2">
      <c r="G1002" s="8"/>
      <c r="H1002" s="5"/>
      <c r="J1002" s="10" t="str">
        <f t="shared" si="136"/>
        <v/>
      </c>
      <c r="K1002" s="10" t="str">
        <f t="shared" si="137"/>
        <v/>
      </c>
      <c r="L1002" s="11" t="str">
        <f t="shared" si="139"/>
        <v/>
      </c>
      <c r="M1002" s="9" t="str">
        <f>IF(G1002&lt;&gt;"",J1002/MAX(J$3:J1002)-1,"")</f>
        <v/>
      </c>
      <c r="N1002" s="9" t="str">
        <f>IF(G1002&lt;&gt;"",K1002/MAX(K$3:K1002)-1,"")</f>
        <v/>
      </c>
      <c r="O1002" s="16" t="str">
        <f t="shared" si="135"/>
        <v/>
      </c>
      <c r="P1002" s="16" t="str">
        <f t="shared" si="135"/>
        <v/>
      </c>
      <c r="Q1002" s="16" t="str">
        <f t="shared" si="135"/>
        <v/>
      </c>
      <c r="R1002" s="5" t="str">
        <f t="shared" si="134"/>
        <v/>
      </c>
      <c r="S1002" s="5" t="str">
        <f t="shared" si="138"/>
        <v/>
      </c>
      <c r="T1002" s="5" t="str">
        <f t="shared" si="142"/>
        <v/>
      </c>
      <c r="U1002" s="5" t="str">
        <f t="shared" si="142"/>
        <v/>
      </c>
    </row>
    <row r="1003" spans="7:21" x14ac:dyDescent="0.2">
      <c r="G1003" s="8"/>
      <c r="H1003" s="5"/>
      <c r="J1003" s="10" t="str">
        <f t="shared" si="136"/>
        <v/>
      </c>
      <c r="K1003" s="10" t="str">
        <f t="shared" si="137"/>
        <v/>
      </c>
      <c r="L1003" s="11" t="str">
        <f t="shared" si="139"/>
        <v/>
      </c>
      <c r="M1003" s="9" t="str">
        <f>IF(G1003&lt;&gt;"",J1003/MAX(J$3:J1003)-1,"")</f>
        <v/>
      </c>
      <c r="N1003" s="9" t="str">
        <f>IF(G1003&lt;&gt;"",K1003/MAX(K$3:K1003)-1,"")</f>
        <v/>
      </c>
      <c r="O1003" s="16" t="str">
        <f t="shared" si="135"/>
        <v/>
      </c>
      <c r="P1003" s="16" t="str">
        <f t="shared" si="135"/>
        <v/>
      </c>
      <c r="Q1003" s="16" t="str">
        <f t="shared" si="135"/>
        <v/>
      </c>
      <c r="R1003" s="5" t="str">
        <f t="shared" si="134"/>
        <v/>
      </c>
      <c r="S1003" s="5" t="str">
        <f t="shared" si="138"/>
        <v/>
      </c>
      <c r="T1003" s="5" t="str">
        <f t="shared" si="142"/>
        <v/>
      </c>
      <c r="U1003" s="5" t="str">
        <f t="shared" si="142"/>
        <v/>
      </c>
    </row>
    <row r="1004" spans="7:21" x14ac:dyDescent="0.2">
      <c r="G1004" s="8"/>
      <c r="H1004" s="5"/>
      <c r="J1004" s="10" t="str">
        <f t="shared" si="136"/>
        <v/>
      </c>
      <c r="K1004" s="10" t="str">
        <f t="shared" si="137"/>
        <v/>
      </c>
      <c r="L1004" s="11" t="str">
        <f t="shared" si="139"/>
        <v/>
      </c>
      <c r="M1004" s="9" t="str">
        <f>IF(G1004&lt;&gt;"",J1004/MAX(J$3:J1004)-1,"")</f>
        <v/>
      </c>
      <c r="N1004" s="9" t="str">
        <f>IF(G1004&lt;&gt;"",K1004/MAX(K$3:K1004)-1,"")</f>
        <v/>
      </c>
      <c r="O1004" s="16" t="str">
        <f t="shared" si="135"/>
        <v/>
      </c>
      <c r="P1004" s="16" t="str">
        <f t="shared" si="135"/>
        <v/>
      </c>
      <c r="Q1004" s="16" t="str">
        <f t="shared" si="135"/>
        <v/>
      </c>
      <c r="R1004" s="5" t="str">
        <f t="shared" si="134"/>
        <v/>
      </c>
      <c r="S1004" s="5" t="str">
        <f t="shared" si="138"/>
        <v/>
      </c>
      <c r="T1004" s="5" t="str">
        <f t="shared" si="142"/>
        <v/>
      </c>
      <c r="U1004" s="5" t="str">
        <f t="shared" si="142"/>
        <v/>
      </c>
    </row>
    <row r="1005" spans="7:21" x14ac:dyDescent="0.2">
      <c r="G1005" s="8"/>
      <c r="H1005" s="5"/>
      <c r="J1005" s="10" t="str">
        <f t="shared" si="136"/>
        <v/>
      </c>
      <c r="K1005" s="10" t="str">
        <f t="shared" si="137"/>
        <v/>
      </c>
      <c r="L1005" s="11" t="str">
        <f t="shared" si="139"/>
        <v/>
      </c>
      <c r="M1005" s="9" t="str">
        <f>IF(G1005&lt;&gt;"",J1005/MAX(J$3:J1005)-1,"")</f>
        <v/>
      </c>
      <c r="N1005" s="9" t="str">
        <f>IF(G1005&lt;&gt;"",K1005/MAX(K$3:K1005)-1,"")</f>
        <v/>
      </c>
      <c r="O1005" s="16" t="str">
        <f t="shared" si="135"/>
        <v/>
      </c>
      <c r="P1005" s="16" t="str">
        <f t="shared" si="135"/>
        <v/>
      </c>
      <c r="Q1005" s="16" t="str">
        <f t="shared" si="135"/>
        <v/>
      </c>
      <c r="R1005" s="5" t="str">
        <f t="shared" si="134"/>
        <v/>
      </c>
      <c r="S1005" s="5" t="str">
        <f t="shared" si="138"/>
        <v/>
      </c>
      <c r="T1005" s="5" t="str">
        <f t="shared" si="142"/>
        <v/>
      </c>
      <c r="U1005" s="5" t="str">
        <f t="shared" si="142"/>
        <v/>
      </c>
    </row>
    <row r="1006" spans="7:21" x14ac:dyDescent="0.2">
      <c r="G1006" s="8"/>
      <c r="H1006" s="5"/>
      <c r="J1006" s="10" t="str">
        <f t="shared" si="136"/>
        <v/>
      </c>
      <c r="K1006" s="10" t="str">
        <f t="shared" si="137"/>
        <v/>
      </c>
      <c r="L1006" s="11" t="str">
        <f t="shared" si="139"/>
        <v/>
      </c>
      <c r="M1006" s="9" t="str">
        <f>IF(G1006&lt;&gt;"",J1006/MAX(J$3:J1006)-1,"")</f>
        <v/>
      </c>
      <c r="N1006" s="9" t="str">
        <f>IF(G1006&lt;&gt;"",K1006/MAX(K$3:K1006)-1,"")</f>
        <v/>
      </c>
      <c r="O1006" s="16" t="str">
        <f t="shared" si="135"/>
        <v/>
      </c>
      <c r="P1006" s="16" t="str">
        <f t="shared" si="135"/>
        <v/>
      </c>
      <c r="Q1006" s="16" t="str">
        <f t="shared" si="135"/>
        <v/>
      </c>
      <c r="R1006" s="5" t="str">
        <f t="shared" si="134"/>
        <v/>
      </c>
      <c r="S1006" s="5" t="str">
        <f t="shared" si="138"/>
        <v/>
      </c>
      <c r="T1006" s="5" t="str">
        <f t="shared" si="142"/>
        <v/>
      </c>
      <c r="U1006" s="5" t="str">
        <f t="shared" si="142"/>
        <v/>
      </c>
    </row>
    <row r="1007" spans="7:21" x14ac:dyDescent="0.2">
      <c r="G1007" s="8"/>
      <c r="H1007" s="5"/>
      <c r="J1007" s="10" t="str">
        <f t="shared" si="136"/>
        <v/>
      </c>
      <c r="K1007" s="10" t="str">
        <f t="shared" si="137"/>
        <v/>
      </c>
      <c r="L1007" s="11" t="str">
        <f t="shared" si="139"/>
        <v/>
      </c>
      <c r="M1007" s="9" t="str">
        <f>IF(G1007&lt;&gt;"",J1007/MAX(J$3:J1007)-1,"")</f>
        <v/>
      </c>
      <c r="N1007" s="9" t="str">
        <f>IF(G1007&lt;&gt;"",K1007/MAX(K$3:K1007)-1,"")</f>
        <v/>
      </c>
      <c r="O1007" s="16" t="str">
        <f t="shared" si="135"/>
        <v/>
      </c>
      <c r="P1007" s="16" t="str">
        <f t="shared" si="135"/>
        <v/>
      </c>
      <c r="Q1007" s="16" t="str">
        <f t="shared" si="135"/>
        <v/>
      </c>
      <c r="R1007" s="5" t="str">
        <f t="shared" si="134"/>
        <v/>
      </c>
      <c r="S1007" s="5" t="str">
        <f t="shared" si="138"/>
        <v/>
      </c>
      <c r="T1007" s="5" t="str">
        <f t="shared" si="142"/>
        <v/>
      </c>
      <c r="U1007" s="5" t="str">
        <f t="shared" si="142"/>
        <v/>
      </c>
    </row>
    <row r="1008" spans="7:21" x14ac:dyDescent="0.2">
      <c r="G1008" s="8"/>
      <c r="H1008" s="5"/>
      <c r="J1008" s="10" t="str">
        <f t="shared" si="136"/>
        <v/>
      </c>
      <c r="K1008" s="10" t="str">
        <f t="shared" si="137"/>
        <v/>
      </c>
      <c r="L1008" s="11" t="str">
        <f t="shared" si="139"/>
        <v/>
      </c>
      <c r="M1008" s="9" t="str">
        <f>IF(G1008&lt;&gt;"",J1008/MAX(J$3:J1008)-1,"")</f>
        <v/>
      </c>
      <c r="N1008" s="9" t="str">
        <f>IF(G1008&lt;&gt;"",K1008/MAX(K$3:K1008)-1,"")</f>
        <v/>
      </c>
      <c r="O1008" s="16" t="str">
        <f t="shared" si="135"/>
        <v/>
      </c>
      <c r="P1008" s="16" t="str">
        <f t="shared" si="135"/>
        <v/>
      </c>
      <c r="Q1008" s="16" t="str">
        <f t="shared" si="135"/>
        <v/>
      </c>
      <c r="R1008" s="5" t="str">
        <f t="shared" si="134"/>
        <v/>
      </c>
      <c r="S1008" s="5" t="str">
        <f t="shared" si="138"/>
        <v/>
      </c>
      <c r="T1008" s="5" t="str">
        <f t="shared" si="142"/>
        <v/>
      </c>
      <c r="U1008" s="5" t="str">
        <f t="shared" si="142"/>
        <v/>
      </c>
    </row>
    <row r="1009" spans="7:21" x14ac:dyDescent="0.2">
      <c r="G1009" s="8"/>
      <c r="H1009" s="5"/>
      <c r="J1009" s="10" t="str">
        <f t="shared" si="136"/>
        <v/>
      </c>
      <c r="K1009" s="10" t="str">
        <f t="shared" si="137"/>
        <v/>
      </c>
      <c r="L1009" s="11" t="str">
        <f t="shared" si="139"/>
        <v/>
      </c>
      <c r="M1009" s="9" t="str">
        <f>IF(G1009&lt;&gt;"",J1009/MAX(J$3:J1009)-1,"")</f>
        <v/>
      </c>
      <c r="N1009" s="9" t="str">
        <f>IF(G1009&lt;&gt;"",K1009/MAX(K$3:K1009)-1,"")</f>
        <v/>
      </c>
      <c r="O1009" s="16" t="str">
        <f t="shared" si="135"/>
        <v/>
      </c>
      <c r="P1009" s="16" t="str">
        <f t="shared" si="135"/>
        <v/>
      </c>
      <c r="Q1009" s="16" t="str">
        <f t="shared" si="135"/>
        <v/>
      </c>
      <c r="R1009" s="5" t="str">
        <f t="shared" si="134"/>
        <v/>
      </c>
      <c r="S1009" s="5" t="str">
        <f t="shared" si="138"/>
        <v/>
      </c>
      <c r="T1009" s="5" t="str">
        <f t="shared" si="142"/>
        <v/>
      </c>
      <c r="U1009" s="5" t="str">
        <f t="shared" si="142"/>
        <v/>
      </c>
    </row>
    <row r="1010" spans="7:21" x14ac:dyDescent="0.2">
      <c r="G1010" s="8"/>
      <c r="H1010" s="5"/>
      <c r="J1010" s="10" t="str">
        <f t="shared" si="136"/>
        <v/>
      </c>
      <c r="K1010" s="10" t="str">
        <f t="shared" si="137"/>
        <v/>
      </c>
      <c r="L1010" s="11" t="str">
        <f t="shared" si="139"/>
        <v/>
      </c>
      <c r="M1010" s="9" t="str">
        <f>IF(G1010&lt;&gt;"",J1010/MAX(J$3:J1010)-1,"")</f>
        <v/>
      </c>
      <c r="N1010" s="9" t="str">
        <f>IF(G1010&lt;&gt;"",K1010/MAX(K$3:K1010)-1,"")</f>
        <v/>
      </c>
      <c r="O1010" s="16" t="str">
        <f t="shared" si="135"/>
        <v/>
      </c>
      <c r="P1010" s="16" t="str">
        <f t="shared" si="135"/>
        <v/>
      </c>
      <c r="Q1010" s="16" t="str">
        <f t="shared" si="135"/>
        <v/>
      </c>
      <c r="R1010" s="5" t="str">
        <f t="shared" si="134"/>
        <v/>
      </c>
      <c r="S1010" s="5" t="str">
        <f t="shared" si="138"/>
        <v/>
      </c>
      <c r="T1010" s="5" t="str">
        <f t="shared" si="142"/>
        <v/>
      </c>
      <c r="U1010" s="5" t="str">
        <f t="shared" si="142"/>
        <v/>
      </c>
    </row>
    <row r="1011" spans="7:21" x14ac:dyDescent="0.2">
      <c r="G1011" s="8"/>
      <c r="H1011" s="5"/>
      <c r="J1011" s="10" t="str">
        <f t="shared" si="136"/>
        <v/>
      </c>
      <c r="K1011" s="10" t="str">
        <f t="shared" si="137"/>
        <v/>
      </c>
      <c r="L1011" s="11" t="str">
        <f t="shared" si="139"/>
        <v/>
      </c>
      <c r="M1011" s="9" t="str">
        <f>IF(G1011&lt;&gt;"",J1011/MAX(J$3:J1011)-1,"")</f>
        <v/>
      </c>
      <c r="N1011" s="9" t="str">
        <f>IF(G1011&lt;&gt;"",K1011/MAX(K$3:K1011)-1,"")</f>
        <v/>
      </c>
      <c r="O1011" s="16" t="str">
        <f t="shared" si="135"/>
        <v/>
      </c>
      <c r="P1011" s="16" t="str">
        <f t="shared" si="135"/>
        <v/>
      </c>
      <c r="Q1011" s="16" t="str">
        <f t="shared" si="135"/>
        <v/>
      </c>
      <c r="R1011" s="5" t="str">
        <f t="shared" si="134"/>
        <v/>
      </c>
      <c r="S1011" s="5" t="str">
        <f t="shared" si="138"/>
        <v/>
      </c>
      <c r="T1011" s="5" t="str">
        <f t="shared" si="142"/>
        <v/>
      </c>
      <c r="U1011" s="5" t="str">
        <f t="shared" si="142"/>
        <v/>
      </c>
    </row>
    <row r="1012" spans="7:21" x14ac:dyDescent="0.2">
      <c r="G1012" s="8"/>
      <c r="H1012" s="5"/>
      <c r="J1012" s="10" t="str">
        <f t="shared" si="136"/>
        <v/>
      </c>
      <c r="K1012" s="10" t="str">
        <f t="shared" si="137"/>
        <v/>
      </c>
      <c r="L1012" s="11" t="str">
        <f t="shared" si="139"/>
        <v/>
      </c>
      <c r="M1012" s="9" t="str">
        <f>IF(G1012&lt;&gt;"",J1012/MAX(J$3:J1012)-1,"")</f>
        <v/>
      </c>
      <c r="N1012" s="9" t="str">
        <f>IF(G1012&lt;&gt;"",K1012/MAX(K$3:K1012)-1,"")</f>
        <v/>
      </c>
      <c r="O1012" s="16" t="str">
        <f t="shared" si="135"/>
        <v/>
      </c>
      <c r="P1012" s="16" t="str">
        <f t="shared" si="135"/>
        <v/>
      </c>
      <c r="Q1012" s="16" t="str">
        <f t="shared" si="135"/>
        <v/>
      </c>
      <c r="R1012" s="5" t="str">
        <f t="shared" si="134"/>
        <v/>
      </c>
      <c r="S1012" s="5" t="str">
        <f t="shared" si="138"/>
        <v/>
      </c>
      <c r="T1012" s="5" t="str">
        <f t="shared" si="142"/>
        <v/>
      </c>
      <c r="U1012" s="5" t="str">
        <f t="shared" si="142"/>
        <v/>
      </c>
    </row>
    <row r="1013" spans="7:21" x14ac:dyDescent="0.2">
      <c r="G1013" s="8"/>
      <c r="H1013" s="5"/>
      <c r="J1013" s="10" t="str">
        <f t="shared" si="136"/>
        <v/>
      </c>
      <c r="K1013" s="10" t="str">
        <f t="shared" si="137"/>
        <v/>
      </c>
      <c r="L1013" s="11" t="str">
        <f t="shared" si="139"/>
        <v/>
      </c>
      <c r="M1013" s="9" t="str">
        <f>IF(G1013&lt;&gt;"",J1013/MAX(J$3:J1013)-1,"")</f>
        <v/>
      </c>
      <c r="N1013" s="9" t="str">
        <f>IF(G1013&lt;&gt;"",K1013/MAX(K$3:K1013)-1,"")</f>
        <v/>
      </c>
      <c r="O1013" s="16" t="str">
        <f t="shared" si="135"/>
        <v/>
      </c>
      <c r="P1013" s="16" t="str">
        <f t="shared" si="135"/>
        <v/>
      </c>
      <c r="Q1013" s="16" t="str">
        <f t="shared" si="135"/>
        <v/>
      </c>
      <c r="R1013" s="5" t="str">
        <f t="shared" si="134"/>
        <v/>
      </c>
      <c r="S1013" s="5" t="str">
        <f t="shared" si="138"/>
        <v/>
      </c>
      <c r="T1013" s="5" t="str">
        <f t="shared" si="142"/>
        <v/>
      </c>
      <c r="U1013" s="5" t="str">
        <f t="shared" si="142"/>
        <v/>
      </c>
    </row>
    <row r="1014" spans="7:21" x14ac:dyDescent="0.2">
      <c r="G1014" s="8"/>
      <c r="H1014" s="5"/>
      <c r="J1014" s="10" t="str">
        <f t="shared" si="136"/>
        <v/>
      </c>
      <c r="K1014" s="10" t="str">
        <f t="shared" si="137"/>
        <v/>
      </c>
      <c r="L1014" s="11" t="str">
        <f t="shared" si="139"/>
        <v/>
      </c>
      <c r="M1014" s="9" t="str">
        <f>IF(G1014&lt;&gt;"",J1014/MAX(J$3:J1014)-1,"")</f>
        <v/>
      </c>
      <c r="N1014" s="9" t="str">
        <f>IF(G1014&lt;&gt;"",K1014/MAX(K$3:K1014)-1,"")</f>
        <v/>
      </c>
      <c r="O1014" s="16" t="str">
        <f t="shared" si="135"/>
        <v/>
      </c>
      <c r="P1014" s="16" t="str">
        <f t="shared" si="135"/>
        <v/>
      </c>
      <c r="Q1014" s="16" t="str">
        <f t="shared" si="135"/>
        <v/>
      </c>
      <c r="R1014" s="5" t="str">
        <f t="shared" si="134"/>
        <v/>
      </c>
      <c r="S1014" s="5" t="str">
        <f t="shared" si="138"/>
        <v/>
      </c>
      <c r="T1014" s="5" t="str">
        <f t="shared" si="142"/>
        <v/>
      </c>
      <c r="U1014" s="5" t="str">
        <f t="shared" si="142"/>
        <v/>
      </c>
    </row>
    <row r="1015" spans="7:21" x14ac:dyDescent="0.2">
      <c r="G1015" s="8"/>
      <c r="H1015" s="5"/>
      <c r="J1015" s="10" t="str">
        <f t="shared" si="136"/>
        <v/>
      </c>
      <c r="K1015" s="10" t="str">
        <f t="shared" si="137"/>
        <v/>
      </c>
      <c r="L1015" s="11" t="str">
        <f t="shared" si="139"/>
        <v/>
      </c>
      <c r="M1015" s="9" t="str">
        <f>IF(G1015&lt;&gt;"",J1015/MAX(J$3:J1015)-1,"")</f>
        <v/>
      </c>
      <c r="N1015" s="9" t="str">
        <f>IF(G1015&lt;&gt;"",K1015/MAX(K$3:K1015)-1,"")</f>
        <v/>
      </c>
      <c r="O1015" s="16" t="str">
        <f t="shared" si="135"/>
        <v/>
      </c>
      <c r="P1015" s="16" t="str">
        <f t="shared" si="135"/>
        <v/>
      </c>
      <c r="Q1015" s="16" t="str">
        <f t="shared" si="135"/>
        <v/>
      </c>
      <c r="R1015" s="5" t="str">
        <f t="shared" si="134"/>
        <v/>
      </c>
      <c r="S1015" s="5" t="str">
        <f t="shared" si="138"/>
        <v/>
      </c>
      <c r="T1015" s="5" t="str">
        <f t="shared" si="142"/>
        <v/>
      </c>
      <c r="U1015" s="5" t="str">
        <f t="shared" si="142"/>
        <v/>
      </c>
    </row>
    <row r="1016" spans="7:21" x14ac:dyDescent="0.2">
      <c r="G1016" s="8"/>
      <c r="H1016" s="5"/>
      <c r="J1016" s="10" t="str">
        <f t="shared" si="136"/>
        <v/>
      </c>
      <c r="K1016" s="10" t="str">
        <f t="shared" si="137"/>
        <v/>
      </c>
      <c r="L1016" s="11" t="str">
        <f t="shared" si="139"/>
        <v/>
      </c>
      <c r="M1016" s="9" t="str">
        <f>IF(G1016&lt;&gt;"",J1016/MAX(J$3:J1016)-1,"")</f>
        <v/>
      </c>
      <c r="N1016" s="9" t="str">
        <f>IF(G1016&lt;&gt;"",K1016/MAX(K$3:K1016)-1,"")</f>
        <v/>
      </c>
      <c r="O1016" s="16" t="str">
        <f t="shared" si="135"/>
        <v/>
      </c>
      <c r="P1016" s="16" t="str">
        <f t="shared" si="135"/>
        <v/>
      </c>
      <c r="Q1016" s="16" t="str">
        <f t="shared" si="135"/>
        <v/>
      </c>
      <c r="R1016" s="5" t="str">
        <f t="shared" si="134"/>
        <v/>
      </c>
      <c r="S1016" s="5" t="str">
        <f t="shared" si="138"/>
        <v/>
      </c>
      <c r="T1016" s="5" t="str">
        <f t="shared" ref="T1016:U1031" si="143">IF($G1016&lt;&gt;"",_xlfn.STDEV.S(O772:O1016),"")</f>
        <v/>
      </c>
      <c r="U1016" s="5" t="str">
        <f t="shared" si="143"/>
        <v/>
      </c>
    </row>
    <row r="1017" spans="7:21" x14ac:dyDescent="0.2">
      <c r="G1017" s="8"/>
      <c r="H1017" s="5"/>
      <c r="J1017" s="10" t="str">
        <f t="shared" si="136"/>
        <v/>
      </c>
      <c r="K1017" s="10" t="str">
        <f t="shared" si="137"/>
        <v/>
      </c>
      <c r="L1017" s="11" t="str">
        <f t="shared" si="139"/>
        <v/>
      </c>
      <c r="M1017" s="9" t="str">
        <f>IF(G1017&lt;&gt;"",J1017/MAX(J$3:J1017)-1,"")</f>
        <v/>
      </c>
      <c r="N1017" s="9" t="str">
        <f>IF(G1017&lt;&gt;"",K1017/MAX(K$3:K1017)-1,"")</f>
        <v/>
      </c>
      <c r="O1017" s="16" t="str">
        <f t="shared" si="135"/>
        <v/>
      </c>
      <c r="P1017" s="16" t="str">
        <f t="shared" si="135"/>
        <v/>
      </c>
      <c r="Q1017" s="16" t="str">
        <f t="shared" si="135"/>
        <v/>
      </c>
      <c r="R1017" s="5" t="str">
        <f t="shared" si="134"/>
        <v/>
      </c>
      <c r="S1017" s="5" t="str">
        <f t="shared" si="138"/>
        <v/>
      </c>
      <c r="T1017" s="5" t="str">
        <f t="shared" si="143"/>
        <v/>
      </c>
      <c r="U1017" s="5" t="str">
        <f t="shared" si="143"/>
        <v/>
      </c>
    </row>
    <row r="1018" spans="7:21" x14ac:dyDescent="0.2">
      <c r="G1018" s="8"/>
      <c r="H1018" s="5"/>
      <c r="J1018" s="10" t="str">
        <f t="shared" si="136"/>
        <v/>
      </c>
      <c r="K1018" s="10" t="str">
        <f t="shared" si="137"/>
        <v/>
      </c>
      <c r="L1018" s="11" t="str">
        <f t="shared" si="139"/>
        <v/>
      </c>
      <c r="M1018" s="9" t="str">
        <f>IF(G1018&lt;&gt;"",J1018/MAX(J$3:J1018)-1,"")</f>
        <v/>
      </c>
      <c r="N1018" s="9" t="str">
        <f>IF(G1018&lt;&gt;"",K1018/MAX(K$3:K1018)-1,"")</f>
        <v/>
      </c>
      <c r="O1018" s="16" t="str">
        <f t="shared" si="135"/>
        <v/>
      </c>
      <c r="P1018" s="16" t="str">
        <f t="shared" si="135"/>
        <v/>
      </c>
      <c r="Q1018" s="16" t="str">
        <f t="shared" si="135"/>
        <v/>
      </c>
      <c r="R1018" s="5" t="str">
        <f t="shared" si="134"/>
        <v/>
      </c>
      <c r="S1018" s="5" t="str">
        <f t="shared" si="138"/>
        <v/>
      </c>
      <c r="T1018" s="5" t="str">
        <f t="shared" si="143"/>
        <v/>
      </c>
      <c r="U1018" s="5" t="str">
        <f t="shared" si="143"/>
        <v/>
      </c>
    </row>
    <row r="1019" spans="7:21" x14ac:dyDescent="0.2">
      <c r="G1019" s="8"/>
      <c r="H1019" s="5"/>
      <c r="J1019" s="10" t="str">
        <f t="shared" si="136"/>
        <v/>
      </c>
      <c r="K1019" s="10" t="str">
        <f t="shared" si="137"/>
        <v/>
      </c>
      <c r="L1019" s="11" t="str">
        <f t="shared" si="139"/>
        <v/>
      </c>
      <c r="M1019" s="9" t="str">
        <f>IF(G1019&lt;&gt;"",J1019/MAX(J$3:J1019)-1,"")</f>
        <v/>
      </c>
      <c r="N1019" s="9" t="str">
        <f>IF(G1019&lt;&gt;"",K1019/MAX(K$3:K1019)-1,"")</f>
        <v/>
      </c>
      <c r="O1019" s="16" t="str">
        <f t="shared" si="135"/>
        <v/>
      </c>
      <c r="P1019" s="16" t="str">
        <f t="shared" si="135"/>
        <v/>
      </c>
      <c r="Q1019" s="16" t="str">
        <f t="shared" si="135"/>
        <v/>
      </c>
      <c r="R1019" s="5" t="str">
        <f t="shared" si="134"/>
        <v/>
      </c>
      <c r="S1019" s="5" t="str">
        <f t="shared" si="138"/>
        <v/>
      </c>
      <c r="T1019" s="5" t="str">
        <f t="shared" si="143"/>
        <v/>
      </c>
      <c r="U1019" s="5" t="str">
        <f t="shared" si="143"/>
        <v/>
      </c>
    </row>
    <row r="1020" spans="7:21" x14ac:dyDescent="0.2">
      <c r="G1020" s="8"/>
      <c r="H1020" s="5"/>
      <c r="J1020" s="10" t="str">
        <f t="shared" si="136"/>
        <v/>
      </c>
      <c r="K1020" s="10" t="str">
        <f t="shared" si="137"/>
        <v/>
      </c>
      <c r="L1020" s="11" t="str">
        <f t="shared" si="139"/>
        <v/>
      </c>
      <c r="M1020" s="9" t="str">
        <f>IF(G1020&lt;&gt;"",J1020/MAX(J$3:J1020)-1,"")</f>
        <v/>
      </c>
      <c r="N1020" s="9" t="str">
        <f>IF(G1020&lt;&gt;"",K1020/MAX(K$3:K1020)-1,"")</f>
        <v/>
      </c>
      <c r="O1020" s="16" t="str">
        <f t="shared" si="135"/>
        <v/>
      </c>
      <c r="P1020" s="16" t="str">
        <f t="shared" si="135"/>
        <v/>
      </c>
      <c r="Q1020" s="16" t="str">
        <f t="shared" si="135"/>
        <v/>
      </c>
      <c r="R1020" s="5" t="str">
        <f t="shared" si="134"/>
        <v/>
      </c>
      <c r="S1020" s="5" t="str">
        <f t="shared" si="138"/>
        <v/>
      </c>
      <c r="T1020" s="5" t="str">
        <f t="shared" si="143"/>
        <v/>
      </c>
      <c r="U1020" s="5" t="str">
        <f t="shared" si="143"/>
        <v/>
      </c>
    </row>
    <row r="1021" spans="7:21" x14ac:dyDescent="0.2">
      <c r="G1021" s="8"/>
      <c r="H1021" s="5"/>
      <c r="J1021" s="10" t="str">
        <f t="shared" si="136"/>
        <v/>
      </c>
      <c r="K1021" s="10" t="str">
        <f t="shared" si="137"/>
        <v/>
      </c>
      <c r="L1021" s="11" t="str">
        <f t="shared" si="139"/>
        <v/>
      </c>
      <c r="M1021" s="9" t="str">
        <f>IF(G1021&lt;&gt;"",J1021/MAX(J$3:J1021)-1,"")</f>
        <v/>
      </c>
      <c r="N1021" s="9" t="str">
        <f>IF(G1021&lt;&gt;"",K1021/MAX(K$3:K1021)-1,"")</f>
        <v/>
      </c>
      <c r="O1021" s="16" t="str">
        <f t="shared" si="135"/>
        <v/>
      </c>
      <c r="P1021" s="16" t="str">
        <f t="shared" si="135"/>
        <v/>
      </c>
      <c r="Q1021" s="16" t="str">
        <f t="shared" si="135"/>
        <v/>
      </c>
      <c r="R1021" s="5" t="str">
        <f t="shared" ref="R1021:R1084" si="144">IF(G1021&lt;&gt;"",_xlfn.STDEV.S(Q900:Q1021)*SQRT($B$5),"")</f>
        <v/>
      </c>
      <c r="S1021" s="5" t="str">
        <f t="shared" si="138"/>
        <v/>
      </c>
      <c r="T1021" s="5" t="str">
        <f t="shared" si="143"/>
        <v/>
      </c>
      <c r="U1021" s="5" t="str">
        <f t="shared" si="143"/>
        <v/>
      </c>
    </row>
    <row r="1022" spans="7:21" x14ac:dyDescent="0.2">
      <c r="G1022" s="8"/>
      <c r="H1022" s="5"/>
      <c r="J1022" s="10" t="str">
        <f t="shared" si="136"/>
        <v/>
      </c>
      <c r="K1022" s="10" t="str">
        <f t="shared" si="137"/>
        <v/>
      </c>
      <c r="L1022" s="11" t="str">
        <f t="shared" si="139"/>
        <v/>
      </c>
      <c r="M1022" s="9" t="str">
        <f>IF(G1022&lt;&gt;"",J1022/MAX(J$3:J1022)-1,"")</f>
        <v/>
      </c>
      <c r="N1022" s="9" t="str">
        <f>IF(G1022&lt;&gt;"",K1022/MAX(K$3:K1022)-1,"")</f>
        <v/>
      </c>
      <c r="O1022" s="16" t="str">
        <f t="shared" si="135"/>
        <v/>
      </c>
      <c r="P1022" s="16" t="str">
        <f t="shared" si="135"/>
        <v/>
      </c>
      <c r="Q1022" s="16" t="str">
        <f t="shared" si="135"/>
        <v/>
      </c>
      <c r="R1022" s="5" t="str">
        <f t="shared" si="144"/>
        <v/>
      </c>
      <c r="S1022" s="5" t="str">
        <f t="shared" si="138"/>
        <v/>
      </c>
      <c r="T1022" s="5" t="str">
        <f t="shared" si="143"/>
        <v/>
      </c>
      <c r="U1022" s="5" t="str">
        <f t="shared" si="143"/>
        <v/>
      </c>
    </row>
    <row r="1023" spans="7:21" x14ac:dyDescent="0.2">
      <c r="G1023" s="8"/>
      <c r="H1023" s="5"/>
      <c r="J1023" s="10" t="str">
        <f t="shared" si="136"/>
        <v/>
      </c>
      <c r="K1023" s="10" t="str">
        <f t="shared" si="137"/>
        <v/>
      </c>
      <c r="L1023" s="11" t="str">
        <f t="shared" si="139"/>
        <v/>
      </c>
      <c r="M1023" s="9" t="str">
        <f>IF(G1023&lt;&gt;"",J1023/MAX(J$3:J1023)-1,"")</f>
        <v/>
      </c>
      <c r="N1023" s="9" t="str">
        <f>IF(G1023&lt;&gt;"",K1023/MAX(K$3:K1023)-1,"")</f>
        <v/>
      </c>
      <c r="O1023" s="16" t="str">
        <f t="shared" si="135"/>
        <v/>
      </c>
      <c r="P1023" s="16" t="str">
        <f t="shared" si="135"/>
        <v/>
      </c>
      <c r="Q1023" s="16" t="str">
        <f t="shared" si="135"/>
        <v/>
      </c>
      <c r="R1023" s="5" t="str">
        <f t="shared" si="144"/>
        <v/>
      </c>
      <c r="S1023" s="5" t="str">
        <f t="shared" si="138"/>
        <v/>
      </c>
      <c r="T1023" s="5" t="str">
        <f t="shared" si="143"/>
        <v/>
      </c>
      <c r="U1023" s="5" t="str">
        <f t="shared" si="143"/>
        <v/>
      </c>
    </row>
    <row r="1024" spans="7:21" x14ac:dyDescent="0.2">
      <c r="G1024" s="8"/>
      <c r="H1024" s="5"/>
      <c r="J1024" s="10" t="str">
        <f t="shared" si="136"/>
        <v/>
      </c>
      <c r="K1024" s="10" t="str">
        <f t="shared" si="137"/>
        <v/>
      </c>
      <c r="L1024" s="11" t="str">
        <f t="shared" si="139"/>
        <v/>
      </c>
      <c r="M1024" s="9" t="str">
        <f>IF(G1024&lt;&gt;"",J1024/MAX(J$3:J1024)-1,"")</f>
        <v/>
      </c>
      <c r="N1024" s="9" t="str">
        <f>IF(G1024&lt;&gt;"",K1024/MAX(K$3:K1024)-1,"")</f>
        <v/>
      </c>
      <c r="O1024" s="16" t="str">
        <f t="shared" si="135"/>
        <v/>
      </c>
      <c r="P1024" s="16" t="str">
        <f t="shared" si="135"/>
        <v/>
      </c>
      <c r="Q1024" s="16" t="str">
        <f t="shared" si="135"/>
        <v/>
      </c>
      <c r="R1024" s="5" t="str">
        <f t="shared" si="144"/>
        <v/>
      </c>
      <c r="S1024" s="5" t="str">
        <f t="shared" si="138"/>
        <v/>
      </c>
      <c r="T1024" s="5" t="str">
        <f t="shared" si="143"/>
        <v/>
      </c>
      <c r="U1024" s="5" t="str">
        <f t="shared" si="143"/>
        <v/>
      </c>
    </row>
    <row r="1025" spans="7:21" x14ac:dyDescent="0.2">
      <c r="G1025" s="8"/>
      <c r="H1025" s="5"/>
      <c r="J1025" s="10" t="str">
        <f t="shared" si="136"/>
        <v/>
      </c>
      <c r="K1025" s="10" t="str">
        <f t="shared" si="137"/>
        <v/>
      </c>
      <c r="L1025" s="11" t="str">
        <f t="shared" si="139"/>
        <v/>
      </c>
      <c r="M1025" s="9" t="str">
        <f>IF(G1025&lt;&gt;"",J1025/MAX(J$3:J1025)-1,"")</f>
        <v/>
      </c>
      <c r="N1025" s="9" t="str">
        <f>IF(G1025&lt;&gt;"",K1025/MAX(K$3:K1025)-1,"")</f>
        <v/>
      </c>
      <c r="O1025" s="16" t="str">
        <f t="shared" si="135"/>
        <v/>
      </c>
      <c r="P1025" s="16" t="str">
        <f t="shared" si="135"/>
        <v/>
      </c>
      <c r="Q1025" s="16" t="str">
        <f t="shared" si="135"/>
        <v/>
      </c>
      <c r="R1025" s="5" t="str">
        <f t="shared" si="144"/>
        <v/>
      </c>
      <c r="S1025" s="5" t="str">
        <f t="shared" si="138"/>
        <v/>
      </c>
      <c r="T1025" s="5" t="str">
        <f t="shared" si="143"/>
        <v/>
      </c>
      <c r="U1025" s="5" t="str">
        <f t="shared" si="143"/>
        <v/>
      </c>
    </row>
    <row r="1026" spans="7:21" x14ac:dyDescent="0.2">
      <c r="G1026" s="8"/>
      <c r="H1026" s="5"/>
      <c r="J1026" s="10" t="str">
        <f t="shared" si="136"/>
        <v/>
      </c>
      <c r="K1026" s="10" t="str">
        <f t="shared" si="137"/>
        <v/>
      </c>
      <c r="L1026" s="11" t="str">
        <f t="shared" si="139"/>
        <v/>
      </c>
      <c r="M1026" s="9" t="str">
        <f>IF(G1026&lt;&gt;"",J1026/MAX(J$3:J1026)-1,"")</f>
        <v/>
      </c>
      <c r="N1026" s="9" t="str">
        <f>IF(G1026&lt;&gt;"",K1026/MAX(K$3:K1026)-1,"")</f>
        <v/>
      </c>
      <c r="O1026" s="16" t="str">
        <f t="shared" ref="O1026:Q1089" si="145">IF($G1026&lt;&gt;"",J1026/J1025-1,"")</f>
        <v/>
      </c>
      <c r="P1026" s="16" t="str">
        <f t="shared" si="145"/>
        <v/>
      </c>
      <c r="Q1026" s="16" t="str">
        <f t="shared" si="145"/>
        <v/>
      </c>
      <c r="R1026" s="5" t="str">
        <f t="shared" si="144"/>
        <v/>
      </c>
      <c r="S1026" s="5" t="str">
        <f t="shared" si="138"/>
        <v/>
      </c>
      <c r="T1026" s="5" t="str">
        <f t="shared" si="143"/>
        <v/>
      </c>
      <c r="U1026" s="5" t="str">
        <f t="shared" si="143"/>
        <v/>
      </c>
    </row>
    <row r="1027" spans="7:21" x14ac:dyDescent="0.2">
      <c r="G1027" s="8"/>
      <c r="H1027" s="5"/>
      <c r="J1027" s="10" t="str">
        <f t="shared" si="136"/>
        <v/>
      </c>
      <c r="K1027" s="10" t="str">
        <f t="shared" si="137"/>
        <v/>
      </c>
      <c r="L1027" s="11" t="str">
        <f t="shared" si="139"/>
        <v/>
      </c>
      <c r="M1027" s="9" t="str">
        <f>IF(G1027&lt;&gt;"",J1027/MAX(J$3:J1027)-1,"")</f>
        <v/>
      </c>
      <c r="N1027" s="9" t="str">
        <f>IF(G1027&lt;&gt;"",K1027/MAX(K$3:K1027)-1,"")</f>
        <v/>
      </c>
      <c r="O1027" s="16" t="str">
        <f t="shared" si="145"/>
        <v/>
      </c>
      <c r="P1027" s="16" t="str">
        <f t="shared" si="145"/>
        <v/>
      </c>
      <c r="Q1027" s="16" t="str">
        <f t="shared" si="145"/>
        <v/>
      </c>
      <c r="R1027" s="5" t="str">
        <f t="shared" si="144"/>
        <v/>
      </c>
      <c r="S1027" s="5" t="str">
        <f t="shared" si="138"/>
        <v/>
      </c>
      <c r="T1027" s="5" t="str">
        <f t="shared" si="143"/>
        <v/>
      </c>
      <c r="U1027" s="5" t="str">
        <f t="shared" si="143"/>
        <v/>
      </c>
    </row>
    <row r="1028" spans="7:21" x14ac:dyDescent="0.2">
      <c r="G1028" s="8"/>
      <c r="H1028" s="5"/>
      <c r="J1028" s="10" t="str">
        <f t="shared" ref="J1028:J1091" si="146">IF(G1028&lt;&gt;"",1+H1028,"")</f>
        <v/>
      </c>
      <c r="K1028" s="10" t="str">
        <f t="shared" ref="K1028:K1091" si="147">IF(G1028&lt;&gt;"",1+I1028,"")</f>
        <v/>
      </c>
      <c r="L1028" s="11" t="str">
        <f t="shared" si="139"/>
        <v/>
      </c>
      <c r="M1028" s="9" t="str">
        <f>IF(G1028&lt;&gt;"",J1028/MAX(J$3:J1028)-1,"")</f>
        <v/>
      </c>
      <c r="N1028" s="9" t="str">
        <f>IF(G1028&lt;&gt;"",K1028/MAX(K$3:K1028)-1,"")</f>
        <v/>
      </c>
      <c r="O1028" s="16" t="str">
        <f t="shared" si="145"/>
        <v/>
      </c>
      <c r="P1028" s="16" t="str">
        <f t="shared" si="145"/>
        <v/>
      </c>
      <c r="Q1028" s="16" t="str">
        <f t="shared" si="145"/>
        <v/>
      </c>
      <c r="R1028" s="5" t="str">
        <f t="shared" si="144"/>
        <v/>
      </c>
      <c r="S1028" s="5" t="str">
        <f t="shared" ref="S1028:S1091" si="148">IF(R1028&lt;&gt;"",B$12,"")</f>
        <v/>
      </c>
      <c r="T1028" s="5" t="str">
        <f t="shared" si="143"/>
        <v/>
      </c>
      <c r="U1028" s="5" t="str">
        <f t="shared" si="143"/>
        <v/>
      </c>
    </row>
    <row r="1029" spans="7:21" x14ac:dyDescent="0.2">
      <c r="G1029" s="8"/>
      <c r="H1029" s="5"/>
      <c r="J1029" s="10" t="str">
        <f t="shared" si="146"/>
        <v/>
      </c>
      <c r="K1029" s="10" t="str">
        <f t="shared" si="147"/>
        <v/>
      </c>
      <c r="L1029" s="11" t="str">
        <f t="shared" ref="L1029:L1092" si="149">IF(G1029&lt;&gt;"",J1029/K1029,"")</f>
        <v/>
      </c>
      <c r="M1029" s="9" t="str">
        <f>IF(G1029&lt;&gt;"",J1029/MAX(J$3:J1029)-1,"")</f>
        <v/>
      </c>
      <c r="N1029" s="9" t="str">
        <f>IF(G1029&lt;&gt;"",K1029/MAX(K$3:K1029)-1,"")</f>
        <v/>
      </c>
      <c r="O1029" s="16" t="str">
        <f t="shared" si="145"/>
        <v/>
      </c>
      <c r="P1029" s="16" t="str">
        <f t="shared" si="145"/>
        <v/>
      </c>
      <c r="Q1029" s="16" t="str">
        <f t="shared" si="145"/>
        <v/>
      </c>
      <c r="R1029" s="5" t="str">
        <f t="shared" si="144"/>
        <v/>
      </c>
      <c r="S1029" s="5" t="str">
        <f t="shared" si="148"/>
        <v/>
      </c>
      <c r="T1029" s="5" t="str">
        <f t="shared" si="143"/>
        <v/>
      </c>
      <c r="U1029" s="5" t="str">
        <f t="shared" si="143"/>
        <v/>
      </c>
    </row>
    <row r="1030" spans="7:21" x14ac:dyDescent="0.2">
      <c r="G1030" s="8"/>
      <c r="H1030" s="5"/>
      <c r="J1030" s="10" t="str">
        <f t="shared" si="146"/>
        <v/>
      </c>
      <c r="K1030" s="10" t="str">
        <f t="shared" si="147"/>
        <v/>
      </c>
      <c r="L1030" s="11" t="str">
        <f t="shared" si="149"/>
        <v/>
      </c>
      <c r="M1030" s="9" t="str">
        <f>IF(G1030&lt;&gt;"",J1030/MAX(J$3:J1030)-1,"")</f>
        <v/>
      </c>
      <c r="N1030" s="9" t="str">
        <f>IF(G1030&lt;&gt;"",K1030/MAX(K$3:K1030)-1,"")</f>
        <v/>
      </c>
      <c r="O1030" s="16" t="str">
        <f t="shared" si="145"/>
        <v/>
      </c>
      <c r="P1030" s="16" t="str">
        <f t="shared" si="145"/>
        <v/>
      </c>
      <c r="Q1030" s="16" t="str">
        <f t="shared" si="145"/>
        <v/>
      </c>
      <c r="R1030" s="5" t="str">
        <f t="shared" si="144"/>
        <v/>
      </c>
      <c r="S1030" s="5" t="str">
        <f t="shared" si="148"/>
        <v/>
      </c>
      <c r="T1030" s="5" t="str">
        <f t="shared" si="143"/>
        <v/>
      </c>
      <c r="U1030" s="5" t="str">
        <f t="shared" si="143"/>
        <v/>
      </c>
    </row>
    <row r="1031" spans="7:21" x14ac:dyDescent="0.2">
      <c r="G1031" s="8"/>
      <c r="H1031" s="5"/>
      <c r="J1031" s="10" t="str">
        <f t="shared" si="146"/>
        <v/>
      </c>
      <c r="K1031" s="10" t="str">
        <f t="shared" si="147"/>
        <v/>
      </c>
      <c r="L1031" s="11" t="str">
        <f t="shared" si="149"/>
        <v/>
      </c>
      <c r="M1031" s="9" t="str">
        <f>IF(G1031&lt;&gt;"",J1031/MAX(J$3:J1031)-1,"")</f>
        <v/>
      </c>
      <c r="N1031" s="9" t="str">
        <f>IF(G1031&lt;&gt;"",K1031/MAX(K$3:K1031)-1,"")</f>
        <v/>
      </c>
      <c r="O1031" s="16" t="str">
        <f t="shared" si="145"/>
        <v/>
      </c>
      <c r="P1031" s="16" t="str">
        <f t="shared" si="145"/>
        <v/>
      </c>
      <c r="Q1031" s="16" t="str">
        <f t="shared" si="145"/>
        <v/>
      </c>
      <c r="R1031" s="5" t="str">
        <f t="shared" si="144"/>
        <v/>
      </c>
      <c r="S1031" s="5" t="str">
        <f t="shared" si="148"/>
        <v/>
      </c>
      <c r="T1031" s="5" t="str">
        <f t="shared" si="143"/>
        <v/>
      </c>
      <c r="U1031" s="5" t="str">
        <f t="shared" si="143"/>
        <v/>
      </c>
    </row>
    <row r="1032" spans="7:21" x14ac:dyDescent="0.2">
      <c r="G1032" s="8"/>
      <c r="H1032" s="5"/>
      <c r="J1032" s="10" t="str">
        <f t="shared" si="146"/>
        <v/>
      </c>
      <c r="K1032" s="10" t="str">
        <f t="shared" si="147"/>
        <v/>
      </c>
      <c r="L1032" s="11" t="str">
        <f t="shared" si="149"/>
        <v/>
      </c>
      <c r="M1032" s="9" t="str">
        <f>IF(G1032&lt;&gt;"",J1032/MAX(J$3:J1032)-1,"")</f>
        <v/>
      </c>
      <c r="N1032" s="9" t="str">
        <f>IF(G1032&lt;&gt;"",K1032/MAX(K$3:K1032)-1,"")</f>
        <v/>
      </c>
      <c r="O1032" s="16" t="str">
        <f t="shared" si="145"/>
        <v/>
      </c>
      <c r="P1032" s="16" t="str">
        <f t="shared" si="145"/>
        <v/>
      </c>
      <c r="Q1032" s="16" t="str">
        <f t="shared" si="145"/>
        <v/>
      </c>
      <c r="R1032" s="5" t="str">
        <f t="shared" si="144"/>
        <v/>
      </c>
      <c r="S1032" s="5" t="str">
        <f t="shared" si="148"/>
        <v/>
      </c>
      <c r="T1032" s="5" t="str">
        <f t="shared" ref="T1032:U1047" si="150">IF($G1032&lt;&gt;"",_xlfn.STDEV.S(O788:O1032),"")</f>
        <v/>
      </c>
      <c r="U1032" s="5" t="str">
        <f t="shared" si="150"/>
        <v/>
      </c>
    </row>
    <row r="1033" spans="7:21" x14ac:dyDescent="0.2">
      <c r="G1033" s="8"/>
      <c r="H1033" s="5"/>
      <c r="J1033" s="10" t="str">
        <f t="shared" si="146"/>
        <v/>
      </c>
      <c r="K1033" s="10" t="str">
        <f t="shared" si="147"/>
        <v/>
      </c>
      <c r="L1033" s="11" t="str">
        <f t="shared" si="149"/>
        <v/>
      </c>
      <c r="M1033" s="9" t="str">
        <f>IF(G1033&lt;&gt;"",J1033/MAX(J$3:J1033)-1,"")</f>
        <v/>
      </c>
      <c r="N1033" s="9" t="str">
        <f>IF(G1033&lt;&gt;"",K1033/MAX(K$3:K1033)-1,"")</f>
        <v/>
      </c>
      <c r="O1033" s="16" t="str">
        <f t="shared" si="145"/>
        <v/>
      </c>
      <c r="P1033" s="16" t="str">
        <f t="shared" si="145"/>
        <v/>
      </c>
      <c r="Q1033" s="16" t="str">
        <f t="shared" si="145"/>
        <v/>
      </c>
      <c r="R1033" s="5" t="str">
        <f t="shared" si="144"/>
        <v/>
      </c>
      <c r="S1033" s="5" t="str">
        <f t="shared" si="148"/>
        <v/>
      </c>
      <c r="T1033" s="5" t="str">
        <f t="shared" si="150"/>
        <v/>
      </c>
      <c r="U1033" s="5" t="str">
        <f t="shared" si="150"/>
        <v/>
      </c>
    </row>
    <row r="1034" spans="7:21" x14ac:dyDescent="0.2">
      <c r="G1034" s="8"/>
      <c r="H1034" s="5"/>
      <c r="J1034" s="10" t="str">
        <f t="shared" si="146"/>
        <v/>
      </c>
      <c r="K1034" s="10" t="str">
        <f t="shared" si="147"/>
        <v/>
      </c>
      <c r="L1034" s="11" t="str">
        <f t="shared" si="149"/>
        <v/>
      </c>
      <c r="M1034" s="9" t="str">
        <f>IF(G1034&lt;&gt;"",J1034/MAX(J$3:J1034)-1,"")</f>
        <v/>
      </c>
      <c r="N1034" s="9" t="str">
        <f>IF(G1034&lt;&gt;"",K1034/MAX(K$3:K1034)-1,"")</f>
        <v/>
      </c>
      <c r="O1034" s="16" t="str">
        <f t="shared" si="145"/>
        <v/>
      </c>
      <c r="P1034" s="16" t="str">
        <f t="shared" si="145"/>
        <v/>
      </c>
      <c r="Q1034" s="16" t="str">
        <f t="shared" si="145"/>
        <v/>
      </c>
      <c r="R1034" s="5" t="str">
        <f t="shared" si="144"/>
        <v/>
      </c>
      <c r="S1034" s="5" t="str">
        <f t="shared" si="148"/>
        <v/>
      </c>
      <c r="T1034" s="5" t="str">
        <f t="shared" si="150"/>
        <v/>
      </c>
      <c r="U1034" s="5" t="str">
        <f t="shared" si="150"/>
        <v/>
      </c>
    </row>
    <row r="1035" spans="7:21" x14ac:dyDescent="0.2">
      <c r="G1035" s="8"/>
      <c r="H1035" s="5"/>
      <c r="J1035" s="10" t="str">
        <f t="shared" si="146"/>
        <v/>
      </c>
      <c r="K1035" s="10" t="str">
        <f t="shared" si="147"/>
        <v/>
      </c>
      <c r="L1035" s="11" t="str">
        <f t="shared" si="149"/>
        <v/>
      </c>
      <c r="M1035" s="9" t="str">
        <f>IF(G1035&lt;&gt;"",J1035/MAX(J$3:J1035)-1,"")</f>
        <v/>
      </c>
      <c r="N1035" s="9" t="str">
        <f>IF(G1035&lt;&gt;"",K1035/MAX(K$3:K1035)-1,"")</f>
        <v/>
      </c>
      <c r="O1035" s="16" t="str">
        <f t="shared" si="145"/>
        <v/>
      </c>
      <c r="P1035" s="16" t="str">
        <f t="shared" si="145"/>
        <v/>
      </c>
      <c r="Q1035" s="16" t="str">
        <f t="shared" si="145"/>
        <v/>
      </c>
      <c r="R1035" s="5" t="str">
        <f t="shared" si="144"/>
        <v/>
      </c>
      <c r="S1035" s="5" t="str">
        <f t="shared" si="148"/>
        <v/>
      </c>
      <c r="T1035" s="5" t="str">
        <f t="shared" si="150"/>
        <v/>
      </c>
      <c r="U1035" s="5" t="str">
        <f t="shared" si="150"/>
        <v/>
      </c>
    </row>
    <row r="1036" spans="7:21" x14ac:dyDescent="0.2">
      <c r="G1036" s="8"/>
      <c r="H1036" s="5"/>
      <c r="J1036" s="10" t="str">
        <f t="shared" si="146"/>
        <v/>
      </c>
      <c r="K1036" s="10" t="str">
        <f t="shared" si="147"/>
        <v/>
      </c>
      <c r="L1036" s="11" t="str">
        <f t="shared" si="149"/>
        <v/>
      </c>
      <c r="M1036" s="9" t="str">
        <f>IF(G1036&lt;&gt;"",J1036/MAX(J$3:J1036)-1,"")</f>
        <v/>
      </c>
      <c r="N1036" s="9" t="str">
        <f>IF(G1036&lt;&gt;"",K1036/MAX(K$3:K1036)-1,"")</f>
        <v/>
      </c>
      <c r="O1036" s="16" t="str">
        <f t="shared" si="145"/>
        <v/>
      </c>
      <c r="P1036" s="16" t="str">
        <f t="shared" si="145"/>
        <v/>
      </c>
      <c r="Q1036" s="16" t="str">
        <f t="shared" si="145"/>
        <v/>
      </c>
      <c r="R1036" s="5" t="str">
        <f t="shared" si="144"/>
        <v/>
      </c>
      <c r="S1036" s="5" t="str">
        <f t="shared" si="148"/>
        <v/>
      </c>
      <c r="T1036" s="5" t="str">
        <f t="shared" si="150"/>
        <v/>
      </c>
      <c r="U1036" s="5" t="str">
        <f t="shared" si="150"/>
        <v/>
      </c>
    </row>
    <row r="1037" spans="7:21" x14ac:dyDescent="0.2">
      <c r="G1037" s="8"/>
      <c r="H1037" s="5"/>
      <c r="J1037" s="10" t="str">
        <f t="shared" si="146"/>
        <v/>
      </c>
      <c r="K1037" s="10" t="str">
        <f t="shared" si="147"/>
        <v/>
      </c>
      <c r="L1037" s="11" t="str">
        <f t="shared" si="149"/>
        <v/>
      </c>
      <c r="M1037" s="9" t="str">
        <f>IF(G1037&lt;&gt;"",J1037/MAX(J$3:J1037)-1,"")</f>
        <v/>
      </c>
      <c r="N1037" s="9" t="str">
        <f>IF(G1037&lt;&gt;"",K1037/MAX(K$3:K1037)-1,"")</f>
        <v/>
      </c>
      <c r="O1037" s="16" t="str">
        <f t="shared" si="145"/>
        <v/>
      </c>
      <c r="P1037" s="16" t="str">
        <f t="shared" si="145"/>
        <v/>
      </c>
      <c r="Q1037" s="16" t="str">
        <f t="shared" si="145"/>
        <v/>
      </c>
      <c r="R1037" s="5" t="str">
        <f t="shared" si="144"/>
        <v/>
      </c>
      <c r="S1037" s="5" t="str">
        <f t="shared" si="148"/>
        <v/>
      </c>
      <c r="T1037" s="5" t="str">
        <f t="shared" si="150"/>
        <v/>
      </c>
      <c r="U1037" s="5" t="str">
        <f t="shared" si="150"/>
        <v/>
      </c>
    </row>
    <row r="1038" spans="7:21" x14ac:dyDescent="0.2">
      <c r="G1038" s="8"/>
      <c r="H1038" s="5"/>
      <c r="J1038" s="10" t="str">
        <f t="shared" si="146"/>
        <v/>
      </c>
      <c r="K1038" s="10" t="str">
        <f t="shared" si="147"/>
        <v/>
      </c>
      <c r="L1038" s="11" t="str">
        <f t="shared" si="149"/>
        <v/>
      </c>
      <c r="M1038" s="9" t="str">
        <f>IF(G1038&lt;&gt;"",J1038/MAX(J$3:J1038)-1,"")</f>
        <v/>
      </c>
      <c r="N1038" s="9" t="str">
        <f>IF(G1038&lt;&gt;"",K1038/MAX(K$3:K1038)-1,"")</f>
        <v/>
      </c>
      <c r="O1038" s="16" t="str">
        <f t="shared" si="145"/>
        <v/>
      </c>
      <c r="P1038" s="16" t="str">
        <f t="shared" si="145"/>
        <v/>
      </c>
      <c r="Q1038" s="16" t="str">
        <f t="shared" si="145"/>
        <v/>
      </c>
      <c r="R1038" s="5" t="str">
        <f t="shared" si="144"/>
        <v/>
      </c>
      <c r="S1038" s="5" t="str">
        <f t="shared" si="148"/>
        <v/>
      </c>
      <c r="T1038" s="5" t="str">
        <f t="shared" si="150"/>
        <v/>
      </c>
      <c r="U1038" s="5" t="str">
        <f t="shared" si="150"/>
        <v/>
      </c>
    </row>
    <row r="1039" spans="7:21" x14ac:dyDescent="0.2">
      <c r="G1039" s="8"/>
      <c r="H1039" s="5"/>
      <c r="J1039" s="10" t="str">
        <f t="shared" si="146"/>
        <v/>
      </c>
      <c r="K1039" s="10" t="str">
        <f t="shared" si="147"/>
        <v/>
      </c>
      <c r="L1039" s="11" t="str">
        <f t="shared" si="149"/>
        <v/>
      </c>
      <c r="M1039" s="9" t="str">
        <f>IF(G1039&lt;&gt;"",J1039/MAX(J$3:J1039)-1,"")</f>
        <v/>
      </c>
      <c r="N1039" s="9" t="str">
        <f>IF(G1039&lt;&gt;"",K1039/MAX(K$3:K1039)-1,"")</f>
        <v/>
      </c>
      <c r="O1039" s="16" t="str">
        <f t="shared" si="145"/>
        <v/>
      </c>
      <c r="P1039" s="16" t="str">
        <f t="shared" si="145"/>
        <v/>
      </c>
      <c r="Q1039" s="16" t="str">
        <f t="shared" si="145"/>
        <v/>
      </c>
      <c r="R1039" s="5" t="str">
        <f t="shared" si="144"/>
        <v/>
      </c>
      <c r="S1039" s="5" t="str">
        <f t="shared" si="148"/>
        <v/>
      </c>
      <c r="T1039" s="5" t="str">
        <f t="shared" si="150"/>
        <v/>
      </c>
      <c r="U1039" s="5" t="str">
        <f t="shared" si="150"/>
        <v/>
      </c>
    </row>
    <row r="1040" spans="7:21" x14ac:dyDescent="0.2">
      <c r="G1040" s="8"/>
      <c r="H1040" s="5"/>
      <c r="J1040" s="10" t="str">
        <f t="shared" si="146"/>
        <v/>
      </c>
      <c r="K1040" s="10" t="str">
        <f t="shared" si="147"/>
        <v/>
      </c>
      <c r="L1040" s="11" t="str">
        <f t="shared" si="149"/>
        <v/>
      </c>
      <c r="M1040" s="9" t="str">
        <f>IF(G1040&lt;&gt;"",J1040/MAX(J$3:J1040)-1,"")</f>
        <v/>
      </c>
      <c r="N1040" s="9" t="str">
        <f>IF(G1040&lt;&gt;"",K1040/MAX(K$3:K1040)-1,"")</f>
        <v/>
      </c>
      <c r="O1040" s="16" t="str">
        <f t="shared" si="145"/>
        <v/>
      </c>
      <c r="P1040" s="16" t="str">
        <f t="shared" si="145"/>
        <v/>
      </c>
      <c r="Q1040" s="16" t="str">
        <f t="shared" si="145"/>
        <v/>
      </c>
      <c r="R1040" s="5" t="str">
        <f t="shared" si="144"/>
        <v/>
      </c>
      <c r="S1040" s="5" t="str">
        <f t="shared" si="148"/>
        <v/>
      </c>
      <c r="T1040" s="5" t="str">
        <f t="shared" si="150"/>
        <v/>
      </c>
      <c r="U1040" s="5" t="str">
        <f t="shared" si="150"/>
        <v/>
      </c>
    </row>
    <row r="1041" spans="7:21" x14ac:dyDescent="0.2">
      <c r="G1041" s="8"/>
      <c r="H1041" s="5"/>
      <c r="J1041" s="10" t="str">
        <f t="shared" si="146"/>
        <v/>
      </c>
      <c r="K1041" s="10" t="str">
        <f t="shared" si="147"/>
        <v/>
      </c>
      <c r="L1041" s="11" t="str">
        <f t="shared" si="149"/>
        <v/>
      </c>
      <c r="M1041" s="9" t="str">
        <f>IF(G1041&lt;&gt;"",J1041/MAX(J$3:J1041)-1,"")</f>
        <v/>
      </c>
      <c r="N1041" s="9" t="str">
        <f>IF(G1041&lt;&gt;"",K1041/MAX(K$3:K1041)-1,"")</f>
        <v/>
      </c>
      <c r="O1041" s="16" t="str">
        <f t="shared" si="145"/>
        <v/>
      </c>
      <c r="P1041" s="16" t="str">
        <f t="shared" si="145"/>
        <v/>
      </c>
      <c r="Q1041" s="16" t="str">
        <f t="shared" si="145"/>
        <v/>
      </c>
      <c r="R1041" s="5" t="str">
        <f t="shared" si="144"/>
        <v/>
      </c>
      <c r="S1041" s="5" t="str">
        <f t="shared" si="148"/>
        <v/>
      </c>
      <c r="T1041" s="5" t="str">
        <f t="shared" si="150"/>
        <v/>
      </c>
      <c r="U1041" s="5" t="str">
        <f t="shared" si="150"/>
        <v/>
      </c>
    </row>
    <row r="1042" spans="7:21" x14ac:dyDescent="0.2">
      <c r="G1042" s="8"/>
      <c r="H1042" s="5"/>
      <c r="J1042" s="10" t="str">
        <f t="shared" si="146"/>
        <v/>
      </c>
      <c r="K1042" s="10" t="str">
        <f t="shared" si="147"/>
        <v/>
      </c>
      <c r="L1042" s="11" t="str">
        <f t="shared" si="149"/>
        <v/>
      </c>
      <c r="M1042" s="9" t="str">
        <f>IF(G1042&lt;&gt;"",J1042/MAX(J$3:J1042)-1,"")</f>
        <v/>
      </c>
      <c r="N1042" s="9" t="str">
        <f>IF(G1042&lt;&gt;"",K1042/MAX(K$3:K1042)-1,"")</f>
        <v/>
      </c>
      <c r="O1042" s="16" t="str">
        <f t="shared" si="145"/>
        <v/>
      </c>
      <c r="P1042" s="16" t="str">
        <f t="shared" si="145"/>
        <v/>
      </c>
      <c r="Q1042" s="16" t="str">
        <f t="shared" si="145"/>
        <v/>
      </c>
      <c r="R1042" s="5" t="str">
        <f t="shared" si="144"/>
        <v/>
      </c>
      <c r="S1042" s="5" t="str">
        <f t="shared" si="148"/>
        <v/>
      </c>
      <c r="T1042" s="5" t="str">
        <f t="shared" si="150"/>
        <v/>
      </c>
      <c r="U1042" s="5" t="str">
        <f t="shared" si="150"/>
        <v/>
      </c>
    </row>
    <row r="1043" spans="7:21" x14ac:dyDescent="0.2">
      <c r="G1043" s="8"/>
      <c r="H1043" s="5"/>
      <c r="J1043" s="10" t="str">
        <f t="shared" si="146"/>
        <v/>
      </c>
      <c r="K1043" s="10" t="str">
        <f t="shared" si="147"/>
        <v/>
      </c>
      <c r="L1043" s="11" t="str">
        <f t="shared" si="149"/>
        <v/>
      </c>
      <c r="M1043" s="9" t="str">
        <f>IF(G1043&lt;&gt;"",J1043/MAX(J$3:J1043)-1,"")</f>
        <v/>
      </c>
      <c r="N1043" s="9" t="str">
        <f>IF(G1043&lt;&gt;"",K1043/MAX(K$3:K1043)-1,"")</f>
        <v/>
      </c>
      <c r="O1043" s="16" t="str">
        <f t="shared" si="145"/>
        <v/>
      </c>
      <c r="P1043" s="16" t="str">
        <f t="shared" si="145"/>
        <v/>
      </c>
      <c r="Q1043" s="16" t="str">
        <f t="shared" si="145"/>
        <v/>
      </c>
      <c r="R1043" s="5" t="str">
        <f t="shared" si="144"/>
        <v/>
      </c>
      <c r="S1043" s="5" t="str">
        <f t="shared" si="148"/>
        <v/>
      </c>
      <c r="T1043" s="5" t="str">
        <f t="shared" si="150"/>
        <v/>
      </c>
      <c r="U1043" s="5" t="str">
        <f t="shared" si="150"/>
        <v/>
      </c>
    </row>
    <row r="1044" spans="7:21" x14ac:dyDescent="0.2">
      <c r="G1044" s="8"/>
      <c r="H1044" s="5"/>
      <c r="J1044" s="10" t="str">
        <f t="shared" si="146"/>
        <v/>
      </c>
      <c r="K1044" s="10" t="str">
        <f t="shared" si="147"/>
        <v/>
      </c>
      <c r="L1044" s="11" t="str">
        <f t="shared" si="149"/>
        <v/>
      </c>
      <c r="M1044" s="9" t="str">
        <f>IF(G1044&lt;&gt;"",J1044/MAX(J$3:J1044)-1,"")</f>
        <v/>
      </c>
      <c r="N1044" s="9" t="str">
        <f>IF(G1044&lt;&gt;"",K1044/MAX(K$3:K1044)-1,"")</f>
        <v/>
      </c>
      <c r="O1044" s="16" t="str">
        <f t="shared" si="145"/>
        <v/>
      </c>
      <c r="P1044" s="16" t="str">
        <f t="shared" si="145"/>
        <v/>
      </c>
      <c r="Q1044" s="16" t="str">
        <f t="shared" si="145"/>
        <v/>
      </c>
      <c r="R1044" s="5" t="str">
        <f t="shared" si="144"/>
        <v/>
      </c>
      <c r="S1044" s="5" t="str">
        <f t="shared" si="148"/>
        <v/>
      </c>
      <c r="T1044" s="5" t="str">
        <f t="shared" si="150"/>
        <v/>
      </c>
      <c r="U1044" s="5" t="str">
        <f t="shared" si="150"/>
        <v/>
      </c>
    </row>
    <row r="1045" spans="7:21" x14ac:dyDescent="0.2">
      <c r="G1045" s="8"/>
      <c r="H1045" s="5"/>
      <c r="J1045" s="10" t="str">
        <f t="shared" si="146"/>
        <v/>
      </c>
      <c r="K1045" s="10" t="str">
        <f t="shared" si="147"/>
        <v/>
      </c>
      <c r="L1045" s="11" t="str">
        <f t="shared" si="149"/>
        <v/>
      </c>
      <c r="M1045" s="9" t="str">
        <f>IF(G1045&lt;&gt;"",J1045/MAX(J$3:J1045)-1,"")</f>
        <v/>
      </c>
      <c r="N1045" s="9" t="str">
        <f>IF(G1045&lt;&gt;"",K1045/MAX(K$3:K1045)-1,"")</f>
        <v/>
      </c>
      <c r="O1045" s="16" t="str">
        <f t="shared" si="145"/>
        <v/>
      </c>
      <c r="P1045" s="16" t="str">
        <f t="shared" si="145"/>
        <v/>
      </c>
      <c r="Q1045" s="16" t="str">
        <f t="shared" si="145"/>
        <v/>
      </c>
      <c r="R1045" s="5" t="str">
        <f t="shared" si="144"/>
        <v/>
      </c>
      <c r="S1045" s="5" t="str">
        <f t="shared" si="148"/>
        <v/>
      </c>
      <c r="T1045" s="5" t="str">
        <f t="shared" si="150"/>
        <v/>
      </c>
      <c r="U1045" s="5" t="str">
        <f t="shared" si="150"/>
        <v/>
      </c>
    </row>
    <row r="1046" spans="7:21" x14ac:dyDescent="0.2">
      <c r="G1046" s="8"/>
      <c r="H1046" s="5"/>
      <c r="J1046" s="10" t="str">
        <f t="shared" si="146"/>
        <v/>
      </c>
      <c r="K1046" s="10" t="str">
        <f t="shared" si="147"/>
        <v/>
      </c>
      <c r="L1046" s="11" t="str">
        <f t="shared" si="149"/>
        <v/>
      </c>
      <c r="M1046" s="9" t="str">
        <f>IF(G1046&lt;&gt;"",J1046/MAX(J$3:J1046)-1,"")</f>
        <v/>
      </c>
      <c r="N1046" s="9" t="str">
        <f>IF(G1046&lt;&gt;"",K1046/MAX(K$3:K1046)-1,"")</f>
        <v/>
      </c>
      <c r="O1046" s="16" t="str">
        <f t="shared" si="145"/>
        <v/>
      </c>
      <c r="P1046" s="16" t="str">
        <f t="shared" si="145"/>
        <v/>
      </c>
      <c r="Q1046" s="16" t="str">
        <f t="shared" si="145"/>
        <v/>
      </c>
      <c r="R1046" s="5" t="str">
        <f t="shared" si="144"/>
        <v/>
      </c>
      <c r="S1046" s="5" t="str">
        <f t="shared" si="148"/>
        <v/>
      </c>
      <c r="T1046" s="5" t="str">
        <f t="shared" si="150"/>
        <v/>
      </c>
      <c r="U1046" s="5" t="str">
        <f t="shared" si="150"/>
        <v/>
      </c>
    </row>
    <row r="1047" spans="7:21" x14ac:dyDescent="0.2">
      <c r="G1047" s="8"/>
      <c r="H1047" s="5"/>
      <c r="J1047" s="10" t="str">
        <f t="shared" si="146"/>
        <v/>
      </c>
      <c r="K1047" s="10" t="str">
        <f t="shared" si="147"/>
        <v/>
      </c>
      <c r="L1047" s="11" t="str">
        <f t="shared" si="149"/>
        <v/>
      </c>
      <c r="M1047" s="9" t="str">
        <f>IF(G1047&lt;&gt;"",J1047/MAX(J$3:J1047)-1,"")</f>
        <v/>
      </c>
      <c r="N1047" s="9" t="str">
        <f>IF(G1047&lt;&gt;"",K1047/MAX(K$3:K1047)-1,"")</f>
        <v/>
      </c>
      <c r="O1047" s="16" t="str">
        <f t="shared" si="145"/>
        <v/>
      </c>
      <c r="P1047" s="16" t="str">
        <f t="shared" si="145"/>
        <v/>
      </c>
      <c r="Q1047" s="16" t="str">
        <f t="shared" si="145"/>
        <v/>
      </c>
      <c r="R1047" s="5" t="str">
        <f t="shared" si="144"/>
        <v/>
      </c>
      <c r="S1047" s="5" t="str">
        <f t="shared" si="148"/>
        <v/>
      </c>
      <c r="T1047" s="5" t="str">
        <f t="shared" si="150"/>
        <v/>
      </c>
      <c r="U1047" s="5" t="str">
        <f t="shared" si="150"/>
        <v/>
      </c>
    </row>
    <row r="1048" spans="7:21" x14ac:dyDescent="0.2">
      <c r="G1048" s="8"/>
      <c r="H1048" s="5"/>
      <c r="J1048" s="10" t="str">
        <f t="shared" si="146"/>
        <v/>
      </c>
      <c r="K1048" s="10" t="str">
        <f t="shared" si="147"/>
        <v/>
      </c>
      <c r="L1048" s="11" t="str">
        <f t="shared" si="149"/>
        <v/>
      </c>
      <c r="M1048" s="9" t="str">
        <f>IF(G1048&lt;&gt;"",J1048/MAX(J$3:J1048)-1,"")</f>
        <v/>
      </c>
      <c r="N1048" s="9" t="str">
        <f>IF(G1048&lt;&gt;"",K1048/MAX(K$3:K1048)-1,"")</f>
        <v/>
      </c>
      <c r="O1048" s="16" t="str">
        <f t="shared" si="145"/>
        <v/>
      </c>
      <c r="P1048" s="16" t="str">
        <f t="shared" si="145"/>
        <v/>
      </c>
      <c r="Q1048" s="16" t="str">
        <f t="shared" si="145"/>
        <v/>
      </c>
      <c r="R1048" s="5" t="str">
        <f t="shared" si="144"/>
        <v/>
      </c>
      <c r="S1048" s="5" t="str">
        <f t="shared" si="148"/>
        <v/>
      </c>
      <c r="T1048" s="5" t="str">
        <f t="shared" ref="T1048:U1063" si="151">IF($G1048&lt;&gt;"",_xlfn.STDEV.S(O804:O1048),"")</f>
        <v/>
      </c>
      <c r="U1048" s="5" t="str">
        <f t="shared" si="151"/>
        <v/>
      </c>
    </row>
    <row r="1049" spans="7:21" x14ac:dyDescent="0.2">
      <c r="G1049" s="8"/>
      <c r="H1049" s="5"/>
      <c r="J1049" s="10" t="str">
        <f t="shared" si="146"/>
        <v/>
      </c>
      <c r="K1049" s="10" t="str">
        <f t="shared" si="147"/>
        <v/>
      </c>
      <c r="L1049" s="11" t="str">
        <f t="shared" si="149"/>
        <v/>
      </c>
      <c r="M1049" s="9" t="str">
        <f>IF(G1049&lt;&gt;"",J1049/MAX(J$3:J1049)-1,"")</f>
        <v/>
      </c>
      <c r="N1049" s="9" t="str">
        <f>IF(G1049&lt;&gt;"",K1049/MAX(K$3:K1049)-1,"")</f>
        <v/>
      </c>
      <c r="O1049" s="16" t="str">
        <f t="shared" si="145"/>
        <v/>
      </c>
      <c r="P1049" s="16" t="str">
        <f t="shared" si="145"/>
        <v/>
      </c>
      <c r="Q1049" s="16" t="str">
        <f t="shared" si="145"/>
        <v/>
      </c>
      <c r="R1049" s="5" t="str">
        <f t="shared" si="144"/>
        <v/>
      </c>
      <c r="S1049" s="5" t="str">
        <f t="shared" si="148"/>
        <v/>
      </c>
      <c r="T1049" s="5" t="str">
        <f t="shared" si="151"/>
        <v/>
      </c>
      <c r="U1049" s="5" t="str">
        <f t="shared" si="151"/>
        <v/>
      </c>
    </row>
    <row r="1050" spans="7:21" x14ac:dyDescent="0.2">
      <c r="G1050" s="8"/>
      <c r="H1050" s="5"/>
      <c r="J1050" s="10" t="str">
        <f t="shared" si="146"/>
        <v/>
      </c>
      <c r="K1050" s="10" t="str">
        <f t="shared" si="147"/>
        <v/>
      </c>
      <c r="L1050" s="11" t="str">
        <f t="shared" si="149"/>
        <v/>
      </c>
      <c r="M1050" s="9" t="str">
        <f>IF(G1050&lt;&gt;"",J1050/MAX(J$3:J1050)-1,"")</f>
        <v/>
      </c>
      <c r="N1050" s="9" t="str">
        <f>IF(G1050&lt;&gt;"",K1050/MAX(K$3:K1050)-1,"")</f>
        <v/>
      </c>
      <c r="O1050" s="16" t="str">
        <f t="shared" si="145"/>
        <v/>
      </c>
      <c r="P1050" s="16" t="str">
        <f t="shared" si="145"/>
        <v/>
      </c>
      <c r="Q1050" s="16" t="str">
        <f t="shared" si="145"/>
        <v/>
      </c>
      <c r="R1050" s="5" t="str">
        <f t="shared" si="144"/>
        <v/>
      </c>
      <c r="S1050" s="5" t="str">
        <f t="shared" si="148"/>
        <v/>
      </c>
      <c r="T1050" s="5" t="str">
        <f t="shared" si="151"/>
        <v/>
      </c>
      <c r="U1050" s="5" t="str">
        <f t="shared" si="151"/>
        <v/>
      </c>
    </row>
    <row r="1051" spans="7:21" x14ac:dyDescent="0.2">
      <c r="G1051" s="8"/>
      <c r="H1051" s="5"/>
      <c r="J1051" s="10" t="str">
        <f t="shared" si="146"/>
        <v/>
      </c>
      <c r="K1051" s="10" t="str">
        <f t="shared" si="147"/>
        <v/>
      </c>
      <c r="L1051" s="11" t="str">
        <f t="shared" si="149"/>
        <v/>
      </c>
      <c r="M1051" s="9" t="str">
        <f>IF(G1051&lt;&gt;"",J1051/MAX(J$3:J1051)-1,"")</f>
        <v/>
      </c>
      <c r="N1051" s="9" t="str">
        <f>IF(G1051&lt;&gt;"",K1051/MAX(K$3:K1051)-1,"")</f>
        <v/>
      </c>
      <c r="O1051" s="16" t="str">
        <f t="shared" si="145"/>
        <v/>
      </c>
      <c r="P1051" s="16" t="str">
        <f t="shared" si="145"/>
        <v/>
      </c>
      <c r="Q1051" s="16" t="str">
        <f t="shared" si="145"/>
        <v/>
      </c>
      <c r="R1051" s="5" t="str">
        <f t="shared" si="144"/>
        <v/>
      </c>
      <c r="S1051" s="5" t="str">
        <f t="shared" si="148"/>
        <v/>
      </c>
      <c r="T1051" s="5" t="str">
        <f t="shared" si="151"/>
        <v/>
      </c>
      <c r="U1051" s="5" t="str">
        <f t="shared" si="151"/>
        <v/>
      </c>
    </row>
    <row r="1052" spans="7:21" x14ac:dyDescent="0.2">
      <c r="G1052" s="8"/>
      <c r="H1052" s="5"/>
      <c r="J1052" s="10" t="str">
        <f t="shared" si="146"/>
        <v/>
      </c>
      <c r="K1052" s="10" t="str">
        <f t="shared" si="147"/>
        <v/>
      </c>
      <c r="L1052" s="11" t="str">
        <f t="shared" si="149"/>
        <v/>
      </c>
      <c r="M1052" s="9" t="str">
        <f>IF(G1052&lt;&gt;"",J1052/MAX(J$3:J1052)-1,"")</f>
        <v/>
      </c>
      <c r="N1052" s="9" t="str">
        <f>IF(G1052&lt;&gt;"",K1052/MAX(K$3:K1052)-1,"")</f>
        <v/>
      </c>
      <c r="O1052" s="16" t="str">
        <f t="shared" si="145"/>
        <v/>
      </c>
      <c r="P1052" s="16" t="str">
        <f t="shared" si="145"/>
        <v/>
      </c>
      <c r="Q1052" s="16" t="str">
        <f t="shared" si="145"/>
        <v/>
      </c>
      <c r="R1052" s="5" t="str">
        <f t="shared" si="144"/>
        <v/>
      </c>
      <c r="S1052" s="5" t="str">
        <f t="shared" si="148"/>
        <v/>
      </c>
      <c r="T1052" s="5" t="str">
        <f t="shared" si="151"/>
        <v/>
      </c>
      <c r="U1052" s="5" t="str">
        <f t="shared" si="151"/>
        <v/>
      </c>
    </row>
    <row r="1053" spans="7:21" x14ac:dyDescent="0.2">
      <c r="G1053" s="8"/>
      <c r="H1053" s="5"/>
      <c r="J1053" s="10" t="str">
        <f t="shared" si="146"/>
        <v/>
      </c>
      <c r="K1053" s="10" t="str">
        <f t="shared" si="147"/>
        <v/>
      </c>
      <c r="L1053" s="11" t="str">
        <f t="shared" si="149"/>
        <v/>
      </c>
      <c r="M1053" s="9" t="str">
        <f>IF(G1053&lt;&gt;"",J1053/MAX(J$3:J1053)-1,"")</f>
        <v/>
      </c>
      <c r="N1053" s="9" t="str">
        <f>IF(G1053&lt;&gt;"",K1053/MAX(K$3:K1053)-1,"")</f>
        <v/>
      </c>
      <c r="O1053" s="16" t="str">
        <f t="shared" si="145"/>
        <v/>
      </c>
      <c r="P1053" s="16" t="str">
        <f t="shared" si="145"/>
        <v/>
      </c>
      <c r="Q1053" s="16" t="str">
        <f t="shared" si="145"/>
        <v/>
      </c>
      <c r="R1053" s="5" t="str">
        <f t="shared" si="144"/>
        <v/>
      </c>
      <c r="S1053" s="5" t="str">
        <f t="shared" si="148"/>
        <v/>
      </c>
      <c r="T1053" s="5" t="str">
        <f t="shared" si="151"/>
        <v/>
      </c>
      <c r="U1053" s="5" t="str">
        <f t="shared" si="151"/>
        <v/>
      </c>
    </row>
    <row r="1054" spans="7:21" x14ac:dyDescent="0.2">
      <c r="G1054" s="8"/>
      <c r="H1054" s="5"/>
      <c r="J1054" s="10" t="str">
        <f t="shared" si="146"/>
        <v/>
      </c>
      <c r="K1054" s="10" t="str">
        <f t="shared" si="147"/>
        <v/>
      </c>
      <c r="L1054" s="11" t="str">
        <f t="shared" si="149"/>
        <v/>
      </c>
      <c r="M1054" s="9" t="str">
        <f>IF(G1054&lt;&gt;"",J1054/MAX(J$3:J1054)-1,"")</f>
        <v/>
      </c>
      <c r="N1054" s="9" t="str">
        <f>IF(G1054&lt;&gt;"",K1054/MAX(K$3:K1054)-1,"")</f>
        <v/>
      </c>
      <c r="O1054" s="16" t="str">
        <f t="shared" si="145"/>
        <v/>
      </c>
      <c r="P1054" s="16" t="str">
        <f t="shared" si="145"/>
        <v/>
      </c>
      <c r="Q1054" s="16" t="str">
        <f t="shared" si="145"/>
        <v/>
      </c>
      <c r="R1054" s="5" t="str">
        <f t="shared" si="144"/>
        <v/>
      </c>
      <c r="S1054" s="5" t="str">
        <f t="shared" si="148"/>
        <v/>
      </c>
      <c r="T1054" s="5" t="str">
        <f t="shared" si="151"/>
        <v/>
      </c>
      <c r="U1054" s="5" t="str">
        <f t="shared" si="151"/>
        <v/>
      </c>
    </row>
    <row r="1055" spans="7:21" x14ac:dyDescent="0.2">
      <c r="G1055" s="8"/>
      <c r="H1055" s="5"/>
      <c r="J1055" s="10" t="str">
        <f t="shared" si="146"/>
        <v/>
      </c>
      <c r="K1055" s="10" t="str">
        <f t="shared" si="147"/>
        <v/>
      </c>
      <c r="L1055" s="11" t="str">
        <f t="shared" si="149"/>
        <v/>
      </c>
      <c r="M1055" s="9" t="str">
        <f>IF(G1055&lt;&gt;"",J1055/MAX(J$3:J1055)-1,"")</f>
        <v/>
      </c>
      <c r="N1055" s="9" t="str">
        <f>IF(G1055&lt;&gt;"",K1055/MAX(K$3:K1055)-1,"")</f>
        <v/>
      </c>
      <c r="O1055" s="16" t="str">
        <f t="shared" si="145"/>
        <v/>
      </c>
      <c r="P1055" s="16" t="str">
        <f t="shared" si="145"/>
        <v/>
      </c>
      <c r="Q1055" s="16" t="str">
        <f t="shared" si="145"/>
        <v/>
      </c>
      <c r="R1055" s="5" t="str">
        <f t="shared" si="144"/>
        <v/>
      </c>
      <c r="S1055" s="5" t="str">
        <f t="shared" si="148"/>
        <v/>
      </c>
      <c r="T1055" s="5" t="str">
        <f t="shared" si="151"/>
        <v/>
      </c>
      <c r="U1055" s="5" t="str">
        <f t="shared" si="151"/>
        <v/>
      </c>
    </row>
    <row r="1056" spans="7:21" x14ac:dyDescent="0.2">
      <c r="G1056" s="8"/>
      <c r="H1056" s="5"/>
      <c r="J1056" s="10" t="str">
        <f t="shared" si="146"/>
        <v/>
      </c>
      <c r="K1056" s="10" t="str">
        <f t="shared" si="147"/>
        <v/>
      </c>
      <c r="L1056" s="11" t="str">
        <f t="shared" si="149"/>
        <v/>
      </c>
      <c r="M1056" s="9" t="str">
        <f>IF(G1056&lt;&gt;"",J1056/MAX(J$3:J1056)-1,"")</f>
        <v/>
      </c>
      <c r="N1056" s="9" t="str">
        <f>IF(G1056&lt;&gt;"",K1056/MAX(K$3:K1056)-1,"")</f>
        <v/>
      </c>
      <c r="O1056" s="16" t="str">
        <f t="shared" si="145"/>
        <v/>
      </c>
      <c r="P1056" s="16" t="str">
        <f t="shared" si="145"/>
        <v/>
      </c>
      <c r="Q1056" s="16" t="str">
        <f t="shared" si="145"/>
        <v/>
      </c>
      <c r="R1056" s="5" t="str">
        <f t="shared" si="144"/>
        <v/>
      </c>
      <c r="S1056" s="5" t="str">
        <f t="shared" si="148"/>
        <v/>
      </c>
      <c r="T1056" s="5" t="str">
        <f t="shared" si="151"/>
        <v/>
      </c>
      <c r="U1056" s="5" t="str">
        <f t="shared" si="151"/>
        <v/>
      </c>
    </row>
    <row r="1057" spans="7:21" x14ac:dyDescent="0.2">
      <c r="G1057" s="8"/>
      <c r="H1057" s="5"/>
      <c r="J1057" s="10" t="str">
        <f t="shared" si="146"/>
        <v/>
      </c>
      <c r="K1057" s="10" t="str">
        <f t="shared" si="147"/>
        <v/>
      </c>
      <c r="L1057" s="11" t="str">
        <f t="shared" si="149"/>
        <v/>
      </c>
      <c r="M1057" s="9" t="str">
        <f>IF(G1057&lt;&gt;"",J1057/MAX(J$3:J1057)-1,"")</f>
        <v/>
      </c>
      <c r="N1057" s="9" t="str">
        <f>IF(G1057&lt;&gt;"",K1057/MAX(K$3:K1057)-1,"")</f>
        <v/>
      </c>
      <c r="O1057" s="16" t="str">
        <f t="shared" si="145"/>
        <v/>
      </c>
      <c r="P1057" s="16" t="str">
        <f t="shared" si="145"/>
        <v/>
      </c>
      <c r="Q1057" s="16" t="str">
        <f t="shared" si="145"/>
        <v/>
      </c>
      <c r="R1057" s="5" t="str">
        <f t="shared" si="144"/>
        <v/>
      </c>
      <c r="S1057" s="5" t="str">
        <f t="shared" si="148"/>
        <v/>
      </c>
      <c r="T1057" s="5" t="str">
        <f t="shared" si="151"/>
        <v/>
      </c>
      <c r="U1057" s="5" t="str">
        <f t="shared" si="151"/>
        <v/>
      </c>
    </row>
    <row r="1058" spans="7:21" x14ac:dyDescent="0.2">
      <c r="G1058" s="8"/>
      <c r="H1058" s="5"/>
      <c r="J1058" s="10" t="str">
        <f t="shared" si="146"/>
        <v/>
      </c>
      <c r="K1058" s="10" t="str">
        <f t="shared" si="147"/>
        <v/>
      </c>
      <c r="L1058" s="11" t="str">
        <f t="shared" si="149"/>
        <v/>
      </c>
      <c r="M1058" s="9" t="str">
        <f>IF(G1058&lt;&gt;"",J1058/MAX(J$3:J1058)-1,"")</f>
        <v/>
      </c>
      <c r="N1058" s="9" t="str">
        <f>IF(G1058&lt;&gt;"",K1058/MAX(K$3:K1058)-1,"")</f>
        <v/>
      </c>
      <c r="O1058" s="16" t="str">
        <f t="shared" si="145"/>
        <v/>
      </c>
      <c r="P1058" s="16" t="str">
        <f t="shared" si="145"/>
        <v/>
      </c>
      <c r="Q1058" s="16" t="str">
        <f t="shared" si="145"/>
        <v/>
      </c>
      <c r="R1058" s="5" t="str">
        <f t="shared" si="144"/>
        <v/>
      </c>
      <c r="S1058" s="5" t="str">
        <f t="shared" si="148"/>
        <v/>
      </c>
      <c r="T1058" s="5" t="str">
        <f t="shared" si="151"/>
        <v/>
      </c>
      <c r="U1058" s="5" t="str">
        <f t="shared" si="151"/>
        <v/>
      </c>
    </row>
    <row r="1059" spans="7:21" x14ac:dyDescent="0.2">
      <c r="G1059" s="8"/>
      <c r="H1059" s="5"/>
      <c r="J1059" s="10" t="str">
        <f t="shared" si="146"/>
        <v/>
      </c>
      <c r="K1059" s="10" t="str">
        <f t="shared" si="147"/>
        <v/>
      </c>
      <c r="L1059" s="11" t="str">
        <f t="shared" si="149"/>
        <v/>
      </c>
      <c r="M1059" s="9" t="str">
        <f>IF(G1059&lt;&gt;"",J1059/MAX(J$3:J1059)-1,"")</f>
        <v/>
      </c>
      <c r="N1059" s="9" t="str">
        <f>IF(G1059&lt;&gt;"",K1059/MAX(K$3:K1059)-1,"")</f>
        <v/>
      </c>
      <c r="O1059" s="16" t="str">
        <f t="shared" si="145"/>
        <v/>
      </c>
      <c r="P1059" s="16" t="str">
        <f t="shared" si="145"/>
        <v/>
      </c>
      <c r="Q1059" s="16" t="str">
        <f t="shared" si="145"/>
        <v/>
      </c>
      <c r="R1059" s="5" t="str">
        <f t="shared" si="144"/>
        <v/>
      </c>
      <c r="S1059" s="5" t="str">
        <f t="shared" si="148"/>
        <v/>
      </c>
      <c r="T1059" s="5" t="str">
        <f t="shared" si="151"/>
        <v/>
      </c>
      <c r="U1059" s="5" t="str">
        <f t="shared" si="151"/>
        <v/>
      </c>
    </row>
    <row r="1060" spans="7:21" x14ac:dyDescent="0.2">
      <c r="G1060" s="8"/>
      <c r="H1060" s="5"/>
      <c r="J1060" s="10" t="str">
        <f t="shared" si="146"/>
        <v/>
      </c>
      <c r="K1060" s="10" t="str">
        <f t="shared" si="147"/>
        <v/>
      </c>
      <c r="L1060" s="11" t="str">
        <f t="shared" si="149"/>
        <v/>
      </c>
      <c r="M1060" s="9" t="str">
        <f>IF(G1060&lt;&gt;"",J1060/MAX(J$3:J1060)-1,"")</f>
        <v/>
      </c>
      <c r="N1060" s="9" t="str">
        <f>IF(G1060&lt;&gt;"",K1060/MAX(K$3:K1060)-1,"")</f>
        <v/>
      </c>
      <c r="O1060" s="16" t="str">
        <f t="shared" si="145"/>
        <v/>
      </c>
      <c r="P1060" s="16" t="str">
        <f t="shared" si="145"/>
        <v/>
      </c>
      <c r="Q1060" s="16" t="str">
        <f t="shared" si="145"/>
        <v/>
      </c>
      <c r="R1060" s="5" t="str">
        <f t="shared" si="144"/>
        <v/>
      </c>
      <c r="S1060" s="5" t="str">
        <f t="shared" si="148"/>
        <v/>
      </c>
      <c r="T1060" s="5" t="str">
        <f t="shared" si="151"/>
        <v/>
      </c>
      <c r="U1060" s="5" t="str">
        <f t="shared" si="151"/>
        <v/>
      </c>
    </row>
    <row r="1061" spans="7:21" x14ac:dyDescent="0.2">
      <c r="G1061" s="8"/>
      <c r="H1061" s="5"/>
      <c r="J1061" s="10" t="str">
        <f t="shared" si="146"/>
        <v/>
      </c>
      <c r="K1061" s="10" t="str">
        <f t="shared" si="147"/>
        <v/>
      </c>
      <c r="L1061" s="11" t="str">
        <f t="shared" si="149"/>
        <v/>
      </c>
      <c r="M1061" s="9" t="str">
        <f>IF(G1061&lt;&gt;"",J1061/MAX(J$3:J1061)-1,"")</f>
        <v/>
      </c>
      <c r="N1061" s="9" t="str">
        <f>IF(G1061&lt;&gt;"",K1061/MAX(K$3:K1061)-1,"")</f>
        <v/>
      </c>
      <c r="O1061" s="16" t="str">
        <f t="shared" si="145"/>
        <v/>
      </c>
      <c r="P1061" s="16" t="str">
        <f t="shared" si="145"/>
        <v/>
      </c>
      <c r="Q1061" s="16" t="str">
        <f t="shared" si="145"/>
        <v/>
      </c>
      <c r="R1061" s="5" t="str">
        <f t="shared" si="144"/>
        <v/>
      </c>
      <c r="S1061" s="5" t="str">
        <f t="shared" si="148"/>
        <v/>
      </c>
      <c r="T1061" s="5" t="str">
        <f t="shared" si="151"/>
        <v/>
      </c>
      <c r="U1061" s="5" t="str">
        <f t="shared" si="151"/>
        <v/>
      </c>
    </row>
    <row r="1062" spans="7:21" x14ac:dyDescent="0.2">
      <c r="G1062" s="8"/>
      <c r="H1062" s="5"/>
      <c r="J1062" s="10" t="str">
        <f t="shared" si="146"/>
        <v/>
      </c>
      <c r="K1062" s="10" t="str">
        <f t="shared" si="147"/>
        <v/>
      </c>
      <c r="L1062" s="11" t="str">
        <f t="shared" si="149"/>
        <v/>
      </c>
      <c r="M1062" s="9" t="str">
        <f>IF(G1062&lt;&gt;"",J1062/MAX(J$3:J1062)-1,"")</f>
        <v/>
      </c>
      <c r="N1062" s="9" t="str">
        <f>IF(G1062&lt;&gt;"",K1062/MAX(K$3:K1062)-1,"")</f>
        <v/>
      </c>
      <c r="O1062" s="16" t="str">
        <f t="shared" si="145"/>
        <v/>
      </c>
      <c r="P1062" s="16" t="str">
        <f t="shared" si="145"/>
        <v/>
      </c>
      <c r="Q1062" s="16" t="str">
        <f t="shared" si="145"/>
        <v/>
      </c>
      <c r="R1062" s="5" t="str">
        <f t="shared" si="144"/>
        <v/>
      </c>
      <c r="S1062" s="5" t="str">
        <f t="shared" si="148"/>
        <v/>
      </c>
      <c r="T1062" s="5" t="str">
        <f t="shared" si="151"/>
        <v/>
      </c>
      <c r="U1062" s="5" t="str">
        <f t="shared" si="151"/>
        <v/>
      </c>
    </row>
    <row r="1063" spans="7:21" x14ac:dyDescent="0.2">
      <c r="G1063" s="8"/>
      <c r="H1063" s="5"/>
      <c r="J1063" s="10" t="str">
        <f t="shared" si="146"/>
        <v/>
      </c>
      <c r="K1063" s="10" t="str">
        <f t="shared" si="147"/>
        <v/>
      </c>
      <c r="L1063" s="11" t="str">
        <f t="shared" si="149"/>
        <v/>
      </c>
      <c r="M1063" s="9" t="str">
        <f>IF(G1063&lt;&gt;"",J1063/MAX(J$3:J1063)-1,"")</f>
        <v/>
      </c>
      <c r="N1063" s="9" t="str">
        <f>IF(G1063&lt;&gt;"",K1063/MAX(K$3:K1063)-1,"")</f>
        <v/>
      </c>
      <c r="O1063" s="16" t="str">
        <f t="shared" si="145"/>
        <v/>
      </c>
      <c r="P1063" s="16" t="str">
        <f t="shared" si="145"/>
        <v/>
      </c>
      <c r="Q1063" s="16" t="str">
        <f t="shared" si="145"/>
        <v/>
      </c>
      <c r="R1063" s="5" t="str">
        <f t="shared" si="144"/>
        <v/>
      </c>
      <c r="S1063" s="5" t="str">
        <f t="shared" si="148"/>
        <v/>
      </c>
      <c r="T1063" s="5" t="str">
        <f t="shared" si="151"/>
        <v/>
      </c>
      <c r="U1063" s="5" t="str">
        <f t="shared" si="151"/>
        <v/>
      </c>
    </row>
    <row r="1064" spans="7:21" x14ac:dyDescent="0.2">
      <c r="G1064" s="8"/>
      <c r="H1064" s="5"/>
      <c r="J1064" s="10" t="str">
        <f t="shared" si="146"/>
        <v/>
      </c>
      <c r="K1064" s="10" t="str">
        <f t="shared" si="147"/>
        <v/>
      </c>
      <c r="L1064" s="11" t="str">
        <f t="shared" si="149"/>
        <v/>
      </c>
      <c r="M1064" s="9" t="str">
        <f>IF(G1064&lt;&gt;"",J1064/MAX(J$3:J1064)-1,"")</f>
        <v/>
      </c>
      <c r="N1064" s="9" t="str">
        <f>IF(G1064&lt;&gt;"",K1064/MAX(K$3:K1064)-1,"")</f>
        <v/>
      </c>
      <c r="O1064" s="16" t="str">
        <f t="shared" si="145"/>
        <v/>
      </c>
      <c r="P1064" s="16" t="str">
        <f t="shared" si="145"/>
        <v/>
      </c>
      <c r="Q1064" s="16" t="str">
        <f t="shared" si="145"/>
        <v/>
      </c>
      <c r="R1064" s="5" t="str">
        <f t="shared" si="144"/>
        <v/>
      </c>
      <c r="S1064" s="5" t="str">
        <f t="shared" si="148"/>
        <v/>
      </c>
      <c r="T1064" s="5" t="str">
        <f t="shared" ref="T1064:U1079" si="152">IF($G1064&lt;&gt;"",_xlfn.STDEV.S(O820:O1064),"")</f>
        <v/>
      </c>
      <c r="U1064" s="5" t="str">
        <f t="shared" si="152"/>
        <v/>
      </c>
    </row>
    <row r="1065" spans="7:21" x14ac:dyDescent="0.2">
      <c r="G1065" s="8"/>
      <c r="H1065" s="5"/>
      <c r="J1065" s="10" t="str">
        <f t="shared" si="146"/>
        <v/>
      </c>
      <c r="K1065" s="10" t="str">
        <f t="shared" si="147"/>
        <v/>
      </c>
      <c r="L1065" s="11" t="str">
        <f t="shared" si="149"/>
        <v/>
      </c>
      <c r="M1065" s="9" t="str">
        <f>IF(G1065&lt;&gt;"",J1065/MAX(J$3:J1065)-1,"")</f>
        <v/>
      </c>
      <c r="N1065" s="9" t="str">
        <f>IF(G1065&lt;&gt;"",K1065/MAX(K$3:K1065)-1,"")</f>
        <v/>
      </c>
      <c r="O1065" s="16" t="str">
        <f t="shared" si="145"/>
        <v/>
      </c>
      <c r="P1065" s="16" t="str">
        <f t="shared" si="145"/>
        <v/>
      </c>
      <c r="Q1065" s="16" t="str">
        <f t="shared" si="145"/>
        <v/>
      </c>
      <c r="R1065" s="5" t="str">
        <f t="shared" si="144"/>
        <v/>
      </c>
      <c r="S1065" s="5" t="str">
        <f t="shared" si="148"/>
        <v/>
      </c>
      <c r="T1065" s="5" t="str">
        <f t="shared" si="152"/>
        <v/>
      </c>
      <c r="U1065" s="5" t="str">
        <f t="shared" si="152"/>
        <v/>
      </c>
    </row>
    <row r="1066" spans="7:21" x14ac:dyDescent="0.2">
      <c r="G1066" s="8"/>
      <c r="H1066" s="5"/>
      <c r="J1066" s="10" t="str">
        <f t="shared" si="146"/>
        <v/>
      </c>
      <c r="K1066" s="10" t="str">
        <f t="shared" si="147"/>
        <v/>
      </c>
      <c r="L1066" s="11" t="str">
        <f t="shared" si="149"/>
        <v/>
      </c>
      <c r="M1066" s="9" t="str">
        <f>IF(G1066&lt;&gt;"",J1066/MAX(J$3:J1066)-1,"")</f>
        <v/>
      </c>
      <c r="N1066" s="9" t="str">
        <f>IF(G1066&lt;&gt;"",K1066/MAX(K$3:K1066)-1,"")</f>
        <v/>
      </c>
      <c r="O1066" s="16" t="str">
        <f t="shared" si="145"/>
        <v/>
      </c>
      <c r="P1066" s="16" t="str">
        <f t="shared" si="145"/>
        <v/>
      </c>
      <c r="Q1066" s="16" t="str">
        <f t="shared" si="145"/>
        <v/>
      </c>
      <c r="R1066" s="5" t="str">
        <f t="shared" si="144"/>
        <v/>
      </c>
      <c r="S1066" s="5" t="str">
        <f t="shared" si="148"/>
        <v/>
      </c>
      <c r="T1066" s="5" t="str">
        <f t="shared" si="152"/>
        <v/>
      </c>
      <c r="U1066" s="5" t="str">
        <f t="shared" si="152"/>
        <v/>
      </c>
    </row>
    <row r="1067" spans="7:21" x14ac:dyDescent="0.2">
      <c r="G1067" s="8"/>
      <c r="H1067" s="5"/>
      <c r="J1067" s="10" t="str">
        <f t="shared" si="146"/>
        <v/>
      </c>
      <c r="K1067" s="10" t="str">
        <f t="shared" si="147"/>
        <v/>
      </c>
      <c r="L1067" s="11" t="str">
        <f t="shared" si="149"/>
        <v/>
      </c>
      <c r="M1067" s="9" t="str">
        <f>IF(G1067&lt;&gt;"",J1067/MAX(J$3:J1067)-1,"")</f>
        <v/>
      </c>
      <c r="N1067" s="9" t="str">
        <f>IF(G1067&lt;&gt;"",K1067/MAX(K$3:K1067)-1,"")</f>
        <v/>
      </c>
      <c r="O1067" s="16" t="str">
        <f t="shared" si="145"/>
        <v/>
      </c>
      <c r="P1067" s="16" t="str">
        <f t="shared" si="145"/>
        <v/>
      </c>
      <c r="Q1067" s="16" t="str">
        <f t="shared" si="145"/>
        <v/>
      </c>
      <c r="R1067" s="5" t="str">
        <f t="shared" si="144"/>
        <v/>
      </c>
      <c r="S1067" s="5" t="str">
        <f t="shared" si="148"/>
        <v/>
      </c>
      <c r="T1067" s="5" t="str">
        <f t="shared" si="152"/>
        <v/>
      </c>
      <c r="U1067" s="5" t="str">
        <f t="shared" si="152"/>
        <v/>
      </c>
    </row>
    <row r="1068" spans="7:21" x14ac:dyDescent="0.2">
      <c r="G1068" s="8"/>
      <c r="H1068" s="5"/>
      <c r="J1068" s="10" t="str">
        <f t="shared" si="146"/>
        <v/>
      </c>
      <c r="K1068" s="10" t="str">
        <f t="shared" si="147"/>
        <v/>
      </c>
      <c r="L1068" s="11" t="str">
        <f t="shared" si="149"/>
        <v/>
      </c>
      <c r="M1068" s="9" t="str">
        <f>IF(G1068&lt;&gt;"",J1068/MAX(J$3:J1068)-1,"")</f>
        <v/>
      </c>
      <c r="N1068" s="9" t="str">
        <f>IF(G1068&lt;&gt;"",K1068/MAX(K$3:K1068)-1,"")</f>
        <v/>
      </c>
      <c r="O1068" s="16" t="str">
        <f t="shared" si="145"/>
        <v/>
      </c>
      <c r="P1068" s="16" t="str">
        <f t="shared" si="145"/>
        <v/>
      </c>
      <c r="Q1068" s="16" t="str">
        <f t="shared" si="145"/>
        <v/>
      </c>
      <c r="R1068" s="5" t="str">
        <f t="shared" si="144"/>
        <v/>
      </c>
      <c r="S1068" s="5" t="str">
        <f t="shared" si="148"/>
        <v/>
      </c>
      <c r="T1068" s="5" t="str">
        <f t="shared" si="152"/>
        <v/>
      </c>
      <c r="U1068" s="5" t="str">
        <f t="shared" si="152"/>
        <v/>
      </c>
    </row>
    <row r="1069" spans="7:21" x14ac:dyDescent="0.2">
      <c r="G1069" s="8"/>
      <c r="H1069" s="5"/>
      <c r="J1069" s="10" t="str">
        <f t="shared" si="146"/>
        <v/>
      </c>
      <c r="K1069" s="10" t="str">
        <f t="shared" si="147"/>
        <v/>
      </c>
      <c r="L1069" s="11" t="str">
        <f t="shared" si="149"/>
        <v/>
      </c>
      <c r="M1069" s="9" t="str">
        <f>IF(G1069&lt;&gt;"",J1069/MAX(J$3:J1069)-1,"")</f>
        <v/>
      </c>
      <c r="N1069" s="9" t="str">
        <f>IF(G1069&lt;&gt;"",K1069/MAX(K$3:K1069)-1,"")</f>
        <v/>
      </c>
      <c r="O1069" s="16" t="str">
        <f t="shared" si="145"/>
        <v/>
      </c>
      <c r="P1069" s="16" t="str">
        <f t="shared" si="145"/>
        <v/>
      </c>
      <c r="Q1069" s="16" t="str">
        <f t="shared" si="145"/>
        <v/>
      </c>
      <c r="R1069" s="5" t="str">
        <f t="shared" si="144"/>
        <v/>
      </c>
      <c r="S1069" s="5" t="str">
        <f t="shared" si="148"/>
        <v/>
      </c>
      <c r="T1069" s="5" t="str">
        <f t="shared" si="152"/>
        <v/>
      </c>
      <c r="U1069" s="5" t="str">
        <f t="shared" si="152"/>
        <v/>
      </c>
    </row>
    <row r="1070" spans="7:21" x14ac:dyDescent="0.2">
      <c r="G1070" s="8"/>
      <c r="H1070" s="5"/>
      <c r="J1070" s="10" t="str">
        <f t="shared" si="146"/>
        <v/>
      </c>
      <c r="K1070" s="10" t="str">
        <f t="shared" si="147"/>
        <v/>
      </c>
      <c r="L1070" s="11" t="str">
        <f t="shared" si="149"/>
        <v/>
      </c>
      <c r="M1070" s="9" t="str">
        <f>IF(G1070&lt;&gt;"",J1070/MAX(J$3:J1070)-1,"")</f>
        <v/>
      </c>
      <c r="N1070" s="9" t="str">
        <f>IF(G1070&lt;&gt;"",K1070/MAX(K$3:K1070)-1,"")</f>
        <v/>
      </c>
      <c r="O1070" s="16" t="str">
        <f t="shared" si="145"/>
        <v/>
      </c>
      <c r="P1070" s="16" t="str">
        <f t="shared" si="145"/>
        <v/>
      </c>
      <c r="Q1070" s="16" t="str">
        <f t="shared" si="145"/>
        <v/>
      </c>
      <c r="R1070" s="5" t="str">
        <f t="shared" si="144"/>
        <v/>
      </c>
      <c r="S1070" s="5" t="str">
        <f t="shared" si="148"/>
        <v/>
      </c>
      <c r="T1070" s="5" t="str">
        <f t="shared" si="152"/>
        <v/>
      </c>
      <c r="U1070" s="5" t="str">
        <f t="shared" si="152"/>
        <v/>
      </c>
    </row>
    <row r="1071" spans="7:21" x14ac:dyDescent="0.2">
      <c r="G1071" s="8"/>
      <c r="H1071" s="5"/>
      <c r="J1071" s="10" t="str">
        <f t="shared" si="146"/>
        <v/>
      </c>
      <c r="K1071" s="10" t="str">
        <f t="shared" si="147"/>
        <v/>
      </c>
      <c r="L1071" s="11" t="str">
        <f t="shared" si="149"/>
        <v/>
      </c>
      <c r="M1071" s="9" t="str">
        <f>IF(G1071&lt;&gt;"",J1071/MAX(J$3:J1071)-1,"")</f>
        <v/>
      </c>
      <c r="N1071" s="9" t="str">
        <f>IF(G1071&lt;&gt;"",K1071/MAX(K$3:K1071)-1,"")</f>
        <v/>
      </c>
      <c r="O1071" s="16" t="str">
        <f t="shared" si="145"/>
        <v/>
      </c>
      <c r="P1071" s="16" t="str">
        <f t="shared" si="145"/>
        <v/>
      </c>
      <c r="Q1071" s="16" t="str">
        <f t="shared" si="145"/>
        <v/>
      </c>
      <c r="R1071" s="5" t="str">
        <f t="shared" si="144"/>
        <v/>
      </c>
      <c r="S1071" s="5" t="str">
        <f t="shared" si="148"/>
        <v/>
      </c>
      <c r="T1071" s="5" t="str">
        <f t="shared" si="152"/>
        <v/>
      </c>
      <c r="U1071" s="5" t="str">
        <f t="shared" si="152"/>
        <v/>
      </c>
    </row>
    <row r="1072" spans="7:21" x14ac:dyDescent="0.2">
      <c r="G1072" s="8"/>
      <c r="H1072" s="5"/>
      <c r="J1072" s="10" t="str">
        <f t="shared" si="146"/>
        <v/>
      </c>
      <c r="K1072" s="10" t="str">
        <f t="shared" si="147"/>
        <v/>
      </c>
      <c r="L1072" s="11" t="str">
        <f t="shared" si="149"/>
        <v/>
      </c>
      <c r="M1072" s="9" t="str">
        <f>IF(G1072&lt;&gt;"",J1072/MAX(J$3:J1072)-1,"")</f>
        <v/>
      </c>
      <c r="N1072" s="9" t="str">
        <f>IF(G1072&lt;&gt;"",K1072/MAX(K$3:K1072)-1,"")</f>
        <v/>
      </c>
      <c r="O1072" s="16" t="str">
        <f t="shared" si="145"/>
        <v/>
      </c>
      <c r="P1072" s="16" t="str">
        <f t="shared" si="145"/>
        <v/>
      </c>
      <c r="Q1072" s="16" t="str">
        <f t="shared" si="145"/>
        <v/>
      </c>
      <c r="R1072" s="5" t="str">
        <f t="shared" si="144"/>
        <v/>
      </c>
      <c r="S1072" s="5" t="str">
        <f t="shared" si="148"/>
        <v/>
      </c>
      <c r="T1072" s="5" t="str">
        <f t="shared" si="152"/>
        <v/>
      </c>
      <c r="U1072" s="5" t="str">
        <f t="shared" si="152"/>
        <v/>
      </c>
    </row>
    <row r="1073" spans="7:21" x14ac:dyDescent="0.2">
      <c r="G1073" s="8"/>
      <c r="H1073" s="5"/>
      <c r="J1073" s="10" t="str">
        <f t="shared" si="146"/>
        <v/>
      </c>
      <c r="K1073" s="10" t="str">
        <f t="shared" si="147"/>
        <v/>
      </c>
      <c r="L1073" s="11" t="str">
        <f t="shared" si="149"/>
        <v/>
      </c>
      <c r="M1073" s="9" t="str">
        <f>IF(G1073&lt;&gt;"",J1073/MAX(J$3:J1073)-1,"")</f>
        <v/>
      </c>
      <c r="N1073" s="9" t="str">
        <f>IF(G1073&lt;&gt;"",K1073/MAX(K$3:K1073)-1,"")</f>
        <v/>
      </c>
      <c r="O1073" s="16" t="str">
        <f t="shared" si="145"/>
        <v/>
      </c>
      <c r="P1073" s="16" t="str">
        <f t="shared" si="145"/>
        <v/>
      </c>
      <c r="Q1073" s="16" t="str">
        <f t="shared" si="145"/>
        <v/>
      </c>
      <c r="R1073" s="5" t="str">
        <f t="shared" si="144"/>
        <v/>
      </c>
      <c r="S1073" s="5" t="str">
        <f t="shared" si="148"/>
        <v/>
      </c>
      <c r="T1073" s="5" t="str">
        <f t="shared" si="152"/>
        <v/>
      </c>
      <c r="U1073" s="5" t="str">
        <f t="shared" si="152"/>
        <v/>
      </c>
    </row>
    <row r="1074" spans="7:21" x14ac:dyDescent="0.2">
      <c r="G1074" s="8"/>
      <c r="H1074" s="5"/>
      <c r="J1074" s="10" t="str">
        <f t="shared" si="146"/>
        <v/>
      </c>
      <c r="K1074" s="10" t="str">
        <f t="shared" si="147"/>
        <v/>
      </c>
      <c r="L1074" s="11" t="str">
        <f t="shared" si="149"/>
        <v/>
      </c>
      <c r="M1074" s="9" t="str">
        <f>IF(G1074&lt;&gt;"",J1074/MAX(J$3:J1074)-1,"")</f>
        <v/>
      </c>
      <c r="N1074" s="9" t="str">
        <f>IF(G1074&lt;&gt;"",K1074/MAX(K$3:K1074)-1,"")</f>
        <v/>
      </c>
      <c r="O1074" s="16" t="str">
        <f t="shared" si="145"/>
        <v/>
      </c>
      <c r="P1074" s="16" t="str">
        <f t="shared" si="145"/>
        <v/>
      </c>
      <c r="Q1074" s="16" t="str">
        <f t="shared" si="145"/>
        <v/>
      </c>
      <c r="R1074" s="5" t="str">
        <f t="shared" si="144"/>
        <v/>
      </c>
      <c r="S1074" s="5" t="str">
        <f t="shared" si="148"/>
        <v/>
      </c>
      <c r="T1074" s="5" t="str">
        <f t="shared" si="152"/>
        <v/>
      </c>
      <c r="U1074" s="5" t="str">
        <f t="shared" si="152"/>
        <v/>
      </c>
    </row>
    <row r="1075" spans="7:21" x14ac:dyDescent="0.2">
      <c r="G1075" s="8"/>
      <c r="H1075" s="5"/>
      <c r="J1075" s="10" t="str">
        <f t="shared" si="146"/>
        <v/>
      </c>
      <c r="K1075" s="10" t="str">
        <f t="shared" si="147"/>
        <v/>
      </c>
      <c r="L1075" s="11" t="str">
        <f t="shared" si="149"/>
        <v/>
      </c>
      <c r="M1075" s="9" t="str">
        <f>IF(G1075&lt;&gt;"",J1075/MAX(J$3:J1075)-1,"")</f>
        <v/>
      </c>
      <c r="N1075" s="9" t="str">
        <f>IF(G1075&lt;&gt;"",K1075/MAX(K$3:K1075)-1,"")</f>
        <v/>
      </c>
      <c r="O1075" s="16" t="str">
        <f t="shared" si="145"/>
        <v/>
      </c>
      <c r="P1075" s="16" t="str">
        <f t="shared" si="145"/>
        <v/>
      </c>
      <c r="Q1075" s="16" t="str">
        <f t="shared" si="145"/>
        <v/>
      </c>
      <c r="R1075" s="5" t="str">
        <f t="shared" si="144"/>
        <v/>
      </c>
      <c r="S1075" s="5" t="str">
        <f t="shared" si="148"/>
        <v/>
      </c>
      <c r="T1075" s="5" t="str">
        <f t="shared" si="152"/>
        <v/>
      </c>
      <c r="U1075" s="5" t="str">
        <f t="shared" si="152"/>
        <v/>
      </c>
    </row>
    <row r="1076" spans="7:21" x14ac:dyDescent="0.2">
      <c r="G1076" s="8"/>
      <c r="H1076" s="5"/>
      <c r="J1076" s="10" t="str">
        <f t="shared" si="146"/>
        <v/>
      </c>
      <c r="K1076" s="10" t="str">
        <f t="shared" si="147"/>
        <v/>
      </c>
      <c r="L1076" s="11" t="str">
        <f t="shared" si="149"/>
        <v/>
      </c>
      <c r="M1076" s="9" t="str">
        <f>IF(G1076&lt;&gt;"",J1076/MAX(J$3:J1076)-1,"")</f>
        <v/>
      </c>
      <c r="N1076" s="9" t="str">
        <f>IF(G1076&lt;&gt;"",K1076/MAX(K$3:K1076)-1,"")</f>
        <v/>
      </c>
      <c r="O1076" s="16" t="str">
        <f t="shared" si="145"/>
        <v/>
      </c>
      <c r="P1076" s="16" t="str">
        <f t="shared" si="145"/>
        <v/>
      </c>
      <c r="Q1076" s="16" t="str">
        <f t="shared" si="145"/>
        <v/>
      </c>
      <c r="R1076" s="5" t="str">
        <f t="shared" si="144"/>
        <v/>
      </c>
      <c r="S1076" s="5" t="str">
        <f t="shared" si="148"/>
        <v/>
      </c>
      <c r="T1076" s="5" t="str">
        <f t="shared" si="152"/>
        <v/>
      </c>
      <c r="U1076" s="5" t="str">
        <f t="shared" si="152"/>
        <v/>
      </c>
    </row>
    <row r="1077" spans="7:21" x14ac:dyDescent="0.2">
      <c r="G1077" s="8"/>
      <c r="H1077" s="5"/>
      <c r="J1077" s="10" t="str">
        <f t="shared" si="146"/>
        <v/>
      </c>
      <c r="K1077" s="10" t="str">
        <f t="shared" si="147"/>
        <v/>
      </c>
      <c r="L1077" s="11" t="str">
        <f t="shared" si="149"/>
        <v/>
      </c>
      <c r="M1077" s="9" t="str">
        <f>IF(G1077&lt;&gt;"",J1077/MAX(J$3:J1077)-1,"")</f>
        <v/>
      </c>
      <c r="N1077" s="9" t="str">
        <f>IF(G1077&lt;&gt;"",K1077/MAX(K$3:K1077)-1,"")</f>
        <v/>
      </c>
      <c r="O1077" s="16" t="str">
        <f t="shared" si="145"/>
        <v/>
      </c>
      <c r="P1077" s="16" t="str">
        <f t="shared" si="145"/>
        <v/>
      </c>
      <c r="Q1077" s="16" t="str">
        <f t="shared" si="145"/>
        <v/>
      </c>
      <c r="R1077" s="5" t="str">
        <f t="shared" si="144"/>
        <v/>
      </c>
      <c r="S1077" s="5" t="str">
        <f t="shared" si="148"/>
        <v/>
      </c>
      <c r="T1077" s="5" t="str">
        <f t="shared" si="152"/>
        <v/>
      </c>
      <c r="U1077" s="5" t="str">
        <f t="shared" si="152"/>
        <v/>
      </c>
    </row>
    <row r="1078" spans="7:21" x14ac:dyDescent="0.2">
      <c r="G1078" s="8"/>
      <c r="H1078" s="5"/>
      <c r="J1078" s="10" t="str">
        <f t="shared" si="146"/>
        <v/>
      </c>
      <c r="K1078" s="10" t="str">
        <f t="shared" si="147"/>
        <v/>
      </c>
      <c r="L1078" s="11" t="str">
        <f t="shared" si="149"/>
        <v/>
      </c>
      <c r="M1078" s="9" t="str">
        <f>IF(G1078&lt;&gt;"",J1078/MAX(J$3:J1078)-1,"")</f>
        <v/>
      </c>
      <c r="N1078" s="9" t="str">
        <f>IF(G1078&lt;&gt;"",K1078/MAX(K$3:K1078)-1,"")</f>
        <v/>
      </c>
      <c r="O1078" s="16" t="str">
        <f t="shared" si="145"/>
        <v/>
      </c>
      <c r="P1078" s="16" t="str">
        <f t="shared" si="145"/>
        <v/>
      </c>
      <c r="Q1078" s="16" t="str">
        <f t="shared" si="145"/>
        <v/>
      </c>
      <c r="R1078" s="5" t="str">
        <f t="shared" si="144"/>
        <v/>
      </c>
      <c r="S1078" s="5" t="str">
        <f t="shared" si="148"/>
        <v/>
      </c>
      <c r="T1078" s="5" t="str">
        <f t="shared" si="152"/>
        <v/>
      </c>
      <c r="U1078" s="5" t="str">
        <f t="shared" si="152"/>
        <v/>
      </c>
    </row>
    <row r="1079" spans="7:21" x14ac:dyDescent="0.2">
      <c r="G1079" s="8"/>
      <c r="H1079" s="5"/>
      <c r="J1079" s="10" t="str">
        <f t="shared" si="146"/>
        <v/>
      </c>
      <c r="K1079" s="10" t="str">
        <f t="shared" si="147"/>
        <v/>
      </c>
      <c r="L1079" s="11" t="str">
        <f t="shared" si="149"/>
        <v/>
      </c>
      <c r="M1079" s="9" t="str">
        <f>IF(G1079&lt;&gt;"",J1079/MAX(J$3:J1079)-1,"")</f>
        <v/>
      </c>
      <c r="N1079" s="9" t="str">
        <f>IF(G1079&lt;&gt;"",K1079/MAX(K$3:K1079)-1,"")</f>
        <v/>
      </c>
      <c r="O1079" s="16" t="str">
        <f t="shared" si="145"/>
        <v/>
      </c>
      <c r="P1079" s="16" t="str">
        <f t="shared" si="145"/>
        <v/>
      </c>
      <c r="Q1079" s="16" t="str">
        <f t="shared" si="145"/>
        <v/>
      </c>
      <c r="R1079" s="5" t="str">
        <f t="shared" si="144"/>
        <v/>
      </c>
      <c r="S1079" s="5" t="str">
        <f t="shared" si="148"/>
        <v/>
      </c>
      <c r="T1079" s="5" t="str">
        <f t="shared" si="152"/>
        <v/>
      </c>
      <c r="U1079" s="5" t="str">
        <f t="shared" si="152"/>
        <v/>
      </c>
    </row>
    <row r="1080" spans="7:21" x14ac:dyDescent="0.2">
      <c r="G1080" s="8"/>
      <c r="H1080" s="5"/>
      <c r="J1080" s="10" t="str">
        <f t="shared" si="146"/>
        <v/>
      </c>
      <c r="K1080" s="10" t="str">
        <f t="shared" si="147"/>
        <v/>
      </c>
      <c r="L1080" s="11" t="str">
        <f t="shared" si="149"/>
        <v/>
      </c>
      <c r="M1080" s="9" t="str">
        <f>IF(G1080&lt;&gt;"",J1080/MAX(J$3:J1080)-1,"")</f>
        <v/>
      </c>
      <c r="N1080" s="9" t="str">
        <f>IF(G1080&lt;&gt;"",K1080/MAX(K$3:K1080)-1,"")</f>
        <v/>
      </c>
      <c r="O1080" s="16" t="str">
        <f t="shared" si="145"/>
        <v/>
      </c>
      <c r="P1080" s="16" t="str">
        <f t="shared" si="145"/>
        <v/>
      </c>
      <c r="Q1080" s="16" t="str">
        <f t="shared" si="145"/>
        <v/>
      </c>
      <c r="R1080" s="5" t="str">
        <f t="shared" si="144"/>
        <v/>
      </c>
      <c r="S1080" s="5" t="str">
        <f t="shared" si="148"/>
        <v/>
      </c>
      <c r="T1080" s="5" t="str">
        <f t="shared" ref="T1080:U1095" si="153">IF($G1080&lt;&gt;"",_xlfn.STDEV.S(O836:O1080),"")</f>
        <v/>
      </c>
      <c r="U1080" s="5" t="str">
        <f t="shared" si="153"/>
        <v/>
      </c>
    </row>
    <row r="1081" spans="7:21" x14ac:dyDescent="0.2">
      <c r="G1081" s="8"/>
      <c r="H1081" s="5"/>
      <c r="J1081" s="10" t="str">
        <f t="shared" si="146"/>
        <v/>
      </c>
      <c r="K1081" s="10" t="str">
        <f t="shared" si="147"/>
        <v/>
      </c>
      <c r="L1081" s="11" t="str">
        <f t="shared" si="149"/>
        <v/>
      </c>
      <c r="M1081" s="9" t="str">
        <f>IF(G1081&lt;&gt;"",J1081/MAX(J$3:J1081)-1,"")</f>
        <v/>
      </c>
      <c r="N1081" s="9" t="str">
        <f>IF(G1081&lt;&gt;"",K1081/MAX(K$3:K1081)-1,"")</f>
        <v/>
      </c>
      <c r="O1081" s="16" t="str">
        <f t="shared" si="145"/>
        <v/>
      </c>
      <c r="P1081" s="16" t="str">
        <f t="shared" si="145"/>
        <v/>
      </c>
      <c r="Q1081" s="16" t="str">
        <f t="shared" si="145"/>
        <v/>
      </c>
      <c r="R1081" s="5" t="str">
        <f t="shared" si="144"/>
        <v/>
      </c>
      <c r="S1081" s="5" t="str">
        <f t="shared" si="148"/>
        <v/>
      </c>
      <c r="T1081" s="5" t="str">
        <f t="shared" si="153"/>
        <v/>
      </c>
      <c r="U1081" s="5" t="str">
        <f t="shared" si="153"/>
        <v/>
      </c>
    </row>
    <row r="1082" spans="7:21" x14ac:dyDescent="0.2">
      <c r="G1082" s="8"/>
      <c r="H1082" s="5"/>
      <c r="J1082" s="10" t="str">
        <f t="shared" si="146"/>
        <v/>
      </c>
      <c r="K1082" s="10" t="str">
        <f t="shared" si="147"/>
        <v/>
      </c>
      <c r="L1082" s="11" t="str">
        <f t="shared" si="149"/>
        <v/>
      </c>
      <c r="M1082" s="9" t="str">
        <f>IF(G1082&lt;&gt;"",J1082/MAX(J$3:J1082)-1,"")</f>
        <v/>
      </c>
      <c r="N1082" s="9" t="str">
        <f>IF(G1082&lt;&gt;"",K1082/MAX(K$3:K1082)-1,"")</f>
        <v/>
      </c>
      <c r="O1082" s="16" t="str">
        <f t="shared" si="145"/>
        <v/>
      </c>
      <c r="P1082" s="16" t="str">
        <f t="shared" si="145"/>
        <v/>
      </c>
      <c r="Q1082" s="16" t="str">
        <f t="shared" si="145"/>
        <v/>
      </c>
      <c r="R1082" s="5" t="str">
        <f t="shared" si="144"/>
        <v/>
      </c>
      <c r="S1082" s="5" t="str">
        <f t="shared" si="148"/>
        <v/>
      </c>
      <c r="T1082" s="5" t="str">
        <f t="shared" si="153"/>
        <v/>
      </c>
      <c r="U1082" s="5" t="str">
        <f t="shared" si="153"/>
        <v/>
      </c>
    </row>
    <row r="1083" spans="7:21" x14ac:dyDescent="0.2">
      <c r="G1083" s="8"/>
      <c r="H1083" s="5"/>
      <c r="J1083" s="10" t="str">
        <f t="shared" si="146"/>
        <v/>
      </c>
      <c r="K1083" s="10" t="str">
        <f t="shared" si="147"/>
        <v/>
      </c>
      <c r="L1083" s="11" t="str">
        <f t="shared" si="149"/>
        <v/>
      </c>
      <c r="M1083" s="9" t="str">
        <f>IF(G1083&lt;&gt;"",J1083/MAX(J$3:J1083)-1,"")</f>
        <v/>
      </c>
      <c r="N1083" s="9" t="str">
        <f>IF(G1083&lt;&gt;"",K1083/MAX(K$3:K1083)-1,"")</f>
        <v/>
      </c>
      <c r="O1083" s="16" t="str">
        <f t="shared" si="145"/>
        <v/>
      </c>
      <c r="P1083" s="16" t="str">
        <f t="shared" si="145"/>
        <v/>
      </c>
      <c r="Q1083" s="16" t="str">
        <f t="shared" si="145"/>
        <v/>
      </c>
      <c r="R1083" s="5" t="str">
        <f t="shared" si="144"/>
        <v/>
      </c>
      <c r="S1083" s="5" t="str">
        <f t="shared" si="148"/>
        <v/>
      </c>
      <c r="T1083" s="5" t="str">
        <f t="shared" si="153"/>
        <v/>
      </c>
      <c r="U1083" s="5" t="str">
        <f t="shared" si="153"/>
        <v/>
      </c>
    </row>
    <row r="1084" spans="7:21" x14ac:dyDescent="0.2">
      <c r="G1084" s="8"/>
      <c r="H1084" s="5"/>
      <c r="J1084" s="10" t="str">
        <f t="shared" si="146"/>
        <v/>
      </c>
      <c r="K1084" s="10" t="str">
        <f t="shared" si="147"/>
        <v/>
      </c>
      <c r="L1084" s="11" t="str">
        <f t="shared" si="149"/>
        <v/>
      </c>
      <c r="M1084" s="9" t="str">
        <f>IF(G1084&lt;&gt;"",J1084/MAX(J$3:J1084)-1,"")</f>
        <v/>
      </c>
      <c r="N1084" s="9" t="str">
        <f>IF(G1084&lt;&gt;"",K1084/MAX(K$3:K1084)-1,"")</f>
        <v/>
      </c>
      <c r="O1084" s="16" t="str">
        <f t="shared" si="145"/>
        <v/>
      </c>
      <c r="P1084" s="16" t="str">
        <f t="shared" si="145"/>
        <v/>
      </c>
      <c r="Q1084" s="16" t="str">
        <f t="shared" si="145"/>
        <v/>
      </c>
      <c r="R1084" s="5" t="str">
        <f t="shared" si="144"/>
        <v/>
      </c>
      <c r="S1084" s="5" t="str">
        <f t="shared" si="148"/>
        <v/>
      </c>
      <c r="T1084" s="5" t="str">
        <f t="shared" si="153"/>
        <v/>
      </c>
      <c r="U1084" s="5" t="str">
        <f t="shared" si="153"/>
        <v/>
      </c>
    </row>
    <row r="1085" spans="7:21" x14ac:dyDescent="0.2">
      <c r="G1085" s="8"/>
      <c r="H1085" s="5"/>
      <c r="J1085" s="10" t="str">
        <f t="shared" si="146"/>
        <v/>
      </c>
      <c r="K1085" s="10" t="str">
        <f t="shared" si="147"/>
        <v/>
      </c>
      <c r="L1085" s="11" t="str">
        <f t="shared" si="149"/>
        <v/>
      </c>
      <c r="M1085" s="9" t="str">
        <f>IF(G1085&lt;&gt;"",J1085/MAX(J$3:J1085)-1,"")</f>
        <v/>
      </c>
      <c r="N1085" s="9" t="str">
        <f>IF(G1085&lt;&gt;"",K1085/MAX(K$3:K1085)-1,"")</f>
        <v/>
      </c>
      <c r="O1085" s="16" t="str">
        <f t="shared" si="145"/>
        <v/>
      </c>
      <c r="P1085" s="16" t="str">
        <f t="shared" si="145"/>
        <v/>
      </c>
      <c r="Q1085" s="16" t="str">
        <f t="shared" si="145"/>
        <v/>
      </c>
      <c r="R1085" s="5" t="str">
        <f t="shared" ref="R1085:R1148" si="154">IF(G1085&lt;&gt;"",_xlfn.STDEV.S(Q964:Q1085)*SQRT($B$5),"")</f>
        <v/>
      </c>
      <c r="S1085" s="5" t="str">
        <f t="shared" si="148"/>
        <v/>
      </c>
      <c r="T1085" s="5" t="str">
        <f t="shared" si="153"/>
        <v/>
      </c>
      <c r="U1085" s="5" t="str">
        <f t="shared" si="153"/>
        <v/>
      </c>
    </row>
    <row r="1086" spans="7:21" x14ac:dyDescent="0.2">
      <c r="G1086" s="8"/>
      <c r="H1086" s="5"/>
      <c r="J1086" s="10" t="str">
        <f t="shared" si="146"/>
        <v/>
      </c>
      <c r="K1086" s="10" t="str">
        <f t="shared" si="147"/>
        <v/>
      </c>
      <c r="L1086" s="11" t="str">
        <f t="shared" si="149"/>
        <v/>
      </c>
      <c r="M1086" s="9" t="str">
        <f>IF(G1086&lt;&gt;"",J1086/MAX(J$3:J1086)-1,"")</f>
        <v/>
      </c>
      <c r="N1086" s="9" t="str">
        <f>IF(G1086&lt;&gt;"",K1086/MAX(K$3:K1086)-1,"")</f>
        <v/>
      </c>
      <c r="O1086" s="16" t="str">
        <f t="shared" si="145"/>
        <v/>
      </c>
      <c r="P1086" s="16" t="str">
        <f t="shared" si="145"/>
        <v/>
      </c>
      <c r="Q1086" s="16" t="str">
        <f t="shared" si="145"/>
        <v/>
      </c>
      <c r="R1086" s="5" t="str">
        <f t="shared" si="154"/>
        <v/>
      </c>
      <c r="S1086" s="5" t="str">
        <f t="shared" si="148"/>
        <v/>
      </c>
      <c r="T1086" s="5" t="str">
        <f t="shared" si="153"/>
        <v/>
      </c>
      <c r="U1086" s="5" t="str">
        <f t="shared" si="153"/>
        <v/>
      </c>
    </row>
    <row r="1087" spans="7:21" x14ac:dyDescent="0.2">
      <c r="G1087" s="8"/>
      <c r="H1087" s="5"/>
      <c r="J1087" s="10" t="str">
        <f t="shared" si="146"/>
        <v/>
      </c>
      <c r="K1087" s="10" t="str">
        <f t="shared" si="147"/>
        <v/>
      </c>
      <c r="L1087" s="11" t="str">
        <f t="shared" si="149"/>
        <v/>
      </c>
      <c r="M1087" s="9" t="str">
        <f>IF(G1087&lt;&gt;"",J1087/MAX(J$3:J1087)-1,"")</f>
        <v/>
      </c>
      <c r="N1087" s="9" t="str">
        <f>IF(G1087&lt;&gt;"",K1087/MAX(K$3:K1087)-1,"")</f>
        <v/>
      </c>
      <c r="O1087" s="16" t="str">
        <f t="shared" si="145"/>
        <v/>
      </c>
      <c r="P1087" s="16" t="str">
        <f t="shared" si="145"/>
        <v/>
      </c>
      <c r="Q1087" s="16" t="str">
        <f t="shared" si="145"/>
        <v/>
      </c>
      <c r="R1087" s="5" t="str">
        <f t="shared" si="154"/>
        <v/>
      </c>
      <c r="S1087" s="5" t="str">
        <f t="shared" si="148"/>
        <v/>
      </c>
      <c r="T1087" s="5" t="str">
        <f t="shared" si="153"/>
        <v/>
      </c>
      <c r="U1087" s="5" t="str">
        <f t="shared" si="153"/>
        <v/>
      </c>
    </row>
    <row r="1088" spans="7:21" x14ac:dyDescent="0.2">
      <c r="G1088" s="8"/>
      <c r="H1088" s="5"/>
      <c r="J1088" s="10" t="str">
        <f t="shared" si="146"/>
        <v/>
      </c>
      <c r="K1088" s="10" t="str">
        <f t="shared" si="147"/>
        <v/>
      </c>
      <c r="L1088" s="11" t="str">
        <f t="shared" si="149"/>
        <v/>
      </c>
      <c r="M1088" s="9" t="str">
        <f>IF(G1088&lt;&gt;"",J1088/MAX(J$3:J1088)-1,"")</f>
        <v/>
      </c>
      <c r="N1088" s="9" t="str">
        <f>IF(G1088&lt;&gt;"",K1088/MAX(K$3:K1088)-1,"")</f>
        <v/>
      </c>
      <c r="O1088" s="16" t="str">
        <f t="shared" si="145"/>
        <v/>
      </c>
      <c r="P1088" s="16" t="str">
        <f t="shared" si="145"/>
        <v/>
      </c>
      <c r="Q1088" s="16" t="str">
        <f t="shared" si="145"/>
        <v/>
      </c>
      <c r="R1088" s="5" t="str">
        <f t="shared" si="154"/>
        <v/>
      </c>
      <c r="S1088" s="5" t="str">
        <f t="shared" si="148"/>
        <v/>
      </c>
      <c r="T1088" s="5" t="str">
        <f t="shared" si="153"/>
        <v/>
      </c>
      <c r="U1088" s="5" t="str">
        <f t="shared" si="153"/>
        <v/>
      </c>
    </row>
    <row r="1089" spans="7:21" x14ac:dyDescent="0.2">
      <c r="G1089" s="8"/>
      <c r="H1089" s="5"/>
      <c r="J1089" s="10" t="str">
        <f t="shared" si="146"/>
        <v/>
      </c>
      <c r="K1089" s="10" t="str">
        <f t="shared" si="147"/>
        <v/>
      </c>
      <c r="L1089" s="11" t="str">
        <f t="shared" si="149"/>
        <v/>
      </c>
      <c r="M1089" s="9" t="str">
        <f>IF(G1089&lt;&gt;"",J1089/MAX(J$3:J1089)-1,"")</f>
        <v/>
      </c>
      <c r="N1089" s="9" t="str">
        <f>IF(G1089&lt;&gt;"",K1089/MAX(K$3:K1089)-1,"")</f>
        <v/>
      </c>
      <c r="O1089" s="16" t="str">
        <f t="shared" si="145"/>
        <v/>
      </c>
      <c r="P1089" s="16" t="str">
        <f t="shared" si="145"/>
        <v/>
      </c>
      <c r="Q1089" s="16" t="str">
        <f t="shared" si="145"/>
        <v/>
      </c>
      <c r="R1089" s="5" t="str">
        <f t="shared" si="154"/>
        <v/>
      </c>
      <c r="S1089" s="5" t="str">
        <f t="shared" si="148"/>
        <v/>
      </c>
      <c r="T1089" s="5" t="str">
        <f t="shared" si="153"/>
        <v/>
      </c>
      <c r="U1089" s="5" t="str">
        <f t="shared" si="153"/>
        <v/>
      </c>
    </row>
    <row r="1090" spans="7:21" x14ac:dyDescent="0.2">
      <c r="G1090" s="8"/>
      <c r="H1090" s="5"/>
      <c r="J1090" s="10" t="str">
        <f t="shared" si="146"/>
        <v/>
      </c>
      <c r="K1090" s="10" t="str">
        <f t="shared" si="147"/>
        <v/>
      </c>
      <c r="L1090" s="11" t="str">
        <f t="shared" si="149"/>
        <v/>
      </c>
      <c r="M1090" s="9" t="str">
        <f>IF(G1090&lt;&gt;"",J1090/MAX(J$3:J1090)-1,"")</f>
        <v/>
      </c>
      <c r="N1090" s="9" t="str">
        <f>IF(G1090&lt;&gt;"",K1090/MAX(K$3:K1090)-1,"")</f>
        <v/>
      </c>
      <c r="O1090" s="16" t="str">
        <f t="shared" ref="O1090:Q1153" si="155">IF($G1090&lt;&gt;"",J1090/J1089-1,"")</f>
        <v/>
      </c>
      <c r="P1090" s="16" t="str">
        <f t="shared" si="155"/>
        <v/>
      </c>
      <c r="Q1090" s="16" t="str">
        <f t="shared" si="155"/>
        <v/>
      </c>
      <c r="R1090" s="5" t="str">
        <f t="shared" si="154"/>
        <v/>
      </c>
      <c r="S1090" s="5" t="str">
        <f t="shared" si="148"/>
        <v/>
      </c>
      <c r="T1090" s="5" t="str">
        <f t="shared" si="153"/>
        <v/>
      </c>
      <c r="U1090" s="5" t="str">
        <f t="shared" si="153"/>
        <v/>
      </c>
    </row>
    <row r="1091" spans="7:21" x14ac:dyDescent="0.2">
      <c r="G1091" s="8"/>
      <c r="H1091" s="5"/>
      <c r="J1091" s="10" t="str">
        <f t="shared" si="146"/>
        <v/>
      </c>
      <c r="K1091" s="10" t="str">
        <f t="shared" si="147"/>
        <v/>
      </c>
      <c r="L1091" s="11" t="str">
        <f t="shared" si="149"/>
        <v/>
      </c>
      <c r="M1091" s="9" t="str">
        <f>IF(G1091&lt;&gt;"",J1091/MAX(J$3:J1091)-1,"")</f>
        <v/>
      </c>
      <c r="N1091" s="9" t="str">
        <f>IF(G1091&lt;&gt;"",K1091/MAX(K$3:K1091)-1,"")</f>
        <v/>
      </c>
      <c r="O1091" s="16" t="str">
        <f t="shared" si="155"/>
        <v/>
      </c>
      <c r="P1091" s="16" t="str">
        <f t="shared" si="155"/>
        <v/>
      </c>
      <c r="Q1091" s="16" t="str">
        <f t="shared" si="155"/>
        <v/>
      </c>
      <c r="R1091" s="5" t="str">
        <f t="shared" si="154"/>
        <v/>
      </c>
      <c r="S1091" s="5" t="str">
        <f t="shared" si="148"/>
        <v/>
      </c>
      <c r="T1091" s="5" t="str">
        <f t="shared" si="153"/>
        <v/>
      </c>
      <c r="U1091" s="5" t="str">
        <f t="shared" si="153"/>
        <v/>
      </c>
    </row>
    <row r="1092" spans="7:21" x14ac:dyDescent="0.2">
      <c r="G1092" s="8"/>
      <c r="H1092" s="5"/>
      <c r="J1092" s="10" t="str">
        <f t="shared" ref="J1092:J1155" si="156">IF(G1092&lt;&gt;"",1+H1092,"")</f>
        <v/>
      </c>
      <c r="K1092" s="10" t="str">
        <f t="shared" ref="K1092:K1155" si="157">IF(G1092&lt;&gt;"",1+I1092,"")</f>
        <v/>
      </c>
      <c r="L1092" s="11" t="str">
        <f t="shared" si="149"/>
        <v/>
      </c>
      <c r="M1092" s="9" t="str">
        <f>IF(G1092&lt;&gt;"",J1092/MAX(J$3:J1092)-1,"")</f>
        <v/>
      </c>
      <c r="N1092" s="9" t="str">
        <f>IF(G1092&lt;&gt;"",K1092/MAX(K$3:K1092)-1,"")</f>
        <v/>
      </c>
      <c r="O1092" s="16" t="str">
        <f t="shared" si="155"/>
        <v/>
      </c>
      <c r="P1092" s="16" t="str">
        <f t="shared" si="155"/>
        <v/>
      </c>
      <c r="Q1092" s="16" t="str">
        <f t="shared" si="155"/>
        <v/>
      </c>
      <c r="R1092" s="5" t="str">
        <f t="shared" si="154"/>
        <v/>
      </c>
      <c r="S1092" s="5" t="str">
        <f t="shared" ref="S1092:S1155" si="158">IF(R1092&lt;&gt;"",B$12,"")</f>
        <v/>
      </c>
      <c r="T1092" s="5" t="str">
        <f t="shared" si="153"/>
        <v/>
      </c>
      <c r="U1092" s="5" t="str">
        <f t="shared" si="153"/>
        <v/>
      </c>
    </row>
    <row r="1093" spans="7:21" x14ac:dyDescent="0.2">
      <c r="G1093" s="8"/>
      <c r="H1093" s="5"/>
      <c r="J1093" s="10" t="str">
        <f t="shared" si="156"/>
        <v/>
      </c>
      <c r="K1093" s="10" t="str">
        <f t="shared" si="157"/>
        <v/>
      </c>
      <c r="L1093" s="11" t="str">
        <f t="shared" ref="L1093:L1156" si="159">IF(G1093&lt;&gt;"",J1093/K1093,"")</f>
        <v/>
      </c>
      <c r="M1093" s="9" t="str">
        <f>IF(G1093&lt;&gt;"",J1093/MAX(J$3:J1093)-1,"")</f>
        <v/>
      </c>
      <c r="N1093" s="9" t="str">
        <f>IF(G1093&lt;&gt;"",K1093/MAX(K$3:K1093)-1,"")</f>
        <v/>
      </c>
      <c r="O1093" s="16" t="str">
        <f t="shared" si="155"/>
        <v/>
      </c>
      <c r="P1093" s="16" t="str">
        <f t="shared" si="155"/>
        <v/>
      </c>
      <c r="Q1093" s="16" t="str">
        <f t="shared" si="155"/>
        <v/>
      </c>
      <c r="R1093" s="5" t="str">
        <f t="shared" si="154"/>
        <v/>
      </c>
      <c r="S1093" s="5" t="str">
        <f t="shared" si="158"/>
        <v/>
      </c>
      <c r="T1093" s="5" t="str">
        <f t="shared" si="153"/>
        <v/>
      </c>
      <c r="U1093" s="5" t="str">
        <f t="shared" si="153"/>
        <v/>
      </c>
    </row>
    <row r="1094" spans="7:21" x14ac:dyDescent="0.2">
      <c r="G1094" s="8"/>
      <c r="H1094" s="5"/>
      <c r="J1094" s="10" t="str">
        <f t="shared" si="156"/>
        <v/>
      </c>
      <c r="K1094" s="10" t="str">
        <f t="shared" si="157"/>
        <v/>
      </c>
      <c r="L1094" s="11" t="str">
        <f t="shared" si="159"/>
        <v/>
      </c>
      <c r="M1094" s="9" t="str">
        <f>IF(G1094&lt;&gt;"",J1094/MAX(J$3:J1094)-1,"")</f>
        <v/>
      </c>
      <c r="N1094" s="9" t="str">
        <f>IF(G1094&lt;&gt;"",K1094/MAX(K$3:K1094)-1,"")</f>
        <v/>
      </c>
      <c r="O1094" s="16" t="str">
        <f t="shared" si="155"/>
        <v/>
      </c>
      <c r="P1094" s="16" t="str">
        <f t="shared" si="155"/>
        <v/>
      </c>
      <c r="Q1094" s="16" t="str">
        <f t="shared" si="155"/>
        <v/>
      </c>
      <c r="R1094" s="5" t="str">
        <f t="shared" si="154"/>
        <v/>
      </c>
      <c r="S1094" s="5" t="str">
        <f t="shared" si="158"/>
        <v/>
      </c>
      <c r="T1094" s="5" t="str">
        <f t="shared" si="153"/>
        <v/>
      </c>
      <c r="U1094" s="5" t="str">
        <f t="shared" si="153"/>
        <v/>
      </c>
    </row>
    <row r="1095" spans="7:21" x14ac:dyDescent="0.2">
      <c r="G1095" s="8"/>
      <c r="H1095" s="5"/>
      <c r="J1095" s="10" t="str">
        <f t="shared" si="156"/>
        <v/>
      </c>
      <c r="K1095" s="10" t="str">
        <f t="shared" si="157"/>
        <v/>
      </c>
      <c r="L1095" s="11" t="str">
        <f t="shared" si="159"/>
        <v/>
      </c>
      <c r="M1095" s="9" t="str">
        <f>IF(G1095&lt;&gt;"",J1095/MAX(J$3:J1095)-1,"")</f>
        <v/>
      </c>
      <c r="N1095" s="9" t="str">
        <f>IF(G1095&lt;&gt;"",K1095/MAX(K$3:K1095)-1,"")</f>
        <v/>
      </c>
      <c r="O1095" s="16" t="str">
        <f t="shared" si="155"/>
        <v/>
      </c>
      <c r="P1095" s="16" t="str">
        <f t="shared" si="155"/>
        <v/>
      </c>
      <c r="Q1095" s="16" t="str">
        <f t="shared" si="155"/>
        <v/>
      </c>
      <c r="R1095" s="5" t="str">
        <f t="shared" si="154"/>
        <v/>
      </c>
      <c r="S1095" s="5" t="str">
        <f t="shared" si="158"/>
        <v/>
      </c>
      <c r="T1095" s="5" t="str">
        <f t="shared" si="153"/>
        <v/>
      </c>
      <c r="U1095" s="5" t="str">
        <f t="shared" si="153"/>
        <v/>
      </c>
    </row>
    <row r="1096" spans="7:21" x14ac:dyDescent="0.2">
      <c r="G1096" s="8"/>
      <c r="H1096" s="5"/>
      <c r="J1096" s="10" t="str">
        <f t="shared" si="156"/>
        <v/>
      </c>
      <c r="K1096" s="10" t="str">
        <f t="shared" si="157"/>
        <v/>
      </c>
      <c r="L1096" s="11" t="str">
        <f t="shared" si="159"/>
        <v/>
      </c>
      <c r="M1096" s="9" t="str">
        <f>IF(G1096&lt;&gt;"",J1096/MAX(J$3:J1096)-1,"")</f>
        <v/>
      </c>
      <c r="N1096" s="9" t="str">
        <f>IF(G1096&lt;&gt;"",K1096/MAX(K$3:K1096)-1,"")</f>
        <v/>
      </c>
      <c r="O1096" s="16" t="str">
        <f t="shared" si="155"/>
        <v/>
      </c>
      <c r="P1096" s="16" t="str">
        <f t="shared" si="155"/>
        <v/>
      </c>
      <c r="Q1096" s="16" t="str">
        <f t="shared" si="155"/>
        <v/>
      </c>
      <c r="R1096" s="5" t="str">
        <f t="shared" si="154"/>
        <v/>
      </c>
      <c r="S1096" s="5" t="str">
        <f t="shared" si="158"/>
        <v/>
      </c>
      <c r="T1096" s="5" t="str">
        <f t="shared" ref="T1096:U1111" si="160">IF($G1096&lt;&gt;"",_xlfn.STDEV.S(O852:O1096),"")</f>
        <v/>
      </c>
      <c r="U1096" s="5" t="str">
        <f t="shared" si="160"/>
        <v/>
      </c>
    </row>
    <row r="1097" spans="7:21" x14ac:dyDescent="0.2">
      <c r="G1097" s="8"/>
      <c r="H1097" s="5"/>
      <c r="J1097" s="10" t="str">
        <f t="shared" si="156"/>
        <v/>
      </c>
      <c r="K1097" s="10" t="str">
        <f t="shared" si="157"/>
        <v/>
      </c>
      <c r="L1097" s="11" t="str">
        <f t="shared" si="159"/>
        <v/>
      </c>
      <c r="M1097" s="9" t="str">
        <f>IF(G1097&lt;&gt;"",J1097/MAX(J$3:J1097)-1,"")</f>
        <v/>
      </c>
      <c r="N1097" s="9" t="str">
        <f>IF(G1097&lt;&gt;"",K1097/MAX(K$3:K1097)-1,"")</f>
        <v/>
      </c>
      <c r="O1097" s="16" t="str">
        <f t="shared" si="155"/>
        <v/>
      </c>
      <c r="P1097" s="16" t="str">
        <f t="shared" si="155"/>
        <v/>
      </c>
      <c r="Q1097" s="16" t="str">
        <f t="shared" si="155"/>
        <v/>
      </c>
      <c r="R1097" s="5" t="str">
        <f t="shared" si="154"/>
        <v/>
      </c>
      <c r="S1097" s="5" t="str">
        <f t="shared" si="158"/>
        <v/>
      </c>
      <c r="T1097" s="5" t="str">
        <f t="shared" si="160"/>
        <v/>
      </c>
      <c r="U1097" s="5" t="str">
        <f t="shared" si="160"/>
        <v/>
      </c>
    </row>
    <row r="1098" spans="7:21" x14ac:dyDescent="0.2">
      <c r="G1098" s="8"/>
      <c r="H1098" s="5"/>
      <c r="J1098" s="10" t="str">
        <f t="shared" si="156"/>
        <v/>
      </c>
      <c r="K1098" s="10" t="str">
        <f t="shared" si="157"/>
        <v/>
      </c>
      <c r="L1098" s="11" t="str">
        <f t="shared" si="159"/>
        <v/>
      </c>
      <c r="M1098" s="9" t="str">
        <f>IF(G1098&lt;&gt;"",J1098/MAX(J$3:J1098)-1,"")</f>
        <v/>
      </c>
      <c r="N1098" s="9" t="str">
        <f>IF(G1098&lt;&gt;"",K1098/MAX(K$3:K1098)-1,"")</f>
        <v/>
      </c>
      <c r="O1098" s="16" t="str">
        <f t="shared" si="155"/>
        <v/>
      </c>
      <c r="P1098" s="16" t="str">
        <f t="shared" si="155"/>
        <v/>
      </c>
      <c r="Q1098" s="16" t="str">
        <f t="shared" si="155"/>
        <v/>
      </c>
      <c r="R1098" s="5" t="str">
        <f t="shared" si="154"/>
        <v/>
      </c>
      <c r="S1098" s="5" t="str">
        <f t="shared" si="158"/>
        <v/>
      </c>
      <c r="T1098" s="5" t="str">
        <f t="shared" si="160"/>
        <v/>
      </c>
      <c r="U1098" s="5" t="str">
        <f t="shared" si="160"/>
        <v/>
      </c>
    </row>
    <row r="1099" spans="7:21" x14ac:dyDescent="0.2">
      <c r="G1099" s="8"/>
      <c r="H1099" s="5"/>
      <c r="J1099" s="10" t="str">
        <f t="shared" si="156"/>
        <v/>
      </c>
      <c r="K1099" s="10" t="str">
        <f t="shared" si="157"/>
        <v/>
      </c>
      <c r="L1099" s="11" t="str">
        <f t="shared" si="159"/>
        <v/>
      </c>
      <c r="M1099" s="9" t="str">
        <f>IF(G1099&lt;&gt;"",J1099/MAX(J$3:J1099)-1,"")</f>
        <v/>
      </c>
      <c r="N1099" s="9" t="str">
        <f>IF(G1099&lt;&gt;"",K1099/MAX(K$3:K1099)-1,"")</f>
        <v/>
      </c>
      <c r="O1099" s="16" t="str">
        <f t="shared" si="155"/>
        <v/>
      </c>
      <c r="P1099" s="16" t="str">
        <f t="shared" si="155"/>
        <v/>
      </c>
      <c r="Q1099" s="16" t="str">
        <f t="shared" si="155"/>
        <v/>
      </c>
      <c r="R1099" s="5" t="str">
        <f t="shared" si="154"/>
        <v/>
      </c>
      <c r="S1099" s="5" t="str">
        <f t="shared" si="158"/>
        <v/>
      </c>
      <c r="T1099" s="5" t="str">
        <f t="shared" si="160"/>
        <v/>
      </c>
      <c r="U1099" s="5" t="str">
        <f t="shared" si="160"/>
        <v/>
      </c>
    </row>
    <row r="1100" spans="7:21" x14ac:dyDescent="0.2">
      <c r="G1100" s="8"/>
      <c r="H1100" s="5"/>
      <c r="J1100" s="10" t="str">
        <f t="shared" si="156"/>
        <v/>
      </c>
      <c r="K1100" s="10" t="str">
        <f t="shared" si="157"/>
        <v/>
      </c>
      <c r="L1100" s="11" t="str">
        <f t="shared" si="159"/>
        <v/>
      </c>
      <c r="M1100" s="9" t="str">
        <f>IF(G1100&lt;&gt;"",J1100/MAX(J$3:J1100)-1,"")</f>
        <v/>
      </c>
      <c r="N1100" s="9" t="str">
        <f>IF(G1100&lt;&gt;"",K1100/MAX(K$3:K1100)-1,"")</f>
        <v/>
      </c>
      <c r="O1100" s="16" t="str">
        <f t="shared" si="155"/>
        <v/>
      </c>
      <c r="P1100" s="16" t="str">
        <f t="shared" si="155"/>
        <v/>
      </c>
      <c r="Q1100" s="16" t="str">
        <f t="shared" si="155"/>
        <v/>
      </c>
      <c r="R1100" s="5" t="str">
        <f t="shared" si="154"/>
        <v/>
      </c>
      <c r="S1100" s="5" t="str">
        <f t="shared" si="158"/>
        <v/>
      </c>
      <c r="T1100" s="5" t="str">
        <f t="shared" si="160"/>
        <v/>
      </c>
      <c r="U1100" s="5" t="str">
        <f t="shared" si="160"/>
        <v/>
      </c>
    </row>
    <row r="1101" spans="7:21" x14ac:dyDescent="0.2">
      <c r="G1101" s="8"/>
      <c r="H1101" s="5"/>
      <c r="J1101" s="10" t="str">
        <f t="shared" si="156"/>
        <v/>
      </c>
      <c r="K1101" s="10" t="str">
        <f t="shared" si="157"/>
        <v/>
      </c>
      <c r="L1101" s="11" t="str">
        <f t="shared" si="159"/>
        <v/>
      </c>
      <c r="M1101" s="9" t="str">
        <f>IF(G1101&lt;&gt;"",J1101/MAX(J$3:J1101)-1,"")</f>
        <v/>
      </c>
      <c r="N1101" s="9" t="str">
        <f>IF(G1101&lt;&gt;"",K1101/MAX(K$3:K1101)-1,"")</f>
        <v/>
      </c>
      <c r="O1101" s="16" t="str">
        <f t="shared" si="155"/>
        <v/>
      </c>
      <c r="P1101" s="16" t="str">
        <f t="shared" si="155"/>
        <v/>
      </c>
      <c r="Q1101" s="16" t="str">
        <f t="shared" si="155"/>
        <v/>
      </c>
      <c r="R1101" s="5" t="str">
        <f t="shared" si="154"/>
        <v/>
      </c>
      <c r="S1101" s="5" t="str">
        <f t="shared" si="158"/>
        <v/>
      </c>
      <c r="T1101" s="5" t="str">
        <f t="shared" si="160"/>
        <v/>
      </c>
      <c r="U1101" s="5" t="str">
        <f t="shared" si="160"/>
        <v/>
      </c>
    </row>
    <row r="1102" spans="7:21" x14ac:dyDescent="0.2">
      <c r="G1102" s="8"/>
      <c r="H1102" s="5"/>
      <c r="J1102" s="10" t="str">
        <f t="shared" si="156"/>
        <v/>
      </c>
      <c r="K1102" s="10" t="str">
        <f t="shared" si="157"/>
        <v/>
      </c>
      <c r="L1102" s="11" t="str">
        <f t="shared" si="159"/>
        <v/>
      </c>
      <c r="M1102" s="9" t="str">
        <f>IF(G1102&lt;&gt;"",J1102/MAX(J$3:J1102)-1,"")</f>
        <v/>
      </c>
      <c r="N1102" s="9" t="str">
        <f>IF(G1102&lt;&gt;"",K1102/MAX(K$3:K1102)-1,"")</f>
        <v/>
      </c>
      <c r="O1102" s="16" t="str">
        <f t="shared" si="155"/>
        <v/>
      </c>
      <c r="P1102" s="16" t="str">
        <f t="shared" si="155"/>
        <v/>
      </c>
      <c r="Q1102" s="16" t="str">
        <f t="shared" si="155"/>
        <v/>
      </c>
      <c r="R1102" s="5" t="str">
        <f t="shared" si="154"/>
        <v/>
      </c>
      <c r="S1102" s="5" t="str">
        <f t="shared" si="158"/>
        <v/>
      </c>
      <c r="T1102" s="5" t="str">
        <f t="shared" si="160"/>
        <v/>
      </c>
      <c r="U1102" s="5" t="str">
        <f t="shared" si="160"/>
        <v/>
      </c>
    </row>
    <row r="1103" spans="7:21" x14ac:dyDescent="0.2">
      <c r="G1103" s="8"/>
      <c r="H1103" s="5"/>
      <c r="J1103" s="10" t="str">
        <f t="shared" si="156"/>
        <v/>
      </c>
      <c r="K1103" s="10" t="str">
        <f t="shared" si="157"/>
        <v/>
      </c>
      <c r="L1103" s="11" t="str">
        <f t="shared" si="159"/>
        <v/>
      </c>
      <c r="M1103" s="9" t="str">
        <f>IF(G1103&lt;&gt;"",J1103/MAX(J$3:J1103)-1,"")</f>
        <v/>
      </c>
      <c r="N1103" s="9" t="str">
        <f>IF(G1103&lt;&gt;"",K1103/MAX(K$3:K1103)-1,"")</f>
        <v/>
      </c>
      <c r="O1103" s="16" t="str">
        <f t="shared" si="155"/>
        <v/>
      </c>
      <c r="P1103" s="16" t="str">
        <f t="shared" si="155"/>
        <v/>
      </c>
      <c r="Q1103" s="16" t="str">
        <f t="shared" si="155"/>
        <v/>
      </c>
      <c r="R1103" s="5" t="str">
        <f t="shared" si="154"/>
        <v/>
      </c>
      <c r="S1103" s="5" t="str">
        <f t="shared" si="158"/>
        <v/>
      </c>
      <c r="T1103" s="5" t="str">
        <f t="shared" si="160"/>
        <v/>
      </c>
      <c r="U1103" s="5" t="str">
        <f t="shared" si="160"/>
        <v/>
      </c>
    </row>
    <row r="1104" spans="7:21" x14ac:dyDescent="0.2">
      <c r="G1104" s="8"/>
      <c r="H1104" s="5"/>
      <c r="J1104" s="10" t="str">
        <f t="shared" si="156"/>
        <v/>
      </c>
      <c r="K1104" s="10" t="str">
        <f t="shared" si="157"/>
        <v/>
      </c>
      <c r="L1104" s="11" t="str">
        <f t="shared" si="159"/>
        <v/>
      </c>
      <c r="M1104" s="9" t="str">
        <f>IF(G1104&lt;&gt;"",J1104/MAX(J$3:J1104)-1,"")</f>
        <v/>
      </c>
      <c r="N1104" s="9" t="str">
        <f>IF(G1104&lt;&gt;"",K1104/MAX(K$3:K1104)-1,"")</f>
        <v/>
      </c>
      <c r="O1104" s="16" t="str">
        <f t="shared" si="155"/>
        <v/>
      </c>
      <c r="P1104" s="16" t="str">
        <f t="shared" si="155"/>
        <v/>
      </c>
      <c r="Q1104" s="16" t="str">
        <f t="shared" si="155"/>
        <v/>
      </c>
      <c r="R1104" s="5" t="str">
        <f t="shared" si="154"/>
        <v/>
      </c>
      <c r="S1104" s="5" t="str">
        <f t="shared" si="158"/>
        <v/>
      </c>
      <c r="T1104" s="5" t="str">
        <f t="shared" si="160"/>
        <v/>
      </c>
      <c r="U1104" s="5" t="str">
        <f t="shared" si="160"/>
        <v/>
      </c>
    </row>
    <row r="1105" spans="7:21" x14ac:dyDescent="0.2">
      <c r="G1105" s="8"/>
      <c r="H1105" s="5"/>
      <c r="J1105" s="10" t="str">
        <f t="shared" si="156"/>
        <v/>
      </c>
      <c r="K1105" s="10" t="str">
        <f t="shared" si="157"/>
        <v/>
      </c>
      <c r="L1105" s="11" t="str">
        <f t="shared" si="159"/>
        <v/>
      </c>
      <c r="M1105" s="9" t="str">
        <f>IF(G1105&lt;&gt;"",J1105/MAX(J$3:J1105)-1,"")</f>
        <v/>
      </c>
      <c r="N1105" s="9" t="str">
        <f>IF(G1105&lt;&gt;"",K1105/MAX(K$3:K1105)-1,"")</f>
        <v/>
      </c>
      <c r="O1105" s="16" t="str">
        <f t="shared" si="155"/>
        <v/>
      </c>
      <c r="P1105" s="16" t="str">
        <f t="shared" si="155"/>
        <v/>
      </c>
      <c r="Q1105" s="16" t="str">
        <f t="shared" si="155"/>
        <v/>
      </c>
      <c r="R1105" s="5" t="str">
        <f t="shared" si="154"/>
        <v/>
      </c>
      <c r="S1105" s="5" t="str">
        <f t="shared" si="158"/>
        <v/>
      </c>
      <c r="T1105" s="5" t="str">
        <f t="shared" si="160"/>
        <v/>
      </c>
      <c r="U1105" s="5" t="str">
        <f t="shared" si="160"/>
        <v/>
      </c>
    </row>
    <row r="1106" spans="7:21" x14ac:dyDescent="0.2">
      <c r="G1106" s="8"/>
      <c r="H1106" s="5"/>
      <c r="J1106" s="10" t="str">
        <f t="shared" si="156"/>
        <v/>
      </c>
      <c r="K1106" s="10" t="str">
        <f t="shared" si="157"/>
        <v/>
      </c>
      <c r="L1106" s="11" t="str">
        <f t="shared" si="159"/>
        <v/>
      </c>
      <c r="M1106" s="9" t="str">
        <f>IF(G1106&lt;&gt;"",J1106/MAX(J$3:J1106)-1,"")</f>
        <v/>
      </c>
      <c r="N1106" s="9" t="str">
        <f>IF(G1106&lt;&gt;"",K1106/MAX(K$3:K1106)-1,"")</f>
        <v/>
      </c>
      <c r="O1106" s="16" t="str">
        <f t="shared" si="155"/>
        <v/>
      </c>
      <c r="P1106" s="16" t="str">
        <f t="shared" si="155"/>
        <v/>
      </c>
      <c r="Q1106" s="16" t="str">
        <f t="shared" si="155"/>
        <v/>
      </c>
      <c r="R1106" s="5" t="str">
        <f t="shared" si="154"/>
        <v/>
      </c>
      <c r="S1106" s="5" t="str">
        <f t="shared" si="158"/>
        <v/>
      </c>
      <c r="T1106" s="5" t="str">
        <f t="shared" si="160"/>
        <v/>
      </c>
      <c r="U1106" s="5" t="str">
        <f t="shared" si="160"/>
        <v/>
      </c>
    </row>
    <row r="1107" spans="7:21" x14ac:dyDescent="0.2">
      <c r="G1107" s="8"/>
      <c r="H1107" s="5"/>
      <c r="J1107" s="10" t="str">
        <f t="shared" si="156"/>
        <v/>
      </c>
      <c r="K1107" s="10" t="str">
        <f t="shared" si="157"/>
        <v/>
      </c>
      <c r="L1107" s="11" t="str">
        <f t="shared" si="159"/>
        <v/>
      </c>
      <c r="M1107" s="9" t="str">
        <f>IF(G1107&lt;&gt;"",J1107/MAX(J$3:J1107)-1,"")</f>
        <v/>
      </c>
      <c r="N1107" s="9" t="str">
        <f>IF(G1107&lt;&gt;"",K1107/MAX(K$3:K1107)-1,"")</f>
        <v/>
      </c>
      <c r="O1107" s="16" t="str">
        <f t="shared" si="155"/>
        <v/>
      </c>
      <c r="P1107" s="16" t="str">
        <f t="shared" si="155"/>
        <v/>
      </c>
      <c r="Q1107" s="16" t="str">
        <f t="shared" si="155"/>
        <v/>
      </c>
      <c r="R1107" s="5" t="str">
        <f t="shared" si="154"/>
        <v/>
      </c>
      <c r="S1107" s="5" t="str">
        <f t="shared" si="158"/>
        <v/>
      </c>
      <c r="T1107" s="5" t="str">
        <f t="shared" si="160"/>
        <v/>
      </c>
      <c r="U1107" s="5" t="str">
        <f t="shared" si="160"/>
        <v/>
      </c>
    </row>
    <row r="1108" spans="7:21" x14ac:dyDescent="0.2">
      <c r="G1108" s="8"/>
      <c r="H1108" s="5"/>
      <c r="J1108" s="10" t="str">
        <f t="shared" si="156"/>
        <v/>
      </c>
      <c r="K1108" s="10" t="str">
        <f t="shared" si="157"/>
        <v/>
      </c>
      <c r="L1108" s="11" t="str">
        <f t="shared" si="159"/>
        <v/>
      </c>
      <c r="M1108" s="9" t="str">
        <f>IF(G1108&lt;&gt;"",J1108/MAX(J$3:J1108)-1,"")</f>
        <v/>
      </c>
      <c r="N1108" s="9" t="str">
        <f>IF(G1108&lt;&gt;"",K1108/MAX(K$3:K1108)-1,"")</f>
        <v/>
      </c>
      <c r="O1108" s="16" t="str">
        <f t="shared" si="155"/>
        <v/>
      </c>
      <c r="P1108" s="16" t="str">
        <f t="shared" si="155"/>
        <v/>
      </c>
      <c r="Q1108" s="16" t="str">
        <f t="shared" si="155"/>
        <v/>
      </c>
      <c r="R1108" s="5" t="str">
        <f t="shared" si="154"/>
        <v/>
      </c>
      <c r="S1108" s="5" t="str">
        <f t="shared" si="158"/>
        <v/>
      </c>
      <c r="T1108" s="5" t="str">
        <f t="shared" si="160"/>
        <v/>
      </c>
      <c r="U1108" s="5" t="str">
        <f t="shared" si="160"/>
        <v/>
      </c>
    </row>
    <row r="1109" spans="7:21" x14ac:dyDescent="0.2">
      <c r="G1109" s="8"/>
      <c r="H1109" s="5"/>
      <c r="J1109" s="10" t="str">
        <f t="shared" si="156"/>
        <v/>
      </c>
      <c r="K1109" s="10" t="str">
        <f t="shared" si="157"/>
        <v/>
      </c>
      <c r="L1109" s="11" t="str">
        <f t="shared" si="159"/>
        <v/>
      </c>
      <c r="M1109" s="9" t="str">
        <f>IF(G1109&lt;&gt;"",J1109/MAX(J$3:J1109)-1,"")</f>
        <v/>
      </c>
      <c r="N1109" s="9" t="str">
        <f>IF(G1109&lt;&gt;"",K1109/MAX(K$3:K1109)-1,"")</f>
        <v/>
      </c>
      <c r="O1109" s="16" t="str">
        <f t="shared" si="155"/>
        <v/>
      </c>
      <c r="P1109" s="16" t="str">
        <f t="shared" si="155"/>
        <v/>
      </c>
      <c r="Q1109" s="16" t="str">
        <f t="shared" si="155"/>
        <v/>
      </c>
      <c r="R1109" s="5" t="str">
        <f t="shared" si="154"/>
        <v/>
      </c>
      <c r="S1109" s="5" t="str">
        <f t="shared" si="158"/>
        <v/>
      </c>
      <c r="T1109" s="5" t="str">
        <f t="shared" si="160"/>
        <v/>
      </c>
      <c r="U1109" s="5" t="str">
        <f t="shared" si="160"/>
        <v/>
      </c>
    </row>
    <row r="1110" spans="7:21" x14ac:dyDescent="0.2">
      <c r="G1110" s="8"/>
      <c r="H1110" s="5"/>
      <c r="J1110" s="10" t="str">
        <f t="shared" si="156"/>
        <v/>
      </c>
      <c r="K1110" s="10" t="str">
        <f t="shared" si="157"/>
        <v/>
      </c>
      <c r="L1110" s="11" t="str">
        <f t="shared" si="159"/>
        <v/>
      </c>
      <c r="M1110" s="9" t="str">
        <f>IF(G1110&lt;&gt;"",J1110/MAX(J$3:J1110)-1,"")</f>
        <v/>
      </c>
      <c r="N1110" s="9" t="str">
        <f>IF(G1110&lt;&gt;"",K1110/MAX(K$3:K1110)-1,"")</f>
        <v/>
      </c>
      <c r="O1110" s="16" t="str">
        <f t="shared" si="155"/>
        <v/>
      </c>
      <c r="P1110" s="16" t="str">
        <f t="shared" si="155"/>
        <v/>
      </c>
      <c r="Q1110" s="16" t="str">
        <f t="shared" si="155"/>
        <v/>
      </c>
      <c r="R1110" s="5" t="str">
        <f t="shared" si="154"/>
        <v/>
      </c>
      <c r="S1110" s="5" t="str">
        <f t="shared" si="158"/>
        <v/>
      </c>
      <c r="T1110" s="5" t="str">
        <f t="shared" si="160"/>
        <v/>
      </c>
      <c r="U1110" s="5" t="str">
        <f t="shared" si="160"/>
        <v/>
      </c>
    </row>
    <row r="1111" spans="7:21" x14ac:dyDescent="0.2">
      <c r="G1111" s="8"/>
      <c r="H1111" s="5"/>
      <c r="J1111" s="10" t="str">
        <f t="shared" si="156"/>
        <v/>
      </c>
      <c r="K1111" s="10" t="str">
        <f t="shared" si="157"/>
        <v/>
      </c>
      <c r="L1111" s="11" t="str">
        <f t="shared" si="159"/>
        <v/>
      </c>
      <c r="M1111" s="9" t="str">
        <f>IF(G1111&lt;&gt;"",J1111/MAX(J$3:J1111)-1,"")</f>
        <v/>
      </c>
      <c r="N1111" s="9" t="str">
        <f>IF(G1111&lt;&gt;"",K1111/MAX(K$3:K1111)-1,"")</f>
        <v/>
      </c>
      <c r="O1111" s="16" t="str">
        <f t="shared" si="155"/>
        <v/>
      </c>
      <c r="P1111" s="16" t="str">
        <f t="shared" si="155"/>
        <v/>
      </c>
      <c r="Q1111" s="16" t="str">
        <f t="shared" si="155"/>
        <v/>
      </c>
      <c r="R1111" s="5" t="str">
        <f t="shared" si="154"/>
        <v/>
      </c>
      <c r="S1111" s="5" t="str">
        <f t="shared" si="158"/>
        <v/>
      </c>
      <c r="T1111" s="5" t="str">
        <f t="shared" si="160"/>
        <v/>
      </c>
      <c r="U1111" s="5" t="str">
        <f t="shared" si="160"/>
        <v/>
      </c>
    </row>
    <row r="1112" spans="7:21" x14ac:dyDescent="0.2">
      <c r="G1112" s="8"/>
      <c r="H1112" s="5"/>
      <c r="J1112" s="10" t="str">
        <f t="shared" si="156"/>
        <v/>
      </c>
      <c r="K1112" s="10" t="str">
        <f t="shared" si="157"/>
        <v/>
      </c>
      <c r="L1112" s="11" t="str">
        <f t="shared" si="159"/>
        <v/>
      </c>
      <c r="M1112" s="9" t="str">
        <f>IF(G1112&lt;&gt;"",J1112/MAX(J$3:J1112)-1,"")</f>
        <v/>
      </c>
      <c r="N1112" s="9" t="str">
        <f>IF(G1112&lt;&gt;"",K1112/MAX(K$3:K1112)-1,"")</f>
        <v/>
      </c>
      <c r="O1112" s="16" t="str">
        <f t="shared" si="155"/>
        <v/>
      </c>
      <c r="P1112" s="16" t="str">
        <f t="shared" si="155"/>
        <v/>
      </c>
      <c r="Q1112" s="16" t="str">
        <f t="shared" si="155"/>
        <v/>
      </c>
      <c r="R1112" s="5" t="str">
        <f t="shared" si="154"/>
        <v/>
      </c>
      <c r="S1112" s="5" t="str">
        <f t="shared" si="158"/>
        <v/>
      </c>
      <c r="T1112" s="5" t="str">
        <f t="shared" ref="T1112:U1127" si="161">IF($G1112&lt;&gt;"",_xlfn.STDEV.S(O868:O1112),"")</f>
        <v/>
      </c>
      <c r="U1112" s="5" t="str">
        <f t="shared" si="161"/>
        <v/>
      </c>
    </row>
    <row r="1113" spans="7:21" x14ac:dyDescent="0.2">
      <c r="G1113" s="8"/>
      <c r="H1113" s="5"/>
      <c r="J1113" s="10" t="str">
        <f t="shared" si="156"/>
        <v/>
      </c>
      <c r="K1113" s="10" t="str">
        <f t="shared" si="157"/>
        <v/>
      </c>
      <c r="L1113" s="11" t="str">
        <f t="shared" si="159"/>
        <v/>
      </c>
      <c r="M1113" s="9" t="str">
        <f>IF(G1113&lt;&gt;"",J1113/MAX(J$3:J1113)-1,"")</f>
        <v/>
      </c>
      <c r="N1113" s="9" t="str">
        <f>IF(G1113&lt;&gt;"",K1113/MAX(K$3:K1113)-1,"")</f>
        <v/>
      </c>
      <c r="O1113" s="16" t="str">
        <f t="shared" si="155"/>
        <v/>
      </c>
      <c r="P1113" s="16" t="str">
        <f t="shared" si="155"/>
        <v/>
      </c>
      <c r="Q1113" s="16" t="str">
        <f t="shared" si="155"/>
        <v/>
      </c>
      <c r="R1113" s="5" t="str">
        <f t="shared" si="154"/>
        <v/>
      </c>
      <c r="S1113" s="5" t="str">
        <f t="shared" si="158"/>
        <v/>
      </c>
      <c r="T1113" s="5" t="str">
        <f t="shared" si="161"/>
        <v/>
      </c>
      <c r="U1113" s="5" t="str">
        <f t="shared" si="161"/>
        <v/>
      </c>
    </row>
    <row r="1114" spans="7:21" x14ac:dyDescent="0.2">
      <c r="G1114" s="8"/>
      <c r="H1114" s="5"/>
      <c r="J1114" s="10" t="str">
        <f t="shared" si="156"/>
        <v/>
      </c>
      <c r="K1114" s="10" t="str">
        <f t="shared" si="157"/>
        <v/>
      </c>
      <c r="L1114" s="11" t="str">
        <f t="shared" si="159"/>
        <v/>
      </c>
      <c r="M1114" s="9" t="str">
        <f>IF(G1114&lt;&gt;"",J1114/MAX(J$3:J1114)-1,"")</f>
        <v/>
      </c>
      <c r="N1114" s="9" t="str">
        <f>IF(G1114&lt;&gt;"",K1114/MAX(K$3:K1114)-1,"")</f>
        <v/>
      </c>
      <c r="O1114" s="16" t="str">
        <f t="shared" si="155"/>
        <v/>
      </c>
      <c r="P1114" s="16" t="str">
        <f t="shared" si="155"/>
        <v/>
      </c>
      <c r="Q1114" s="16" t="str">
        <f t="shared" si="155"/>
        <v/>
      </c>
      <c r="R1114" s="5" t="str">
        <f t="shared" si="154"/>
        <v/>
      </c>
      <c r="S1114" s="5" t="str">
        <f t="shared" si="158"/>
        <v/>
      </c>
      <c r="T1114" s="5" t="str">
        <f t="shared" si="161"/>
        <v/>
      </c>
      <c r="U1114" s="5" t="str">
        <f t="shared" si="161"/>
        <v/>
      </c>
    </row>
    <row r="1115" spans="7:21" x14ac:dyDescent="0.2">
      <c r="G1115" s="8"/>
      <c r="H1115" s="5"/>
      <c r="J1115" s="10" t="str">
        <f t="shared" si="156"/>
        <v/>
      </c>
      <c r="K1115" s="10" t="str">
        <f t="shared" si="157"/>
        <v/>
      </c>
      <c r="L1115" s="11" t="str">
        <f t="shared" si="159"/>
        <v/>
      </c>
      <c r="M1115" s="9" t="str">
        <f>IF(G1115&lt;&gt;"",J1115/MAX(J$3:J1115)-1,"")</f>
        <v/>
      </c>
      <c r="N1115" s="9" t="str">
        <f>IF(G1115&lt;&gt;"",K1115/MAX(K$3:K1115)-1,"")</f>
        <v/>
      </c>
      <c r="O1115" s="16" t="str">
        <f t="shared" si="155"/>
        <v/>
      </c>
      <c r="P1115" s="16" t="str">
        <f t="shared" si="155"/>
        <v/>
      </c>
      <c r="Q1115" s="16" t="str">
        <f t="shared" si="155"/>
        <v/>
      </c>
      <c r="R1115" s="5" t="str">
        <f t="shared" si="154"/>
        <v/>
      </c>
      <c r="S1115" s="5" t="str">
        <f t="shared" si="158"/>
        <v/>
      </c>
      <c r="T1115" s="5" t="str">
        <f t="shared" si="161"/>
        <v/>
      </c>
      <c r="U1115" s="5" t="str">
        <f t="shared" si="161"/>
        <v/>
      </c>
    </row>
    <row r="1116" spans="7:21" x14ac:dyDescent="0.2">
      <c r="G1116" s="8"/>
      <c r="H1116" s="5"/>
      <c r="J1116" s="10" t="str">
        <f t="shared" si="156"/>
        <v/>
      </c>
      <c r="K1116" s="10" t="str">
        <f t="shared" si="157"/>
        <v/>
      </c>
      <c r="L1116" s="11" t="str">
        <f t="shared" si="159"/>
        <v/>
      </c>
      <c r="M1116" s="9" t="str">
        <f>IF(G1116&lt;&gt;"",J1116/MAX(J$3:J1116)-1,"")</f>
        <v/>
      </c>
      <c r="N1116" s="9" t="str">
        <f>IF(G1116&lt;&gt;"",K1116/MAX(K$3:K1116)-1,"")</f>
        <v/>
      </c>
      <c r="O1116" s="16" t="str">
        <f t="shared" si="155"/>
        <v/>
      </c>
      <c r="P1116" s="16" t="str">
        <f t="shared" si="155"/>
        <v/>
      </c>
      <c r="Q1116" s="16" t="str">
        <f t="shared" si="155"/>
        <v/>
      </c>
      <c r="R1116" s="5" t="str">
        <f t="shared" si="154"/>
        <v/>
      </c>
      <c r="S1116" s="5" t="str">
        <f t="shared" si="158"/>
        <v/>
      </c>
      <c r="T1116" s="5" t="str">
        <f t="shared" si="161"/>
        <v/>
      </c>
      <c r="U1116" s="5" t="str">
        <f t="shared" si="161"/>
        <v/>
      </c>
    </row>
    <row r="1117" spans="7:21" x14ac:dyDescent="0.2">
      <c r="G1117" s="8"/>
      <c r="H1117" s="5"/>
      <c r="J1117" s="10" t="str">
        <f t="shared" si="156"/>
        <v/>
      </c>
      <c r="K1117" s="10" t="str">
        <f t="shared" si="157"/>
        <v/>
      </c>
      <c r="L1117" s="11" t="str">
        <f t="shared" si="159"/>
        <v/>
      </c>
      <c r="M1117" s="9" t="str">
        <f>IF(G1117&lt;&gt;"",J1117/MAX(J$3:J1117)-1,"")</f>
        <v/>
      </c>
      <c r="N1117" s="9" t="str">
        <f>IF(G1117&lt;&gt;"",K1117/MAX(K$3:K1117)-1,"")</f>
        <v/>
      </c>
      <c r="O1117" s="16" t="str">
        <f t="shared" si="155"/>
        <v/>
      </c>
      <c r="P1117" s="16" t="str">
        <f t="shared" si="155"/>
        <v/>
      </c>
      <c r="Q1117" s="16" t="str">
        <f t="shared" si="155"/>
        <v/>
      </c>
      <c r="R1117" s="5" t="str">
        <f t="shared" si="154"/>
        <v/>
      </c>
      <c r="S1117" s="5" t="str">
        <f t="shared" si="158"/>
        <v/>
      </c>
      <c r="T1117" s="5" t="str">
        <f t="shared" si="161"/>
        <v/>
      </c>
      <c r="U1117" s="5" t="str">
        <f t="shared" si="161"/>
        <v/>
      </c>
    </row>
    <row r="1118" spans="7:21" x14ac:dyDescent="0.2">
      <c r="G1118" s="8"/>
      <c r="H1118" s="5"/>
      <c r="J1118" s="10" t="str">
        <f t="shared" si="156"/>
        <v/>
      </c>
      <c r="K1118" s="10" t="str">
        <f t="shared" si="157"/>
        <v/>
      </c>
      <c r="L1118" s="11" t="str">
        <f t="shared" si="159"/>
        <v/>
      </c>
      <c r="M1118" s="9" t="str">
        <f>IF(G1118&lt;&gt;"",J1118/MAX(J$3:J1118)-1,"")</f>
        <v/>
      </c>
      <c r="N1118" s="9" t="str">
        <f>IF(G1118&lt;&gt;"",K1118/MAX(K$3:K1118)-1,"")</f>
        <v/>
      </c>
      <c r="O1118" s="16" t="str">
        <f t="shared" si="155"/>
        <v/>
      </c>
      <c r="P1118" s="16" t="str">
        <f t="shared" si="155"/>
        <v/>
      </c>
      <c r="Q1118" s="16" t="str">
        <f t="shared" si="155"/>
        <v/>
      </c>
      <c r="R1118" s="5" t="str">
        <f t="shared" si="154"/>
        <v/>
      </c>
      <c r="S1118" s="5" t="str">
        <f t="shared" si="158"/>
        <v/>
      </c>
      <c r="T1118" s="5" t="str">
        <f t="shared" si="161"/>
        <v/>
      </c>
      <c r="U1118" s="5" t="str">
        <f t="shared" si="161"/>
        <v/>
      </c>
    </row>
    <row r="1119" spans="7:21" x14ac:dyDescent="0.2">
      <c r="G1119" s="8"/>
      <c r="H1119" s="5"/>
      <c r="J1119" s="10" t="str">
        <f t="shared" si="156"/>
        <v/>
      </c>
      <c r="K1119" s="10" t="str">
        <f t="shared" si="157"/>
        <v/>
      </c>
      <c r="L1119" s="11" t="str">
        <f t="shared" si="159"/>
        <v/>
      </c>
      <c r="M1119" s="9" t="str">
        <f>IF(G1119&lt;&gt;"",J1119/MAX(J$3:J1119)-1,"")</f>
        <v/>
      </c>
      <c r="N1119" s="9" t="str">
        <f>IF(G1119&lt;&gt;"",K1119/MAX(K$3:K1119)-1,"")</f>
        <v/>
      </c>
      <c r="O1119" s="16" t="str">
        <f t="shared" si="155"/>
        <v/>
      </c>
      <c r="P1119" s="16" t="str">
        <f t="shared" si="155"/>
        <v/>
      </c>
      <c r="Q1119" s="16" t="str">
        <f t="shared" si="155"/>
        <v/>
      </c>
      <c r="R1119" s="5" t="str">
        <f t="shared" si="154"/>
        <v/>
      </c>
      <c r="S1119" s="5" t="str">
        <f t="shared" si="158"/>
        <v/>
      </c>
      <c r="T1119" s="5" t="str">
        <f t="shared" si="161"/>
        <v/>
      </c>
      <c r="U1119" s="5" t="str">
        <f t="shared" si="161"/>
        <v/>
      </c>
    </row>
    <row r="1120" spans="7:21" x14ac:dyDescent="0.2">
      <c r="G1120" s="8"/>
      <c r="H1120" s="5"/>
      <c r="J1120" s="10" t="str">
        <f t="shared" si="156"/>
        <v/>
      </c>
      <c r="K1120" s="10" t="str">
        <f t="shared" si="157"/>
        <v/>
      </c>
      <c r="L1120" s="11" t="str">
        <f t="shared" si="159"/>
        <v/>
      </c>
      <c r="M1120" s="9" t="str">
        <f>IF(G1120&lt;&gt;"",J1120/MAX(J$3:J1120)-1,"")</f>
        <v/>
      </c>
      <c r="N1120" s="9" t="str">
        <f>IF(G1120&lt;&gt;"",K1120/MAX(K$3:K1120)-1,"")</f>
        <v/>
      </c>
      <c r="O1120" s="16" t="str">
        <f t="shared" si="155"/>
        <v/>
      </c>
      <c r="P1120" s="16" t="str">
        <f t="shared" si="155"/>
        <v/>
      </c>
      <c r="Q1120" s="16" t="str">
        <f t="shared" si="155"/>
        <v/>
      </c>
      <c r="R1120" s="5" t="str">
        <f t="shared" si="154"/>
        <v/>
      </c>
      <c r="S1120" s="5" t="str">
        <f t="shared" si="158"/>
        <v/>
      </c>
      <c r="T1120" s="5" t="str">
        <f t="shared" si="161"/>
        <v/>
      </c>
      <c r="U1120" s="5" t="str">
        <f t="shared" si="161"/>
        <v/>
      </c>
    </row>
    <row r="1121" spans="7:21" x14ac:dyDescent="0.2">
      <c r="G1121" s="8"/>
      <c r="H1121" s="5"/>
      <c r="J1121" s="10" t="str">
        <f t="shared" si="156"/>
        <v/>
      </c>
      <c r="K1121" s="10" t="str">
        <f t="shared" si="157"/>
        <v/>
      </c>
      <c r="L1121" s="11" t="str">
        <f t="shared" si="159"/>
        <v/>
      </c>
      <c r="M1121" s="9" t="str">
        <f>IF(G1121&lt;&gt;"",J1121/MAX(J$3:J1121)-1,"")</f>
        <v/>
      </c>
      <c r="N1121" s="9" t="str">
        <f>IF(G1121&lt;&gt;"",K1121/MAX(K$3:K1121)-1,"")</f>
        <v/>
      </c>
      <c r="O1121" s="16" t="str">
        <f t="shared" si="155"/>
        <v/>
      </c>
      <c r="P1121" s="16" t="str">
        <f t="shared" si="155"/>
        <v/>
      </c>
      <c r="Q1121" s="16" t="str">
        <f t="shared" si="155"/>
        <v/>
      </c>
      <c r="R1121" s="5" t="str">
        <f t="shared" si="154"/>
        <v/>
      </c>
      <c r="S1121" s="5" t="str">
        <f t="shared" si="158"/>
        <v/>
      </c>
      <c r="T1121" s="5" t="str">
        <f t="shared" si="161"/>
        <v/>
      </c>
      <c r="U1121" s="5" t="str">
        <f t="shared" si="161"/>
        <v/>
      </c>
    </row>
    <row r="1122" spans="7:21" x14ac:dyDescent="0.2">
      <c r="G1122" s="8"/>
      <c r="H1122" s="5"/>
      <c r="J1122" s="10" t="str">
        <f t="shared" si="156"/>
        <v/>
      </c>
      <c r="K1122" s="10" t="str">
        <f t="shared" si="157"/>
        <v/>
      </c>
      <c r="L1122" s="11" t="str">
        <f t="shared" si="159"/>
        <v/>
      </c>
      <c r="M1122" s="9" t="str">
        <f>IF(G1122&lt;&gt;"",J1122/MAX(J$3:J1122)-1,"")</f>
        <v/>
      </c>
      <c r="N1122" s="9" t="str">
        <f>IF(G1122&lt;&gt;"",K1122/MAX(K$3:K1122)-1,"")</f>
        <v/>
      </c>
      <c r="O1122" s="16" t="str">
        <f t="shared" si="155"/>
        <v/>
      </c>
      <c r="P1122" s="16" t="str">
        <f t="shared" si="155"/>
        <v/>
      </c>
      <c r="Q1122" s="16" t="str">
        <f t="shared" si="155"/>
        <v/>
      </c>
      <c r="R1122" s="5" t="str">
        <f t="shared" si="154"/>
        <v/>
      </c>
      <c r="S1122" s="5" t="str">
        <f t="shared" si="158"/>
        <v/>
      </c>
      <c r="T1122" s="5" t="str">
        <f t="shared" si="161"/>
        <v/>
      </c>
      <c r="U1122" s="5" t="str">
        <f t="shared" si="161"/>
        <v/>
      </c>
    </row>
    <row r="1123" spans="7:21" x14ac:dyDescent="0.2">
      <c r="G1123" s="8"/>
      <c r="H1123" s="5"/>
      <c r="J1123" s="10" t="str">
        <f t="shared" si="156"/>
        <v/>
      </c>
      <c r="K1123" s="10" t="str">
        <f t="shared" si="157"/>
        <v/>
      </c>
      <c r="L1123" s="11" t="str">
        <f t="shared" si="159"/>
        <v/>
      </c>
      <c r="M1123" s="9" t="str">
        <f>IF(G1123&lt;&gt;"",J1123/MAX(J$3:J1123)-1,"")</f>
        <v/>
      </c>
      <c r="N1123" s="9" t="str">
        <f>IF(G1123&lt;&gt;"",K1123/MAX(K$3:K1123)-1,"")</f>
        <v/>
      </c>
      <c r="O1123" s="16" t="str">
        <f t="shared" si="155"/>
        <v/>
      </c>
      <c r="P1123" s="16" t="str">
        <f t="shared" si="155"/>
        <v/>
      </c>
      <c r="Q1123" s="16" t="str">
        <f t="shared" si="155"/>
        <v/>
      </c>
      <c r="R1123" s="5" t="str">
        <f t="shared" si="154"/>
        <v/>
      </c>
      <c r="S1123" s="5" t="str">
        <f t="shared" si="158"/>
        <v/>
      </c>
      <c r="T1123" s="5" t="str">
        <f t="shared" si="161"/>
        <v/>
      </c>
      <c r="U1123" s="5" t="str">
        <f t="shared" si="161"/>
        <v/>
      </c>
    </row>
    <row r="1124" spans="7:21" x14ac:dyDescent="0.2">
      <c r="G1124" s="8"/>
      <c r="H1124" s="5"/>
      <c r="J1124" s="10" t="str">
        <f t="shared" si="156"/>
        <v/>
      </c>
      <c r="K1124" s="10" t="str">
        <f t="shared" si="157"/>
        <v/>
      </c>
      <c r="L1124" s="11" t="str">
        <f t="shared" si="159"/>
        <v/>
      </c>
      <c r="M1124" s="9" t="str">
        <f>IF(G1124&lt;&gt;"",J1124/MAX(J$3:J1124)-1,"")</f>
        <v/>
      </c>
      <c r="N1124" s="9" t="str">
        <f>IF(G1124&lt;&gt;"",K1124/MAX(K$3:K1124)-1,"")</f>
        <v/>
      </c>
      <c r="O1124" s="16" t="str">
        <f t="shared" si="155"/>
        <v/>
      </c>
      <c r="P1124" s="16" t="str">
        <f t="shared" si="155"/>
        <v/>
      </c>
      <c r="Q1124" s="16" t="str">
        <f t="shared" si="155"/>
        <v/>
      </c>
      <c r="R1124" s="5" t="str">
        <f t="shared" si="154"/>
        <v/>
      </c>
      <c r="S1124" s="5" t="str">
        <f t="shared" si="158"/>
        <v/>
      </c>
      <c r="T1124" s="5" t="str">
        <f t="shared" si="161"/>
        <v/>
      </c>
      <c r="U1124" s="5" t="str">
        <f t="shared" si="161"/>
        <v/>
      </c>
    </row>
    <row r="1125" spans="7:21" x14ac:dyDescent="0.2">
      <c r="G1125" s="8"/>
      <c r="H1125" s="5"/>
      <c r="J1125" s="10" t="str">
        <f t="shared" si="156"/>
        <v/>
      </c>
      <c r="K1125" s="10" t="str">
        <f t="shared" si="157"/>
        <v/>
      </c>
      <c r="L1125" s="11" t="str">
        <f t="shared" si="159"/>
        <v/>
      </c>
      <c r="M1125" s="9" t="str">
        <f>IF(G1125&lt;&gt;"",J1125/MAX(J$3:J1125)-1,"")</f>
        <v/>
      </c>
      <c r="N1125" s="9" t="str">
        <f>IF(G1125&lt;&gt;"",K1125/MAX(K$3:K1125)-1,"")</f>
        <v/>
      </c>
      <c r="O1125" s="16" t="str">
        <f t="shared" si="155"/>
        <v/>
      </c>
      <c r="P1125" s="16" t="str">
        <f t="shared" si="155"/>
        <v/>
      </c>
      <c r="Q1125" s="16" t="str">
        <f t="shared" si="155"/>
        <v/>
      </c>
      <c r="R1125" s="5" t="str">
        <f t="shared" si="154"/>
        <v/>
      </c>
      <c r="S1125" s="5" t="str">
        <f t="shared" si="158"/>
        <v/>
      </c>
      <c r="T1125" s="5" t="str">
        <f t="shared" si="161"/>
        <v/>
      </c>
      <c r="U1125" s="5" t="str">
        <f t="shared" si="161"/>
        <v/>
      </c>
    </row>
    <row r="1126" spans="7:21" x14ac:dyDescent="0.2">
      <c r="G1126" s="8"/>
      <c r="H1126" s="5"/>
      <c r="J1126" s="10" t="str">
        <f t="shared" si="156"/>
        <v/>
      </c>
      <c r="K1126" s="10" t="str">
        <f t="shared" si="157"/>
        <v/>
      </c>
      <c r="L1126" s="11" t="str">
        <f t="shared" si="159"/>
        <v/>
      </c>
      <c r="M1126" s="9" t="str">
        <f>IF(G1126&lt;&gt;"",J1126/MAX(J$3:J1126)-1,"")</f>
        <v/>
      </c>
      <c r="N1126" s="9" t="str">
        <f>IF(G1126&lt;&gt;"",K1126/MAX(K$3:K1126)-1,"")</f>
        <v/>
      </c>
      <c r="O1126" s="16" t="str">
        <f t="shared" si="155"/>
        <v/>
      </c>
      <c r="P1126" s="16" t="str">
        <f t="shared" si="155"/>
        <v/>
      </c>
      <c r="Q1126" s="16" t="str">
        <f t="shared" si="155"/>
        <v/>
      </c>
      <c r="R1126" s="5" t="str">
        <f t="shared" si="154"/>
        <v/>
      </c>
      <c r="S1126" s="5" t="str">
        <f t="shared" si="158"/>
        <v/>
      </c>
      <c r="T1126" s="5" t="str">
        <f t="shared" si="161"/>
        <v/>
      </c>
      <c r="U1126" s="5" t="str">
        <f t="shared" si="161"/>
        <v/>
      </c>
    </row>
    <row r="1127" spans="7:21" x14ac:dyDescent="0.2">
      <c r="G1127" s="8"/>
      <c r="H1127" s="5"/>
      <c r="J1127" s="10" t="str">
        <f t="shared" si="156"/>
        <v/>
      </c>
      <c r="K1127" s="10" t="str">
        <f t="shared" si="157"/>
        <v/>
      </c>
      <c r="L1127" s="11" t="str">
        <f t="shared" si="159"/>
        <v/>
      </c>
      <c r="M1127" s="9" t="str">
        <f>IF(G1127&lt;&gt;"",J1127/MAX(J$3:J1127)-1,"")</f>
        <v/>
      </c>
      <c r="N1127" s="9" t="str">
        <f>IF(G1127&lt;&gt;"",K1127/MAX(K$3:K1127)-1,"")</f>
        <v/>
      </c>
      <c r="O1127" s="16" t="str">
        <f t="shared" si="155"/>
        <v/>
      </c>
      <c r="P1127" s="16" t="str">
        <f t="shared" si="155"/>
        <v/>
      </c>
      <c r="Q1127" s="16" t="str">
        <f t="shared" si="155"/>
        <v/>
      </c>
      <c r="R1127" s="5" t="str">
        <f t="shared" si="154"/>
        <v/>
      </c>
      <c r="S1127" s="5" t="str">
        <f t="shared" si="158"/>
        <v/>
      </c>
      <c r="T1127" s="5" t="str">
        <f t="shared" si="161"/>
        <v/>
      </c>
      <c r="U1127" s="5" t="str">
        <f t="shared" si="161"/>
        <v/>
      </c>
    </row>
    <row r="1128" spans="7:21" x14ac:dyDescent="0.2">
      <c r="G1128" s="8"/>
      <c r="H1128" s="5"/>
      <c r="J1128" s="10" t="str">
        <f t="shared" si="156"/>
        <v/>
      </c>
      <c r="K1128" s="10" t="str">
        <f t="shared" si="157"/>
        <v/>
      </c>
      <c r="L1128" s="11" t="str">
        <f t="shared" si="159"/>
        <v/>
      </c>
      <c r="M1128" s="9" t="str">
        <f>IF(G1128&lt;&gt;"",J1128/MAX(J$3:J1128)-1,"")</f>
        <v/>
      </c>
      <c r="N1128" s="9" t="str">
        <f>IF(G1128&lt;&gt;"",K1128/MAX(K$3:K1128)-1,"")</f>
        <v/>
      </c>
      <c r="O1128" s="16" t="str">
        <f t="shared" si="155"/>
        <v/>
      </c>
      <c r="P1128" s="16" t="str">
        <f t="shared" si="155"/>
        <v/>
      </c>
      <c r="Q1128" s="16" t="str">
        <f t="shared" si="155"/>
        <v/>
      </c>
      <c r="R1128" s="5" t="str">
        <f t="shared" si="154"/>
        <v/>
      </c>
      <c r="S1128" s="5" t="str">
        <f t="shared" si="158"/>
        <v/>
      </c>
      <c r="T1128" s="5" t="str">
        <f t="shared" ref="T1128:U1143" si="162">IF($G1128&lt;&gt;"",_xlfn.STDEV.S(O884:O1128),"")</f>
        <v/>
      </c>
      <c r="U1128" s="5" t="str">
        <f t="shared" si="162"/>
        <v/>
      </c>
    </row>
    <row r="1129" spans="7:21" x14ac:dyDescent="0.2">
      <c r="G1129" s="8"/>
      <c r="H1129" s="5"/>
      <c r="J1129" s="10" t="str">
        <f t="shared" si="156"/>
        <v/>
      </c>
      <c r="K1129" s="10" t="str">
        <f t="shared" si="157"/>
        <v/>
      </c>
      <c r="L1129" s="11" t="str">
        <f t="shared" si="159"/>
        <v/>
      </c>
      <c r="M1129" s="9" t="str">
        <f>IF(G1129&lt;&gt;"",J1129/MAX(J$3:J1129)-1,"")</f>
        <v/>
      </c>
      <c r="N1129" s="9" t="str">
        <f>IF(G1129&lt;&gt;"",K1129/MAX(K$3:K1129)-1,"")</f>
        <v/>
      </c>
      <c r="O1129" s="16" t="str">
        <f t="shared" si="155"/>
        <v/>
      </c>
      <c r="P1129" s="16" t="str">
        <f t="shared" si="155"/>
        <v/>
      </c>
      <c r="Q1129" s="16" t="str">
        <f t="shared" si="155"/>
        <v/>
      </c>
      <c r="R1129" s="5" t="str">
        <f t="shared" si="154"/>
        <v/>
      </c>
      <c r="S1129" s="5" t="str">
        <f t="shared" si="158"/>
        <v/>
      </c>
      <c r="T1129" s="5" t="str">
        <f t="shared" si="162"/>
        <v/>
      </c>
      <c r="U1129" s="5" t="str">
        <f t="shared" si="162"/>
        <v/>
      </c>
    </row>
    <row r="1130" spans="7:21" x14ac:dyDescent="0.2">
      <c r="G1130" s="8"/>
      <c r="H1130" s="5"/>
      <c r="J1130" s="10" t="str">
        <f t="shared" si="156"/>
        <v/>
      </c>
      <c r="K1130" s="10" t="str">
        <f t="shared" si="157"/>
        <v/>
      </c>
      <c r="L1130" s="11" t="str">
        <f t="shared" si="159"/>
        <v/>
      </c>
      <c r="M1130" s="9" t="str">
        <f>IF(G1130&lt;&gt;"",J1130/MAX(J$3:J1130)-1,"")</f>
        <v/>
      </c>
      <c r="N1130" s="9" t="str">
        <f>IF(G1130&lt;&gt;"",K1130/MAX(K$3:K1130)-1,"")</f>
        <v/>
      </c>
      <c r="O1130" s="16" t="str">
        <f t="shared" si="155"/>
        <v/>
      </c>
      <c r="P1130" s="16" t="str">
        <f t="shared" si="155"/>
        <v/>
      </c>
      <c r="Q1130" s="16" t="str">
        <f t="shared" si="155"/>
        <v/>
      </c>
      <c r="R1130" s="5" t="str">
        <f t="shared" si="154"/>
        <v/>
      </c>
      <c r="S1130" s="5" t="str">
        <f t="shared" si="158"/>
        <v/>
      </c>
      <c r="T1130" s="5" t="str">
        <f t="shared" si="162"/>
        <v/>
      </c>
      <c r="U1130" s="5" t="str">
        <f t="shared" si="162"/>
        <v/>
      </c>
    </row>
    <row r="1131" spans="7:21" x14ac:dyDescent="0.2">
      <c r="G1131" s="8"/>
      <c r="H1131" s="5"/>
      <c r="J1131" s="10" t="str">
        <f t="shared" si="156"/>
        <v/>
      </c>
      <c r="K1131" s="10" t="str">
        <f t="shared" si="157"/>
        <v/>
      </c>
      <c r="L1131" s="11" t="str">
        <f t="shared" si="159"/>
        <v/>
      </c>
      <c r="M1131" s="9" t="str">
        <f>IF(G1131&lt;&gt;"",J1131/MAX(J$3:J1131)-1,"")</f>
        <v/>
      </c>
      <c r="N1131" s="9" t="str">
        <f>IF(G1131&lt;&gt;"",K1131/MAX(K$3:K1131)-1,"")</f>
        <v/>
      </c>
      <c r="O1131" s="16" t="str">
        <f t="shared" si="155"/>
        <v/>
      </c>
      <c r="P1131" s="16" t="str">
        <f t="shared" si="155"/>
        <v/>
      </c>
      <c r="Q1131" s="16" t="str">
        <f t="shared" si="155"/>
        <v/>
      </c>
      <c r="R1131" s="5" t="str">
        <f t="shared" si="154"/>
        <v/>
      </c>
      <c r="S1131" s="5" t="str">
        <f t="shared" si="158"/>
        <v/>
      </c>
      <c r="T1131" s="5" t="str">
        <f t="shared" si="162"/>
        <v/>
      </c>
      <c r="U1131" s="5" t="str">
        <f t="shared" si="162"/>
        <v/>
      </c>
    </row>
    <row r="1132" spans="7:21" x14ac:dyDescent="0.2">
      <c r="G1132" s="8"/>
      <c r="H1132" s="5"/>
      <c r="J1132" s="10" t="str">
        <f t="shared" si="156"/>
        <v/>
      </c>
      <c r="K1132" s="10" t="str">
        <f t="shared" si="157"/>
        <v/>
      </c>
      <c r="L1132" s="11" t="str">
        <f t="shared" si="159"/>
        <v/>
      </c>
      <c r="M1132" s="9" t="str">
        <f>IF(G1132&lt;&gt;"",J1132/MAX(J$3:J1132)-1,"")</f>
        <v/>
      </c>
      <c r="N1132" s="9" t="str">
        <f>IF(G1132&lt;&gt;"",K1132/MAX(K$3:K1132)-1,"")</f>
        <v/>
      </c>
      <c r="O1132" s="16" t="str">
        <f t="shared" si="155"/>
        <v/>
      </c>
      <c r="P1132" s="16" t="str">
        <f t="shared" si="155"/>
        <v/>
      </c>
      <c r="Q1132" s="16" t="str">
        <f t="shared" si="155"/>
        <v/>
      </c>
      <c r="R1132" s="5" t="str">
        <f t="shared" si="154"/>
        <v/>
      </c>
      <c r="S1132" s="5" t="str">
        <f t="shared" si="158"/>
        <v/>
      </c>
      <c r="T1132" s="5" t="str">
        <f t="shared" si="162"/>
        <v/>
      </c>
      <c r="U1132" s="5" t="str">
        <f t="shared" si="162"/>
        <v/>
      </c>
    </row>
    <row r="1133" spans="7:21" x14ac:dyDescent="0.2">
      <c r="G1133" s="8"/>
      <c r="H1133" s="5"/>
      <c r="J1133" s="10" t="str">
        <f t="shared" si="156"/>
        <v/>
      </c>
      <c r="K1133" s="10" t="str">
        <f t="shared" si="157"/>
        <v/>
      </c>
      <c r="L1133" s="11" t="str">
        <f t="shared" si="159"/>
        <v/>
      </c>
      <c r="M1133" s="9" t="str">
        <f>IF(G1133&lt;&gt;"",J1133/MAX(J$3:J1133)-1,"")</f>
        <v/>
      </c>
      <c r="N1133" s="9" t="str">
        <f>IF(G1133&lt;&gt;"",K1133/MAX(K$3:K1133)-1,"")</f>
        <v/>
      </c>
      <c r="O1133" s="16" t="str">
        <f t="shared" si="155"/>
        <v/>
      </c>
      <c r="P1133" s="16" t="str">
        <f t="shared" si="155"/>
        <v/>
      </c>
      <c r="Q1133" s="16" t="str">
        <f t="shared" si="155"/>
        <v/>
      </c>
      <c r="R1133" s="5" t="str">
        <f t="shared" si="154"/>
        <v/>
      </c>
      <c r="S1133" s="5" t="str">
        <f t="shared" si="158"/>
        <v/>
      </c>
      <c r="T1133" s="5" t="str">
        <f t="shared" si="162"/>
        <v/>
      </c>
      <c r="U1133" s="5" t="str">
        <f t="shared" si="162"/>
        <v/>
      </c>
    </row>
    <row r="1134" spans="7:21" x14ac:dyDescent="0.2">
      <c r="G1134" s="8"/>
      <c r="H1134" s="5"/>
      <c r="J1134" s="10" t="str">
        <f t="shared" si="156"/>
        <v/>
      </c>
      <c r="K1134" s="10" t="str">
        <f t="shared" si="157"/>
        <v/>
      </c>
      <c r="L1134" s="11" t="str">
        <f t="shared" si="159"/>
        <v/>
      </c>
      <c r="M1134" s="9" t="str">
        <f>IF(G1134&lt;&gt;"",J1134/MAX(J$3:J1134)-1,"")</f>
        <v/>
      </c>
      <c r="N1134" s="9" t="str">
        <f>IF(G1134&lt;&gt;"",K1134/MAX(K$3:K1134)-1,"")</f>
        <v/>
      </c>
      <c r="O1134" s="16" t="str">
        <f t="shared" si="155"/>
        <v/>
      </c>
      <c r="P1134" s="16" t="str">
        <f t="shared" si="155"/>
        <v/>
      </c>
      <c r="Q1134" s="16" t="str">
        <f t="shared" si="155"/>
        <v/>
      </c>
      <c r="R1134" s="5" t="str">
        <f t="shared" si="154"/>
        <v/>
      </c>
      <c r="S1134" s="5" t="str">
        <f t="shared" si="158"/>
        <v/>
      </c>
      <c r="T1134" s="5" t="str">
        <f t="shared" si="162"/>
        <v/>
      </c>
      <c r="U1134" s="5" t="str">
        <f t="shared" si="162"/>
        <v/>
      </c>
    </row>
    <row r="1135" spans="7:21" x14ac:dyDescent="0.2">
      <c r="G1135" s="8"/>
      <c r="H1135" s="5"/>
      <c r="J1135" s="10" t="str">
        <f t="shared" si="156"/>
        <v/>
      </c>
      <c r="K1135" s="10" t="str">
        <f t="shared" si="157"/>
        <v/>
      </c>
      <c r="L1135" s="11" t="str">
        <f t="shared" si="159"/>
        <v/>
      </c>
      <c r="M1135" s="9" t="str">
        <f>IF(G1135&lt;&gt;"",J1135/MAX(J$3:J1135)-1,"")</f>
        <v/>
      </c>
      <c r="N1135" s="9" t="str">
        <f>IF(G1135&lt;&gt;"",K1135/MAX(K$3:K1135)-1,"")</f>
        <v/>
      </c>
      <c r="O1135" s="16" t="str">
        <f t="shared" si="155"/>
        <v/>
      </c>
      <c r="P1135" s="16" t="str">
        <f t="shared" si="155"/>
        <v/>
      </c>
      <c r="Q1135" s="16" t="str">
        <f t="shared" si="155"/>
        <v/>
      </c>
      <c r="R1135" s="5" t="str">
        <f t="shared" si="154"/>
        <v/>
      </c>
      <c r="S1135" s="5" t="str">
        <f t="shared" si="158"/>
        <v/>
      </c>
      <c r="T1135" s="5" t="str">
        <f t="shared" si="162"/>
        <v/>
      </c>
      <c r="U1135" s="5" t="str">
        <f t="shared" si="162"/>
        <v/>
      </c>
    </row>
    <row r="1136" spans="7:21" x14ac:dyDescent="0.2">
      <c r="G1136" s="8"/>
      <c r="H1136" s="5"/>
      <c r="J1136" s="10" t="str">
        <f t="shared" si="156"/>
        <v/>
      </c>
      <c r="K1136" s="10" t="str">
        <f t="shared" si="157"/>
        <v/>
      </c>
      <c r="L1136" s="11" t="str">
        <f t="shared" si="159"/>
        <v/>
      </c>
      <c r="M1136" s="9" t="str">
        <f>IF(G1136&lt;&gt;"",J1136/MAX(J$3:J1136)-1,"")</f>
        <v/>
      </c>
      <c r="N1136" s="9" t="str">
        <f>IF(G1136&lt;&gt;"",K1136/MAX(K$3:K1136)-1,"")</f>
        <v/>
      </c>
      <c r="O1136" s="16" t="str">
        <f t="shared" si="155"/>
        <v/>
      </c>
      <c r="P1136" s="16" t="str">
        <f t="shared" si="155"/>
        <v/>
      </c>
      <c r="Q1136" s="16" t="str">
        <f t="shared" si="155"/>
        <v/>
      </c>
      <c r="R1136" s="5" t="str">
        <f t="shared" si="154"/>
        <v/>
      </c>
      <c r="S1136" s="5" t="str">
        <f t="shared" si="158"/>
        <v/>
      </c>
      <c r="T1136" s="5" t="str">
        <f t="shared" si="162"/>
        <v/>
      </c>
      <c r="U1136" s="5" t="str">
        <f t="shared" si="162"/>
        <v/>
      </c>
    </row>
    <row r="1137" spans="7:21" x14ac:dyDescent="0.2">
      <c r="G1137" s="8"/>
      <c r="H1137" s="5"/>
      <c r="J1137" s="10" t="str">
        <f t="shared" si="156"/>
        <v/>
      </c>
      <c r="K1137" s="10" t="str">
        <f t="shared" si="157"/>
        <v/>
      </c>
      <c r="L1137" s="11" t="str">
        <f t="shared" si="159"/>
        <v/>
      </c>
      <c r="M1137" s="9" t="str">
        <f>IF(G1137&lt;&gt;"",J1137/MAX(J$3:J1137)-1,"")</f>
        <v/>
      </c>
      <c r="N1137" s="9" t="str">
        <f>IF(G1137&lt;&gt;"",K1137/MAX(K$3:K1137)-1,"")</f>
        <v/>
      </c>
      <c r="O1137" s="16" t="str">
        <f t="shared" si="155"/>
        <v/>
      </c>
      <c r="P1137" s="16" t="str">
        <f t="shared" si="155"/>
        <v/>
      </c>
      <c r="Q1137" s="16" t="str">
        <f t="shared" si="155"/>
        <v/>
      </c>
      <c r="R1137" s="5" t="str">
        <f t="shared" si="154"/>
        <v/>
      </c>
      <c r="S1137" s="5" t="str">
        <f t="shared" si="158"/>
        <v/>
      </c>
      <c r="T1137" s="5" t="str">
        <f t="shared" si="162"/>
        <v/>
      </c>
      <c r="U1137" s="5" t="str">
        <f t="shared" si="162"/>
        <v/>
      </c>
    </row>
    <row r="1138" spans="7:21" x14ac:dyDescent="0.2">
      <c r="G1138" s="8"/>
      <c r="H1138" s="5"/>
      <c r="J1138" s="10" t="str">
        <f t="shared" si="156"/>
        <v/>
      </c>
      <c r="K1138" s="10" t="str">
        <f t="shared" si="157"/>
        <v/>
      </c>
      <c r="L1138" s="11" t="str">
        <f t="shared" si="159"/>
        <v/>
      </c>
      <c r="M1138" s="9" t="str">
        <f>IF(G1138&lt;&gt;"",J1138/MAX(J$3:J1138)-1,"")</f>
        <v/>
      </c>
      <c r="N1138" s="9" t="str">
        <f>IF(G1138&lt;&gt;"",K1138/MAX(K$3:K1138)-1,"")</f>
        <v/>
      </c>
      <c r="O1138" s="16" t="str">
        <f t="shared" si="155"/>
        <v/>
      </c>
      <c r="P1138" s="16" t="str">
        <f t="shared" si="155"/>
        <v/>
      </c>
      <c r="Q1138" s="16" t="str">
        <f t="shared" si="155"/>
        <v/>
      </c>
      <c r="R1138" s="5" t="str">
        <f t="shared" si="154"/>
        <v/>
      </c>
      <c r="S1138" s="5" t="str">
        <f t="shared" si="158"/>
        <v/>
      </c>
      <c r="T1138" s="5" t="str">
        <f t="shared" si="162"/>
        <v/>
      </c>
      <c r="U1138" s="5" t="str">
        <f t="shared" si="162"/>
        <v/>
      </c>
    </row>
    <row r="1139" spans="7:21" x14ac:dyDescent="0.2">
      <c r="G1139" s="8"/>
      <c r="H1139" s="5"/>
      <c r="J1139" s="10" t="str">
        <f t="shared" si="156"/>
        <v/>
      </c>
      <c r="K1139" s="10" t="str">
        <f t="shared" si="157"/>
        <v/>
      </c>
      <c r="L1139" s="11" t="str">
        <f t="shared" si="159"/>
        <v/>
      </c>
      <c r="M1139" s="9" t="str">
        <f>IF(G1139&lt;&gt;"",J1139/MAX(J$3:J1139)-1,"")</f>
        <v/>
      </c>
      <c r="N1139" s="9" t="str">
        <f>IF(G1139&lt;&gt;"",K1139/MAX(K$3:K1139)-1,"")</f>
        <v/>
      </c>
      <c r="O1139" s="16" t="str">
        <f t="shared" si="155"/>
        <v/>
      </c>
      <c r="P1139" s="16" t="str">
        <f t="shared" si="155"/>
        <v/>
      </c>
      <c r="Q1139" s="16" t="str">
        <f t="shared" si="155"/>
        <v/>
      </c>
      <c r="R1139" s="5" t="str">
        <f t="shared" si="154"/>
        <v/>
      </c>
      <c r="S1139" s="5" t="str">
        <f t="shared" si="158"/>
        <v/>
      </c>
      <c r="T1139" s="5" t="str">
        <f t="shared" si="162"/>
        <v/>
      </c>
      <c r="U1139" s="5" t="str">
        <f t="shared" si="162"/>
        <v/>
      </c>
    </row>
    <row r="1140" spans="7:21" x14ac:dyDescent="0.2">
      <c r="G1140" s="8"/>
      <c r="H1140" s="5"/>
      <c r="J1140" s="10" t="str">
        <f t="shared" si="156"/>
        <v/>
      </c>
      <c r="K1140" s="10" t="str">
        <f t="shared" si="157"/>
        <v/>
      </c>
      <c r="L1140" s="11" t="str">
        <f t="shared" si="159"/>
        <v/>
      </c>
      <c r="M1140" s="9" t="str">
        <f>IF(G1140&lt;&gt;"",J1140/MAX(J$3:J1140)-1,"")</f>
        <v/>
      </c>
      <c r="N1140" s="9" t="str">
        <f>IF(G1140&lt;&gt;"",K1140/MAX(K$3:K1140)-1,"")</f>
        <v/>
      </c>
      <c r="O1140" s="16" t="str">
        <f t="shared" si="155"/>
        <v/>
      </c>
      <c r="P1140" s="16" t="str">
        <f t="shared" si="155"/>
        <v/>
      </c>
      <c r="Q1140" s="16" t="str">
        <f t="shared" si="155"/>
        <v/>
      </c>
      <c r="R1140" s="5" t="str">
        <f t="shared" si="154"/>
        <v/>
      </c>
      <c r="S1140" s="5" t="str">
        <f t="shared" si="158"/>
        <v/>
      </c>
      <c r="T1140" s="5" t="str">
        <f t="shared" si="162"/>
        <v/>
      </c>
      <c r="U1140" s="5" t="str">
        <f t="shared" si="162"/>
        <v/>
      </c>
    </row>
    <row r="1141" spans="7:21" x14ac:dyDescent="0.2">
      <c r="G1141" s="8"/>
      <c r="H1141" s="5"/>
      <c r="J1141" s="10" t="str">
        <f t="shared" si="156"/>
        <v/>
      </c>
      <c r="K1141" s="10" t="str">
        <f t="shared" si="157"/>
        <v/>
      </c>
      <c r="L1141" s="11" t="str">
        <f t="shared" si="159"/>
        <v/>
      </c>
      <c r="M1141" s="9" t="str">
        <f>IF(G1141&lt;&gt;"",J1141/MAX(J$3:J1141)-1,"")</f>
        <v/>
      </c>
      <c r="N1141" s="9" t="str">
        <f>IF(G1141&lt;&gt;"",K1141/MAX(K$3:K1141)-1,"")</f>
        <v/>
      </c>
      <c r="O1141" s="16" t="str">
        <f t="shared" si="155"/>
        <v/>
      </c>
      <c r="P1141" s="16" t="str">
        <f t="shared" si="155"/>
        <v/>
      </c>
      <c r="Q1141" s="16" t="str">
        <f t="shared" si="155"/>
        <v/>
      </c>
      <c r="R1141" s="5" t="str">
        <f t="shared" si="154"/>
        <v/>
      </c>
      <c r="S1141" s="5" t="str">
        <f t="shared" si="158"/>
        <v/>
      </c>
      <c r="T1141" s="5" t="str">
        <f t="shared" si="162"/>
        <v/>
      </c>
      <c r="U1141" s="5" t="str">
        <f t="shared" si="162"/>
        <v/>
      </c>
    </row>
    <row r="1142" spans="7:21" x14ac:dyDescent="0.2">
      <c r="G1142" s="8"/>
      <c r="H1142" s="5"/>
      <c r="J1142" s="10" t="str">
        <f t="shared" si="156"/>
        <v/>
      </c>
      <c r="K1142" s="10" t="str">
        <f t="shared" si="157"/>
        <v/>
      </c>
      <c r="L1142" s="11" t="str">
        <f t="shared" si="159"/>
        <v/>
      </c>
      <c r="M1142" s="9" t="str">
        <f>IF(G1142&lt;&gt;"",J1142/MAX(J$3:J1142)-1,"")</f>
        <v/>
      </c>
      <c r="N1142" s="9" t="str">
        <f>IF(G1142&lt;&gt;"",K1142/MAX(K$3:K1142)-1,"")</f>
        <v/>
      </c>
      <c r="O1142" s="16" t="str">
        <f t="shared" si="155"/>
        <v/>
      </c>
      <c r="P1142" s="16" t="str">
        <f t="shared" si="155"/>
        <v/>
      </c>
      <c r="Q1142" s="16" t="str">
        <f t="shared" si="155"/>
        <v/>
      </c>
      <c r="R1142" s="5" t="str">
        <f t="shared" si="154"/>
        <v/>
      </c>
      <c r="S1142" s="5" t="str">
        <f t="shared" si="158"/>
        <v/>
      </c>
      <c r="T1142" s="5" t="str">
        <f t="shared" si="162"/>
        <v/>
      </c>
      <c r="U1142" s="5" t="str">
        <f t="shared" si="162"/>
        <v/>
      </c>
    </row>
    <row r="1143" spans="7:21" x14ac:dyDescent="0.2">
      <c r="G1143" s="8"/>
      <c r="H1143" s="5"/>
      <c r="J1143" s="10" t="str">
        <f t="shared" si="156"/>
        <v/>
      </c>
      <c r="K1143" s="10" t="str">
        <f t="shared" si="157"/>
        <v/>
      </c>
      <c r="L1143" s="11" t="str">
        <f t="shared" si="159"/>
        <v/>
      </c>
      <c r="M1143" s="9" t="str">
        <f>IF(G1143&lt;&gt;"",J1143/MAX(J$3:J1143)-1,"")</f>
        <v/>
      </c>
      <c r="N1143" s="9" t="str">
        <f>IF(G1143&lt;&gt;"",K1143/MAX(K$3:K1143)-1,"")</f>
        <v/>
      </c>
      <c r="O1143" s="16" t="str">
        <f t="shared" si="155"/>
        <v/>
      </c>
      <c r="P1143" s="16" t="str">
        <f t="shared" si="155"/>
        <v/>
      </c>
      <c r="Q1143" s="16" t="str">
        <f t="shared" si="155"/>
        <v/>
      </c>
      <c r="R1143" s="5" t="str">
        <f t="shared" si="154"/>
        <v/>
      </c>
      <c r="S1143" s="5" t="str">
        <f t="shared" si="158"/>
        <v/>
      </c>
      <c r="T1143" s="5" t="str">
        <f t="shared" si="162"/>
        <v/>
      </c>
      <c r="U1143" s="5" t="str">
        <f t="shared" si="162"/>
        <v/>
      </c>
    </row>
    <row r="1144" spans="7:21" x14ac:dyDescent="0.2">
      <c r="G1144" s="8"/>
      <c r="H1144" s="5"/>
      <c r="J1144" s="10" t="str">
        <f t="shared" si="156"/>
        <v/>
      </c>
      <c r="K1144" s="10" t="str">
        <f t="shared" si="157"/>
        <v/>
      </c>
      <c r="L1144" s="11" t="str">
        <f t="shared" si="159"/>
        <v/>
      </c>
      <c r="M1144" s="9" t="str">
        <f>IF(G1144&lt;&gt;"",J1144/MAX(J$3:J1144)-1,"")</f>
        <v/>
      </c>
      <c r="N1144" s="9" t="str">
        <f>IF(G1144&lt;&gt;"",K1144/MAX(K$3:K1144)-1,"")</f>
        <v/>
      </c>
      <c r="O1144" s="16" t="str">
        <f t="shared" si="155"/>
        <v/>
      </c>
      <c r="P1144" s="16" t="str">
        <f t="shared" si="155"/>
        <v/>
      </c>
      <c r="Q1144" s="16" t="str">
        <f t="shared" si="155"/>
        <v/>
      </c>
      <c r="R1144" s="5" t="str">
        <f t="shared" si="154"/>
        <v/>
      </c>
      <c r="S1144" s="5" t="str">
        <f t="shared" si="158"/>
        <v/>
      </c>
      <c r="T1144" s="5" t="str">
        <f t="shared" ref="T1144:U1159" si="163">IF($G1144&lt;&gt;"",_xlfn.STDEV.S(O900:O1144),"")</f>
        <v/>
      </c>
      <c r="U1144" s="5" t="str">
        <f t="shared" si="163"/>
        <v/>
      </c>
    </row>
    <row r="1145" spans="7:21" x14ac:dyDescent="0.2">
      <c r="G1145" s="8"/>
      <c r="H1145" s="5"/>
      <c r="J1145" s="10" t="str">
        <f t="shared" si="156"/>
        <v/>
      </c>
      <c r="K1145" s="10" t="str">
        <f t="shared" si="157"/>
        <v/>
      </c>
      <c r="L1145" s="11" t="str">
        <f t="shared" si="159"/>
        <v/>
      </c>
      <c r="M1145" s="9" t="str">
        <f>IF(G1145&lt;&gt;"",J1145/MAX(J$3:J1145)-1,"")</f>
        <v/>
      </c>
      <c r="N1145" s="9" t="str">
        <f>IF(G1145&lt;&gt;"",K1145/MAX(K$3:K1145)-1,"")</f>
        <v/>
      </c>
      <c r="O1145" s="16" t="str">
        <f t="shared" si="155"/>
        <v/>
      </c>
      <c r="P1145" s="16" t="str">
        <f t="shared" si="155"/>
        <v/>
      </c>
      <c r="Q1145" s="16" t="str">
        <f t="shared" si="155"/>
        <v/>
      </c>
      <c r="R1145" s="5" t="str">
        <f t="shared" si="154"/>
        <v/>
      </c>
      <c r="S1145" s="5" t="str">
        <f t="shared" si="158"/>
        <v/>
      </c>
      <c r="T1145" s="5" t="str">
        <f t="shared" si="163"/>
        <v/>
      </c>
      <c r="U1145" s="5" t="str">
        <f t="shared" si="163"/>
        <v/>
      </c>
    </row>
    <row r="1146" spans="7:21" x14ac:dyDescent="0.2">
      <c r="G1146" s="8"/>
      <c r="H1146" s="5"/>
      <c r="J1146" s="10" t="str">
        <f t="shared" si="156"/>
        <v/>
      </c>
      <c r="K1146" s="10" t="str">
        <f t="shared" si="157"/>
        <v/>
      </c>
      <c r="L1146" s="11" t="str">
        <f t="shared" si="159"/>
        <v/>
      </c>
      <c r="M1146" s="9" t="str">
        <f>IF(G1146&lt;&gt;"",J1146/MAX(J$3:J1146)-1,"")</f>
        <v/>
      </c>
      <c r="N1146" s="9" t="str">
        <f>IF(G1146&lt;&gt;"",K1146/MAX(K$3:K1146)-1,"")</f>
        <v/>
      </c>
      <c r="O1146" s="16" t="str">
        <f t="shared" si="155"/>
        <v/>
      </c>
      <c r="P1146" s="16" t="str">
        <f t="shared" si="155"/>
        <v/>
      </c>
      <c r="Q1146" s="16" t="str">
        <f t="shared" si="155"/>
        <v/>
      </c>
      <c r="R1146" s="5" t="str">
        <f t="shared" si="154"/>
        <v/>
      </c>
      <c r="S1146" s="5" t="str">
        <f t="shared" si="158"/>
        <v/>
      </c>
      <c r="T1146" s="5" t="str">
        <f t="shared" si="163"/>
        <v/>
      </c>
      <c r="U1146" s="5" t="str">
        <f t="shared" si="163"/>
        <v/>
      </c>
    </row>
    <row r="1147" spans="7:21" x14ac:dyDescent="0.2">
      <c r="G1147" s="8"/>
      <c r="H1147" s="5"/>
      <c r="J1147" s="10" t="str">
        <f t="shared" si="156"/>
        <v/>
      </c>
      <c r="K1147" s="10" t="str">
        <f t="shared" si="157"/>
        <v/>
      </c>
      <c r="L1147" s="11" t="str">
        <f t="shared" si="159"/>
        <v/>
      </c>
      <c r="M1147" s="9" t="str">
        <f>IF(G1147&lt;&gt;"",J1147/MAX(J$3:J1147)-1,"")</f>
        <v/>
      </c>
      <c r="N1147" s="9" t="str">
        <f>IF(G1147&lt;&gt;"",K1147/MAX(K$3:K1147)-1,"")</f>
        <v/>
      </c>
      <c r="O1147" s="16" t="str">
        <f t="shared" si="155"/>
        <v/>
      </c>
      <c r="P1147" s="16" t="str">
        <f t="shared" si="155"/>
        <v/>
      </c>
      <c r="Q1147" s="16" t="str">
        <f t="shared" si="155"/>
        <v/>
      </c>
      <c r="R1147" s="5" t="str">
        <f t="shared" si="154"/>
        <v/>
      </c>
      <c r="S1147" s="5" t="str">
        <f t="shared" si="158"/>
        <v/>
      </c>
      <c r="T1147" s="5" t="str">
        <f t="shared" si="163"/>
        <v/>
      </c>
      <c r="U1147" s="5" t="str">
        <f t="shared" si="163"/>
        <v/>
      </c>
    </row>
    <row r="1148" spans="7:21" x14ac:dyDescent="0.2">
      <c r="G1148" s="8"/>
      <c r="H1148" s="5"/>
      <c r="J1148" s="10" t="str">
        <f t="shared" si="156"/>
        <v/>
      </c>
      <c r="K1148" s="10" t="str">
        <f t="shared" si="157"/>
        <v/>
      </c>
      <c r="L1148" s="11" t="str">
        <f t="shared" si="159"/>
        <v/>
      </c>
      <c r="M1148" s="9" t="str">
        <f>IF(G1148&lt;&gt;"",J1148/MAX(J$3:J1148)-1,"")</f>
        <v/>
      </c>
      <c r="N1148" s="9" t="str">
        <f>IF(G1148&lt;&gt;"",K1148/MAX(K$3:K1148)-1,"")</f>
        <v/>
      </c>
      <c r="O1148" s="16" t="str">
        <f t="shared" si="155"/>
        <v/>
      </c>
      <c r="P1148" s="16" t="str">
        <f t="shared" si="155"/>
        <v/>
      </c>
      <c r="Q1148" s="16" t="str">
        <f t="shared" si="155"/>
        <v/>
      </c>
      <c r="R1148" s="5" t="str">
        <f t="shared" si="154"/>
        <v/>
      </c>
      <c r="S1148" s="5" t="str">
        <f t="shared" si="158"/>
        <v/>
      </c>
      <c r="T1148" s="5" t="str">
        <f t="shared" si="163"/>
        <v/>
      </c>
      <c r="U1148" s="5" t="str">
        <f t="shared" si="163"/>
        <v/>
      </c>
    </row>
    <row r="1149" spans="7:21" x14ac:dyDescent="0.2">
      <c r="G1149" s="8"/>
      <c r="H1149" s="5"/>
      <c r="J1149" s="10" t="str">
        <f t="shared" si="156"/>
        <v/>
      </c>
      <c r="K1149" s="10" t="str">
        <f t="shared" si="157"/>
        <v/>
      </c>
      <c r="L1149" s="11" t="str">
        <f t="shared" si="159"/>
        <v/>
      </c>
      <c r="M1149" s="9" t="str">
        <f>IF(G1149&lt;&gt;"",J1149/MAX(J$3:J1149)-1,"")</f>
        <v/>
      </c>
      <c r="N1149" s="9" t="str">
        <f>IF(G1149&lt;&gt;"",K1149/MAX(K$3:K1149)-1,"")</f>
        <v/>
      </c>
      <c r="O1149" s="16" t="str">
        <f t="shared" si="155"/>
        <v/>
      </c>
      <c r="P1149" s="16" t="str">
        <f t="shared" si="155"/>
        <v/>
      </c>
      <c r="Q1149" s="16" t="str">
        <f t="shared" si="155"/>
        <v/>
      </c>
      <c r="R1149" s="5" t="str">
        <f t="shared" ref="R1149:R1212" si="164">IF(G1149&lt;&gt;"",_xlfn.STDEV.S(Q1028:Q1149)*SQRT($B$5),"")</f>
        <v/>
      </c>
      <c r="S1149" s="5" t="str">
        <f t="shared" si="158"/>
        <v/>
      </c>
      <c r="T1149" s="5" t="str">
        <f t="shared" si="163"/>
        <v/>
      </c>
      <c r="U1149" s="5" t="str">
        <f t="shared" si="163"/>
        <v/>
      </c>
    </row>
    <row r="1150" spans="7:21" x14ac:dyDescent="0.2">
      <c r="G1150" s="8"/>
      <c r="H1150" s="5"/>
      <c r="J1150" s="10" t="str">
        <f t="shared" si="156"/>
        <v/>
      </c>
      <c r="K1150" s="10" t="str">
        <f t="shared" si="157"/>
        <v/>
      </c>
      <c r="L1150" s="11" t="str">
        <f t="shared" si="159"/>
        <v/>
      </c>
      <c r="M1150" s="9" t="str">
        <f>IF(G1150&lt;&gt;"",J1150/MAX(J$3:J1150)-1,"")</f>
        <v/>
      </c>
      <c r="N1150" s="9" t="str">
        <f>IF(G1150&lt;&gt;"",K1150/MAX(K$3:K1150)-1,"")</f>
        <v/>
      </c>
      <c r="O1150" s="16" t="str">
        <f t="shared" si="155"/>
        <v/>
      </c>
      <c r="P1150" s="16" t="str">
        <f t="shared" si="155"/>
        <v/>
      </c>
      <c r="Q1150" s="16" t="str">
        <f t="shared" si="155"/>
        <v/>
      </c>
      <c r="R1150" s="5" t="str">
        <f t="shared" si="164"/>
        <v/>
      </c>
      <c r="S1150" s="5" t="str">
        <f t="shared" si="158"/>
        <v/>
      </c>
      <c r="T1150" s="5" t="str">
        <f t="shared" si="163"/>
        <v/>
      </c>
      <c r="U1150" s="5" t="str">
        <f t="shared" si="163"/>
        <v/>
      </c>
    </row>
    <row r="1151" spans="7:21" x14ac:dyDescent="0.2">
      <c r="G1151" s="8"/>
      <c r="H1151" s="5"/>
      <c r="J1151" s="10" t="str">
        <f t="shared" si="156"/>
        <v/>
      </c>
      <c r="K1151" s="10" t="str">
        <f t="shared" si="157"/>
        <v/>
      </c>
      <c r="L1151" s="11" t="str">
        <f t="shared" si="159"/>
        <v/>
      </c>
      <c r="M1151" s="9" t="str">
        <f>IF(G1151&lt;&gt;"",J1151/MAX(J$3:J1151)-1,"")</f>
        <v/>
      </c>
      <c r="N1151" s="9" t="str">
        <f>IF(G1151&lt;&gt;"",K1151/MAX(K$3:K1151)-1,"")</f>
        <v/>
      </c>
      <c r="O1151" s="16" t="str">
        <f t="shared" si="155"/>
        <v/>
      </c>
      <c r="P1151" s="16" t="str">
        <f t="shared" si="155"/>
        <v/>
      </c>
      <c r="Q1151" s="16" t="str">
        <f t="shared" si="155"/>
        <v/>
      </c>
      <c r="R1151" s="5" t="str">
        <f t="shared" si="164"/>
        <v/>
      </c>
      <c r="S1151" s="5" t="str">
        <f t="shared" si="158"/>
        <v/>
      </c>
      <c r="T1151" s="5" t="str">
        <f t="shared" si="163"/>
        <v/>
      </c>
      <c r="U1151" s="5" t="str">
        <f t="shared" si="163"/>
        <v/>
      </c>
    </row>
    <row r="1152" spans="7:21" x14ac:dyDescent="0.2">
      <c r="G1152" s="8"/>
      <c r="H1152" s="5"/>
      <c r="J1152" s="10" t="str">
        <f t="shared" si="156"/>
        <v/>
      </c>
      <c r="K1152" s="10" t="str">
        <f t="shared" si="157"/>
        <v/>
      </c>
      <c r="L1152" s="11" t="str">
        <f t="shared" si="159"/>
        <v/>
      </c>
      <c r="M1152" s="9" t="str">
        <f>IF(G1152&lt;&gt;"",J1152/MAX(J$3:J1152)-1,"")</f>
        <v/>
      </c>
      <c r="N1152" s="9" t="str">
        <f>IF(G1152&lt;&gt;"",K1152/MAX(K$3:K1152)-1,"")</f>
        <v/>
      </c>
      <c r="O1152" s="16" t="str">
        <f t="shared" si="155"/>
        <v/>
      </c>
      <c r="P1152" s="16" t="str">
        <f t="shared" si="155"/>
        <v/>
      </c>
      <c r="Q1152" s="16" t="str">
        <f t="shared" si="155"/>
        <v/>
      </c>
      <c r="R1152" s="5" t="str">
        <f t="shared" si="164"/>
        <v/>
      </c>
      <c r="S1152" s="5" t="str">
        <f t="shared" si="158"/>
        <v/>
      </c>
      <c r="T1152" s="5" t="str">
        <f t="shared" si="163"/>
        <v/>
      </c>
      <c r="U1152" s="5" t="str">
        <f t="shared" si="163"/>
        <v/>
      </c>
    </row>
    <row r="1153" spans="7:21" x14ac:dyDescent="0.2">
      <c r="G1153" s="8"/>
      <c r="H1153" s="5"/>
      <c r="J1153" s="10" t="str">
        <f t="shared" si="156"/>
        <v/>
      </c>
      <c r="K1153" s="10" t="str">
        <f t="shared" si="157"/>
        <v/>
      </c>
      <c r="L1153" s="11" t="str">
        <f t="shared" si="159"/>
        <v/>
      </c>
      <c r="M1153" s="9" t="str">
        <f>IF(G1153&lt;&gt;"",J1153/MAX(J$3:J1153)-1,"")</f>
        <v/>
      </c>
      <c r="N1153" s="9" t="str">
        <f>IF(G1153&lt;&gt;"",K1153/MAX(K$3:K1153)-1,"")</f>
        <v/>
      </c>
      <c r="O1153" s="16" t="str">
        <f t="shared" si="155"/>
        <v/>
      </c>
      <c r="P1153" s="16" t="str">
        <f t="shared" si="155"/>
        <v/>
      </c>
      <c r="Q1153" s="16" t="str">
        <f t="shared" si="155"/>
        <v/>
      </c>
      <c r="R1153" s="5" t="str">
        <f t="shared" si="164"/>
        <v/>
      </c>
      <c r="S1153" s="5" t="str">
        <f t="shared" si="158"/>
        <v/>
      </c>
      <c r="T1153" s="5" t="str">
        <f t="shared" si="163"/>
        <v/>
      </c>
      <c r="U1153" s="5" t="str">
        <f t="shared" si="163"/>
        <v/>
      </c>
    </row>
    <row r="1154" spans="7:21" x14ac:dyDescent="0.2">
      <c r="G1154" s="8"/>
      <c r="H1154" s="5"/>
      <c r="J1154" s="10" t="str">
        <f t="shared" si="156"/>
        <v/>
      </c>
      <c r="K1154" s="10" t="str">
        <f t="shared" si="157"/>
        <v/>
      </c>
      <c r="L1154" s="11" t="str">
        <f t="shared" si="159"/>
        <v/>
      </c>
      <c r="M1154" s="9" t="str">
        <f>IF(G1154&lt;&gt;"",J1154/MAX(J$3:J1154)-1,"")</f>
        <v/>
      </c>
      <c r="N1154" s="9" t="str">
        <f>IF(G1154&lt;&gt;"",K1154/MAX(K$3:K1154)-1,"")</f>
        <v/>
      </c>
      <c r="O1154" s="16" t="str">
        <f t="shared" ref="O1154:Q1217" si="165">IF($G1154&lt;&gt;"",J1154/J1153-1,"")</f>
        <v/>
      </c>
      <c r="P1154" s="16" t="str">
        <f t="shared" si="165"/>
        <v/>
      </c>
      <c r="Q1154" s="16" t="str">
        <f t="shared" si="165"/>
        <v/>
      </c>
      <c r="R1154" s="5" t="str">
        <f t="shared" si="164"/>
        <v/>
      </c>
      <c r="S1154" s="5" t="str">
        <f t="shared" si="158"/>
        <v/>
      </c>
      <c r="T1154" s="5" t="str">
        <f t="shared" si="163"/>
        <v/>
      </c>
      <c r="U1154" s="5" t="str">
        <f t="shared" si="163"/>
        <v/>
      </c>
    </row>
    <row r="1155" spans="7:21" x14ac:dyDescent="0.2">
      <c r="G1155" s="8"/>
      <c r="H1155" s="5"/>
      <c r="J1155" s="10" t="str">
        <f t="shared" si="156"/>
        <v/>
      </c>
      <c r="K1155" s="10" t="str">
        <f t="shared" si="157"/>
        <v/>
      </c>
      <c r="L1155" s="11" t="str">
        <f t="shared" si="159"/>
        <v/>
      </c>
      <c r="M1155" s="9" t="str">
        <f>IF(G1155&lt;&gt;"",J1155/MAX(J$3:J1155)-1,"")</f>
        <v/>
      </c>
      <c r="N1155" s="9" t="str">
        <f>IF(G1155&lt;&gt;"",K1155/MAX(K$3:K1155)-1,"")</f>
        <v/>
      </c>
      <c r="O1155" s="16" t="str">
        <f t="shared" si="165"/>
        <v/>
      </c>
      <c r="P1155" s="16" t="str">
        <f t="shared" si="165"/>
        <v/>
      </c>
      <c r="Q1155" s="16" t="str">
        <f t="shared" si="165"/>
        <v/>
      </c>
      <c r="R1155" s="5" t="str">
        <f t="shared" si="164"/>
        <v/>
      </c>
      <c r="S1155" s="5" t="str">
        <f t="shared" si="158"/>
        <v/>
      </c>
      <c r="T1155" s="5" t="str">
        <f t="shared" si="163"/>
        <v/>
      </c>
      <c r="U1155" s="5" t="str">
        <f t="shared" si="163"/>
        <v/>
      </c>
    </row>
    <row r="1156" spans="7:21" x14ac:dyDescent="0.2">
      <c r="G1156" s="8"/>
      <c r="H1156" s="5"/>
      <c r="J1156" s="10" t="str">
        <f t="shared" ref="J1156:J1219" si="166">IF(G1156&lt;&gt;"",1+H1156,"")</f>
        <v/>
      </c>
      <c r="K1156" s="10" t="str">
        <f t="shared" ref="K1156:K1219" si="167">IF(G1156&lt;&gt;"",1+I1156,"")</f>
        <v/>
      </c>
      <c r="L1156" s="11" t="str">
        <f t="shared" si="159"/>
        <v/>
      </c>
      <c r="M1156" s="9" t="str">
        <f>IF(G1156&lt;&gt;"",J1156/MAX(J$3:J1156)-1,"")</f>
        <v/>
      </c>
      <c r="N1156" s="9" t="str">
        <f>IF(G1156&lt;&gt;"",K1156/MAX(K$3:K1156)-1,"")</f>
        <v/>
      </c>
      <c r="O1156" s="16" t="str">
        <f t="shared" si="165"/>
        <v/>
      </c>
      <c r="P1156" s="16" t="str">
        <f t="shared" si="165"/>
        <v/>
      </c>
      <c r="Q1156" s="16" t="str">
        <f t="shared" si="165"/>
        <v/>
      </c>
      <c r="R1156" s="5" t="str">
        <f t="shared" si="164"/>
        <v/>
      </c>
      <c r="S1156" s="5" t="str">
        <f t="shared" ref="S1156:S1219" si="168">IF(R1156&lt;&gt;"",B$12,"")</f>
        <v/>
      </c>
      <c r="T1156" s="5" t="str">
        <f t="shared" si="163"/>
        <v/>
      </c>
      <c r="U1156" s="5" t="str">
        <f t="shared" si="163"/>
        <v/>
      </c>
    </row>
    <row r="1157" spans="7:21" x14ac:dyDescent="0.2">
      <c r="G1157" s="8"/>
      <c r="H1157" s="5"/>
      <c r="J1157" s="10" t="str">
        <f t="shared" si="166"/>
        <v/>
      </c>
      <c r="K1157" s="10" t="str">
        <f t="shared" si="167"/>
        <v/>
      </c>
      <c r="L1157" s="11" t="str">
        <f t="shared" ref="L1157:L1220" si="169">IF(G1157&lt;&gt;"",J1157/K1157,"")</f>
        <v/>
      </c>
      <c r="M1157" s="9" t="str">
        <f>IF(G1157&lt;&gt;"",J1157/MAX(J$3:J1157)-1,"")</f>
        <v/>
      </c>
      <c r="N1157" s="9" t="str">
        <f>IF(G1157&lt;&gt;"",K1157/MAX(K$3:K1157)-1,"")</f>
        <v/>
      </c>
      <c r="O1157" s="16" t="str">
        <f t="shared" si="165"/>
        <v/>
      </c>
      <c r="P1157" s="16" t="str">
        <f t="shared" si="165"/>
        <v/>
      </c>
      <c r="Q1157" s="16" t="str">
        <f t="shared" si="165"/>
        <v/>
      </c>
      <c r="R1157" s="5" t="str">
        <f t="shared" si="164"/>
        <v/>
      </c>
      <c r="S1157" s="5" t="str">
        <f t="shared" si="168"/>
        <v/>
      </c>
      <c r="T1157" s="5" t="str">
        <f t="shared" si="163"/>
        <v/>
      </c>
      <c r="U1157" s="5" t="str">
        <f t="shared" si="163"/>
        <v/>
      </c>
    </row>
    <row r="1158" spans="7:21" x14ac:dyDescent="0.2">
      <c r="G1158" s="8"/>
      <c r="H1158" s="5"/>
      <c r="J1158" s="10" t="str">
        <f t="shared" si="166"/>
        <v/>
      </c>
      <c r="K1158" s="10" t="str">
        <f t="shared" si="167"/>
        <v/>
      </c>
      <c r="L1158" s="11" t="str">
        <f t="shared" si="169"/>
        <v/>
      </c>
      <c r="M1158" s="9" t="str">
        <f>IF(G1158&lt;&gt;"",J1158/MAX(J$3:J1158)-1,"")</f>
        <v/>
      </c>
      <c r="N1158" s="9" t="str">
        <f>IF(G1158&lt;&gt;"",K1158/MAX(K$3:K1158)-1,"")</f>
        <v/>
      </c>
      <c r="O1158" s="16" t="str">
        <f t="shared" si="165"/>
        <v/>
      </c>
      <c r="P1158" s="16" t="str">
        <f t="shared" si="165"/>
        <v/>
      </c>
      <c r="Q1158" s="16" t="str">
        <f t="shared" si="165"/>
        <v/>
      </c>
      <c r="R1158" s="5" t="str">
        <f t="shared" si="164"/>
        <v/>
      </c>
      <c r="S1158" s="5" t="str">
        <f t="shared" si="168"/>
        <v/>
      </c>
      <c r="T1158" s="5" t="str">
        <f t="shared" si="163"/>
        <v/>
      </c>
      <c r="U1158" s="5" t="str">
        <f t="shared" si="163"/>
        <v/>
      </c>
    </row>
    <row r="1159" spans="7:21" x14ac:dyDescent="0.2">
      <c r="G1159" s="8"/>
      <c r="H1159" s="5"/>
      <c r="J1159" s="10" t="str">
        <f t="shared" si="166"/>
        <v/>
      </c>
      <c r="K1159" s="10" t="str">
        <f t="shared" si="167"/>
        <v/>
      </c>
      <c r="L1159" s="11" t="str">
        <f t="shared" si="169"/>
        <v/>
      </c>
      <c r="M1159" s="9" t="str">
        <f>IF(G1159&lt;&gt;"",J1159/MAX(J$3:J1159)-1,"")</f>
        <v/>
      </c>
      <c r="N1159" s="9" t="str">
        <f>IF(G1159&lt;&gt;"",K1159/MAX(K$3:K1159)-1,"")</f>
        <v/>
      </c>
      <c r="O1159" s="16" t="str">
        <f t="shared" si="165"/>
        <v/>
      </c>
      <c r="P1159" s="16" t="str">
        <f t="shared" si="165"/>
        <v/>
      </c>
      <c r="Q1159" s="16" t="str">
        <f t="shared" si="165"/>
        <v/>
      </c>
      <c r="R1159" s="5" t="str">
        <f t="shared" si="164"/>
        <v/>
      </c>
      <c r="S1159" s="5" t="str">
        <f t="shared" si="168"/>
        <v/>
      </c>
      <c r="T1159" s="5" t="str">
        <f t="shared" si="163"/>
        <v/>
      </c>
      <c r="U1159" s="5" t="str">
        <f t="shared" si="163"/>
        <v/>
      </c>
    </row>
    <row r="1160" spans="7:21" x14ac:dyDescent="0.2">
      <c r="G1160" s="8"/>
      <c r="H1160" s="5"/>
      <c r="J1160" s="10" t="str">
        <f t="shared" si="166"/>
        <v/>
      </c>
      <c r="K1160" s="10" t="str">
        <f t="shared" si="167"/>
        <v/>
      </c>
      <c r="L1160" s="11" t="str">
        <f t="shared" si="169"/>
        <v/>
      </c>
      <c r="M1160" s="9" t="str">
        <f>IF(G1160&lt;&gt;"",J1160/MAX(J$3:J1160)-1,"")</f>
        <v/>
      </c>
      <c r="N1160" s="9" t="str">
        <f>IF(G1160&lt;&gt;"",K1160/MAX(K$3:K1160)-1,"")</f>
        <v/>
      </c>
      <c r="O1160" s="16" t="str">
        <f t="shared" si="165"/>
        <v/>
      </c>
      <c r="P1160" s="16" t="str">
        <f t="shared" si="165"/>
        <v/>
      </c>
      <c r="Q1160" s="16" t="str">
        <f t="shared" si="165"/>
        <v/>
      </c>
      <c r="R1160" s="5" t="str">
        <f t="shared" si="164"/>
        <v/>
      </c>
      <c r="S1160" s="5" t="str">
        <f t="shared" si="168"/>
        <v/>
      </c>
      <c r="T1160" s="5" t="str">
        <f t="shared" ref="T1160:U1175" si="170">IF($G1160&lt;&gt;"",_xlfn.STDEV.S(O916:O1160),"")</f>
        <v/>
      </c>
      <c r="U1160" s="5" t="str">
        <f t="shared" si="170"/>
        <v/>
      </c>
    </row>
    <row r="1161" spans="7:21" x14ac:dyDescent="0.2">
      <c r="G1161" s="8"/>
      <c r="H1161" s="5"/>
      <c r="J1161" s="10" t="str">
        <f t="shared" si="166"/>
        <v/>
      </c>
      <c r="K1161" s="10" t="str">
        <f t="shared" si="167"/>
        <v/>
      </c>
      <c r="L1161" s="11" t="str">
        <f t="shared" si="169"/>
        <v/>
      </c>
      <c r="M1161" s="9" t="str">
        <f>IF(G1161&lt;&gt;"",J1161/MAX(J$3:J1161)-1,"")</f>
        <v/>
      </c>
      <c r="N1161" s="9" t="str">
        <f>IF(G1161&lt;&gt;"",K1161/MAX(K$3:K1161)-1,"")</f>
        <v/>
      </c>
      <c r="O1161" s="16" t="str">
        <f t="shared" si="165"/>
        <v/>
      </c>
      <c r="P1161" s="16" t="str">
        <f t="shared" si="165"/>
        <v/>
      </c>
      <c r="Q1161" s="16" t="str">
        <f t="shared" si="165"/>
        <v/>
      </c>
      <c r="R1161" s="5" t="str">
        <f t="shared" si="164"/>
        <v/>
      </c>
      <c r="S1161" s="5" t="str">
        <f t="shared" si="168"/>
        <v/>
      </c>
      <c r="T1161" s="5" t="str">
        <f t="shared" si="170"/>
        <v/>
      </c>
      <c r="U1161" s="5" t="str">
        <f t="shared" si="170"/>
        <v/>
      </c>
    </row>
    <row r="1162" spans="7:21" x14ac:dyDescent="0.2">
      <c r="G1162" s="8"/>
      <c r="H1162" s="5"/>
      <c r="J1162" s="10" t="str">
        <f t="shared" si="166"/>
        <v/>
      </c>
      <c r="K1162" s="10" t="str">
        <f t="shared" si="167"/>
        <v/>
      </c>
      <c r="L1162" s="11" t="str">
        <f t="shared" si="169"/>
        <v/>
      </c>
      <c r="M1162" s="9" t="str">
        <f>IF(G1162&lt;&gt;"",J1162/MAX(J$3:J1162)-1,"")</f>
        <v/>
      </c>
      <c r="N1162" s="9" t="str">
        <f>IF(G1162&lt;&gt;"",K1162/MAX(K$3:K1162)-1,"")</f>
        <v/>
      </c>
      <c r="O1162" s="16" t="str">
        <f t="shared" si="165"/>
        <v/>
      </c>
      <c r="P1162" s="16" t="str">
        <f t="shared" si="165"/>
        <v/>
      </c>
      <c r="Q1162" s="16" t="str">
        <f t="shared" si="165"/>
        <v/>
      </c>
      <c r="R1162" s="5" t="str">
        <f t="shared" si="164"/>
        <v/>
      </c>
      <c r="S1162" s="5" t="str">
        <f t="shared" si="168"/>
        <v/>
      </c>
      <c r="T1162" s="5" t="str">
        <f t="shared" si="170"/>
        <v/>
      </c>
      <c r="U1162" s="5" t="str">
        <f t="shared" si="170"/>
        <v/>
      </c>
    </row>
    <row r="1163" spans="7:21" x14ac:dyDescent="0.2">
      <c r="G1163" s="8"/>
      <c r="H1163" s="5"/>
      <c r="J1163" s="10" t="str">
        <f t="shared" si="166"/>
        <v/>
      </c>
      <c r="K1163" s="10" t="str">
        <f t="shared" si="167"/>
        <v/>
      </c>
      <c r="L1163" s="11" t="str">
        <f t="shared" si="169"/>
        <v/>
      </c>
      <c r="M1163" s="9" t="str">
        <f>IF(G1163&lt;&gt;"",J1163/MAX(J$3:J1163)-1,"")</f>
        <v/>
      </c>
      <c r="N1163" s="9" t="str">
        <f>IF(G1163&lt;&gt;"",K1163/MAX(K$3:K1163)-1,"")</f>
        <v/>
      </c>
      <c r="O1163" s="16" t="str">
        <f t="shared" si="165"/>
        <v/>
      </c>
      <c r="P1163" s="16" t="str">
        <f t="shared" si="165"/>
        <v/>
      </c>
      <c r="Q1163" s="16" t="str">
        <f t="shared" si="165"/>
        <v/>
      </c>
      <c r="R1163" s="5" t="str">
        <f t="shared" si="164"/>
        <v/>
      </c>
      <c r="S1163" s="5" t="str">
        <f t="shared" si="168"/>
        <v/>
      </c>
      <c r="T1163" s="5" t="str">
        <f t="shared" si="170"/>
        <v/>
      </c>
      <c r="U1163" s="5" t="str">
        <f t="shared" si="170"/>
        <v/>
      </c>
    </row>
    <row r="1164" spans="7:21" x14ac:dyDescent="0.2">
      <c r="G1164" s="8"/>
      <c r="H1164" s="5"/>
      <c r="J1164" s="10" t="str">
        <f t="shared" si="166"/>
        <v/>
      </c>
      <c r="K1164" s="10" t="str">
        <f t="shared" si="167"/>
        <v/>
      </c>
      <c r="L1164" s="11" t="str">
        <f t="shared" si="169"/>
        <v/>
      </c>
      <c r="M1164" s="9" t="str">
        <f>IF(G1164&lt;&gt;"",J1164/MAX(J$3:J1164)-1,"")</f>
        <v/>
      </c>
      <c r="N1164" s="9" t="str">
        <f>IF(G1164&lt;&gt;"",K1164/MAX(K$3:K1164)-1,"")</f>
        <v/>
      </c>
      <c r="O1164" s="16" t="str">
        <f t="shared" si="165"/>
        <v/>
      </c>
      <c r="P1164" s="16" t="str">
        <f t="shared" si="165"/>
        <v/>
      </c>
      <c r="Q1164" s="16" t="str">
        <f t="shared" si="165"/>
        <v/>
      </c>
      <c r="R1164" s="5" t="str">
        <f t="shared" si="164"/>
        <v/>
      </c>
      <c r="S1164" s="5" t="str">
        <f t="shared" si="168"/>
        <v/>
      </c>
      <c r="T1164" s="5" t="str">
        <f t="shared" si="170"/>
        <v/>
      </c>
      <c r="U1164" s="5" t="str">
        <f t="shared" si="170"/>
        <v/>
      </c>
    </row>
    <row r="1165" spans="7:21" x14ac:dyDescent="0.2">
      <c r="G1165" s="8"/>
      <c r="H1165" s="5"/>
      <c r="J1165" s="10" t="str">
        <f t="shared" si="166"/>
        <v/>
      </c>
      <c r="K1165" s="10" t="str">
        <f t="shared" si="167"/>
        <v/>
      </c>
      <c r="L1165" s="11" t="str">
        <f t="shared" si="169"/>
        <v/>
      </c>
      <c r="M1165" s="9" t="str">
        <f>IF(G1165&lt;&gt;"",J1165/MAX(J$3:J1165)-1,"")</f>
        <v/>
      </c>
      <c r="N1165" s="9" t="str">
        <f>IF(G1165&lt;&gt;"",K1165/MAX(K$3:K1165)-1,"")</f>
        <v/>
      </c>
      <c r="O1165" s="16" t="str">
        <f t="shared" si="165"/>
        <v/>
      </c>
      <c r="P1165" s="16" t="str">
        <f t="shared" si="165"/>
        <v/>
      </c>
      <c r="Q1165" s="16" t="str">
        <f t="shared" si="165"/>
        <v/>
      </c>
      <c r="R1165" s="5" t="str">
        <f t="shared" si="164"/>
        <v/>
      </c>
      <c r="S1165" s="5" t="str">
        <f t="shared" si="168"/>
        <v/>
      </c>
      <c r="T1165" s="5" t="str">
        <f t="shared" si="170"/>
        <v/>
      </c>
      <c r="U1165" s="5" t="str">
        <f t="shared" si="170"/>
        <v/>
      </c>
    </row>
    <row r="1166" spans="7:21" x14ac:dyDescent="0.2">
      <c r="G1166" s="8"/>
      <c r="H1166" s="5"/>
      <c r="J1166" s="10" t="str">
        <f t="shared" si="166"/>
        <v/>
      </c>
      <c r="K1166" s="10" t="str">
        <f t="shared" si="167"/>
        <v/>
      </c>
      <c r="L1166" s="11" t="str">
        <f t="shared" si="169"/>
        <v/>
      </c>
      <c r="M1166" s="9" t="str">
        <f>IF(G1166&lt;&gt;"",J1166/MAX(J$3:J1166)-1,"")</f>
        <v/>
      </c>
      <c r="N1166" s="9" t="str">
        <f>IF(G1166&lt;&gt;"",K1166/MAX(K$3:K1166)-1,"")</f>
        <v/>
      </c>
      <c r="O1166" s="16" t="str">
        <f t="shared" si="165"/>
        <v/>
      </c>
      <c r="P1166" s="16" t="str">
        <f t="shared" si="165"/>
        <v/>
      </c>
      <c r="Q1166" s="16" t="str">
        <f t="shared" si="165"/>
        <v/>
      </c>
      <c r="R1166" s="5" t="str">
        <f t="shared" si="164"/>
        <v/>
      </c>
      <c r="S1166" s="5" t="str">
        <f t="shared" si="168"/>
        <v/>
      </c>
      <c r="T1166" s="5" t="str">
        <f t="shared" si="170"/>
        <v/>
      </c>
      <c r="U1166" s="5" t="str">
        <f t="shared" si="170"/>
        <v/>
      </c>
    </row>
    <row r="1167" spans="7:21" x14ac:dyDescent="0.2">
      <c r="G1167" s="8"/>
      <c r="H1167" s="5"/>
      <c r="J1167" s="10" t="str">
        <f t="shared" si="166"/>
        <v/>
      </c>
      <c r="K1167" s="10" t="str">
        <f t="shared" si="167"/>
        <v/>
      </c>
      <c r="L1167" s="11" t="str">
        <f t="shared" si="169"/>
        <v/>
      </c>
      <c r="M1167" s="9" t="str">
        <f>IF(G1167&lt;&gt;"",J1167/MAX(J$3:J1167)-1,"")</f>
        <v/>
      </c>
      <c r="N1167" s="9" t="str">
        <f>IF(G1167&lt;&gt;"",K1167/MAX(K$3:K1167)-1,"")</f>
        <v/>
      </c>
      <c r="O1167" s="16" t="str">
        <f t="shared" si="165"/>
        <v/>
      </c>
      <c r="P1167" s="16" t="str">
        <f t="shared" si="165"/>
        <v/>
      </c>
      <c r="Q1167" s="16" t="str">
        <f t="shared" si="165"/>
        <v/>
      </c>
      <c r="R1167" s="5" t="str">
        <f t="shared" si="164"/>
        <v/>
      </c>
      <c r="S1167" s="5" t="str">
        <f t="shared" si="168"/>
        <v/>
      </c>
      <c r="T1167" s="5" t="str">
        <f t="shared" si="170"/>
        <v/>
      </c>
      <c r="U1167" s="5" t="str">
        <f t="shared" si="170"/>
        <v/>
      </c>
    </row>
    <row r="1168" spans="7:21" x14ac:dyDescent="0.2">
      <c r="G1168" s="8"/>
      <c r="H1168" s="5"/>
      <c r="J1168" s="10" t="str">
        <f t="shared" si="166"/>
        <v/>
      </c>
      <c r="K1168" s="10" t="str">
        <f t="shared" si="167"/>
        <v/>
      </c>
      <c r="L1168" s="11" t="str">
        <f t="shared" si="169"/>
        <v/>
      </c>
      <c r="M1168" s="9" t="str">
        <f>IF(G1168&lt;&gt;"",J1168/MAX(J$3:J1168)-1,"")</f>
        <v/>
      </c>
      <c r="N1168" s="9" t="str">
        <f>IF(G1168&lt;&gt;"",K1168/MAX(K$3:K1168)-1,"")</f>
        <v/>
      </c>
      <c r="O1168" s="16" t="str">
        <f t="shared" si="165"/>
        <v/>
      </c>
      <c r="P1168" s="16" t="str">
        <f t="shared" si="165"/>
        <v/>
      </c>
      <c r="Q1168" s="16" t="str">
        <f t="shared" si="165"/>
        <v/>
      </c>
      <c r="R1168" s="5" t="str">
        <f t="shared" si="164"/>
        <v/>
      </c>
      <c r="S1168" s="5" t="str">
        <f t="shared" si="168"/>
        <v/>
      </c>
      <c r="T1168" s="5" t="str">
        <f t="shared" si="170"/>
        <v/>
      </c>
      <c r="U1168" s="5" t="str">
        <f t="shared" si="170"/>
        <v/>
      </c>
    </row>
    <row r="1169" spans="7:21" x14ac:dyDescent="0.2">
      <c r="G1169" s="8"/>
      <c r="H1169" s="5"/>
      <c r="J1169" s="10" t="str">
        <f t="shared" si="166"/>
        <v/>
      </c>
      <c r="K1169" s="10" t="str">
        <f t="shared" si="167"/>
        <v/>
      </c>
      <c r="L1169" s="11" t="str">
        <f t="shared" si="169"/>
        <v/>
      </c>
      <c r="M1169" s="9" t="str">
        <f>IF(G1169&lt;&gt;"",J1169/MAX(J$3:J1169)-1,"")</f>
        <v/>
      </c>
      <c r="N1169" s="9" t="str">
        <f>IF(G1169&lt;&gt;"",K1169/MAX(K$3:K1169)-1,"")</f>
        <v/>
      </c>
      <c r="O1169" s="16" t="str">
        <f t="shared" si="165"/>
        <v/>
      </c>
      <c r="P1169" s="16" t="str">
        <f t="shared" si="165"/>
        <v/>
      </c>
      <c r="Q1169" s="16" t="str">
        <f t="shared" si="165"/>
        <v/>
      </c>
      <c r="R1169" s="5" t="str">
        <f t="shared" si="164"/>
        <v/>
      </c>
      <c r="S1169" s="5" t="str">
        <f t="shared" si="168"/>
        <v/>
      </c>
      <c r="T1169" s="5" t="str">
        <f t="shared" si="170"/>
        <v/>
      </c>
      <c r="U1169" s="5" t="str">
        <f t="shared" si="170"/>
        <v/>
      </c>
    </row>
    <row r="1170" spans="7:21" x14ac:dyDescent="0.2">
      <c r="G1170" s="8"/>
      <c r="H1170" s="5"/>
      <c r="J1170" s="10" t="str">
        <f t="shared" si="166"/>
        <v/>
      </c>
      <c r="K1170" s="10" t="str">
        <f t="shared" si="167"/>
        <v/>
      </c>
      <c r="L1170" s="11" t="str">
        <f t="shared" si="169"/>
        <v/>
      </c>
      <c r="M1170" s="9" t="str">
        <f>IF(G1170&lt;&gt;"",J1170/MAX(J$3:J1170)-1,"")</f>
        <v/>
      </c>
      <c r="N1170" s="9" t="str">
        <f>IF(G1170&lt;&gt;"",K1170/MAX(K$3:K1170)-1,"")</f>
        <v/>
      </c>
      <c r="O1170" s="16" t="str">
        <f t="shared" si="165"/>
        <v/>
      </c>
      <c r="P1170" s="16" t="str">
        <f t="shared" si="165"/>
        <v/>
      </c>
      <c r="Q1170" s="16" t="str">
        <f t="shared" si="165"/>
        <v/>
      </c>
      <c r="R1170" s="5" t="str">
        <f t="shared" si="164"/>
        <v/>
      </c>
      <c r="S1170" s="5" t="str">
        <f t="shared" si="168"/>
        <v/>
      </c>
      <c r="T1170" s="5" t="str">
        <f t="shared" si="170"/>
        <v/>
      </c>
      <c r="U1170" s="5" t="str">
        <f t="shared" si="170"/>
        <v/>
      </c>
    </row>
    <row r="1171" spans="7:21" x14ac:dyDescent="0.2">
      <c r="G1171" s="8"/>
      <c r="H1171" s="5"/>
      <c r="J1171" s="10" t="str">
        <f t="shared" si="166"/>
        <v/>
      </c>
      <c r="K1171" s="10" t="str">
        <f t="shared" si="167"/>
        <v/>
      </c>
      <c r="L1171" s="11" t="str">
        <f t="shared" si="169"/>
        <v/>
      </c>
      <c r="M1171" s="9" t="str">
        <f>IF(G1171&lt;&gt;"",J1171/MAX(J$3:J1171)-1,"")</f>
        <v/>
      </c>
      <c r="N1171" s="9" t="str">
        <f>IF(G1171&lt;&gt;"",K1171/MAX(K$3:K1171)-1,"")</f>
        <v/>
      </c>
      <c r="O1171" s="16" t="str">
        <f t="shared" si="165"/>
        <v/>
      </c>
      <c r="P1171" s="16" t="str">
        <f t="shared" si="165"/>
        <v/>
      </c>
      <c r="Q1171" s="16" t="str">
        <f t="shared" si="165"/>
        <v/>
      </c>
      <c r="R1171" s="5" t="str">
        <f t="shared" si="164"/>
        <v/>
      </c>
      <c r="S1171" s="5" t="str">
        <f t="shared" si="168"/>
        <v/>
      </c>
      <c r="T1171" s="5" t="str">
        <f t="shared" si="170"/>
        <v/>
      </c>
      <c r="U1171" s="5" t="str">
        <f t="shared" si="170"/>
        <v/>
      </c>
    </row>
    <row r="1172" spans="7:21" x14ac:dyDescent="0.2">
      <c r="G1172" s="8"/>
      <c r="H1172" s="5"/>
      <c r="J1172" s="10" t="str">
        <f t="shared" si="166"/>
        <v/>
      </c>
      <c r="K1172" s="10" t="str">
        <f t="shared" si="167"/>
        <v/>
      </c>
      <c r="L1172" s="11" t="str">
        <f t="shared" si="169"/>
        <v/>
      </c>
      <c r="M1172" s="9" t="str">
        <f>IF(G1172&lt;&gt;"",J1172/MAX(J$3:J1172)-1,"")</f>
        <v/>
      </c>
      <c r="N1172" s="9" t="str">
        <f>IF(G1172&lt;&gt;"",K1172/MAX(K$3:K1172)-1,"")</f>
        <v/>
      </c>
      <c r="O1172" s="16" t="str">
        <f t="shared" si="165"/>
        <v/>
      </c>
      <c r="P1172" s="16" t="str">
        <f t="shared" si="165"/>
        <v/>
      </c>
      <c r="Q1172" s="16" t="str">
        <f t="shared" si="165"/>
        <v/>
      </c>
      <c r="R1172" s="5" t="str">
        <f t="shared" si="164"/>
        <v/>
      </c>
      <c r="S1172" s="5" t="str">
        <f t="shared" si="168"/>
        <v/>
      </c>
      <c r="T1172" s="5" t="str">
        <f t="shared" si="170"/>
        <v/>
      </c>
      <c r="U1172" s="5" t="str">
        <f t="shared" si="170"/>
        <v/>
      </c>
    </row>
    <row r="1173" spans="7:21" x14ac:dyDescent="0.2">
      <c r="G1173" s="8"/>
      <c r="H1173" s="5"/>
      <c r="J1173" s="10" t="str">
        <f t="shared" si="166"/>
        <v/>
      </c>
      <c r="K1173" s="10" t="str">
        <f t="shared" si="167"/>
        <v/>
      </c>
      <c r="L1173" s="11" t="str">
        <f t="shared" si="169"/>
        <v/>
      </c>
      <c r="M1173" s="9" t="str">
        <f>IF(G1173&lt;&gt;"",J1173/MAX(J$3:J1173)-1,"")</f>
        <v/>
      </c>
      <c r="N1173" s="9" t="str">
        <f>IF(G1173&lt;&gt;"",K1173/MAX(K$3:K1173)-1,"")</f>
        <v/>
      </c>
      <c r="O1173" s="16" t="str">
        <f t="shared" si="165"/>
        <v/>
      </c>
      <c r="P1173" s="16" t="str">
        <f t="shared" si="165"/>
        <v/>
      </c>
      <c r="Q1173" s="16" t="str">
        <f t="shared" si="165"/>
        <v/>
      </c>
      <c r="R1173" s="5" t="str">
        <f t="shared" si="164"/>
        <v/>
      </c>
      <c r="S1173" s="5" t="str">
        <f t="shared" si="168"/>
        <v/>
      </c>
      <c r="T1173" s="5" t="str">
        <f t="shared" si="170"/>
        <v/>
      </c>
      <c r="U1173" s="5" t="str">
        <f t="shared" si="170"/>
        <v/>
      </c>
    </row>
    <row r="1174" spans="7:21" x14ac:dyDescent="0.2">
      <c r="G1174" s="8"/>
      <c r="H1174" s="5"/>
      <c r="J1174" s="10" t="str">
        <f t="shared" si="166"/>
        <v/>
      </c>
      <c r="K1174" s="10" t="str">
        <f t="shared" si="167"/>
        <v/>
      </c>
      <c r="L1174" s="11" t="str">
        <f t="shared" si="169"/>
        <v/>
      </c>
      <c r="M1174" s="9" t="str">
        <f>IF(G1174&lt;&gt;"",J1174/MAX(J$3:J1174)-1,"")</f>
        <v/>
      </c>
      <c r="N1174" s="9" t="str">
        <f>IF(G1174&lt;&gt;"",K1174/MAX(K$3:K1174)-1,"")</f>
        <v/>
      </c>
      <c r="O1174" s="16" t="str">
        <f t="shared" si="165"/>
        <v/>
      </c>
      <c r="P1174" s="16" t="str">
        <f t="shared" si="165"/>
        <v/>
      </c>
      <c r="Q1174" s="16" t="str">
        <f t="shared" si="165"/>
        <v/>
      </c>
      <c r="R1174" s="5" t="str">
        <f t="shared" si="164"/>
        <v/>
      </c>
      <c r="S1174" s="5" t="str">
        <f t="shared" si="168"/>
        <v/>
      </c>
      <c r="T1174" s="5" t="str">
        <f t="shared" si="170"/>
        <v/>
      </c>
      <c r="U1174" s="5" t="str">
        <f t="shared" si="170"/>
        <v/>
      </c>
    </row>
    <row r="1175" spans="7:21" x14ac:dyDescent="0.2">
      <c r="G1175" s="8"/>
      <c r="H1175" s="5"/>
      <c r="J1175" s="10" t="str">
        <f t="shared" si="166"/>
        <v/>
      </c>
      <c r="K1175" s="10" t="str">
        <f t="shared" si="167"/>
        <v/>
      </c>
      <c r="L1175" s="11" t="str">
        <f t="shared" si="169"/>
        <v/>
      </c>
      <c r="M1175" s="9" t="str">
        <f>IF(G1175&lt;&gt;"",J1175/MAX(J$3:J1175)-1,"")</f>
        <v/>
      </c>
      <c r="N1175" s="9" t="str">
        <f>IF(G1175&lt;&gt;"",K1175/MAX(K$3:K1175)-1,"")</f>
        <v/>
      </c>
      <c r="O1175" s="16" t="str">
        <f t="shared" si="165"/>
        <v/>
      </c>
      <c r="P1175" s="16" t="str">
        <f t="shared" si="165"/>
        <v/>
      </c>
      <c r="Q1175" s="16" t="str">
        <f t="shared" si="165"/>
        <v/>
      </c>
      <c r="R1175" s="5" t="str">
        <f t="shared" si="164"/>
        <v/>
      </c>
      <c r="S1175" s="5" t="str">
        <f t="shared" si="168"/>
        <v/>
      </c>
      <c r="T1175" s="5" t="str">
        <f t="shared" si="170"/>
        <v/>
      </c>
      <c r="U1175" s="5" t="str">
        <f t="shared" si="170"/>
        <v/>
      </c>
    </row>
    <row r="1176" spans="7:21" x14ac:dyDescent="0.2">
      <c r="G1176" s="8"/>
      <c r="H1176" s="5"/>
      <c r="J1176" s="10" t="str">
        <f t="shared" si="166"/>
        <v/>
      </c>
      <c r="K1176" s="10" t="str">
        <f t="shared" si="167"/>
        <v/>
      </c>
      <c r="L1176" s="11" t="str">
        <f t="shared" si="169"/>
        <v/>
      </c>
      <c r="M1176" s="9" t="str">
        <f>IF(G1176&lt;&gt;"",J1176/MAX(J$3:J1176)-1,"")</f>
        <v/>
      </c>
      <c r="N1176" s="9" t="str">
        <f>IF(G1176&lt;&gt;"",K1176/MAX(K$3:K1176)-1,"")</f>
        <v/>
      </c>
      <c r="O1176" s="16" t="str">
        <f t="shared" si="165"/>
        <v/>
      </c>
      <c r="P1176" s="16" t="str">
        <f t="shared" si="165"/>
        <v/>
      </c>
      <c r="Q1176" s="16" t="str">
        <f t="shared" si="165"/>
        <v/>
      </c>
      <c r="R1176" s="5" t="str">
        <f t="shared" si="164"/>
        <v/>
      </c>
      <c r="S1176" s="5" t="str">
        <f t="shared" si="168"/>
        <v/>
      </c>
      <c r="T1176" s="5" t="str">
        <f t="shared" ref="T1176:U1191" si="171">IF($G1176&lt;&gt;"",_xlfn.STDEV.S(O932:O1176),"")</f>
        <v/>
      </c>
      <c r="U1176" s="5" t="str">
        <f t="shared" si="171"/>
        <v/>
      </c>
    </row>
    <row r="1177" spans="7:21" x14ac:dyDescent="0.2">
      <c r="G1177" s="8"/>
      <c r="H1177" s="5"/>
      <c r="J1177" s="10" t="str">
        <f t="shared" si="166"/>
        <v/>
      </c>
      <c r="K1177" s="10" t="str">
        <f t="shared" si="167"/>
        <v/>
      </c>
      <c r="L1177" s="11" t="str">
        <f t="shared" si="169"/>
        <v/>
      </c>
      <c r="M1177" s="9" t="str">
        <f>IF(G1177&lt;&gt;"",J1177/MAX(J$3:J1177)-1,"")</f>
        <v/>
      </c>
      <c r="N1177" s="9" t="str">
        <f>IF(G1177&lt;&gt;"",K1177/MAX(K$3:K1177)-1,"")</f>
        <v/>
      </c>
      <c r="O1177" s="16" t="str">
        <f t="shared" si="165"/>
        <v/>
      </c>
      <c r="P1177" s="16" t="str">
        <f t="shared" si="165"/>
        <v/>
      </c>
      <c r="Q1177" s="16" t="str">
        <f t="shared" si="165"/>
        <v/>
      </c>
      <c r="R1177" s="5" t="str">
        <f t="shared" si="164"/>
        <v/>
      </c>
      <c r="S1177" s="5" t="str">
        <f t="shared" si="168"/>
        <v/>
      </c>
      <c r="T1177" s="5" t="str">
        <f t="shared" si="171"/>
        <v/>
      </c>
      <c r="U1177" s="5" t="str">
        <f t="shared" si="171"/>
        <v/>
      </c>
    </row>
    <row r="1178" spans="7:21" x14ac:dyDescent="0.2">
      <c r="G1178" s="8"/>
      <c r="H1178" s="5"/>
      <c r="J1178" s="10" t="str">
        <f t="shared" si="166"/>
        <v/>
      </c>
      <c r="K1178" s="10" t="str">
        <f t="shared" si="167"/>
        <v/>
      </c>
      <c r="L1178" s="11" t="str">
        <f t="shared" si="169"/>
        <v/>
      </c>
      <c r="M1178" s="9" t="str">
        <f>IF(G1178&lt;&gt;"",J1178/MAX(J$3:J1178)-1,"")</f>
        <v/>
      </c>
      <c r="N1178" s="9" t="str">
        <f>IF(G1178&lt;&gt;"",K1178/MAX(K$3:K1178)-1,"")</f>
        <v/>
      </c>
      <c r="O1178" s="16" t="str">
        <f t="shared" si="165"/>
        <v/>
      </c>
      <c r="P1178" s="16" t="str">
        <f t="shared" si="165"/>
        <v/>
      </c>
      <c r="Q1178" s="16" t="str">
        <f t="shared" si="165"/>
        <v/>
      </c>
      <c r="R1178" s="5" t="str">
        <f t="shared" si="164"/>
        <v/>
      </c>
      <c r="S1178" s="5" t="str">
        <f t="shared" si="168"/>
        <v/>
      </c>
      <c r="T1178" s="5" t="str">
        <f t="shared" si="171"/>
        <v/>
      </c>
      <c r="U1178" s="5" t="str">
        <f t="shared" si="171"/>
        <v/>
      </c>
    </row>
    <row r="1179" spans="7:21" x14ac:dyDescent="0.2">
      <c r="G1179" s="8"/>
      <c r="H1179" s="5"/>
      <c r="J1179" s="10" t="str">
        <f t="shared" si="166"/>
        <v/>
      </c>
      <c r="K1179" s="10" t="str">
        <f t="shared" si="167"/>
        <v/>
      </c>
      <c r="L1179" s="11" t="str">
        <f t="shared" si="169"/>
        <v/>
      </c>
      <c r="M1179" s="9" t="str">
        <f>IF(G1179&lt;&gt;"",J1179/MAX(J$3:J1179)-1,"")</f>
        <v/>
      </c>
      <c r="N1179" s="9" t="str">
        <f>IF(G1179&lt;&gt;"",K1179/MAX(K$3:K1179)-1,"")</f>
        <v/>
      </c>
      <c r="O1179" s="16" t="str">
        <f t="shared" si="165"/>
        <v/>
      </c>
      <c r="P1179" s="16" t="str">
        <f t="shared" si="165"/>
        <v/>
      </c>
      <c r="Q1179" s="16" t="str">
        <f t="shared" si="165"/>
        <v/>
      </c>
      <c r="R1179" s="5" t="str">
        <f t="shared" si="164"/>
        <v/>
      </c>
      <c r="S1179" s="5" t="str">
        <f t="shared" si="168"/>
        <v/>
      </c>
      <c r="T1179" s="5" t="str">
        <f t="shared" si="171"/>
        <v/>
      </c>
      <c r="U1179" s="5" t="str">
        <f t="shared" si="171"/>
        <v/>
      </c>
    </row>
    <row r="1180" spans="7:21" x14ac:dyDescent="0.2">
      <c r="G1180" s="8"/>
      <c r="H1180" s="5"/>
      <c r="J1180" s="10" t="str">
        <f t="shared" si="166"/>
        <v/>
      </c>
      <c r="K1180" s="10" t="str">
        <f t="shared" si="167"/>
        <v/>
      </c>
      <c r="L1180" s="11" t="str">
        <f t="shared" si="169"/>
        <v/>
      </c>
      <c r="M1180" s="9" t="str">
        <f>IF(G1180&lt;&gt;"",J1180/MAX(J$3:J1180)-1,"")</f>
        <v/>
      </c>
      <c r="N1180" s="9" t="str">
        <f>IF(G1180&lt;&gt;"",K1180/MAX(K$3:K1180)-1,"")</f>
        <v/>
      </c>
      <c r="O1180" s="16" t="str">
        <f t="shared" si="165"/>
        <v/>
      </c>
      <c r="P1180" s="16" t="str">
        <f t="shared" si="165"/>
        <v/>
      </c>
      <c r="Q1180" s="16" t="str">
        <f t="shared" si="165"/>
        <v/>
      </c>
      <c r="R1180" s="5" t="str">
        <f t="shared" si="164"/>
        <v/>
      </c>
      <c r="S1180" s="5" t="str">
        <f t="shared" si="168"/>
        <v/>
      </c>
      <c r="T1180" s="5" t="str">
        <f t="shared" si="171"/>
        <v/>
      </c>
      <c r="U1180" s="5" t="str">
        <f t="shared" si="171"/>
        <v/>
      </c>
    </row>
    <row r="1181" spans="7:21" x14ac:dyDescent="0.2">
      <c r="G1181" s="8"/>
      <c r="H1181" s="5"/>
      <c r="J1181" s="10" t="str">
        <f t="shared" si="166"/>
        <v/>
      </c>
      <c r="K1181" s="10" t="str">
        <f t="shared" si="167"/>
        <v/>
      </c>
      <c r="L1181" s="11" t="str">
        <f t="shared" si="169"/>
        <v/>
      </c>
      <c r="M1181" s="9" t="str">
        <f>IF(G1181&lt;&gt;"",J1181/MAX(J$3:J1181)-1,"")</f>
        <v/>
      </c>
      <c r="N1181" s="9" t="str">
        <f>IF(G1181&lt;&gt;"",K1181/MAX(K$3:K1181)-1,"")</f>
        <v/>
      </c>
      <c r="O1181" s="16" t="str">
        <f t="shared" si="165"/>
        <v/>
      </c>
      <c r="P1181" s="16" t="str">
        <f t="shared" si="165"/>
        <v/>
      </c>
      <c r="Q1181" s="16" t="str">
        <f t="shared" si="165"/>
        <v/>
      </c>
      <c r="R1181" s="5" t="str">
        <f t="shared" si="164"/>
        <v/>
      </c>
      <c r="S1181" s="5" t="str">
        <f t="shared" si="168"/>
        <v/>
      </c>
      <c r="T1181" s="5" t="str">
        <f t="shared" si="171"/>
        <v/>
      </c>
      <c r="U1181" s="5" t="str">
        <f t="shared" si="171"/>
        <v/>
      </c>
    </row>
    <row r="1182" spans="7:21" x14ac:dyDescent="0.2">
      <c r="G1182" s="8"/>
      <c r="H1182" s="5"/>
      <c r="J1182" s="10" t="str">
        <f t="shared" si="166"/>
        <v/>
      </c>
      <c r="K1182" s="10" t="str">
        <f t="shared" si="167"/>
        <v/>
      </c>
      <c r="L1182" s="11" t="str">
        <f t="shared" si="169"/>
        <v/>
      </c>
      <c r="M1182" s="9" t="str">
        <f>IF(G1182&lt;&gt;"",J1182/MAX(J$3:J1182)-1,"")</f>
        <v/>
      </c>
      <c r="N1182" s="9" t="str">
        <f>IF(G1182&lt;&gt;"",K1182/MAX(K$3:K1182)-1,"")</f>
        <v/>
      </c>
      <c r="O1182" s="16" t="str">
        <f t="shared" si="165"/>
        <v/>
      </c>
      <c r="P1182" s="16" t="str">
        <f t="shared" si="165"/>
        <v/>
      </c>
      <c r="Q1182" s="16" t="str">
        <f t="shared" si="165"/>
        <v/>
      </c>
      <c r="R1182" s="5" t="str">
        <f t="shared" si="164"/>
        <v/>
      </c>
      <c r="S1182" s="5" t="str">
        <f t="shared" si="168"/>
        <v/>
      </c>
      <c r="T1182" s="5" t="str">
        <f t="shared" si="171"/>
        <v/>
      </c>
      <c r="U1182" s="5" t="str">
        <f t="shared" si="171"/>
        <v/>
      </c>
    </row>
    <row r="1183" spans="7:21" x14ac:dyDescent="0.2">
      <c r="G1183" s="8"/>
      <c r="H1183" s="5"/>
      <c r="J1183" s="10" t="str">
        <f t="shared" si="166"/>
        <v/>
      </c>
      <c r="K1183" s="10" t="str">
        <f t="shared" si="167"/>
        <v/>
      </c>
      <c r="L1183" s="11" t="str">
        <f t="shared" si="169"/>
        <v/>
      </c>
      <c r="M1183" s="9" t="str">
        <f>IF(G1183&lt;&gt;"",J1183/MAX(J$3:J1183)-1,"")</f>
        <v/>
      </c>
      <c r="N1183" s="9" t="str">
        <f>IF(G1183&lt;&gt;"",K1183/MAX(K$3:K1183)-1,"")</f>
        <v/>
      </c>
      <c r="O1183" s="16" t="str">
        <f t="shared" si="165"/>
        <v/>
      </c>
      <c r="P1183" s="16" t="str">
        <f t="shared" si="165"/>
        <v/>
      </c>
      <c r="Q1183" s="16" t="str">
        <f t="shared" si="165"/>
        <v/>
      </c>
      <c r="R1183" s="5" t="str">
        <f t="shared" si="164"/>
        <v/>
      </c>
      <c r="S1183" s="5" t="str">
        <f t="shared" si="168"/>
        <v/>
      </c>
      <c r="T1183" s="5" t="str">
        <f t="shared" si="171"/>
        <v/>
      </c>
      <c r="U1183" s="5" t="str">
        <f t="shared" si="171"/>
        <v/>
      </c>
    </row>
    <row r="1184" spans="7:21" x14ac:dyDescent="0.2">
      <c r="G1184" s="8"/>
      <c r="H1184" s="5"/>
      <c r="J1184" s="10" t="str">
        <f t="shared" si="166"/>
        <v/>
      </c>
      <c r="K1184" s="10" t="str">
        <f t="shared" si="167"/>
        <v/>
      </c>
      <c r="L1184" s="11" t="str">
        <f t="shared" si="169"/>
        <v/>
      </c>
      <c r="M1184" s="9" t="str">
        <f>IF(G1184&lt;&gt;"",J1184/MAX(J$3:J1184)-1,"")</f>
        <v/>
      </c>
      <c r="N1184" s="9" t="str">
        <f>IF(G1184&lt;&gt;"",K1184/MAX(K$3:K1184)-1,"")</f>
        <v/>
      </c>
      <c r="O1184" s="16" t="str">
        <f t="shared" si="165"/>
        <v/>
      </c>
      <c r="P1184" s="16" t="str">
        <f t="shared" si="165"/>
        <v/>
      </c>
      <c r="Q1184" s="16" t="str">
        <f t="shared" si="165"/>
        <v/>
      </c>
      <c r="R1184" s="5" t="str">
        <f t="shared" si="164"/>
        <v/>
      </c>
      <c r="S1184" s="5" t="str">
        <f t="shared" si="168"/>
        <v/>
      </c>
      <c r="T1184" s="5" t="str">
        <f t="shared" si="171"/>
        <v/>
      </c>
      <c r="U1184" s="5" t="str">
        <f t="shared" si="171"/>
        <v/>
      </c>
    </row>
    <row r="1185" spans="7:21" x14ac:dyDescent="0.2">
      <c r="G1185" s="8"/>
      <c r="H1185" s="5"/>
      <c r="J1185" s="10" t="str">
        <f t="shared" si="166"/>
        <v/>
      </c>
      <c r="K1185" s="10" t="str">
        <f t="shared" si="167"/>
        <v/>
      </c>
      <c r="L1185" s="11" t="str">
        <f t="shared" si="169"/>
        <v/>
      </c>
      <c r="M1185" s="9" t="str">
        <f>IF(G1185&lt;&gt;"",J1185/MAX(J$3:J1185)-1,"")</f>
        <v/>
      </c>
      <c r="N1185" s="9" t="str">
        <f>IF(G1185&lt;&gt;"",K1185/MAX(K$3:K1185)-1,"")</f>
        <v/>
      </c>
      <c r="O1185" s="16" t="str">
        <f t="shared" si="165"/>
        <v/>
      </c>
      <c r="P1185" s="16" t="str">
        <f t="shared" si="165"/>
        <v/>
      </c>
      <c r="Q1185" s="16" t="str">
        <f t="shared" si="165"/>
        <v/>
      </c>
      <c r="R1185" s="5" t="str">
        <f t="shared" si="164"/>
        <v/>
      </c>
      <c r="S1185" s="5" t="str">
        <f t="shared" si="168"/>
        <v/>
      </c>
      <c r="T1185" s="5" t="str">
        <f t="shared" si="171"/>
        <v/>
      </c>
      <c r="U1185" s="5" t="str">
        <f t="shared" si="171"/>
        <v/>
      </c>
    </row>
    <row r="1186" spans="7:21" x14ac:dyDescent="0.2">
      <c r="G1186" s="8"/>
      <c r="H1186" s="5"/>
      <c r="J1186" s="10" t="str">
        <f t="shared" si="166"/>
        <v/>
      </c>
      <c r="K1186" s="10" t="str">
        <f t="shared" si="167"/>
        <v/>
      </c>
      <c r="L1186" s="11" t="str">
        <f t="shared" si="169"/>
        <v/>
      </c>
      <c r="M1186" s="9" t="str">
        <f>IF(G1186&lt;&gt;"",J1186/MAX(J$3:J1186)-1,"")</f>
        <v/>
      </c>
      <c r="N1186" s="9" t="str">
        <f>IF(G1186&lt;&gt;"",K1186/MAX(K$3:K1186)-1,"")</f>
        <v/>
      </c>
      <c r="O1186" s="16" t="str">
        <f t="shared" si="165"/>
        <v/>
      </c>
      <c r="P1186" s="16" t="str">
        <f t="shared" si="165"/>
        <v/>
      </c>
      <c r="Q1186" s="16" t="str">
        <f t="shared" si="165"/>
        <v/>
      </c>
      <c r="R1186" s="5" t="str">
        <f t="shared" si="164"/>
        <v/>
      </c>
      <c r="S1186" s="5" t="str">
        <f t="shared" si="168"/>
        <v/>
      </c>
      <c r="T1186" s="5" t="str">
        <f t="shared" si="171"/>
        <v/>
      </c>
      <c r="U1186" s="5" t="str">
        <f t="shared" si="171"/>
        <v/>
      </c>
    </row>
    <row r="1187" spans="7:21" x14ac:dyDescent="0.2">
      <c r="G1187" s="8"/>
      <c r="H1187" s="5"/>
      <c r="J1187" s="10" t="str">
        <f t="shared" si="166"/>
        <v/>
      </c>
      <c r="K1187" s="10" t="str">
        <f t="shared" si="167"/>
        <v/>
      </c>
      <c r="L1187" s="11" t="str">
        <f t="shared" si="169"/>
        <v/>
      </c>
      <c r="M1187" s="9" t="str">
        <f>IF(G1187&lt;&gt;"",J1187/MAX(J$3:J1187)-1,"")</f>
        <v/>
      </c>
      <c r="N1187" s="9" t="str">
        <f>IF(G1187&lt;&gt;"",K1187/MAX(K$3:K1187)-1,"")</f>
        <v/>
      </c>
      <c r="O1187" s="16" t="str">
        <f t="shared" si="165"/>
        <v/>
      </c>
      <c r="P1187" s="16" t="str">
        <f t="shared" si="165"/>
        <v/>
      </c>
      <c r="Q1187" s="16" t="str">
        <f t="shared" si="165"/>
        <v/>
      </c>
      <c r="R1187" s="5" t="str">
        <f t="shared" si="164"/>
        <v/>
      </c>
      <c r="S1187" s="5" t="str">
        <f t="shared" si="168"/>
        <v/>
      </c>
      <c r="T1187" s="5" t="str">
        <f t="shared" si="171"/>
        <v/>
      </c>
      <c r="U1187" s="5" t="str">
        <f t="shared" si="171"/>
        <v/>
      </c>
    </row>
    <row r="1188" spans="7:21" x14ac:dyDescent="0.2">
      <c r="G1188" s="8"/>
      <c r="H1188" s="5"/>
      <c r="J1188" s="10" t="str">
        <f t="shared" si="166"/>
        <v/>
      </c>
      <c r="K1188" s="10" t="str">
        <f t="shared" si="167"/>
        <v/>
      </c>
      <c r="L1188" s="11" t="str">
        <f t="shared" si="169"/>
        <v/>
      </c>
      <c r="M1188" s="9" t="str">
        <f>IF(G1188&lt;&gt;"",J1188/MAX(J$3:J1188)-1,"")</f>
        <v/>
      </c>
      <c r="N1188" s="9" t="str">
        <f>IF(G1188&lt;&gt;"",K1188/MAX(K$3:K1188)-1,"")</f>
        <v/>
      </c>
      <c r="O1188" s="16" t="str">
        <f t="shared" si="165"/>
        <v/>
      </c>
      <c r="P1188" s="16" t="str">
        <f t="shared" si="165"/>
        <v/>
      </c>
      <c r="Q1188" s="16" t="str">
        <f t="shared" si="165"/>
        <v/>
      </c>
      <c r="R1188" s="5" t="str">
        <f t="shared" si="164"/>
        <v/>
      </c>
      <c r="S1188" s="5" t="str">
        <f t="shared" si="168"/>
        <v/>
      </c>
      <c r="T1188" s="5" t="str">
        <f t="shared" si="171"/>
        <v/>
      </c>
      <c r="U1188" s="5" t="str">
        <f t="shared" si="171"/>
        <v/>
      </c>
    </row>
    <row r="1189" spans="7:21" x14ac:dyDescent="0.2">
      <c r="G1189" s="8"/>
      <c r="H1189" s="5"/>
      <c r="J1189" s="10" t="str">
        <f t="shared" si="166"/>
        <v/>
      </c>
      <c r="K1189" s="10" t="str">
        <f t="shared" si="167"/>
        <v/>
      </c>
      <c r="L1189" s="11" t="str">
        <f t="shared" si="169"/>
        <v/>
      </c>
      <c r="M1189" s="9" t="str">
        <f>IF(G1189&lt;&gt;"",J1189/MAX(J$3:J1189)-1,"")</f>
        <v/>
      </c>
      <c r="N1189" s="9" t="str">
        <f>IF(G1189&lt;&gt;"",K1189/MAX(K$3:K1189)-1,"")</f>
        <v/>
      </c>
      <c r="O1189" s="16" t="str">
        <f t="shared" si="165"/>
        <v/>
      </c>
      <c r="P1189" s="16" t="str">
        <f t="shared" si="165"/>
        <v/>
      </c>
      <c r="Q1189" s="16" t="str">
        <f t="shared" si="165"/>
        <v/>
      </c>
      <c r="R1189" s="5" t="str">
        <f t="shared" si="164"/>
        <v/>
      </c>
      <c r="S1189" s="5" t="str">
        <f t="shared" si="168"/>
        <v/>
      </c>
      <c r="T1189" s="5" t="str">
        <f t="shared" si="171"/>
        <v/>
      </c>
      <c r="U1189" s="5" t="str">
        <f t="shared" si="171"/>
        <v/>
      </c>
    </row>
    <row r="1190" spans="7:21" x14ac:dyDescent="0.2">
      <c r="G1190" s="8"/>
      <c r="H1190" s="5"/>
      <c r="J1190" s="10" t="str">
        <f t="shared" si="166"/>
        <v/>
      </c>
      <c r="K1190" s="10" t="str">
        <f t="shared" si="167"/>
        <v/>
      </c>
      <c r="L1190" s="11" t="str">
        <f t="shared" si="169"/>
        <v/>
      </c>
      <c r="M1190" s="9" t="str">
        <f>IF(G1190&lt;&gt;"",J1190/MAX(J$3:J1190)-1,"")</f>
        <v/>
      </c>
      <c r="N1190" s="9" t="str">
        <f>IF(G1190&lt;&gt;"",K1190/MAX(K$3:K1190)-1,"")</f>
        <v/>
      </c>
      <c r="O1190" s="16" t="str">
        <f t="shared" si="165"/>
        <v/>
      </c>
      <c r="P1190" s="16" t="str">
        <f t="shared" si="165"/>
        <v/>
      </c>
      <c r="Q1190" s="16" t="str">
        <f t="shared" si="165"/>
        <v/>
      </c>
      <c r="R1190" s="5" t="str">
        <f t="shared" si="164"/>
        <v/>
      </c>
      <c r="S1190" s="5" t="str">
        <f t="shared" si="168"/>
        <v/>
      </c>
      <c r="T1190" s="5" t="str">
        <f t="shared" si="171"/>
        <v/>
      </c>
      <c r="U1190" s="5" t="str">
        <f t="shared" si="171"/>
        <v/>
      </c>
    </row>
    <row r="1191" spans="7:21" x14ac:dyDescent="0.2">
      <c r="G1191" s="8"/>
      <c r="H1191" s="5"/>
      <c r="J1191" s="10" t="str">
        <f t="shared" si="166"/>
        <v/>
      </c>
      <c r="K1191" s="10" t="str">
        <f t="shared" si="167"/>
        <v/>
      </c>
      <c r="L1191" s="11" t="str">
        <f t="shared" si="169"/>
        <v/>
      </c>
      <c r="M1191" s="9" t="str">
        <f>IF(G1191&lt;&gt;"",J1191/MAX(J$3:J1191)-1,"")</f>
        <v/>
      </c>
      <c r="N1191" s="9" t="str">
        <f>IF(G1191&lt;&gt;"",K1191/MAX(K$3:K1191)-1,"")</f>
        <v/>
      </c>
      <c r="O1191" s="16" t="str">
        <f t="shared" si="165"/>
        <v/>
      </c>
      <c r="P1191" s="16" t="str">
        <f t="shared" si="165"/>
        <v/>
      </c>
      <c r="Q1191" s="16" t="str">
        <f t="shared" si="165"/>
        <v/>
      </c>
      <c r="R1191" s="5" t="str">
        <f t="shared" si="164"/>
        <v/>
      </c>
      <c r="S1191" s="5" t="str">
        <f t="shared" si="168"/>
        <v/>
      </c>
      <c r="T1191" s="5" t="str">
        <f t="shared" si="171"/>
        <v/>
      </c>
      <c r="U1191" s="5" t="str">
        <f t="shared" si="171"/>
        <v/>
      </c>
    </row>
    <row r="1192" spans="7:21" x14ac:dyDescent="0.2">
      <c r="G1192" s="8"/>
      <c r="H1192" s="5"/>
      <c r="J1192" s="10" t="str">
        <f t="shared" si="166"/>
        <v/>
      </c>
      <c r="K1192" s="10" t="str">
        <f t="shared" si="167"/>
        <v/>
      </c>
      <c r="L1192" s="11" t="str">
        <f t="shared" si="169"/>
        <v/>
      </c>
      <c r="M1192" s="9" t="str">
        <f>IF(G1192&lt;&gt;"",J1192/MAX(J$3:J1192)-1,"")</f>
        <v/>
      </c>
      <c r="N1192" s="9" t="str">
        <f>IF(G1192&lt;&gt;"",K1192/MAX(K$3:K1192)-1,"")</f>
        <v/>
      </c>
      <c r="O1192" s="16" t="str">
        <f t="shared" si="165"/>
        <v/>
      </c>
      <c r="P1192" s="16" t="str">
        <f t="shared" si="165"/>
        <v/>
      </c>
      <c r="Q1192" s="16" t="str">
        <f t="shared" si="165"/>
        <v/>
      </c>
      <c r="R1192" s="5" t="str">
        <f t="shared" si="164"/>
        <v/>
      </c>
      <c r="S1192" s="5" t="str">
        <f t="shared" si="168"/>
        <v/>
      </c>
      <c r="T1192" s="5" t="str">
        <f t="shared" ref="T1192:U1207" si="172">IF($G1192&lt;&gt;"",_xlfn.STDEV.S(O948:O1192),"")</f>
        <v/>
      </c>
      <c r="U1192" s="5" t="str">
        <f t="shared" si="172"/>
        <v/>
      </c>
    </row>
    <row r="1193" spans="7:21" x14ac:dyDescent="0.2">
      <c r="G1193" s="8"/>
      <c r="H1193" s="5"/>
      <c r="J1193" s="10" t="str">
        <f t="shared" si="166"/>
        <v/>
      </c>
      <c r="K1193" s="10" t="str">
        <f t="shared" si="167"/>
        <v/>
      </c>
      <c r="L1193" s="11" t="str">
        <f t="shared" si="169"/>
        <v/>
      </c>
      <c r="M1193" s="9" t="str">
        <f>IF(G1193&lt;&gt;"",J1193/MAX(J$3:J1193)-1,"")</f>
        <v/>
      </c>
      <c r="N1193" s="9" t="str">
        <f>IF(G1193&lt;&gt;"",K1193/MAX(K$3:K1193)-1,"")</f>
        <v/>
      </c>
      <c r="O1193" s="16" t="str">
        <f t="shared" si="165"/>
        <v/>
      </c>
      <c r="P1193" s="16" t="str">
        <f t="shared" si="165"/>
        <v/>
      </c>
      <c r="Q1193" s="16" t="str">
        <f t="shared" si="165"/>
        <v/>
      </c>
      <c r="R1193" s="5" t="str">
        <f t="shared" si="164"/>
        <v/>
      </c>
      <c r="S1193" s="5" t="str">
        <f t="shared" si="168"/>
        <v/>
      </c>
      <c r="T1193" s="5" t="str">
        <f t="shared" si="172"/>
        <v/>
      </c>
      <c r="U1193" s="5" t="str">
        <f t="shared" si="172"/>
        <v/>
      </c>
    </row>
    <row r="1194" spans="7:21" x14ac:dyDescent="0.2">
      <c r="G1194" s="8"/>
      <c r="H1194" s="5"/>
      <c r="J1194" s="10" t="str">
        <f t="shared" si="166"/>
        <v/>
      </c>
      <c r="K1194" s="10" t="str">
        <f t="shared" si="167"/>
        <v/>
      </c>
      <c r="L1194" s="11" t="str">
        <f t="shared" si="169"/>
        <v/>
      </c>
      <c r="M1194" s="9" t="str">
        <f>IF(G1194&lt;&gt;"",J1194/MAX(J$3:J1194)-1,"")</f>
        <v/>
      </c>
      <c r="N1194" s="9" t="str">
        <f>IF(G1194&lt;&gt;"",K1194/MAX(K$3:K1194)-1,"")</f>
        <v/>
      </c>
      <c r="O1194" s="16" t="str">
        <f t="shared" si="165"/>
        <v/>
      </c>
      <c r="P1194" s="16" t="str">
        <f t="shared" si="165"/>
        <v/>
      </c>
      <c r="Q1194" s="16" t="str">
        <f t="shared" si="165"/>
        <v/>
      </c>
      <c r="R1194" s="5" t="str">
        <f t="shared" si="164"/>
        <v/>
      </c>
      <c r="S1194" s="5" t="str">
        <f t="shared" si="168"/>
        <v/>
      </c>
      <c r="T1194" s="5" t="str">
        <f t="shared" si="172"/>
        <v/>
      </c>
      <c r="U1194" s="5" t="str">
        <f t="shared" si="172"/>
        <v/>
      </c>
    </row>
    <row r="1195" spans="7:21" x14ac:dyDescent="0.2">
      <c r="G1195" s="8"/>
      <c r="H1195" s="5"/>
      <c r="J1195" s="10" t="str">
        <f t="shared" si="166"/>
        <v/>
      </c>
      <c r="K1195" s="10" t="str">
        <f t="shared" si="167"/>
        <v/>
      </c>
      <c r="L1195" s="11" t="str">
        <f t="shared" si="169"/>
        <v/>
      </c>
      <c r="M1195" s="9" t="str">
        <f>IF(G1195&lt;&gt;"",J1195/MAX(J$3:J1195)-1,"")</f>
        <v/>
      </c>
      <c r="N1195" s="9" t="str">
        <f>IF(G1195&lt;&gt;"",K1195/MAX(K$3:K1195)-1,"")</f>
        <v/>
      </c>
      <c r="O1195" s="16" t="str">
        <f t="shared" si="165"/>
        <v/>
      </c>
      <c r="P1195" s="16" t="str">
        <f t="shared" si="165"/>
        <v/>
      </c>
      <c r="Q1195" s="16" t="str">
        <f t="shared" si="165"/>
        <v/>
      </c>
      <c r="R1195" s="5" t="str">
        <f t="shared" si="164"/>
        <v/>
      </c>
      <c r="S1195" s="5" t="str">
        <f t="shared" si="168"/>
        <v/>
      </c>
      <c r="T1195" s="5" t="str">
        <f t="shared" si="172"/>
        <v/>
      </c>
      <c r="U1195" s="5" t="str">
        <f t="shared" si="172"/>
        <v/>
      </c>
    </row>
    <row r="1196" spans="7:21" x14ac:dyDescent="0.2">
      <c r="G1196" s="8"/>
      <c r="H1196" s="5"/>
      <c r="J1196" s="10" t="str">
        <f t="shared" si="166"/>
        <v/>
      </c>
      <c r="K1196" s="10" t="str">
        <f t="shared" si="167"/>
        <v/>
      </c>
      <c r="L1196" s="11" t="str">
        <f t="shared" si="169"/>
        <v/>
      </c>
      <c r="M1196" s="9" t="str">
        <f>IF(G1196&lt;&gt;"",J1196/MAX(J$3:J1196)-1,"")</f>
        <v/>
      </c>
      <c r="N1196" s="9" t="str">
        <f>IF(G1196&lt;&gt;"",K1196/MAX(K$3:K1196)-1,"")</f>
        <v/>
      </c>
      <c r="O1196" s="16" t="str">
        <f t="shared" si="165"/>
        <v/>
      </c>
      <c r="P1196" s="16" t="str">
        <f t="shared" si="165"/>
        <v/>
      </c>
      <c r="Q1196" s="16" t="str">
        <f t="shared" si="165"/>
        <v/>
      </c>
      <c r="R1196" s="5" t="str">
        <f t="shared" si="164"/>
        <v/>
      </c>
      <c r="S1196" s="5" t="str">
        <f t="shared" si="168"/>
        <v/>
      </c>
      <c r="T1196" s="5" t="str">
        <f t="shared" si="172"/>
        <v/>
      </c>
      <c r="U1196" s="5" t="str">
        <f t="shared" si="172"/>
        <v/>
      </c>
    </row>
    <row r="1197" spans="7:21" x14ac:dyDescent="0.2">
      <c r="G1197" s="8"/>
      <c r="H1197" s="5"/>
      <c r="J1197" s="10" t="str">
        <f t="shared" si="166"/>
        <v/>
      </c>
      <c r="K1197" s="10" t="str">
        <f t="shared" si="167"/>
        <v/>
      </c>
      <c r="L1197" s="11" t="str">
        <f t="shared" si="169"/>
        <v/>
      </c>
      <c r="M1197" s="9" t="str">
        <f>IF(G1197&lt;&gt;"",J1197/MAX(J$3:J1197)-1,"")</f>
        <v/>
      </c>
      <c r="N1197" s="9" t="str">
        <f>IF(G1197&lt;&gt;"",K1197/MAX(K$3:K1197)-1,"")</f>
        <v/>
      </c>
      <c r="O1197" s="16" t="str">
        <f t="shared" si="165"/>
        <v/>
      </c>
      <c r="P1197" s="16" t="str">
        <f t="shared" si="165"/>
        <v/>
      </c>
      <c r="Q1197" s="16" t="str">
        <f t="shared" si="165"/>
        <v/>
      </c>
      <c r="R1197" s="5" t="str">
        <f t="shared" si="164"/>
        <v/>
      </c>
      <c r="S1197" s="5" t="str">
        <f t="shared" si="168"/>
        <v/>
      </c>
      <c r="T1197" s="5" t="str">
        <f t="shared" si="172"/>
        <v/>
      </c>
      <c r="U1197" s="5" t="str">
        <f t="shared" si="172"/>
        <v/>
      </c>
    </row>
    <row r="1198" spans="7:21" x14ac:dyDescent="0.2">
      <c r="G1198" s="8"/>
      <c r="H1198" s="5"/>
      <c r="J1198" s="10" t="str">
        <f t="shared" si="166"/>
        <v/>
      </c>
      <c r="K1198" s="10" t="str">
        <f t="shared" si="167"/>
        <v/>
      </c>
      <c r="L1198" s="11" t="str">
        <f t="shared" si="169"/>
        <v/>
      </c>
      <c r="M1198" s="9" t="str">
        <f>IF(G1198&lt;&gt;"",J1198/MAX(J$3:J1198)-1,"")</f>
        <v/>
      </c>
      <c r="N1198" s="9" t="str">
        <f>IF(G1198&lt;&gt;"",K1198/MAX(K$3:K1198)-1,"")</f>
        <v/>
      </c>
      <c r="O1198" s="16" t="str">
        <f t="shared" si="165"/>
        <v/>
      </c>
      <c r="P1198" s="16" t="str">
        <f t="shared" si="165"/>
        <v/>
      </c>
      <c r="Q1198" s="16" t="str">
        <f t="shared" si="165"/>
        <v/>
      </c>
      <c r="R1198" s="5" t="str">
        <f t="shared" si="164"/>
        <v/>
      </c>
      <c r="S1198" s="5" t="str">
        <f t="shared" si="168"/>
        <v/>
      </c>
      <c r="T1198" s="5" t="str">
        <f t="shared" si="172"/>
        <v/>
      </c>
      <c r="U1198" s="5" t="str">
        <f t="shared" si="172"/>
        <v/>
      </c>
    </row>
    <row r="1199" spans="7:21" x14ac:dyDescent="0.2">
      <c r="G1199" s="8"/>
      <c r="H1199" s="5"/>
      <c r="J1199" s="10" t="str">
        <f t="shared" si="166"/>
        <v/>
      </c>
      <c r="K1199" s="10" t="str">
        <f t="shared" si="167"/>
        <v/>
      </c>
      <c r="L1199" s="11" t="str">
        <f t="shared" si="169"/>
        <v/>
      </c>
      <c r="M1199" s="9" t="str">
        <f>IF(G1199&lt;&gt;"",J1199/MAX(J$3:J1199)-1,"")</f>
        <v/>
      </c>
      <c r="N1199" s="9" t="str">
        <f>IF(G1199&lt;&gt;"",K1199/MAX(K$3:K1199)-1,"")</f>
        <v/>
      </c>
      <c r="O1199" s="16" t="str">
        <f t="shared" si="165"/>
        <v/>
      </c>
      <c r="P1199" s="16" t="str">
        <f t="shared" si="165"/>
        <v/>
      </c>
      <c r="Q1199" s="16" t="str">
        <f t="shared" si="165"/>
        <v/>
      </c>
      <c r="R1199" s="5" t="str">
        <f t="shared" si="164"/>
        <v/>
      </c>
      <c r="S1199" s="5" t="str">
        <f t="shared" si="168"/>
        <v/>
      </c>
      <c r="T1199" s="5" t="str">
        <f t="shared" si="172"/>
        <v/>
      </c>
      <c r="U1199" s="5" t="str">
        <f t="shared" si="172"/>
        <v/>
      </c>
    </row>
    <row r="1200" spans="7:21" x14ac:dyDescent="0.2">
      <c r="G1200" s="8"/>
      <c r="H1200" s="5"/>
      <c r="J1200" s="10" t="str">
        <f t="shared" si="166"/>
        <v/>
      </c>
      <c r="K1200" s="10" t="str">
        <f t="shared" si="167"/>
        <v/>
      </c>
      <c r="L1200" s="11" t="str">
        <f t="shared" si="169"/>
        <v/>
      </c>
      <c r="M1200" s="9" t="str">
        <f>IF(G1200&lt;&gt;"",J1200/MAX(J$3:J1200)-1,"")</f>
        <v/>
      </c>
      <c r="N1200" s="9" t="str">
        <f>IF(G1200&lt;&gt;"",K1200/MAX(K$3:K1200)-1,"")</f>
        <v/>
      </c>
      <c r="O1200" s="16" t="str">
        <f t="shared" si="165"/>
        <v/>
      </c>
      <c r="P1200" s="16" t="str">
        <f t="shared" si="165"/>
        <v/>
      </c>
      <c r="Q1200" s="16" t="str">
        <f t="shared" si="165"/>
        <v/>
      </c>
      <c r="R1200" s="5" t="str">
        <f t="shared" si="164"/>
        <v/>
      </c>
      <c r="S1200" s="5" t="str">
        <f t="shared" si="168"/>
        <v/>
      </c>
      <c r="T1200" s="5" t="str">
        <f t="shared" si="172"/>
        <v/>
      </c>
      <c r="U1200" s="5" t="str">
        <f t="shared" si="172"/>
        <v/>
      </c>
    </row>
    <row r="1201" spans="7:21" x14ac:dyDescent="0.2">
      <c r="G1201" s="8"/>
      <c r="H1201" s="5"/>
      <c r="J1201" s="10" t="str">
        <f t="shared" si="166"/>
        <v/>
      </c>
      <c r="K1201" s="10" t="str">
        <f t="shared" si="167"/>
        <v/>
      </c>
      <c r="L1201" s="11" t="str">
        <f t="shared" si="169"/>
        <v/>
      </c>
      <c r="M1201" s="9" t="str">
        <f>IF(G1201&lt;&gt;"",J1201/MAX(J$3:J1201)-1,"")</f>
        <v/>
      </c>
      <c r="N1201" s="9" t="str">
        <f>IF(G1201&lt;&gt;"",K1201/MAX(K$3:K1201)-1,"")</f>
        <v/>
      </c>
      <c r="O1201" s="16" t="str">
        <f t="shared" si="165"/>
        <v/>
      </c>
      <c r="P1201" s="16" t="str">
        <f t="shared" si="165"/>
        <v/>
      </c>
      <c r="Q1201" s="16" t="str">
        <f t="shared" si="165"/>
        <v/>
      </c>
      <c r="R1201" s="5" t="str">
        <f t="shared" si="164"/>
        <v/>
      </c>
      <c r="S1201" s="5" t="str">
        <f t="shared" si="168"/>
        <v/>
      </c>
      <c r="T1201" s="5" t="str">
        <f t="shared" si="172"/>
        <v/>
      </c>
      <c r="U1201" s="5" t="str">
        <f t="shared" si="172"/>
        <v/>
      </c>
    </row>
    <row r="1202" spans="7:21" x14ac:dyDescent="0.2">
      <c r="G1202" s="8"/>
      <c r="H1202" s="5"/>
      <c r="J1202" s="10" t="str">
        <f t="shared" si="166"/>
        <v/>
      </c>
      <c r="K1202" s="10" t="str">
        <f t="shared" si="167"/>
        <v/>
      </c>
      <c r="L1202" s="11" t="str">
        <f t="shared" si="169"/>
        <v/>
      </c>
      <c r="M1202" s="9" t="str">
        <f>IF(G1202&lt;&gt;"",J1202/MAX(J$3:J1202)-1,"")</f>
        <v/>
      </c>
      <c r="N1202" s="9" t="str">
        <f>IF(G1202&lt;&gt;"",K1202/MAX(K$3:K1202)-1,"")</f>
        <v/>
      </c>
      <c r="O1202" s="16" t="str">
        <f t="shared" si="165"/>
        <v/>
      </c>
      <c r="P1202" s="16" t="str">
        <f t="shared" si="165"/>
        <v/>
      </c>
      <c r="Q1202" s="16" t="str">
        <f t="shared" si="165"/>
        <v/>
      </c>
      <c r="R1202" s="5" t="str">
        <f t="shared" si="164"/>
        <v/>
      </c>
      <c r="S1202" s="5" t="str">
        <f t="shared" si="168"/>
        <v/>
      </c>
      <c r="T1202" s="5" t="str">
        <f t="shared" si="172"/>
        <v/>
      </c>
      <c r="U1202" s="5" t="str">
        <f t="shared" si="172"/>
        <v/>
      </c>
    </row>
    <row r="1203" spans="7:21" x14ac:dyDescent="0.2">
      <c r="G1203" s="8"/>
      <c r="H1203" s="5"/>
      <c r="J1203" s="10" t="str">
        <f t="shared" si="166"/>
        <v/>
      </c>
      <c r="K1203" s="10" t="str">
        <f t="shared" si="167"/>
        <v/>
      </c>
      <c r="L1203" s="11" t="str">
        <f t="shared" si="169"/>
        <v/>
      </c>
      <c r="M1203" s="9" t="str">
        <f>IF(G1203&lt;&gt;"",J1203/MAX(J$3:J1203)-1,"")</f>
        <v/>
      </c>
      <c r="N1203" s="9" t="str">
        <f>IF(G1203&lt;&gt;"",K1203/MAX(K$3:K1203)-1,"")</f>
        <v/>
      </c>
      <c r="O1203" s="16" t="str">
        <f t="shared" si="165"/>
        <v/>
      </c>
      <c r="P1203" s="16" t="str">
        <f t="shared" si="165"/>
        <v/>
      </c>
      <c r="Q1203" s="16" t="str">
        <f t="shared" si="165"/>
        <v/>
      </c>
      <c r="R1203" s="5" t="str">
        <f t="shared" si="164"/>
        <v/>
      </c>
      <c r="S1203" s="5" t="str">
        <f t="shared" si="168"/>
        <v/>
      </c>
      <c r="T1203" s="5" t="str">
        <f t="shared" si="172"/>
        <v/>
      </c>
      <c r="U1203" s="5" t="str">
        <f t="shared" si="172"/>
        <v/>
      </c>
    </row>
    <row r="1204" spans="7:21" x14ac:dyDescent="0.2">
      <c r="G1204" s="8"/>
      <c r="H1204" s="5"/>
      <c r="J1204" s="10" t="str">
        <f t="shared" si="166"/>
        <v/>
      </c>
      <c r="K1204" s="10" t="str">
        <f t="shared" si="167"/>
        <v/>
      </c>
      <c r="L1204" s="11" t="str">
        <f t="shared" si="169"/>
        <v/>
      </c>
      <c r="M1204" s="9" t="str">
        <f>IF(G1204&lt;&gt;"",J1204/MAX(J$3:J1204)-1,"")</f>
        <v/>
      </c>
      <c r="N1204" s="9" t="str">
        <f>IF(G1204&lt;&gt;"",K1204/MAX(K$3:K1204)-1,"")</f>
        <v/>
      </c>
      <c r="O1204" s="16" t="str">
        <f t="shared" si="165"/>
        <v/>
      </c>
      <c r="P1204" s="16" t="str">
        <f t="shared" si="165"/>
        <v/>
      </c>
      <c r="Q1204" s="16" t="str">
        <f t="shared" si="165"/>
        <v/>
      </c>
      <c r="R1204" s="5" t="str">
        <f t="shared" si="164"/>
        <v/>
      </c>
      <c r="S1204" s="5" t="str">
        <f t="shared" si="168"/>
        <v/>
      </c>
      <c r="T1204" s="5" t="str">
        <f t="shared" si="172"/>
        <v/>
      </c>
      <c r="U1204" s="5" t="str">
        <f t="shared" si="172"/>
        <v/>
      </c>
    </row>
    <row r="1205" spans="7:21" x14ac:dyDescent="0.2">
      <c r="G1205" s="8"/>
      <c r="H1205" s="5"/>
      <c r="J1205" s="10" t="str">
        <f t="shared" si="166"/>
        <v/>
      </c>
      <c r="K1205" s="10" t="str">
        <f t="shared" si="167"/>
        <v/>
      </c>
      <c r="L1205" s="11" t="str">
        <f t="shared" si="169"/>
        <v/>
      </c>
      <c r="M1205" s="9" t="str">
        <f>IF(G1205&lt;&gt;"",J1205/MAX(J$3:J1205)-1,"")</f>
        <v/>
      </c>
      <c r="N1205" s="9" t="str">
        <f>IF(G1205&lt;&gt;"",K1205/MAX(K$3:K1205)-1,"")</f>
        <v/>
      </c>
      <c r="O1205" s="16" t="str">
        <f t="shared" si="165"/>
        <v/>
      </c>
      <c r="P1205" s="16" t="str">
        <f t="shared" si="165"/>
        <v/>
      </c>
      <c r="Q1205" s="16" t="str">
        <f t="shared" si="165"/>
        <v/>
      </c>
      <c r="R1205" s="5" t="str">
        <f t="shared" si="164"/>
        <v/>
      </c>
      <c r="S1205" s="5" t="str">
        <f t="shared" si="168"/>
        <v/>
      </c>
      <c r="T1205" s="5" t="str">
        <f t="shared" si="172"/>
        <v/>
      </c>
      <c r="U1205" s="5" t="str">
        <f t="shared" si="172"/>
        <v/>
      </c>
    </row>
    <row r="1206" spans="7:21" x14ac:dyDescent="0.2">
      <c r="G1206" s="8"/>
      <c r="H1206" s="5"/>
      <c r="J1206" s="10" t="str">
        <f t="shared" si="166"/>
        <v/>
      </c>
      <c r="K1206" s="10" t="str">
        <f t="shared" si="167"/>
        <v/>
      </c>
      <c r="L1206" s="11" t="str">
        <f t="shared" si="169"/>
        <v/>
      </c>
      <c r="M1206" s="9" t="str">
        <f>IF(G1206&lt;&gt;"",J1206/MAX(J$3:J1206)-1,"")</f>
        <v/>
      </c>
      <c r="N1206" s="9" t="str">
        <f>IF(G1206&lt;&gt;"",K1206/MAX(K$3:K1206)-1,"")</f>
        <v/>
      </c>
      <c r="O1206" s="16" t="str">
        <f t="shared" si="165"/>
        <v/>
      </c>
      <c r="P1206" s="16" t="str">
        <f t="shared" si="165"/>
        <v/>
      </c>
      <c r="Q1206" s="16" t="str">
        <f t="shared" si="165"/>
        <v/>
      </c>
      <c r="R1206" s="5" t="str">
        <f t="shared" si="164"/>
        <v/>
      </c>
      <c r="S1206" s="5" t="str">
        <f t="shared" si="168"/>
        <v/>
      </c>
      <c r="T1206" s="5" t="str">
        <f t="shared" si="172"/>
        <v/>
      </c>
      <c r="U1206" s="5" t="str">
        <f t="shared" si="172"/>
        <v/>
      </c>
    </row>
    <row r="1207" spans="7:21" x14ac:dyDescent="0.2">
      <c r="G1207" s="8"/>
      <c r="H1207" s="5"/>
      <c r="J1207" s="10" t="str">
        <f t="shared" si="166"/>
        <v/>
      </c>
      <c r="K1207" s="10" t="str">
        <f t="shared" si="167"/>
        <v/>
      </c>
      <c r="L1207" s="11" t="str">
        <f t="shared" si="169"/>
        <v/>
      </c>
      <c r="M1207" s="9" t="str">
        <f>IF(G1207&lt;&gt;"",J1207/MAX(J$3:J1207)-1,"")</f>
        <v/>
      </c>
      <c r="N1207" s="9" t="str">
        <f>IF(G1207&lt;&gt;"",K1207/MAX(K$3:K1207)-1,"")</f>
        <v/>
      </c>
      <c r="O1207" s="16" t="str">
        <f t="shared" si="165"/>
        <v/>
      </c>
      <c r="P1207" s="16" t="str">
        <f t="shared" si="165"/>
        <v/>
      </c>
      <c r="Q1207" s="16" t="str">
        <f t="shared" si="165"/>
        <v/>
      </c>
      <c r="R1207" s="5" t="str">
        <f t="shared" si="164"/>
        <v/>
      </c>
      <c r="S1207" s="5" t="str">
        <f t="shared" si="168"/>
        <v/>
      </c>
      <c r="T1207" s="5" t="str">
        <f t="shared" si="172"/>
        <v/>
      </c>
      <c r="U1207" s="5" t="str">
        <f t="shared" si="172"/>
        <v/>
      </c>
    </row>
    <row r="1208" spans="7:21" x14ac:dyDescent="0.2">
      <c r="G1208" s="8"/>
      <c r="H1208" s="5"/>
      <c r="J1208" s="10" t="str">
        <f t="shared" si="166"/>
        <v/>
      </c>
      <c r="K1208" s="10" t="str">
        <f t="shared" si="167"/>
        <v/>
      </c>
      <c r="L1208" s="11" t="str">
        <f t="shared" si="169"/>
        <v/>
      </c>
      <c r="M1208" s="9" t="str">
        <f>IF(G1208&lt;&gt;"",J1208/MAX(J$3:J1208)-1,"")</f>
        <v/>
      </c>
      <c r="N1208" s="9" t="str">
        <f>IF(G1208&lt;&gt;"",K1208/MAX(K$3:K1208)-1,"")</f>
        <v/>
      </c>
      <c r="O1208" s="16" t="str">
        <f t="shared" si="165"/>
        <v/>
      </c>
      <c r="P1208" s="16" t="str">
        <f t="shared" si="165"/>
        <v/>
      </c>
      <c r="Q1208" s="16" t="str">
        <f t="shared" si="165"/>
        <v/>
      </c>
      <c r="R1208" s="5" t="str">
        <f t="shared" si="164"/>
        <v/>
      </c>
      <c r="S1208" s="5" t="str">
        <f t="shared" si="168"/>
        <v/>
      </c>
      <c r="T1208" s="5" t="str">
        <f t="shared" ref="T1208:U1223" si="173">IF($G1208&lt;&gt;"",_xlfn.STDEV.S(O964:O1208),"")</f>
        <v/>
      </c>
      <c r="U1208" s="5" t="str">
        <f t="shared" si="173"/>
        <v/>
      </c>
    </row>
    <row r="1209" spans="7:21" x14ac:dyDescent="0.2">
      <c r="G1209" s="8"/>
      <c r="H1209" s="5"/>
      <c r="J1209" s="10" t="str">
        <f t="shared" si="166"/>
        <v/>
      </c>
      <c r="K1209" s="10" t="str">
        <f t="shared" si="167"/>
        <v/>
      </c>
      <c r="L1209" s="11" t="str">
        <f t="shared" si="169"/>
        <v/>
      </c>
      <c r="M1209" s="9" t="str">
        <f>IF(G1209&lt;&gt;"",J1209/MAX(J$3:J1209)-1,"")</f>
        <v/>
      </c>
      <c r="N1209" s="9" t="str">
        <f>IF(G1209&lt;&gt;"",K1209/MAX(K$3:K1209)-1,"")</f>
        <v/>
      </c>
      <c r="O1209" s="16" t="str">
        <f t="shared" si="165"/>
        <v/>
      </c>
      <c r="P1209" s="16" t="str">
        <f t="shared" si="165"/>
        <v/>
      </c>
      <c r="Q1209" s="16" t="str">
        <f t="shared" si="165"/>
        <v/>
      </c>
      <c r="R1209" s="5" t="str">
        <f t="shared" si="164"/>
        <v/>
      </c>
      <c r="S1209" s="5" t="str">
        <f t="shared" si="168"/>
        <v/>
      </c>
      <c r="T1209" s="5" t="str">
        <f t="shared" si="173"/>
        <v/>
      </c>
      <c r="U1209" s="5" t="str">
        <f t="shared" si="173"/>
        <v/>
      </c>
    </row>
    <row r="1210" spans="7:21" x14ac:dyDescent="0.2">
      <c r="G1210" s="8"/>
      <c r="H1210" s="5"/>
      <c r="J1210" s="10" t="str">
        <f t="shared" si="166"/>
        <v/>
      </c>
      <c r="K1210" s="10" t="str">
        <f t="shared" si="167"/>
        <v/>
      </c>
      <c r="L1210" s="11" t="str">
        <f t="shared" si="169"/>
        <v/>
      </c>
      <c r="M1210" s="9" t="str">
        <f>IF(G1210&lt;&gt;"",J1210/MAX(J$3:J1210)-1,"")</f>
        <v/>
      </c>
      <c r="N1210" s="9" t="str">
        <f>IF(G1210&lt;&gt;"",K1210/MAX(K$3:K1210)-1,"")</f>
        <v/>
      </c>
      <c r="O1210" s="16" t="str">
        <f t="shared" si="165"/>
        <v/>
      </c>
      <c r="P1210" s="16" t="str">
        <f t="shared" si="165"/>
        <v/>
      </c>
      <c r="Q1210" s="16" t="str">
        <f t="shared" si="165"/>
        <v/>
      </c>
      <c r="R1210" s="5" t="str">
        <f t="shared" si="164"/>
        <v/>
      </c>
      <c r="S1210" s="5" t="str">
        <f t="shared" si="168"/>
        <v/>
      </c>
      <c r="T1210" s="5" t="str">
        <f t="shared" si="173"/>
        <v/>
      </c>
      <c r="U1210" s="5" t="str">
        <f t="shared" si="173"/>
        <v/>
      </c>
    </row>
    <row r="1211" spans="7:21" x14ac:dyDescent="0.2">
      <c r="G1211" s="8"/>
      <c r="H1211" s="5"/>
      <c r="J1211" s="10" t="str">
        <f t="shared" si="166"/>
        <v/>
      </c>
      <c r="K1211" s="10" t="str">
        <f t="shared" si="167"/>
        <v/>
      </c>
      <c r="L1211" s="11" t="str">
        <f t="shared" si="169"/>
        <v/>
      </c>
      <c r="M1211" s="9" t="str">
        <f>IF(G1211&lt;&gt;"",J1211/MAX(J$3:J1211)-1,"")</f>
        <v/>
      </c>
      <c r="N1211" s="9" t="str">
        <f>IF(G1211&lt;&gt;"",K1211/MAX(K$3:K1211)-1,"")</f>
        <v/>
      </c>
      <c r="O1211" s="16" t="str">
        <f t="shared" si="165"/>
        <v/>
      </c>
      <c r="P1211" s="16" t="str">
        <f t="shared" si="165"/>
        <v/>
      </c>
      <c r="Q1211" s="16" t="str">
        <f t="shared" si="165"/>
        <v/>
      </c>
      <c r="R1211" s="5" t="str">
        <f t="shared" si="164"/>
        <v/>
      </c>
      <c r="S1211" s="5" t="str">
        <f t="shared" si="168"/>
        <v/>
      </c>
      <c r="T1211" s="5" t="str">
        <f t="shared" si="173"/>
        <v/>
      </c>
      <c r="U1211" s="5" t="str">
        <f t="shared" si="173"/>
        <v/>
      </c>
    </row>
    <row r="1212" spans="7:21" x14ac:dyDescent="0.2">
      <c r="G1212" s="8"/>
      <c r="H1212" s="5"/>
      <c r="J1212" s="10" t="str">
        <f t="shared" si="166"/>
        <v/>
      </c>
      <c r="K1212" s="10" t="str">
        <f t="shared" si="167"/>
        <v/>
      </c>
      <c r="L1212" s="11" t="str">
        <f t="shared" si="169"/>
        <v/>
      </c>
      <c r="M1212" s="9" t="str">
        <f>IF(G1212&lt;&gt;"",J1212/MAX(J$3:J1212)-1,"")</f>
        <v/>
      </c>
      <c r="N1212" s="9" t="str">
        <f>IF(G1212&lt;&gt;"",K1212/MAX(K$3:K1212)-1,"")</f>
        <v/>
      </c>
      <c r="O1212" s="16" t="str">
        <f t="shared" si="165"/>
        <v/>
      </c>
      <c r="P1212" s="16" t="str">
        <f t="shared" si="165"/>
        <v/>
      </c>
      <c r="Q1212" s="16" t="str">
        <f t="shared" si="165"/>
        <v/>
      </c>
      <c r="R1212" s="5" t="str">
        <f t="shared" si="164"/>
        <v/>
      </c>
      <c r="S1212" s="5" t="str">
        <f t="shared" si="168"/>
        <v/>
      </c>
      <c r="T1212" s="5" t="str">
        <f t="shared" si="173"/>
        <v/>
      </c>
      <c r="U1212" s="5" t="str">
        <f t="shared" si="173"/>
        <v/>
      </c>
    </row>
    <row r="1213" spans="7:21" x14ac:dyDescent="0.2">
      <c r="G1213" s="8"/>
      <c r="H1213" s="5"/>
      <c r="J1213" s="10" t="str">
        <f t="shared" si="166"/>
        <v/>
      </c>
      <c r="K1213" s="10" t="str">
        <f t="shared" si="167"/>
        <v/>
      </c>
      <c r="L1213" s="11" t="str">
        <f t="shared" si="169"/>
        <v/>
      </c>
      <c r="M1213" s="9" t="str">
        <f>IF(G1213&lt;&gt;"",J1213/MAX(J$3:J1213)-1,"")</f>
        <v/>
      </c>
      <c r="N1213" s="9" t="str">
        <f>IF(G1213&lt;&gt;"",K1213/MAX(K$3:K1213)-1,"")</f>
        <v/>
      </c>
      <c r="O1213" s="16" t="str">
        <f t="shared" si="165"/>
        <v/>
      </c>
      <c r="P1213" s="16" t="str">
        <f t="shared" si="165"/>
        <v/>
      </c>
      <c r="Q1213" s="16" t="str">
        <f t="shared" si="165"/>
        <v/>
      </c>
      <c r="R1213" s="5" t="str">
        <f t="shared" ref="R1213:R1276" si="174">IF(G1213&lt;&gt;"",_xlfn.STDEV.S(Q1092:Q1213)*SQRT($B$5),"")</f>
        <v/>
      </c>
      <c r="S1213" s="5" t="str">
        <f t="shared" si="168"/>
        <v/>
      </c>
      <c r="T1213" s="5" t="str">
        <f t="shared" si="173"/>
        <v/>
      </c>
      <c r="U1213" s="5" t="str">
        <f t="shared" si="173"/>
        <v/>
      </c>
    </row>
    <row r="1214" spans="7:21" x14ac:dyDescent="0.2">
      <c r="G1214" s="8"/>
      <c r="H1214" s="5"/>
      <c r="J1214" s="10" t="str">
        <f t="shared" si="166"/>
        <v/>
      </c>
      <c r="K1214" s="10" t="str">
        <f t="shared" si="167"/>
        <v/>
      </c>
      <c r="L1214" s="11" t="str">
        <f t="shared" si="169"/>
        <v/>
      </c>
      <c r="M1214" s="9" t="str">
        <f>IF(G1214&lt;&gt;"",J1214/MAX(J$3:J1214)-1,"")</f>
        <v/>
      </c>
      <c r="N1214" s="9" t="str">
        <f>IF(G1214&lt;&gt;"",K1214/MAX(K$3:K1214)-1,"")</f>
        <v/>
      </c>
      <c r="O1214" s="16" t="str">
        <f t="shared" si="165"/>
        <v/>
      </c>
      <c r="P1214" s="16" t="str">
        <f t="shared" si="165"/>
        <v/>
      </c>
      <c r="Q1214" s="16" t="str">
        <f t="shared" si="165"/>
        <v/>
      </c>
      <c r="R1214" s="5" t="str">
        <f t="shared" si="174"/>
        <v/>
      </c>
      <c r="S1214" s="5" t="str">
        <f t="shared" si="168"/>
        <v/>
      </c>
      <c r="T1214" s="5" t="str">
        <f t="shared" si="173"/>
        <v/>
      </c>
      <c r="U1214" s="5" t="str">
        <f t="shared" si="173"/>
        <v/>
      </c>
    </row>
    <row r="1215" spans="7:21" x14ac:dyDescent="0.2">
      <c r="G1215" s="8"/>
      <c r="H1215" s="5"/>
      <c r="J1215" s="10" t="str">
        <f t="shared" si="166"/>
        <v/>
      </c>
      <c r="K1215" s="10" t="str">
        <f t="shared" si="167"/>
        <v/>
      </c>
      <c r="L1215" s="11" t="str">
        <f t="shared" si="169"/>
        <v/>
      </c>
      <c r="M1215" s="9" t="str">
        <f>IF(G1215&lt;&gt;"",J1215/MAX(J$3:J1215)-1,"")</f>
        <v/>
      </c>
      <c r="N1215" s="9" t="str">
        <f>IF(G1215&lt;&gt;"",K1215/MAX(K$3:K1215)-1,"")</f>
        <v/>
      </c>
      <c r="O1215" s="16" t="str">
        <f t="shared" si="165"/>
        <v/>
      </c>
      <c r="P1215" s="16" t="str">
        <f t="shared" si="165"/>
        <v/>
      </c>
      <c r="Q1215" s="16" t="str">
        <f t="shared" si="165"/>
        <v/>
      </c>
      <c r="R1215" s="5" t="str">
        <f t="shared" si="174"/>
        <v/>
      </c>
      <c r="S1215" s="5" t="str">
        <f t="shared" si="168"/>
        <v/>
      </c>
      <c r="T1215" s="5" t="str">
        <f t="shared" si="173"/>
        <v/>
      </c>
      <c r="U1215" s="5" t="str">
        <f t="shared" si="173"/>
        <v/>
      </c>
    </row>
    <row r="1216" spans="7:21" x14ac:dyDescent="0.2">
      <c r="G1216" s="8"/>
      <c r="H1216" s="5"/>
      <c r="J1216" s="10" t="str">
        <f t="shared" si="166"/>
        <v/>
      </c>
      <c r="K1216" s="10" t="str">
        <f t="shared" si="167"/>
        <v/>
      </c>
      <c r="L1216" s="11" t="str">
        <f t="shared" si="169"/>
        <v/>
      </c>
      <c r="M1216" s="9" t="str">
        <f>IF(G1216&lt;&gt;"",J1216/MAX(J$3:J1216)-1,"")</f>
        <v/>
      </c>
      <c r="N1216" s="9" t="str">
        <f>IF(G1216&lt;&gt;"",K1216/MAX(K$3:K1216)-1,"")</f>
        <v/>
      </c>
      <c r="O1216" s="16" t="str">
        <f t="shared" si="165"/>
        <v/>
      </c>
      <c r="P1216" s="16" t="str">
        <f t="shared" si="165"/>
        <v/>
      </c>
      <c r="Q1216" s="16" t="str">
        <f t="shared" si="165"/>
        <v/>
      </c>
      <c r="R1216" s="5" t="str">
        <f t="shared" si="174"/>
        <v/>
      </c>
      <c r="S1216" s="5" t="str">
        <f t="shared" si="168"/>
        <v/>
      </c>
      <c r="T1216" s="5" t="str">
        <f t="shared" si="173"/>
        <v/>
      </c>
      <c r="U1216" s="5" t="str">
        <f t="shared" si="173"/>
        <v/>
      </c>
    </row>
    <row r="1217" spans="7:21" x14ac:dyDescent="0.2">
      <c r="G1217" s="8"/>
      <c r="H1217" s="5"/>
      <c r="J1217" s="10" t="str">
        <f t="shared" si="166"/>
        <v/>
      </c>
      <c r="K1217" s="10" t="str">
        <f t="shared" si="167"/>
        <v/>
      </c>
      <c r="L1217" s="11" t="str">
        <f t="shared" si="169"/>
        <v/>
      </c>
      <c r="M1217" s="9" t="str">
        <f>IF(G1217&lt;&gt;"",J1217/MAX(J$3:J1217)-1,"")</f>
        <v/>
      </c>
      <c r="N1217" s="9" t="str">
        <f>IF(G1217&lt;&gt;"",K1217/MAX(K$3:K1217)-1,"")</f>
        <v/>
      </c>
      <c r="O1217" s="16" t="str">
        <f t="shared" si="165"/>
        <v/>
      </c>
      <c r="P1217" s="16" t="str">
        <f t="shared" si="165"/>
        <v/>
      </c>
      <c r="Q1217" s="16" t="str">
        <f t="shared" si="165"/>
        <v/>
      </c>
      <c r="R1217" s="5" t="str">
        <f t="shared" si="174"/>
        <v/>
      </c>
      <c r="S1217" s="5" t="str">
        <f t="shared" si="168"/>
        <v/>
      </c>
      <c r="T1217" s="5" t="str">
        <f t="shared" si="173"/>
        <v/>
      </c>
      <c r="U1217" s="5" t="str">
        <f t="shared" si="173"/>
        <v/>
      </c>
    </row>
    <row r="1218" spans="7:21" x14ac:dyDescent="0.2">
      <c r="G1218" s="8"/>
      <c r="H1218" s="5"/>
      <c r="J1218" s="10" t="str">
        <f t="shared" si="166"/>
        <v/>
      </c>
      <c r="K1218" s="10" t="str">
        <f t="shared" si="167"/>
        <v/>
      </c>
      <c r="L1218" s="11" t="str">
        <f t="shared" si="169"/>
        <v/>
      </c>
      <c r="M1218" s="9" t="str">
        <f>IF(G1218&lt;&gt;"",J1218/MAX(J$3:J1218)-1,"")</f>
        <v/>
      </c>
      <c r="N1218" s="9" t="str">
        <f>IF(G1218&lt;&gt;"",K1218/MAX(K$3:K1218)-1,"")</f>
        <v/>
      </c>
      <c r="O1218" s="16" t="str">
        <f t="shared" ref="O1218:Q1281" si="175">IF($G1218&lt;&gt;"",J1218/J1217-1,"")</f>
        <v/>
      </c>
      <c r="P1218" s="16" t="str">
        <f t="shared" si="175"/>
        <v/>
      </c>
      <c r="Q1218" s="16" t="str">
        <f t="shared" si="175"/>
        <v/>
      </c>
      <c r="R1218" s="5" t="str">
        <f t="shared" si="174"/>
        <v/>
      </c>
      <c r="S1218" s="5" t="str">
        <f t="shared" si="168"/>
        <v/>
      </c>
      <c r="T1218" s="5" t="str">
        <f t="shared" si="173"/>
        <v/>
      </c>
      <c r="U1218" s="5" t="str">
        <f t="shared" si="173"/>
        <v/>
      </c>
    </row>
    <row r="1219" spans="7:21" x14ac:dyDescent="0.2">
      <c r="G1219" s="8"/>
      <c r="H1219" s="5"/>
      <c r="J1219" s="10" t="str">
        <f t="shared" si="166"/>
        <v/>
      </c>
      <c r="K1219" s="10" t="str">
        <f t="shared" si="167"/>
        <v/>
      </c>
      <c r="L1219" s="11" t="str">
        <f t="shared" si="169"/>
        <v/>
      </c>
      <c r="M1219" s="9" t="str">
        <f>IF(G1219&lt;&gt;"",J1219/MAX(J$3:J1219)-1,"")</f>
        <v/>
      </c>
      <c r="N1219" s="9" t="str">
        <f>IF(G1219&lt;&gt;"",K1219/MAX(K$3:K1219)-1,"")</f>
        <v/>
      </c>
      <c r="O1219" s="16" t="str">
        <f t="shared" si="175"/>
        <v/>
      </c>
      <c r="P1219" s="16" t="str">
        <f t="shared" si="175"/>
        <v/>
      </c>
      <c r="Q1219" s="16" t="str">
        <f t="shared" si="175"/>
        <v/>
      </c>
      <c r="R1219" s="5" t="str">
        <f t="shared" si="174"/>
        <v/>
      </c>
      <c r="S1219" s="5" t="str">
        <f t="shared" si="168"/>
        <v/>
      </c>
      <c r="T1219" s="5" t="str">
        <f t="shared" si="173"/>
        <v/>
      </c>
      <c r="U1219" s="5" t="str">
        <f t="shared" si="173"/>
        <v/>
      </c>
    </row>
    <row r="1220" spans="7:21" x14ac:dyDescent="0.2">
      <c r="G1220" s="8"/>
      <c r="H1220" s="5"/>
      <c r="J1220" s="10" t="str">
        <f t="shared" ref="J1220:J1283" si="176">IF(G1220&lt;&gt;"",1+H1220,"")</f>
        <v/>
      </c>
      <c r="K1220" s="10" t="str">
        <f t="shared" ref="K1220:K1283" si="177">IF(G1220&lt;&gt;"",1+I1220,"")</f>
        <v/>
      </c>
      <c r="L1220" s="11" t="str">
        <f t="shared" si="169"/>
        <v/>
      </c>
      <c r="M1220" s="9" t="str">
        <f>IF(G1220&lt;&gt;"",J1220/MAX(J$3:J1220)-1,"")</f>
        <v/>
      </c>
      <c r="N1220" s="9" t="str">
        <f>IF(G1220&lt;&gt;"",K1220/MAX(K$3:K1220)-1,"")</f>
        <v/>
      </c>
      <c r="O1220" s="16" t="str">
        <f t="shared" si="175"/>
        <v/>
      </c>
      <c r="P1220" s="16" t="str">
        <f t="shared" si="175"/>
        <v/>
      </c>
      <c r="Q1220" s="16" t="str">
        <f t="shared" si="175"/>
        <v/>
      </c>
      <c r="R1220" s="5" t="str">
        <f t="shared" si="174"/>
        <v/>
      </c>
      <c r="S1220" s="5" t="str">
        <f t="shared" ref="S1220:S1283" si="178">IF(R1220&lt;&gt;"",B$12,"")</f>
        <v/>
      </c>
      <c r="T1220" s="5" t="str">
        <f t="shared" si="173"/>
        <v/>
      </c>
      <c r="U1220" s="5" t="str">
        <f t="shared" si="173"/>
        <v/>
      </c>
    </row>
    <row r="1221" spans="7:21" x14ac:dyDescent="0.2">
      <c r="G1221" s="8"/>
      <c r="H1221" s="5"/>
      <c r="J1221" s="10" t="str">
        <f t="shared" si="176"/>
        <v/>
      </c>
      <c r="K1221" s="10" t="str">
        <f t="shared" si="177"/>
        <v/>
      </c>
      <c r="L1221" s="11" t="str">
        <f t="shared" ref="L1221:L1284" si="179">IF(G1221&lt;&gt;"",J1221/K1221,"")</f>
        <v/>
      </c>
      <c r="M1221" s="9" t="str">
        <f>IF(G1221&lt;&gt;"",J1221/MAX(J$3:J1221)-1,"")</f>
        <v/>
      </c>
      <c r="N1221" s="9" t="str">
        <f>IF(G1221&lt;&gt;"",K1221/MAX(K$3:K1221)-1,"")</f>
        <v/>
      </c>
      <c r="O1221" s="16" t="str">
        <f t="shared" si="175"/>
        <v/>
      </c>
      <c r="P1221" s="16" t="str">
        <f t="shared" si="175"/>
        <v/>
      </c>
      <c r="Q1221" s="16" t="str">
        <f t="shared" si="175"/>
        <v/>
      </c>
      <c r="R1221" s="5" t="str">
        <f t="shared" si="174"/>
        <v/>
      </c>
      <c r="S1221" s="5" t="str">
        <f t="shared" si="178"/>
        <v/>
      </c>
      <c r="T1221" s="5" t="str">
        <f t="shared" si="173"/>
        <v/>
      </c>
      <c r="U1221" s="5" t="str">
        <f t="shared" si="173"/>
        <v/>
      </c>
    </row>
    <row r="1222" spans="7:21" x14ac:dyDescent="0.2">
      <c r="G1222" s="8"/>
      <c r="H1222" s="5"/>
      <c r="J1222" s="10" t="str">
        <f t="shared" si="176"/>
        <v/>
      </c>
      <c r="K1222" s="10" t="str">
        <f t="shared" si="177"/>
        <v/>
      </c>
      <c r="L1222" s="11" t="str">
        <f t="shared" si="179"/>
        <v/>
      </c>
      <c r="M1222" s="9" t="str">
        <f>IF(G1222&lt;&gt;"",J1222/MAX(J$3:J1222)-1,"")</f>
        <v/>
      </c>
      <c r="N1222" s="9" t="str">
        <f>IF(G1222&lt;&gt;"",K1222/MAX(K$3:K1222)-1,"")</f>
        <v/>
      </c>
      <c r="O1222" s="16" t="str">
        <f t="shared" si="175"/>
        <v/>
      </c>
      <c r="P1222" s="16" t="str">
        <f t="shared" si="175"/>
        <v/>
      </c>
      <c r="Q1222" s="16" t="str">
        <f t="shared" si="175"/>
        <v/>
      </c>
      <c r="R1222" s="5" t="str">
        <f t="shared" si="174"/>
        <v/>
      </c>
      <c r="S1222" s="5" t="str">
        <f t="shared" si="178"/>
        <v/>
      </c>
      <c r="T1222" s="5" t="str">
        <f t="shared" si="173"/>
        <v/>
      </c>
      <c r="U1222" s="5" t="str">
        <f t="shared" si="173"/>
        <v/>
      </c>
    </row>
    <row r="1223" spans="7:21" x14ac:dyDescent="0.2">
      <c r="G1223" s="8"/>
      <c r="H1223" s="5"/>
      <c r="J1223" s="10" t="str">
        <f t="shared" si="176"/>
        <v/>
      </c>
      <c r="K1223" s="10" t="str">
        <f t="shared" si="177"/>
        <v/>
      </c>
      <c r="L1223" s="11" t="str">
        <f t="shared" si="179"/>
        <v/>
      </c>
      <c r="M1223" s="9" t="str">
        <f>IF(G1223&lt;&gt;"",J1223/MAX(J$3:J1223)-1,"")</f>
        <v/>
      </c>
      <c r="N1223" s="9" t="str">
        <f>IF(G1223&lt;&gt;"",K1223/MAX(K$3:K1223)-1,"")</f>
        <v/>
      </c>
      <c r="O1223" s="16" t="str">
        <f t="shared" si="175"/>
        <v/>
      </c>
      <c r="P1223" s="16" t="str">
        <f t="shared" si="175"/>
        <v/>
      </c>
      <c r="Q1223" s="16" t="str">
        <f t="shared" si="175"/>
        <v/>
      </c>
      <c r="R1223" s="5" t="str">
        <f t="shared" si="174"/>
        <v/>
      </c>
      <c r="S1223" s="5" t="str">
        <f t="shared" si="178"/>
        <v/>
      </c>
      <c r="T1223" s="5" t="str">
        <f t="shared" si="173"/>
        <v/>
      </c>
      <c r="U1223" s="5" t="str">
        <f t="shared" si="173"/>
        <v/>
      </c>
    </row>
    <row r="1224" spans="7:21" x14ac:dyDescent="0.2">
      <c r="G1224" s="8"/>
      <c r="H1224" s="5"/>
      <c r="J1224" s="10" t="str">
        <f t="shared" si="176"/>
        <v/>
      </c>
      <c r="K1224" s="10" t="str">
        <f t="shared" si="177"/>
        <v/>
      </c>
      <c r="L1224" s="11" t="str">
        <f t="shared" si="179"/>
        <v/>
      </c>
      <c r="M1224" s="9" t="str">
        <f>IF(G1224&lt;&gt;"",J1224/MAX(J$3:J1224)-1,"")</f>
        <v/>
      </c>
      <c r="N1224" s="9" t="str">
        <f>IF(G1224&lt;&gt;"",K1224/MAX(K$3:K1224)-1,"")</f>
        <v/>
      </c>
      <c r="O1224" s="16" t="str">
        <f t="shared" si="175"/>
        <v/>
      </c>
      <c r="P1224" s="16" t="str">
        <f t="shared" si="175"/>
        <v/>
      </c>
      <c r="Q1224" s="16" t="str">
        <f t="shared" si="175"/>
        <v/>
      </c>
      <c r="R1224" s="5" t="str">
        <f t="shared" si="174"/>
        <v/>
      </c>
      <c r="S1224" s="5" t="str">
        <f t="shared" si="178"/>
        <v/>
      </c>
      <c r="T1224" s="5" t="str">
        <f t="shared" ref="T1224:U1239" si="180">IF($G1224&lt;&gt;"",_xlfn.STDEV.S(O980:O1224),"")</f>
        <v/>
      </c>
      <c r="U1224" s="5" t="str">
        <f t="shared" si="180"/>
        <v/>
      </c>
    </row>
    <row r="1225" spans="7:21" x14ac:dyDescent="0.2">
      <c r="G1225" s="8"/>
      <c r="H1225" s="5"/>
      <c r="J1225" s="10" t="str">
        <f t="shared" si="176"/>
        <v/>
      </c>
      <c r="K1225" s="10" t="str">
        <f t="shared" si="177"/>
        <v/>
      </c>
      <c r="L1225" s="11" t="str">
        <f t="shared" si="179"/>
        <v/>
      </c>
      <c r="M1225" s="9" t="str">
        <f>IF(G1225&lt;&gt;"",J1225/MAX(J$3:J1225)-1,"")</f>
        <v/>
      </c>
      <c r="N1225" s="9" t="str">
        <f>IF(G1225&lt;&gt;"",K1225/MAX(K$3:K1225)-1,"")</f>
        <v/>
      </c>
      <c r="O1225" s="16" t="str">
        <f t="shared" si="175"/>
        <v/>
      </c>
      <c r="P1225" s="16" t="str">
        <f t="shared" si="175"/>
        <v/>
      </c>
      <c r="Q1225" s="16" t="str">
        <f t="shared" si="175"/>
        <v/>
      </c>
      <c r="R1225" s="5" t="str">
        <f t="shared" si="174"/>
        <v/>
      </c>
      <c r="S1225" s="5" t="str">
        <f t="shared" si="178"/>
        <v/>
      </c>
      <c r="T1225" s="5" t="str">
        <f t="shared" si="180"/>
        <v/>
      </c>
      <c r="U1225" s="5" t="str">
        <f t="shared" si="180"/>
        <v/>
      </c>
    </row>
    <row r="1226" spans="7:21" x14ac:dyDescent="0.2">
      <c r="G1226" s="8"/>
      <c r="H1226" s="5"/>
      <c r="J1226" s="10" t="str">
        <f t="shared" si="176"/>
        <v/>
      </c>
      <c r="K1226" s="10" t="str">
        <f t="shared" si="177"/>
        <v/>
      </c>
      <c r="L1226" s="11" t="str">
        <f t="shared" si="179"/>
        <v/>
      </c>
      <c r="M1226" s="9" t="str">
        <f>IF(G1226&lt;&gt;"",J1226/MAX(J$3:J1226)-1,"")</f>
        <v/>
      </c>
      <c r="N1226" s="9" t="str">
        <f>IF(G1226&lt;&gt;"",K1226/MAX(K$3:K1226)-1,"")</f>
        <v/>
      </c>
      <c r="O1226" s="16" t="str">
        <f t="shared" si="175"/>
        <v/>
      </c>
      <c r="P1226" s="16" t="str">
        <f t="shared" si="175"/>
        <v/>
      </c>
      <c r="Q1226" s="16" t="str">
        <f t="shared" si="175"/>
        <v/>
      </c>
      <c r="R1226" s="5" t="str">
        <f t="shared" si="174"/>
        <v/>
      </c>
      <c r="S1226" s="5" t="str">
        <f t="shared" si="178"/>
        <v/>
      </c>
      <c r="T1226" s="5" t="str">
        <f t="shared" si="180"/>
        <v/>
      </c>
      <c r="U1226" s="5" t="str">
        <f t="shared" si="180"/>
        <v/>
      </c>
    </row>
    <row r="1227" spans="7:21" x14ac:dyDescent="0.2">
      <c r="G1227" s="8"/>
      <c r="H1227" s="5"/>
      <c r="J1227" s="10" t="str">
        <f t="shared" si="176"/>
        <v/>
      </c>
      <c r="K1227" s="10" t="str">
        <f t="shared" si="177"/>
        <v/>
      </c>
      <c r="L1227" s="11" t="str">
        <f t="shared" si="179"/>
        <v/>
      </c>
      <c r="M1227" s="9" t="str">
        <f>IF(G1227&lt;&gt;"",J1227/MAX(J$3:J1227)-1,"")</f>
        <v/>
      </c>
      <c r="N1227" s="9" t="str">
        <f>IF(G1227&lt;&gt;"",K1227/MAX(K$3:K1227)-1,"")</f>
        <v/>
      </c>
      <c r="O1227" s="16" t="str">
        <f t="shared" si="175"/>
        <v/>
      </c>
      <c r="P1227" s="16" t="str">
        <f t="shared" si="175"/>
        <v/>
      </c>
      <c r="Q1227" s="16" t="str">
        <f t="shared" si="175"/>
        <v/>
      </c>
      <c r="R1227" s="5" t="str">
        <f t="shared" si="174"/>
        <v/>
      </c>
      <c r="S1227" s="5" t="str">
        <f t="shared" si="178"/>
        <v/>
      </c>
      <c r="T1227" s="5" t="str">
        <f t="shared" si="180"/>
        <v/>
      </c>
      <c r="U1227" s="5" t="str">
        <f t="shared" si="180"/>
        <v/>
      </c>
    </row>
    <row r="1228" spans="7:21" x14ac:dyDescent="0.2">
      <c r="G1228" s="8"/>
      <c r="H1228" s="5"/>
      <c r="J1228" s="10" t="str">
        <f t="shared" si="176"/>
        <v/>
      </c>
      <c r="K1228" s="10" t="str">
        <f t="shared" si="177"/>
        <v/>
      </c>
      <c r="L1228" s="11" t="str">
        <f t="shared" si="179"/>
        <v/>
      </c>
      <c r="M1228" s="9" t="str">
        <f>IF(G1228&lt;&gt;"",J1228/MAX(J$3:J1228)-1,"")</f>
        <v/>
      </c>
      <c r="N1228" s="9" t="str">
        <f>IF(G1228&lt;&gt;"",K1228/MAX(K$3:K1228)-1,"")</f>
        <v/>
      </c>
      <c r="O1228" s="16" t="str">
        <f t="shared" si="175"/>
        <v/>
      </c>
      <c r="P1228" s="16" t="str">
        <f t="shared" si="175"/>
        <v/>
      </c>
      <c r="Q1228" s="16" t="str">
        <f t="shared" si="175"/>
        <v/>
      </c>
      <c r="R1228" s="5" t="str">
        <f t="shared" si="174"/>
        <v/>
      </c>
      <c r="S1228" s="5" t="str">
        <f t="shared" si="178"/>
        <v/>
      </c>
      <c r="T1228" s="5" t="str">
        <f t="shared" si="180"/>
        <v/>
      </c>
      <c r="U1228" s="5" t="str">
        <f t="shared" si="180"/>
        <v/>
      </c>
    </row>
    <row r="1229" spans="7:21" x14ac:dyDescent="0.2">
      <c r="G1229" s="8"/>
      <c r="H1229" s="5"/>
      <c r="J1229" s="10" t="str">
        <f t="shared" si="176"/>
        <v/>
      </c>
      <c r="K1229" s="10" t="str">
        <f t="shared" si="177"/>
        <v/>
      </c>
      <c r="L1229" s="11" t="str">
        <f t="shared" si="179"/>
        <v/>
      </c>
      <c r="M1229" s="9" t="str">
        <f>IF(G1229&lt;&gt;"",J1229/MAX(J$3:J1229)-1,"")</f>
        <v/>
      </c>
      <c r="N1229" s="9" t="str">
        <f>IF(G1229&lt;&gt;"",K1229/MAX(K$3:K1229)-1,"")</f>
        <v/>
      </c>
      <c r="O1229" s="16" t="str">
        <f t="shared" si="175"/>
        <v/>
      </c>
      <c r="P1229" s="16" t="str">
        <f t="shared" si="175"/>
        <v/>
      </c>
      <c r="Q1229" s="16" t="str">
        <f t="shared" si="175"/>
        <v/>
      </c>
      <c r="R1229" s="5" t="str">
        <f t="shared" si="174"/>
        <v/>
      </c>
      <c r="S1229" s="5" t="str">
        <f t="shared" si="178"/>
        <v/>
      </c>
      <c r="T1229" s="5" t="str">
        <f t="shared" si="180"/>
        <v/>
      </c>
      <c r="U1229" s="5" t="str">
        <f t="shared" si="180"/>
        <v/>
      </c>
    </row>
    <row r="1230" spans="7:21" x14ac:dyDescent="0.2">
      <c r="G1230" s="8"/>
      <c r="H1230" s="5"/>
      <c r="J1230" s="10" t="str">
        <f t="shared" si="176"/>
        <v/>
      </c>
      <c r="K1230" s="10" t="str">
        <f t="shared" si="177"/>
        <v/>
      </c>
      <c r="L1230" s="11" t="str">
        <f t="shared" si="179"/>
        <v/>
      </c>
      <c r="M1230" s="9" t="str">
        <f>IF(G1230&lt;&gt;"",J1230/MAX(J$3:J1230)-1,"")</f>
        <v/>
      </c>
      <c r="N1230" s="9" t="str">
        <f>IF(G1230&lt;&gt;"",K1230/MAX(K$3:K1230)-1,"")</f>
        <v/>
      </c>
      <c r="O1230" s="16" t="str">
        <f t="shared" si="175"/>
        <v/>
      </c>
      <c r="P1230" s="16" t="str">
        <f t="shared" si="175"/>
        <v/>
      </c>
      <c r="Q1230" s="16" t="str">
        <f t="shared" si="175"/>
        <v/>
      </c>
      <c r="R1230" s="5" t="str">
        <f t="shared" si="174"/>
        <v/>
      </c>
      <c r="S1230" s="5" t="str">
        <f t="shared" si="178"/>
        <v/>
      </c>
      <c r="T1230" s="5" t="str">
        <f t="shared" si="180"/>
        <v/>
      </c>
      <c r="U1230" s="5" t="str">
        <f t="shared" si="180"/>
        <v/>
      </c>
    </row>
    <row r="1231" spans="7:21" x14ac:dyDescent="0.2">
      <c r="G1231" s="8"/>
      <c r="H1231" s="5"/>
      <c r="J1231" s="10" t="str">
        <f t="shared" si="176"/>
        <v/>
      </c>
      <c r="K1231" s="10" t="str">
        <f t="shared" si="177"/>
        <v/>
      </c>
      <c r="L1231" s="11" t="str">
        <f t="shared" si="179"/>
        <v/>
      </c>
      <c r="M1231" s="9" t="str">
        <f>IF(G1231&lt;&gt;"",J1231/MAX(J$3:J1231)-1,"")</f>
        <v/>
      </c>
      <c r="N1231" s="9" t="str">
        <f>IF(G1231&lt;&gt;"",K1231/MAX(K$3:K1231)-1,"")</f>
        <v/>
      </c>
      <c r="O1231" s="16" t="str">
        <f t="shared" si="175"/>
        <v/>
      </c>
      <c r="P1231" s="16" t="str">
        <f t="shared" si="175"/>
        <v/>
      </c>
      <c r="Q1231" s="16" t="str">
        <f t="shared" si="175"/>
        <v/>
      </c>
      <c r="R1231" s="5" t="str">
        <f t="shared" si="174"/>
        <v/>
      </c>
      <c r="S1231" s="5" t="str">
        <f t="shared" si="178"/>
        <v/>
      </c>
      <c r="T1231" s="5" t="str">
        <f t="shared" si="180"/>
        <v/>
      </c>
      <c r="U1231" s="5" t="str">
        <f t="shared" si="180"/>
        <v/>
      </c>
    </row>
    <row r="1232" spans="7:21" x14ac:dyDescent="0.2">
      <c r="G1232" s="8"/>
      <c r="H1232" s="5"/>
      <c r="J1232" s="10" t="str">
        <f t="shared" si="176"/>
        <v/>
      </c>
      <c r="K1232" s="10" t="str">
        <f t="shared" si="177"/>
        <v/>
      </c>
      <c r="L1232" s="11" t="str">
        <f t="shared" si="179"/>
        <v/>
      </c>
      <c r="M1232" s="9" t="str">
        <f>IF(G1232&lt;&gt;"",J1232/MAX(J$3:J1232)-1,"")</f>
        <v/>
      </c>
      <c r="N1232" s="9" t="str">
        <f>IF(G1232&lt;&gt;"",K1232/MAX(K$3:K1232)-1,"")</f>
        <v/>
      </c>
      <c r="O1232" s="16" t="str">
        <f t="shared" si="175"/>
        <v/>
      </c>
      <c r="P1232" s="16" t="str">
        <f t="shared" si="175"/>
        <v/>
      </c>
      <c r="Q1232" s="16" t="str">
        <f t="shared" si="175"/>
        <v/>
      </c>
      <c r="R1232" s="5" t="str">
        <f t="shared" si="174"/>
        <v/>
      </c>
      <c r="S1232" s="5" t="str">
        <f t="shared" si="178"/>
        <v/>
      </c>
      <c r="T1232" s="5" t="str">
        <f t="shared" si="180"/>
        <v/>
      </c>
      <c r="U1232" s="5" t="str">
        <f t="shared" si="180"/>
        <v/>
      </c>
    </row>
    <row r="1233" spans="7:21" x14ac:dyDescent="0.2">
      <c r="G1233" s="8"/>
      <c r="H1233" s="5"/>
      <c r="J1233" s="10" t="str">
        <f t="shared" si="176"/>
        <v/>
      </c>
      <c r="K1233" s="10" t="str">
        <f t="shared" si="177"/>
        <v/>
      </c>
      <c r="L1233" s="11" t="str">
        <f t="shared" si="179"/>
        <v/>
      </c>
      <c r="M1233" s="9" t="str">
        <f>IF(G1233&lt;&gt;"",J1233/MAX(J$3:J1233)-1,"")</f>
        <v/>
      </c>
      <c r="N1233" s="9" t="str">
        <f>IF(G1233&lt;&gt;"",K1233/MAX(K$3:K1233)-1,"")</f>
        <v/>
      </c>
      <c r="O1233" s="16" t="str">
        <f t="shared" si="175"/>
        <v/>
      </c>
      <c r="P1233" s="16" t="str">
        <f t="shared" si="175"/>
        <v/>
      </c>
      <c r="Q1233" s="16" t="str">
        <f t="shared" si="175"/>
        <v/>
      </c>
      <c r="R1233" s="5" t="str">
        <f t="shared" si="174"/>
        <v/>
      </c>
      <c r="S1233" s="5" t="str">
        <f t="shared" si="178"/>
        <v/>
      </c>
      <c r="T1233" s="5" t="str">
        <f t="shared" si="180"/>
        <v/>
      </c>
      <c r="U1233" s="5" t="str">
        <f t="shared" si="180"/>
        <v/>
      </c>
    </row>
    <row r="1234" spans="7:21" x14ac:dyDescent="0.2">
      <c r="G1234" s="8"/>
      <c r="H1234" s="5"/>
      <c r="J1234" s="10" t="str">
        <f t="shared" si="176"/>
        <v/>
      </c>
      <c r="K1234" s="10" t="str">
        <f t="shared" si="177"/>
        <v/>
      </c>
      <c r="L1234" s="11" t="str">
        <f t="shared" si="179"/>
        <v/>
      </c>
      <c r="M1234" s="9" t="str">
        <f>IF(G1234&lt;&gt;"",J1234/MAX(J$3:J1234)-1,"")</f>
        <v/>
      </c>
      <c r="N1234" s="9" t="str">
        <f>IF(G1234&lt;&gt;"",K1234/MAX(K$3:K1234)-1,"")</f>
        <v/>
      </c>
      <c r="O1234" s="16" t="str">
        <f t="shared" si="175"/>
        <v/>
      </c>
      <c r="P1234" s="16" t="str">
        <f t="shared" si="175"/>
        <v/>
      </c>
      <c r="Q1234" s="16" t="str">
        <f t="shared" si="175"/>
        <v/>
      </c>
      <c r="R1234" s="5" t="str">
        <f t="shared" si="174"/>
        <v/>
      </c>
      <c r="S1234" s="5" t="str">
        <f t="shared" si="178"/>
        <v/>
      </c>
      <c r="T1234" s="5" t="str">
        <f t="shared" si="180"/>
        <v/>
      </c>
      <c r="U1234" s="5" t="str">
        <f t="shared" si="180"/>
        <v/>
      </c>
    </row>
    <row r="1235" spans="7:21" x14ac:dyDescent="0.2">
      <c r="G1235" s="8"/>
      <c r="H1235" s="5"/>
      <c r="J1235" s="10" t="str">
        <f t="shared" si="176"/>
        <v/>
      </c>
      <c r="K1235" s="10" t="str">
        <f t="shared" si="177"/>
        <v/>
      </c>
      <c r="L1235" s="11" t="str">
        <f t="shared" si="179"/>
        <v/>
      </c>
      <c r="M1235" s="9" t="str">
        <f>IF(G1235&lt;&gt;"",J1235/MAX(J$3:J1235)-1,"")</f>
        <v/>
      </c>
      <c r="N1235" s="9" t="str">
        <f>IF(G1235&lt;&gt;"",K1235/MAX(K$3:K1235)-1,"")</f>
        <v/>
      </c>
      <c r="O1235" s="16" t="str">
        <f t="shared" si="175"/>
        <v/>
      </c>
      <c r="P1235" s="16" t="str">
        <f t="shared" si="175"/>
        <v/>
      </c>
      <c r="Q1235" s="16" t="str">
        <f t="shared" si="175"/>
        <v/>
      </c>
      <c r="R1235" s="5" t="str">
        <f t="shared" si="174"/>
        <v/>
      </c>
      <c r="S1235" s="5" t="str">
        <f t="shared" si="178"/>
        <v/>
      </c>
      <c r="T1235" s="5" t="str">
        <f t="shared" si="180"/>
        <v/>
      </c>
      <c r="U1235" s="5" t="str">
        <f t="shared" si="180"/>
        <v/>
      </c>
    </row>
    <row r="1236" spans="7:21" x14ac:dyDescent="0.2">
      <c r="G1236" s="8"/>
      <c r="H1236" s="5"/>
      <c r="J1236" s="10" t="str">
        <f t="shared" si="176"/>
        <v/>
      </c>
      <c r="K1236" s="10" t="str">
        <f t="shared" si="177"/>
        <v/>
      </c>
      <c r="L1236" s="11" t="str">
        <f t="shared" si="179"/>
        <v/>
      </c>
      <c r="M1236" s="9" t="str">
        <f>IF(G1236&lt;&gt;"",J1236/MAX(J$3:J1236)-1,"")</f>
        <v/>
      </c>
      <c r="N1236" s="9" t="str">
        <f>IF(G1236&lt;&gt;"",K1236/MAX(K$3:K1236)-1,"")</f>
        <v/>
      </c>
      <c r="O1236" s="16" t="str">
        <f t="shared" si="175"/>
        <v/>
      </c>
      <c r="P1236" s="16" t="str">
        <f t="shared" si="175"/>
        <v/>
      </c>
      <c r="Q1236" s="16" t="str">
        <f t="shared" si="175"/>
        <v/>
      </c>
      <c r="R1236" s="5" t="str">
        <f t="shared" si="174"/>
        <v/>
      </c>
      <c r="S1236" s="5" t="str">
        <f t="shared" si="178"/>
        <v/>
      </c>
      <c r="T1236" s="5" t="str">
        <f t="shared" si="180"/>
        <v/>
      </c>
      <c r="U1236" s="5" t="str">
        <f t="shared" si="180"/>
        <v/>
      </c>
    </row>
    <row r="1237" spans="7:21" x14ac:dyDescent="0.2">
      <c r="G1237" s="8"/>
      <c r="H1237" s="5"/>
      <c r="J1237" s="10" t="str">
        <f t="shared" si="176"/>
        <v/>
      </c>
      <c r="K1237" s="10" t="str">
        <f t="shared" si="177"/>
        <v/>
      </c>
      <c r="L1237" s="11" t="str">
        <f t="shared" si="179"/>
        <v/>
      </c>
      <c r="M1237" s="9" t="str">
        <f>IF(G1237&lt;&gt;"",J1237/MAX(J$3:J1237)-1,"")</f>
        <v/>
      </c>
      <c r="N1237" s="9" t="str">
        <f>IF(G1237&lt;&gt;"",K1237/MAX(K$3:K1237)-1,"")</f>
        <v/>
      </c>
      <c r="O1237" s="16" t="str">
        <f t="shared" si="175"/>
        <v/>
      </c>
      <c r="P1237" s="16" t="str">
        <f t="shared" si="175"/>
        <v/>
      </c>
      <c r="Q1237" s="16" t="str">
        <f t="shared" si="175"/>
        <v/>
      </c>
      <c r="R1237" s="5" t="str">
        <f t="shared" si="174"/>
        <v/>
      </c>
      <c r="S1237" s="5" t="str">
        <f t="shared" si="178"/>
        <v/>
      </c>
      <c r="T1237" s="5" t="str">
        <f t="shared" si="180"/>
        <v/>
      </c>
      <c r="U1237" s="5" t="str">
        <f t="shared" si="180"/>
        <v/>
      </c>
    </row>
    <row r="1238" spans="7:21" x14ac:dyDescent="0.2">
      <c r="G1238" s="8"/>
      <c r="H1238" s="5"/>
      <c r="J1238" s="10" t="str">
        <f t="shared" si="176"/>
        <v/>
      </c>
      <c r="K1238" s="10" t="str">
        <f t="shared" si="177"/>
        <v/>
      </c>
      <c r="L1238" s="11" t="str">
        <f t="shared" si="179"/>
        <v/>
      </c>
      <c r="M1238" s="9" t="str">
        <f>IF(G1238&lt;&gt;"",J1238/MAX(J$3:J1238)-1,"")</f>
        <v/>
      </c>
      <c r="N1238" s="9" t="str">
        <f>IF(G1238&lt;&gt;"",K1238/MAX(K$3:K1238)-1,"")</f>
        <v/>
      </c>
      <c r="O1238" s="16" t="str">
        <f t="shared" si="175"/>
        <v/>
      </c>
      <c r="P1238" s="16" t="str">
        <f t="shared" si="175"/>
        <v/>
      </c>
      <c r="Q1238" s="16" t="str">
        <f t="shared" si="175"/>
        <v/>
      </c>
      <c r="R1238" s="5" t="str">
        <f t="shared" si="174"/>
        <v/>
      </c>
      <c r="S1238" s="5" t="str">
        <f t="shared" si="178"/>
        <v/>
      </c>
      <c r="T1238" s="5" t="str">
        <f t="shared" si="180"/>
        <v/>
      </c>
      <c r="U1238" s="5" t="str">
        <f t="shared" si="180"/>
        <v/>
      </c>
    </row>
    <row r="1239" spans="7:21" x14ac:dyDescent="0.2">
      <c r="G1239" s="8"/>
      <c r="H1239" s="5"/>
      <c r="J1239" s="10" t="str">
        <f t="shared" si="176"/>
        <v/>
      </c>
      <c r="K1239" s="10" t="str">
        <f t="shared" si="177"/>
        <v/>
      </c>
      <c r="L1239" s="11" t="str">
        <f t="shared" si="179"/>
        <v/>
      </c>
      <c r="M1239" s="9" t="str">
        <f>IF(G1239&lt;&gt;"",J1239/MAX(J$3:J1239)-1,"")</f>
        <v/>
      </c>
      <c r="N1239" s="9" t="str">
        <f>IF(G1239&lt;&gt;"",K1239/MAX(K$3:K1239)-1,"")</f>
        <v/>
      </c>
      <c r="O1239" s="16" t="str">
        <f t="shared" si="175"/>
        <v/>
      </c>
      <c r="P1239" s="16" t="str">
        <f t="shared" si="175"/>
        <v/>
      </c>
      <c r="Q1239" s="16" t="str">
        <f t="shared" si="175"/>
        <v/>
      </c>
      <c r="R1239" s="5" t="str">
        <f t="shared" si="174"/>
        <v/>
      </c>
      <c r="S1239" s="5" t="str">
        <f t="shared" si="178"/>
        <v/>
      </c>
      <c r="T1239" s="5" t="str">
        <f t="shared" si="180"/>
        <v/>
      </c>
      <c r="U1239" s="5" t="str">
        <f t="shared" si="180"/>
        <v/>
      </c>
    </row>
    <row r="1240" spans="7:21" x14ac:dyDescent="0.2">
      <c r="G1240" s="8"/>
      <c r="H1240" s="5"/>
      <c r="J1240" s="10" t="str">
        <f t="shared" si="176"/>
        <v/>
      </c>
      <c r="K1240" s="10" t="str">
        <f t="shared" si="177"/>
        <v/>
      </c>
      <c r="L1240" s="11" t="str">
        <f t="shared" si="179"/>
        <v/>
      </c>
      <c r="M1240" s="9" t="str">
        <f>IF(G1240&lt;&gt;"",J1240/MAX(J$3:J1240)-1,"")</f>
        <v/>
      </c>
      <c r="N1240" s="9" t="str">
        <f>IF(G1240&lt;&gt;"",K1240/MAX(K$3:K1240)-1,"")</f>
        <v/>
      </c>
      <c r="O1240" s="16" t="str">
        <f t="shared" si="175"/>
        <v/>
      </c>
      <c r="P1240" s="16" t="str">
        <f t="shared" si="175"/>
        <v/>
      </c>
      <c r="Q1240" s="16" t="str">
        <f t="shared" si="175"/>
        <v/>
      </c>
      <c r="R1240" s="5" t="str">
        <f t="shared" si="174"/>
        <v/>
      </c>
      <c r="S1240" s="5" t="str">
        <f t="shared" si="178"/>
        <v/>
      </c>
      <c r="T1240" s="5" t="str">
        <f t="shared" ref="T1240:U1255" si="181">IF($G1240&lt;&gt;"",_xlfn.STDEV.S(O996:O1240),"")</f>
        <v/>
      </c>
      <c r="U1240" s="5" t="str">
        <f t="shared" si="181"/>
        <v/>
      </c>
    </row>
    <row r="1241" spans="7:21" x14ac:dyDescent="0.2">
      <c r="G1241" s="8"/>
      <c r="H1241" s="5"/>
      <c r="J1241" s="10" t="str">
        <f t="shared" si="176"/>
        <v/>
      </c>
      <c r="K1241" s="10" t="str">
        <f t="shared" si="177"/>
        <v/>
      </c>
      <c r="L1241" s="11" t="str">
        <f t="shared" si="179"/>
        <v/>
      </c>
      <c r="M1241" s="9" t="str">
        <f>IF(G1241&lt;&gt;"",J1241/MAX(J$3:J1241)-1,"")</f>
        <v/>
      </c>
      <c r="N1241" s="9" t="str">
        <f>IF(G1241&lt;&gt;"",K1241/MAX(K$3:K1241)-1,"")</f>
        <v/>
      </c>
      <c r="O1241" s="16" t="str">
        <f t="shared" si="175"/>
        <v/>
      </c>
      <c r="P1241" s="16" t="str">
        <f t="shared" si="175"/>
        <v/>
      </c>
      <c r="Q1241" s="16" t="str">
        <f t="shared" si="175"/>
        <v/>
      </c>
      <c r="R1241" s="5" t="str">
        <f t="shared" si="174"/>
        <v/>
      </c>
      <c r="S1241" s="5" t="str">
        <f t="shared" si="178"/>
        <v/>
      </c>
      <c r="T1241" s="5" t="str">
        <f t="shared" si="181"/>
        <v/>
      </c>
      <c r="U1241" s="5" t="str">
        <f t="shared" si="181"/>
        <v/>
      </c>
    </row>
    <row r="1242" spans="7:21" x14ac:dyDescent="0.2">
      <c r="G1242" s="8"/>
      <c r="H1242" s="5"/>
      <c r="J1242" s="10" t="str">
        <f t="shared" si="176"/>
        <v/>
      </c>
      <c r="K1242" s="10" t="str">
        <f t="shared" si="177"/>
        <v/>
      </c>
      <c r="L1242" s="11" t="str">
        <f t="shared" si="179"/>
        <v/>
      </c>
      <c r="M1242" s="9" t="str">
        <f>IF(G1242&lt;&gt;"",J1242/MAX(J$3:J1242)-1,"")</f>
        <v/>
      </c>
      <c r="N1242" s="9" t="str">
        <f>IF(G1242&lt;&gt;"",K1242/MAX(K$3:K1242)-1,"")</f>
        <v/>
      </c>
      <c r="O1242" s="16" t="str">
        <f t="shared" si="175"/>
        <v/>
      </c>
      <c r="P1242" s="16" t="str">
        <f t="shared" si="175"/>
        <v/>
      </c>
      <c r="Q1242" s="16" t="str">
        <f t="shared" si="175"/>
        <v/>
      </c>
      <c r="R1242" s="5" t="str">
        <f t="shared" si="174"/>
        <v/>
      </c>
      <c r="S1242" s="5" t="str">
        <f t="shared" si="178"/>
        <v/>
      </c>
      <c r="T1242" s="5" t="str">
        <f t="shared" si="181"/>
        <v/>
      </c>
      <c r="U1242" s="5" t="str">
        <f t="shared" si="181"/>
        <v/>
      </c>
    </row>
    <row r="1243" spans="7:21" x14ac:dyDescent="0.2">
      <c r="G1243" s="8"/>
      <c r="H1243" s="5"/>
      <c r="J1243" s="10" t="str">
        <f t="shared" si="176"/>
        <v/>
      </c>
      <c r="K1243" s="10" t="str">
        <f t="shared" si="177"/>
        <v/>
      </c>
      <c r="L1243" s="11" t="str">
        <f t="shared" si="179"/>
        <v/>
      </c>
      <c r="M1243" s="9" t="str">
        <f>IF(G1243&lt;&gt;"",J1243/MAX(J$3:J1243)-1,"")</f>
        <v/>
      </c>
      <c r="N1243" s="9" t="str">
        <f>IF(G1243&lt;&gt;"",K1243/MAX(K$3:K1243)-1,"")</f>
        <v/>
      </c>
      <c r="O1243" s="16" t="str">
        <f t="shared" si="175"/>
        <v/>
      </c>
      <c r="P1243" s="16" t="str">
        <f t="shared" si="175"/>
        <v/>
      </c>
      <c r="Q1243" s="16" t="str">
        <f t="shared" si="175"/>
        <v/>
      </c>
      <c r="R1243" s="5" t="str">
        <f t="shared" si="174"/>
        <v/>
      </c>
      <c r="S1243" s="5" t="str">
        <f t="shared" si="178"/>
        <v/>
      </c>
      <c r="T1243" s="5" t="str">
        <f t="shared" si="181"/>
        <v/>
      </c>
      <c r="U1243" s="5" t="str">
        <f t="shared" si="181"/>
        <v/>
      </c>
    </row>
    <row r="1244" spans="7:21" x14ac:dyDescent="0.2">
      <c r="G1244" s="8"/>
      <c r="H1244" s="5"/>
      <c r="J1244" s="10" t="str">
        <f t="shared" si="176"/>
        <v/>
      </c>
      <c r="K1244" s="10" t="str">
        <f t="shared" si="177"/>
        <v/>
      </c>
      <c r="L1244" s="11" t="str">
        <f t="shared" si="179"/>
        <v/>
      </c>
      <c r="M1244" s="9" t="str">
        <f>IF(G1244&lt;&gt;"",J1244/MAX(J$3:J1244)-1,"")</f>
        <v/>
      </c>
      <c r="N1244" s="9" t="str">
        <f>IF(G1244&lt;&gt;"",K1244/MAX(K$3:K1244)-1,"")</f>
        <v/>
      </c>
      <c r="O1244" s="16" t="str">
        <f t="shared" si="175"/>
        <v/>
      </c>
      <c r="P1244" s="16" t="str">
        <f t="shared" si="175"/>
        <v/>
      </c>
      <c r="Q1244" s="16" t="str">
        <f t="shared" si="175"/>
        <v/>
      </c>
      <c r="R1244" s="5" t="str">
        <f t="shared" si="174"/>
        <v/>
      </c>
      <c r="S1244" s="5" t="str">
        <f t="shared" si="178"/>
        <v/>
      </c>
      <c r="T1244" s="5" t="str">
        <f t="shared" si="181"/>
        <v/>
      </c>
      <c r="U1244" s="5" t="str">
        <f t="shared" si="181"/>
        <v/>
      </c>
    </row>
    <row r="1245" spans="7:21" x14ac:dyDescent="0.2">
      <c r="G1245" s="8"/>
      <c r="H1245" s="5"/>
      <c r="J1245" s="10" t="str">
        <f t="shared" si="176"/>
        <v/>
      </c>
      <c r="K1245" s="10" t="str">
        <f t="shared" si="177"/>
        <v/>
      </c>
      <c r="L1245" s="11" t="str">
        <f t="shared" si="179"/>
        <v/>
      </c>
      <c r="M1245" s="9" t="str">
        <f>IF(G1245&lt;&gt;"",J1245/MAX(J$3:J1245)-1,"")</f>
        <v/>
      </c>
      <c r="N1245" s="9" t="str">
        <f>IF(G1245&lt;&gt;"",K1245/MAX(K$3:K1245)-1,"")</f>
        <v/>
      </c>
      <c r="O1245" s="16" t="str">
        <f t="shared" si="175"/>
        <v/>
      </c>
      <c r="P1245" s="16" t="str">
        <f t="shared" si="175"/>
        <v/>
      </c>
      <c r="Q1245" s="16" t="str">
        <f t="shared" si="175"/>
        <v/>
      </c>
      <c r="R1245" s="5" t="str">
        <f t="shared" si="174"/>
        <v/>
      </c>
      <c r="S1245" s="5" t="str">
        <f t="shared" si="178"/>
        <v/>
      </c>
      <c r="T1245" s="5" t="str">
        <f t="shared" si="181"/>
        <v/>
      </c>
      <c r="U1245" s="5" t="str">
        <f t="shared" si="181"/>
        <v/>
      </c>
    </row>
    <row r="1246" spans="7:21" x14ac:dyDescent="0.2">
      <c r="G1246" s="8"/>
      <c r="H1246" s="5"/>
      <c r="J1246" s="10" t="str">
        <f t="shared" si="176"/>
        <v/>
      </c>
      <c r="K1246" s="10" t="str">
        <f t="shared" si="177"/>
        <v/>
      </c>
      <c r="L1246" s="11" t="str">
        <f t="shared" si="179"/>
        <v/>
      </c>
      <c r="M1246" s="9" t="str">
        <f>IF(G1246&lt;&gt;"",J1246/MAX(J$3:J1246)-1,"")</f>
        <v/>
      </c>
      <c r="N1246" s="9" t="str">
        <f>IF(G1246&lt;&gt;"",K1246/MAX(K$3:K1246)-1,"")</f>
        <v/>
      </c>
      <c r="O1246" s="16" t="str">
        <f t="shared" si="175"/>
        <v/>
      </c>
      <c r="P1246" s="16" t="str">
        <f t="shared" si="175"/>
        <v/>
      </c>
      <c r="Q1246" s="16" t="str">
        <f t="shared" si="175"/>
        <v/>
      </c>
      <c r="R1246" s="5" t="str">
        <f t="shared" si="174"/>
        <v/>
      </c>
      <c r="S1246" s="5" t="str">
        <f t="shared" si="178"/>
        <v/>
      </c>
      <c r="T1246" s="5" t="str">
        <f t="shared" si="181"/>
        <v/>
      </c>
      <c r="U1246" s="5" t="str">
        <f t="shared" si="181"/>
        <v/>
      </c>
    </row>
    <row r="1247" spans="7:21" x14ac:dyDescent="0.2">
      <c r="G1247" s="8"/>
      <c r="H1247" s="5"/>
      <c r="J1247" s="10" t="str">
        <f t="shared" si="176"/>
        <v/>
      </c>
      <c r="K1247" s="10" t="str">
        <f t="shared" si="177"/>
        <v/>
      </c>
      <c r="L1247" s="11" t="str">
        <f t="shared" si="179"/>
        <v/>
      </c>
      <c r="M1247" s="9" t="str">
        <f>IF(G1247&lt;&gt;"",J1247/MAX(J$3:J1247)-1,"")</f>
        <v/>
      </c>
      <c r="N1247" s="9" t="str">
        <f>IF(G1247&lt;&gt;"",K1247/MAX(K$3:K1247)-1,"")</f>
        <v/>
      </c>
      <c r="O1247" s="16" t="str">
        <f t="shared" si="175"/>
        <v/>
      </c>
      <c r="P1247" s="16" t="str">
        <f t="shared" si="175"/>
        <v/>
      </c>
      <c r="Q1247" s="16" t="str">
        <f t="shared" si="175"/>
        <v/>
      </c>
      <c r="R1247" s="5" t="str">
        <f t="shared" si="174"/>
        <v/>
      </c>
      <c r="S1247" s="5" t="str">
        <f t="shared" si="178"/>
        <v/>
      </c>
      <c r="T1247" s="5" t="str">
        <f t="shared" si="181"/>
        <v/>
      </c>
      <c r="U1247" s="5" t="str">
        <f t="shared" si="181"/>
        <v/>
      </c>
    </row>
    <row r="1248" spans="7:21" x14ac:dyDescent="0.2">
      <c r="G1248" s="8"/>
      <c r="H1248" s="5"/>
      <c r="J1248" s="10" t="str">
        <f t="shared" si="176"/>
        <v/>
      </c>
      <c r="K1248" s="10" t="str">
        <f t="shared" si="177"/>
        <v/>
      </c>
      <c r="L1248" s="11" t="str">
        <f t="shared" si="179"/>
        <v/>
      </c>
      <c r="M1248" s="9" t="str">
        <f>IF(G1248&lt;&gt;"",J1248/MAX(J$3:J1248)-1,"")</f>
        <v/>
      </c>
      <c r="N1248" s="9" t="str">
        <f>IF(G1248&lt;&gt;"",K1248/MAX(K$3:K1248)-1,"")</f>
        <v/>
      </c>
      <c r="O1248" s="16" t="str">
        <f t="shared" si="175"/>
        <v/>
      </c>
      <c r="P1248" s="16" t="str">
        <f t="shared" si="175"/>
        <v/>
      </c>
      <c r="Q1248" s="16" t="str">
        <f t="shared" si="175"/>
        <v/>
      </c>
      <c r="R1248" s="5" t="str">
        <f t="shared" si="174"/>
        <v/>
      </c>
      <c r="S1248" s="5" t="str">
        <f t="shared" si="178"/>
        <v/>
      </c>
      <c r="T1248" s="5" t="str">
        <f t="shared" si="181"/>
        <v/>
      </c>
      <c r="U1248" s="5" t="str">
        <f t="shared" si="181"/>
        <v/>
      </c>
    </row>
    <row r="1249" spans="7:21" x14ac:dyDescent="0.2">
      <c r="G1249" s="8"/>
      <c r="H1249" s="5"/>
      <c r="J1249" s="10" t="str">
        <f t="shared" si="176"/>
        <v/>
      </c>
      <c r="K1249" s="10" t="str">
        <f t="shared" si="177"/>
        <v/>
      </c>
      <c r="L1249" s="11" t="str">
        <f t="shared" si="179"/>
        <v/>
      </c>
      <c r="M1249" s="9" t="str">
        <f>IF(G1249&lt;&gt;"",J1249/MAX(J$3:J1249)-1,"")</f>
        <v/>
      </c>
      <c r="N1249" s="9" t="str">
        <f>IF(G1249&lt;&gt;"",K1249/MAX(K$3:K1249)-1,"")</f>
        <v/>
      </c>
      <c r="O1249" s="16" t="str">
        <f t="shared" si="175"/>
        <v/>
      </c>
      <c r="P1249" s="16" t="str">
        <f t="shared" si="175"/>
        <v/>
      </c>
      <c r="Q1249" s="16" t="str">
        <f t="shared" si="175"/>
        <v/>
      </c>
      <c r="R1249" s="5" t="str">
        <f t="shared" si="174"/>
        <v/>
      </c>
      <c r="S1249" s="5" t="str">
        <f t="shared" si="178"/>
        <v/>
      </c>
      <c r="T1249" s="5" t="str">
        <f t="shared" si="181"/>
        <v/>
      </c>
      <c r="U1249" s="5" t="str">
        <f t="shared" si="181"/>
        <v/>
      </c>
    </row>
    <row r="1250" spans="7:21" x14ac:dyDescent="0.2">
      <c r="G1250" s="8"/>
      <c r="H1250" s="5"/>
      <c r="J1250" s="10" t="str">
        <f t="shared" si="176"/>
        <v/>
      </c>
      <c r="K1250" s="10" t="str">
        <f t="shared" si="177"/>
        <v/>
      </c>
      <c r="L1250" s="11" t="str">
        <f t="shared" si="179"/>
        <v/>
      </c>
      <c r="M1250" s="9" t="str">
        <f>IF(G1250&lt;&gt;"",J1250/MAX(J$3:J1250)-1,"")</f>
        <v/>
      </c>
      <c r="N1250" s="9" t="str">
        <f>IF(G1250&lt;&gt;"",K1250/MAX(K$3:K1250)-1,"")</f>
        <v/>
      </c>
      <c r="O1250" s="16" t="str">
        <f t="shared" si="175"/>
        <v/>
      </c>
      <c r="P1250" s="16" t="str">
        <f t="shared" si="175"/>
        <v/>
      </c>
      <c r="Q1250" s="16" t="str">
        <f t="shared" si="175"/>
        <v/>
      </c>
      <c r="R1250" s="5" t="str">
        <f t="shared" si="174"/>
        <v/>
      </c>
      <c r="S1250" s="5" t="str">
        <f t="shared" si="178"/>
        <v/>
      </c>
      <c r="T1250" s="5" t="str">
        <f t="shared" si="181"/>
        <v/>
      </c>
      <c r="U1250" s="5" t="str">
        <f t="shared" si="181"/>
        <v/>
      </c>
    </row>
    <row r="1251" spans="7:21" x14ac:dyDescent="0.2">
      <c r="G1251" s="8"/>
      <c r="H1251" s="5"/>
      <c r="J1251" s="10" t="str">
        <f t="shared" si="176"/>
        <v/>
      </c>
      <c r="K1251" s="10" t="str">
        <f t="shared" si="177"/>
        <v/>
      </c>
      <c r="L1251" s="11" t="str">
        <f t="shared" si="179"/>
        <v/>
      </c>
      <c r="M1251" s="9" t="str">
        <f>IF(G1251&lt;&gt;"",J1251/MAX(J$3:J1251)-1,"")</f>
        <v/>
      </c>
      <c r="N1251" s="9" t="str">
        <f>IF(G1251&lt;&gt;"",K1251/MAX(K$3:K1251)-1,"")</f>
        <v/>
      </c>
      <c r="O1251" s="16" t="str">
        <f t="shared" si="175"/>
        <v/>
      </c>
      <c r="P1251" s="16" t="str">
        <f t="shared" si="175"/>
        <v/>
      </c>
      <c r="Q1251" s="16" t="str">
        <f t="shared" si="175"/>
        <v/>
      </c>
      <c r="R1251" s="5" t="str">
        <f t="shared" si="174"/>
        <v/>
      </c>
      <c r="S1251" s="5" t="str">
        <f t="shared" si="178"/>
        <v/>
      </c>
      <c r="T1251" s="5" t="str">
        <f t="shared" si="181"/>
        <v/>
      </c>
      <c r="U1251" s="5" t="str">
        <f t="shared" si="181"/>
        <v/>
      </c>
    </row>
    <row r="1252" spans="7:21" x14ac:dyDescent="0.2">
      <c r="G1252" s="8"/>
      <c r="H1252" s="5"/>
      <c r="J1252" s="10" t="str">
        <f t="shared" si="176"/>
        <v/>
      </c>
      <c r="K1252" s="10" t="str">
        <f t="shared" si="177"/>
        <v/>
      </c>
      <c r="L1252" s="11" t="str">
        <f t="shared" si="179"/>
        <v/>
      </c>
      <c r="M1252" s="9" t="str">
        <f>IF(G1252&lt;&gt;"",J1252/MAX(J$3:J1252)-1,"")</f>
        <v/>
      </c>
      <c r="N1252" s="9" t="str">
        <f>IF(G1252&lt;&gt;"",K1252/MAX(K$3:K1252)-1,"")</f>
        <v/>
      </c>
      <c r="O1252" s="16" t="str">
        <f t="shared" si="175"/>
        <v/>
      </c>
      <c r="P1252" s="16" t="str">
        <f t="shared" si="175"/>
        <v/>
      </c>
      <c r="Q1252" s="16" t="str">
        <f t="shared" si="175"/>
        <v/>
      </c>
      <c r="R1252" s="5" t="str">
        <f t="shared" si="174"/>
        <v/>
      </c>
      <c r="S1252" s="5" t="str">
        <f t="shared" si="178"/>
        <v/>
      </c>
      <c r="T1252" s="5" t="str">
        <f t="shared" si="181"/>
        <v/>
      </c>
      <c r="U1252" s="5" t="str">
        <f t="shared" si="181"/>
        <v/>
      </c>
    </row>
    <row r="1253" spans="7:21" x14ac:dyDescent="0.2">
      <c r="G1253" s="8"/>
      <c r="H1253" s="5"/>
      <c r="J1253" s="10" t="str">
        <f t="shared" si="176"/>
        <v/>
      </c>
      <c r="K1253" s="10" t="str">
        <f t="shared" si="177"/>
        <v/>
      </c>
      <c r="L1253" s="11" t="str">
        <f t="shared" si="179"/>
        <v/>
      </c>
      <c r="M1253" s="9" t="str">
        <f>IF(G1253&lt;&gt;"",J1253/MAX(J$3:J1253)-1,"")</f>
        <v/>
      </c>
      <c r="N1253" s="9" t="str">
        <f>IF(G1253&lt;&gt;"",K1253/MAX(K$3:K1253)-1,"")</f>
        <v/>
      </c>
      <c r="O1253" s="16" t="str">
        <f t="shared" si="175"/>
        <v/>
      </c>
      <c r="P1253" s="16" t="str">
        <f t="shared" si="175"/>
        <v/>
      </c>
      <c r="Q1253" s="16" t="str">
        <f t="shared" si="175"/>
        <v/>
      </c>
      <c r="R1253" s="5" t="str">
        <f t="shared" si="174"/>
        <v/>
      </c>
      <c r="S1253" s="5" t="str">
        <f t="shared" si="178"/>
        <v/>
      </c>
      <c r="T1253" s="5" t="str">
        <f t="shared" si="181"/>
        <v/>
      </c>
      <c r="U1253" s="5" t="str">
        <f t="shared" si="181"/>
        <v/>
      </c>
    </row>
    <row r="1254" spans="7:21" x14ac:dyDescent="0.2">
      <c r="G1254" s="8"/>
      <c r="H1254" s="5"/>
      <c r="J1254" s="10" t="str">
        <f t="shared" si="176"/>
        <v/>
      </c>
      <c r="K1254" s="10" t="str">
        <f t="shared" si="177"/>
        <v/>
      </c>
      <c r="L1254" s="11" t="str">
        <f t="shared" si="179"/>
        <v/>
      </c>
      <c r="M1254" s="9" t="str">
        <f>IF(G1254&lt;&gt;"",J1254/MAX(J$3:J1254)-1,"")</f>
        <v/>
      </c>
      <c r="N1254" s="9" t="str">
        <f>IF(G1254&lt;&gt;"",K1254/MAX(K$3:K1254)-1,"")</f>
        <v/>
      </c>
      <c r="O1254" s="16" t="str">
        <f t="shared" si="175"/>
        <v/>
      </c>
      <c r="P1254" s="16" t="str">
        <f t="shared" si="175"/>
        <v/>
      </c>
      <c r="Q1254" s="16" t="str">
        <f t="shared" si="175"/>
        <v/>
      </c>
      <c r="R1254" s="5" t="str">
        <f t="shared" si="174"/>
        <v/>
      </c>
      <c r="S1254" s="5" t="str">
        <f t="shared" si="178"/>
        <v/>
      </c>
      <c r="T1254" s="5" t="str">
        <f t="shared" si="181"/>
        <v/>
      </c>
      <c r="U1254" s="5" t="str">
        <f t="shared" si="181"/>
        <v/>
      </c>
    </row>
    <row r="1255" spans="7:21" x14ac:dyDescent="0.2">
      <c r="G1255" s="8"/>
      <c r="H1255" s="5"/>
      <c r="J1255" s="10" t="str">
        <f t="shared" si="176"/>
        <v/>
      </c>
      <c r="K1255" s="10" t="str">
        <f t="shared" si="177"/>
        <v/>
      </c>
      <c r="L1255" s="11" t="str">
        <f t="shared" si="179"/>
        <v/>
      </c>
      <c r="M1255" s="9" t="str">
        <f>IF(G1255&lt;&gt;"",J1255/MAX(J$3:J1255)-1,"")</f>
        <v/>
      </c>
      <c r="N1255" s="9" t="str">
        <f>IF(G1255&lt;&gt;"",K1255/MAX(K$3:K1255)-1,"")</f>
        <v/>
      </c>
      <c r="O1255" s="16" t="str">
        <f t="shared" si="175"/>
        <v/>
      </c>
      <c r="P1255" s="16" t="str">
        <f t="shared" si="175"/>
        <v/>
      </c>
      <c r="Q1255" s="16" t="str">
        <f t="shared" si="175"/>
        <v/>
      </c>
      <c r="R1255" s="5" t="str">
        <f t="shared" si="174"/>
        <v/>
      </c>
      <c r="S1255" s="5" t="str">
        <f t="shared" si="178"/>
        <v/>
      </c>
      <c r="T1255" s="5" t="str">
        <f t="shared" si="181"/>
        <v/>
      </c>
      <c r="U1255" s="5" t="str">
        <f t="shared" si="181"/>
        <v/>
      </c>
    </row>
    <row r="1256" spans="7:21" x14ac:dyDescent="0.2">
      <c r="G1256" s="8"/>
      <c r="H1256" s="5"/>
      <c r="J1256" s="10" t="str">
        <f t="shared" si="176"/>
        <v/>
      </c>
      <c r="K1256" s="10" t="str">
        <f t="shared" si="177"/>
        <v/>
      </c>
      <c r="L1256" s="11" t="str">
        <f t="shared" si="179"/>
        <v/>
      </c>
      <c r="M1256" s="9" t="str">
        <f>IF(G1256&lt;&gt;"",J1256/MAX(J$3:J1256)-1,"")</f>
        <v/>
      </c>
      <c r="N1256" s="9" t="str">
        <f>IF(G1256&lt;&gt;"",K1256/MAX(K$3:K1256)-1,"")</f>
        <v/>
      </c>
      <c r="O1256" s="16" t="str">
        <f t="shared" si="175"/>
        <v/>
      </c>
      <c r="P1256" s="16" t="str">
        <f t="shared" si="175"/>
        <v/>
      </c>
      <c r="Q1256" s="16" t="str">
        <f t="shared" si="175"/>
        <v/>
      </c>
      <c r="R1256" s="5" t="str">
        <f t="shared" si="174"/>
        <v/>
      </c>
      <c r="S1256" s="5" t="str">
        <f t="shared" si="178"/>
        <v/>
      </c>
      <c r="T1256" s="5" t="str">
        <f t="shared" ref="T1256:U1271" si="182">IF($G1256&lt;&gt;"",_xlfn.STDEV.S(O1012:O1256),"")</f>
        <v/>
      </c>
      <c r="U1256" s="5" t="str">
        <f t="shared" si="182"/>
        <v/>
      </c>
    </row>
    <row r="1257" spans="7:21" x14ac:dyDescent="0.2">
      <c r="G1257" s="8"/>
      <c r="H1257" s="5"/>
      <c r="J1257" s="10" t="str">
        <f t="shared" si="176"/>
        <v/>
      </c>
      <c r="K1257" s="10" t="str">
        <f t="shared" si="177"/>
        <v/>
      </c>
      <c r="L1257" s="11" t="str">
        <f t="shared" si="179"/>
        <v/>
      </c>
      <c r="M1257" s="9" t="str">
        <f>IF(G1257&lt;&gt;"",J1257/MAX(J$3:J1257)-1,"")</f>
        <v/>
      </c>
      <c r="N1257" s="9" t="str">
        <f>IF(G1257&lt;&gt;"",K1257/MAX(K$3:K1257)-1,"")</f>
        <v/>
      </c>
      <c r="O1257" s="16" t="str">
        <f t="shared" si="175"/>
        <v/>
      </c>
      <c r="P1257" s="16" t="str">
        <f t="shared" si="175"/>
        <v/>
      </c>
      <c r="Q1257" s="16" t="str">
        <f t="shared" si="175"/>
        <v/>
      </c>
      <c r="R1257" s="5" t="str">
        <f t="shared" si="174"/>
        <v/>
      </c>
      <c r="S1257" s="5" t="str">
        <f t="shared" si="178"/>
        <v/>
      </c>
      <c r="T1257" s="5" t="str">
        <f t="shared" si="182"/>
        <v/>
      </c>
      <c r="U1257" s="5" t="str">
        <f t="shared" si="182"/>
        <v/>
      </c>
    </row>
    <row r="1258" spans="7:21" x14ac:dyDescent="0.2">
      <c r="G1258" s="8"/>
      <c r="H1258" s="5"/>
      <c r="J1258" s="10" t="str">
        <f t="shared" si="176"/>
        <v/>
      </c>
      <c r="K1258" s="10" t="str">
        <f t="shared" si="177"/>
        <v/>
      </c>
      <c r="L1258" s="11" t="str">
        <f t="shared" si="179"/>
        <v/>
      </c>
      <c r="M1258" s="9" t="str">
        <f>IF(G1258&lt;&gt;"",J1258/MAX(J$3:J1258)-1,"")</f>
        <v/>
      </c>
      <c r="N1258" s="9" t="str">
        <f>IF(G1258&lt;&gt;"",K1258/MAX(K$3:K1258)-1,"")</f>
        <v/>
      </c>
      <c r="O1258" s="16" t="str">
        <f t="shared" si="175"/>
        <v/>
      </c>
      <c r="P1258" s="16" t="str">
        <f t="shared" si="175"/>
        <v/>
      </c>
      <c r="Q1258" s="16" t="str">
        <f t="shared" si="175"/>
        <v/>
      </c>
      <c r="R1258" s="5" t="str">
        <f t="shared" si="174"/>
        <v/>
      </c>
      <c r="S1258" s="5" t="str">
        <f t="shared" si="178"/>
        <v/>
      </c>
      <c r="T1258" s="5" t="str">
        <f t="shared" si="182"/>
        <v/>
      </c>
      <c r="U1258" s="5" t="str">
        <f t="shared" si="182"/>
        <v/>
      </c>
    </row>
    <row r="1259" spans="7:21" x14ac:dyDescent="0.2">
      <c r="G1259" s="8"/>
      <c r="H1259" s="5"/>
      <c r="J1259" s="10" t="str">
        <f t="shared" si="176"/>
        <v/>
      </c>
      <c r="K1259" s="10" t="str">
        <f t="shared" si="177"/>
        <v/>
      </c>
      <c r="L1259" s="11" t="str">
        <f t="shared" si="179"/>
        <v/>
      </c>
      <c r="M1259" s="9" t="str">
        <f>IF(G1259&lt;&gt;"",J1259/MAX(J$3:J1259)-1,"")</f>
        <v/>
      </c>
      <c r="N1259" s="9" t="str">
        <f>IF(G1259&lt;&gt;"",K1259/MAX(K$3:K1259)-1,"")</f>
        <v/>
      </c>
      <c r="O1259" s="16" t="str">
        <f t="shared" si="175"/>
        <v/>
      </c>
      <c r="P1259" s="16" t="str">
        <f t="shared" si="175"/>
        <v/>
      </c>
      <c r="Q1259" s="16" t="str">
        <f t="shared" si="175"/>
        <v/>
      </c>
      <c r="R1259" s="5" t="str">
        <f t="shared" si="174"/>
        <v/>
      </c>
      <c r="S1259" s="5" t="str">
        <f t="shared" si="178"/>
        <v/>
      </c>
      <c r="T1259" s="5" t="str">
        <f t="shared" si="182"/>
        <v/>
      </c>
      <c r="U1259" s="5" t="str">
        <f t="shared" si="182"/>
        <v/>
      </c>
    </row>
    <row r="1260" spans="7:21" x14ac:dyDescent="0.2">
      <c r="G1260" s="8"/>
      <c r="H1260" s="5"/>
      <c r="J1260" s="10" t="str">
        <f t="shared" si="176"/>
        <v/>
      </c>
      <c r="K1260" s="10" t="str">
        <f t="shared" si="177"/>
        <v/>
      </c>
      <c r="L1260" s="11" t="str">
        <f t="shared" si="179"/>
        <v/>
      </c>
      <c r="M1260" s="9" t="str">
        <f>IF(G1260&lt;&gt;"",J1260/MAX(J$3:J1260)-1,"")</f>
        <v/>
      </c>
      <c r="N1260" s="9" t="str">
        <f>IF(G1260&lt;&gt;"",K1260/MAX(K$3:K1260)-1,"")</f>
        <v/>
      </c>
      <c r="O1260" s="16" t="str">
        <f t="shared" si="175"/>
        <v/>
      </c>
      <c r="P1260" s="16" t="str">
        <f t="shared" si="175"/>
        <v/>
      </c>
      <c r="Q1260" s="16" t="str">
        <f t="shared" si="175"/>
        <v/>
      </c>
      <c r="R1260" s="5" t="str">
        <f t="shared" si="174"/>
        <v/>
      </c>
      <c r="S1260" s="5" t="str">
        <f t="shared" si="178"/>
        <v/>
      </c>
      <c r="T1260" s="5" t="str">
        <f t="shared" si="182"/>
        <v/>
      </c>
      <c r="U1260" s="5" t="str">
        <f t="shared" si="182"/>
        <v/>
      </c>
    </row>
    <row r="1261" spans="7:21" x14ac:dyDescent="0.2">
      <c r="G1261" s="8"/>
      <c r="H1261" s="5"/>
      <c r="J1261" s="10" t="str">
        <f t="shared" si="176"/>
        <v/>
      </c>
      <c r="K1261" s="10" t="str">
        <f t="shared" si="177"/>
        <v/>
      </c>
      <c r="L1261" s="11" t="str">
        <f t="shared" si="179"/>
        <v/>
      </c>
      <c r="M1261" s="9" t="str">
        <f>IF(G1261&lt;&gt;"",J1261/MAX(J$3:J1261)-1,"")</f>
        <v/>
      </c>
      <c r="N1261" s="9" t="str">
        <f>IF(G1261&lt;&gt;"",K1261/MAX(K$3:K1261)-1,"")</f>
        <v/>
      </c>
      <c r="O1261" s="16" t="str">
        <f t="shared" si="175"/>
        <v/>
      </c>
      <c r="P1261" s="16" t="str">
        <f t="shared" si="175"/>
        <v/>
      </c>
      <c r="Q1261" s="16" t="str">
        <f t="shared" si="175"/>
        <v/>
      </c>
      <c r="R1261" s="5" t="str">
        <f t="shared" si="174"/>
        <v/>
      </c>
      <c r="S1261" s="5" t="str">
        <f t="shared" si="178"/>
        <v/>
      </c>
      <c r="T1261" s="5" t="str">
        <f t="shared" si="182"/>
        <v/>
      </c>
      <c r="U1261" s="5" t="str">
        <f t="shared" si="182"/>
        <v/>
      </c>
    </row>
    <row r="1262" spans="7:21" x14ac:dyDescent="0.2">
      <c r="G1262" s="8"/>
      <c r="H1262" s="5"/>
      <c r="J1262" s="10" t="str">
        <f t="shared" si="176"/>
        <v/>
      </c>
      <c r="K1262" s="10" t="str">
        <f t="shared" si="177"/>
        <v/>
      </c>
      <c r="L1262" s="11" t="str">
        <f t="shared" si="179"/>
        <v/>
      </c>
      <c r="M1262" s="9" t="str">
        <f>IF(G1262&lt;&gt;"",J1262/MAX(J$3:J1262)-1,"")</f>
        <v/>
      </c>
      <c r="N1262" s="9" t="str">
        <f>IF(G1262&lt;&gt;"",K1262/MAX(K$3:K1262)-1,"")</f>
        <v/>
      </c>
      <c r="O1262" s="16" t="str">
        <f t="shared" si="175"/>
        <v/>
      </c>
      <c r="P1262" s="16" t="str">
        <f t="shared" si="175"/>
        <v/>
      </c>
      <c r="Q1262" s="16" t="str">
        <f t="shared" si="175"/>
        <v/>
      </c>
      <c r="R1262" s="5" t="str">
        <f t="shared" si="174"/>
        <v/>
      </c>
      <c r="S1262" s="5" t="str">
        <f t="shared" si="178"/>
        <v/>
      </c>
      <c r="T1262" s="5" t="str">
        <f t="shared" si="182"/>
        <v/>
      </c>
      <c r="U1262" s="5" t="str">
        <f t="shared" si="182"/>
        <v/>
      </c>
    </row>
    <row r="1263" spans="7:21" x14ac:dyDescent="0.2">
      <c r="G1263" s="8"/>
      <c r="H1263" s="5"/>
      <c r="J1263" s="10" t="str">
        <f t="shared" si="176"/>
        <v/>
      </c>
      <c r="K1263" s="10" t="str">
        <f t="shared" si="177"/>
        <v/>
      </c>
      <c r="L1263" s="11" t="str">
        <f t="shared" si="179"/>
        <v/>
      </c>
      <c r="M1263" s="9" t="str">
        <f>IF(G1263&lt;&gt;"",J1263/MAX(J$3:J1263)-1,"")</f>
        <v/>
      </c>
      <c r="N1263" s="9" t="str">
        <f>IF(G1263&lt;&gt;"",K1263/MAX(K$3:K1263)-1,"")</f>
        <v/>
      </c>
      <c r="O1263" s="16" t="str">
        <f t="shared" si="175"/>
        <v/>
      </c>
      <c r="P1263" s="16" t="str">
        <f t="shared" si="175"/>
        <v/>
      </c>
      <c r="Q1263" s="16" t="str">
        <f t="shared" si="175"/>
        <v/>
      </c>
      <c r="R1263" s="5" t="str">
        <f t="shared" si="174"/>
        <v/>
      </c>
      <c r="S1263" s="5" t="str">
        <f t="shared" si="178"/>
        <v/>
      </c>
      <c r="T1263" s="5" t="str">
        <f t="shared" si="182"/>
        <v/>
      </c>
      <c r="U1263" s="5" t="str">
        <f t="shared" si="182"/>
        <v/>
      </c>
    </row>
    <row r="1264" spans="7:21" x14ac:dyDescent="0.2">
      <c r="G1264" s="8"/>
      <c r="H1264" s="5"/>
      <c r="J1264" s="10" t="str">
        <f t="shared" si="176"/>
        <v/>
      </c>
      <c r="K1264" s="10" t="str">
        <f t="shared" si="177"/>
        <v/>
      </c>
      <c r="L1264" s="11" t="str">
        <f t="shared" si="179"/>
        <v/>
      </c>
      <c r="M1264" s="9" t="str">
        <f>IF(G1264&lt;&gt;"",J1264/MAX(J$3:J1264)-1,"")</f>
        <v/>
      </c>
      <c r="N1264" s="9" t="str">
        <f>IF(G1264&lt;&gt;"",K1264/MAX(K$3:K1264)-1,"")</f>
        <v/>
      </c>
      <c r="O1264" s="16" t="str">
        <f t="shared" si="175"/>
        <v/>
      </c>
      <c r="P1264" s="16" t="str">
        <f t="shared" si="175"/>
        <v/>
      </c>
      <c r="Q1264" s="16" t="str">
        <f t="shared" si="175"/>
        <v/>
      </c>
      <c r="R1264" s="5" t="str">
        <f t="shared" si="174"/>
        <v/>
      </c>
      <c r="S1264" s="5" t="str">
        <f t="shared" si="178"/>
        <v/>
      </c>
      <c r="T1264" s="5" t="str">
        <f t="shared" si="182"/>
        <v/>
      </c>
      <c r="U1264" s="5" t="str">
        <f t="shared" si="182"/>
        <v/>
      </c>
    </row>
    <row r="1265" spans="7:21" x14ac:dyDescent="0.2">
      <c r="G1265" s="8"/>
      <c r="H1265" s="5"/>
      <c r="J1265" s="10" t="str">
        <f t="shared" si="176"/>
        <v/>
      </c>
      <c r="K1265" s="10" t="str">
        <f t="shared" si="177"/>
        <v/>
      </c>
      <c r="L1265" s="11" t="str">
        <f t="shared" si="179"/>
        <v/>
      </c>
      <c r="M1265" s="9" t="str">
        <f>IF(G1265&lt;&gt;"",J1265/MAX(J$3:J1265)-1,"")</f>
        <v/>
      </c>
      <c r="N1265" s="9" t="str">
        <f>IF(G1265&lt;&gt;"",K1265/MAX(K$3:K1265)-1,"")</f>
        <v/>
      </c>
      <c r="O1265" s="16" t="str">
        <f t="shared" si="175"/>
        <v/>
      </c>
      <c r="P1265" s="16" t="str">
        <f t="shared" si="175"/>
        <v/>
      </c>
      <c r="Q1265" s="16" t="str">
        <f t="shared" si="175"/>
        <v/>
      </c>
      <c r="R1265" s="5" t="str">
        <f t="shared" si="174"/>
        <v/>
      </c>
      <c r="S1265" s="5" t="str">
        <f t="shared" si="178"/>
        <v/>
      </c>
      <c r="T1265" s="5" t="str">
        <f t="shared" si="182"/>
        <v/>
      </c>
      <c r="U1265" s="5" t="str">
        <f t="shared" si="182"/>
        <v/>
      </c>
    </row>
    <row r="1266" spans="7:21" x14ac:dyDescent="0.2">
      <c r="G1266" s="8"/>
      <c r="H1266" s="5"/>
      <c r="J1266" s="10" t="str">
        <f t="shared" si="176"/>
        <v/>
      </c>
      <c r="K1266" s="10" t="str">
        <f t="shared" si="177"/>
        <v/>
      </c>
      <c r="L1266" s="11" t="str">
        <f t="shared" si="179"/>
        <v/>
      </c>
      <c r="M1266" s="9" t="str">
        <f>IF(G1266&lt;&gt;"",J1266/MAX(J$3:J1266)-1,"")</f>
        <v/>
      </c>
      <c r="N1266" s="9" t="str">
        <f>IF(G1266&lt;&gt;"",K1266/MAX(K$3:K1266)-1,"")</f>
        <v/>
      </c>
      <c r="O1266" s="16" t="str">
        <f t="shared" si="175"/>
        <v/>
      </c>
      <c r="P1266" s="16" t="str">
        <f t="shared" si="175"/>
        <v/>
      </c>
      <c r="Q1266" s="16" t="str">
        <f t="shared" si="175"/>
        <v/>
      </c>
      <c r="R1266" s="5" t="str">
        <f t="shared" si="174"/>
        <v/>
      </c>
      <c r="S1266" s="5" t="str">
        <f t="shared" si="178"/>
        <v/>
      </c>
      <c r="T1266" s="5" t="str">
        <f t="shared" si="182"/>
        <v/>
      </c>
      <c r="U1266" s="5" t="str">
        <f t="shared" si="182"/>
        <v/>
      </c>
    </row>
    <row r="1267" spans="7:21" x14ac:dyDescent="0.2">
      <c r="G1267" s="8"/>
      <c r="H1267" s="5"/>
      <c r="J1267" s="10" t="str">
        <f t="shared" si="176"/>
        <v/>
      </c>
      <c r="K1267" s="10" t="str">
        <f t="shared" si="177"/>
        <v/>
      </c>
      <c r="L1267" s="11" t="str">
        <f t="shared" si="179"/>
        <v/>
      </c>
      <c r="M1267" s="9" t="str">
        <f>IF(G1267&lt;&gt;"",J1267/MAX(J$3:J1267)-1,"")</f>
        <v/>
      </c>
      <c r="N1267" s="9" t="str">
        <f>IF(G1267&lt;&gt;"",K1267/MAX(K$3:K1267)-1,"")</f>
        <v/>
      </c>
      <c r="O1267" s="16" t="str">
        <f t="shared" si="175"/>
        <v/>
      </c>
      <c r="P1267" s="16" t="str">
        <f t="shared" si="175"/>
        <v/>
      </c>
      <c r="Q1267" s="16" t="str">
        <f t="shared" si="175"/>
        <v/>
      </c>
      <c r="R1267" s="5" t="str">
        <f t="shared" si="174"/>
        <v/>
      </c>
      <c r="S1267" s="5" t="str">
        <f t="shared" si="178"/>
        <v/>
      </c>
      <c r="T1267" s="5" t="str">
        <f t="shared" si="182"/>
        <v/>
      </c>
      <c r="U1267" s="5" t="str">
        <f t="shared" si="182"/>
        <v/>
      </c>
    </row>
    <row r="1268" spans="7:21" x14ac:dyDescent="0.2">
      <c r="G1268" s="8"/>
      <c r="H1268" s="5"/>
      <c r="J1268" s="10" t="str">
        <f t="shared" si="176"/>
        <v/>
      </c>
      <c r="K1268" s="10" t="str">
        <f t="shared" si="177"/>
        <v/>
      </c>
      <c r="L1268" s="11" t="str">
        <f t="shared" si="179"/>
        <v/>
      </c>
      <c r="M1268" s="9" t="str">
        <f>IF(G1268&lt;&gt;"",J1268/MAX(J$3:J1268)-1,"")</f>
        <v/>
      </c>
      <c r="N1268" s="9" t="str">
        <f>IF(G1268&lt;&gt;"",K1268/MAX(K$3:K1268)-1,"")</f>
        <v/>
      </c>
      <c r="O1268" s="16" t="str">
        <f t="shared" si="175"/>
        <v/>
      </c>
      <c r="P1268" s="16" t="str">
        <f t="shared" si="175"/>
        <v/>
      </c>
      <c r="Q1268" s="16" t="str">
        <f t="shared" si="175"/>
        <v/>
      </c>
      <c r="R1268" s="5" t="str">
        <f t="shared" si="174"/>
        <v/>
      </c>
      <c r="S1268" s="5" t="str">
        <f t="shared" si="178"/>
        <v/>
      </c>
      <c r="T1268" s="5" t="str">
        <f t="shared" si="182"/>
        <v/>
      </c>
      <c r="U1268" s="5" t="str">
        <f t="shared" si="182"/>
        <v/>
      </c>
    </row>
    <row r="1269" spans="7:21" x14ac:dyDescent="0.2">
      <c r="G1269" s="8"/>
      <c r="H1269" s="5"/>
      <c r="J1269" s="10" t="str">
        <f t="shared" si="176"/>
        <v/>
      </c>
      <c r="K1269" s="10" t="str">
        <f t="shared" si="177"/>
        <v/>
      </c>
      <c r="L1269" s="11" t="str">
        <f t="shared" si="179"/>
        <v/>
      </c>
      <c r="M1269" s="9" t="str">
        <f>IF(G1269&lt;&gt;"",J1269/MAX(J$3:J1269)-1,"")</f>
        <v/>
      </c>
      <c r="N1269" s="9" t="str">
        <f>IF(G1269&lt;&gt;"",K1269/MAX(K$3:K1269)-1,"")</f>
        <v/>
      </c>
      <c r="O1269" s="16" t="str">
        <f t="shared" si="175"/>
        <v/>
      </c>
      <c r="P1269" s="16" t="str">
        <f t="shared" si="175"/>
        <v/>
      </c>
      <c r="Q1269" s="16" t="str">
        <f t="shared" si="175"/>
        <v/>
      </c>
      <c r="R1269" s="5" t="str">
        <f t="shared" si="174"/>
        <v/>
      </c>
      <c r="S1269" s="5" t="str">
        <f t="shared" si="178"/>
        <v/>
      </c>
      <c r="T1269" s="5" t="str">
        <f t="shared" si="182"/>
        <v/>
      </c>
      <c r="U1269" s="5" t="str">
        <f t="shared" si="182"/>
        <v/>
      </c>
    </row>
    <row r="1270" spans="7:21" x14ac:dyDescent="0.2">
      <c r="G1270" s="8"/>
      <c r="H1270" s="5"/>
      <c r="J1270" s="10" t="str">
        <f t="shared" si="176"/>
        <v/>
      </c>
      <c r="K1270" s="10" t="str">
        <f t="shared" si="177"/>
        <v/>
      </c>
      <c r="L1270" s="11" t="str">
        <f t="shared" si="179"/>
        <v/>
      </c>
      <c r="M1270" s="9" t="str">
        <f>IF(G1270&lt;&gt;"",J1270/MAX(J$3:J1270)-1,"")</f>
        <v/>
      </c>
      <c r="N1270" s="9" t="str">
        <f>IF(G1270&lt;&gt;"",K1270/MAX(K$3:K1270)-1,"")</f>
        <v/>
      </c>
      <c r="O1270" s="16" t="str">
        <f t="shared" si="175"/>
        <v/>
      </c>
      <c r="P1270" s="16" t="str">
        <f t="shared" si="175"/>
        <v/>
      </c>
      <c r="Q1270" s="16" t="str">
        <f t="shared" si="175"/>
        <v/>
      </c>
      <c r="R1270" s="5" t="str">
        <f t="shared" si="174"/>
        <v/>
      </c>
      <c r="S1270" s="5" t="str">
        <f t="shared" si="178"/>
        <v/>
      </c>
      <c r="T1270" s="5" t="str">
        <f t="shared" si="182"/>
        <v/>
      </c>
      <c r="U1270" s="5" t="str">
        <f t="shared" si="182"/>
        <v/>
      </c>
    </row>
    <row r="1271" spans="7:21" x14ac:dyDescent="0.2">
      <c r="G1271" s="8"/>
      <c r="H1271" s="5"/>
      <c r="J1271" s="10" t="str">
        <f t="shared" si="176"/>
        <v/>
      </c>
      <c r="K1271" s="10" t="str">
        <f t="shared" si="177"/>
        <v/>
      </c>
      <c r="L1271" s="11" t="str">
        <f t="shared" si="179"/>
        <v/>
      </c>
      <c r="M1271" s="9" t="str">
        <f>IF(G1271&lt;&gt;"",J1271/MAX(J$3:J1271)-1,"")</f>
        <v/>
      </c>
      <c r="N1271" s="9" t="str">
        <f>IF(G1271&lt;&gt;"",K1271/MAX(K$3:K1271)-1,"")</f>
        <v/>
      </c>
      <c r="O1271" s="16" t="str">
        <f t="shared" si="175"/>
        <v/>
      </c>
      <c r="P1271" s="16" t="str">
        <f t="shared" si="175"/>
        <v/>
      </c>
      <c r="Q1271" s="16" t="str">
        <f t="shared" si="175"/>
        <v/>
      </c>
      <c r="R1271" s="5" t="str">
        <f t="shared" si="174"/>
        <v/>
      </c>
      <c r="S1271" s="5" t="str">
        <f t="shared" si="178"/>
        <v/>
      </c>
      <c r="T1271" s="5" t="str">
        <f t="shared" si="182"/>
        <v/>
      </c>
      <c r="U1271" s="5" t="str">
        <f t="shared" si="182"/>
        <v/>
      </c>
    </row>
    <row r="1272" spans="7:21" x14ac:dyDescent="0.2">
      <c r="G1272" s="8"/>
      <c r="H1272" s="5"/>
      <c r="J1272" s="10" t="str">
        <f t="shared" si="176"/>
        <v/>
      </c>
      <c r="K1272" s="10" t="str">
        <f t="shared" si="177"/>
        <v/>
      </c>
      <c r="L1272" s="11" t="str">
        <f t="shared" si="179"/>
        <v/>
      </c>
      <c r="M1272" s="9" t="str">
        <f>IF(G1272&lt;&gt;"",J1272/MAX(J$3:J1272)-1,"")</f>
        <v/>
      </c>
      <c r="N1272" s="9" t="str">
        <f>IF(G1272&lt;&gt;"",K1272/MAX(K$3:K1272)-1,"")</f>
        <v/>
      </c>
      <c r="O1272" s="16" t="str">
        <f t="shared" si="175"/>
        <v/>
      </c>
      <c r="P1272" s="16" t="str">
        <f t="shared" si="175"/>
        <v/>
      </c>
      <c r="Q1272" s="16" t="str">
        <f t="shared" si="175"/>
        <v/>
      </c>
      <c r="R1272" s="5" t="str">
        <f t="shared" si="174"/>
        <v/>
      </c>
      <c r="S1272" s="5" t="str">
        <f t="shared" si="178"/>
        <v/>
      </c>
      <c r="T1272" s="5" t="str">
        <f t="shared" ref="T1272:U1287" si="183">IF($G1272&lt;&gt;"",_xlfn.STDEV.S(O1028:O1272),"")</f>
        <v/>
      </c>
      <c r="U1272" s="5" t="str">
        <f t="shared" si="183"/>
        <v/>
      </c>
    </row>
    <row r="1273" spans="7:21" x14ac:dyDescent="0.2">
      <c r="G1273" s="8"/>
      <c r="H1273" s="5"/>
      <c r="J1273" s="10" t="str">
        <f t="shared" si="176"/>
        <v/>
      </c>
      <c r="K1273" s="10" t="str">
        <f t="shared" si="177"/>
        <v/>
      </c>
      <c r="L1273" s="11" t="str">
        <f t="shared" si="179"/>
        <v/>
      </c>
      <c r="M1273" s="9" t="str">
        <f>IF(G1273&lt;&gt;"",J1273/MAX(J$3:J1273)-1,"")</f>
        <v/>
      </c>
      <c r="N1273" s="9" t="str">
        <f>IF(G1273&lt;&gt;"",K1273/MAX(K$3:K1273)-1,"")</f>
        <v/>
      </c>
      <c r="O1273" s="16" t="str">
        <f t="shared" si="175"/>
        <v/>
      </c>
      <c r="P1273" s="16" t="str">
        <f t="shared" si="175"/>
        <v/>
      </c>
      <c r="Q1273" s="16" t="str">
        <f t="shared" si="175"/>
        <v/>
      </c>
      <c r="R1273" s="5" t="str">
        <f t="shared" si="174"/>
        <v/>
      </c>
      <c r="S1273" s="5" t="str">
        <f t="shared" si="178"/>
        <v/>
      </c>
      <c r="T1273" s="5" t="str">
        <f t="shared" si="183"/>
        <v/>
      </c>
      <c r="U1273" s="5" t="str">
        <f t="shared" si="183"/>
        <v/>
      </c>
    </row>
    <row r="1274" spans="7:21" x14ac:dyDescent="0.2">
      <c r="G1274" s="8"/>
      <c r="H1274" s="5"/>
      <c r="J1274" s="10" t="str">
        <f t="shared" si="176"/>
        <v/>
      </c>
      <c r="K1274" s="10" t="str">
        <f t="shared" si="177"/>
        <v/>
      </c>
      <c r="L1274" s="11" t="str">
        <f t="shared" si="179"/>
        <v/>
      </c>
      <c r="M1274" s="9" t="str">
        <f>IF(G1274&lt;&gt;"",J1274/MAX(J$3:J1274)-1,"")</f>
        <v/>
      </c>
      <c r="N1274" s="9" t="str">
        <f>IF(G1274&lt;&gt;"",K1274/MAX(K$3:K1274)-1,"")</f>
        <v/>
      </c>
      <c r="O1274" s="16" t="str">
        <f t="shared" si="175"/>
        <v/>
      </c>
      <c r="P1274" s="16" t="str">
        <f t="shared" si="175"/>
        <v/>
      </c>
      <c r="Q1274" s="16" t="str">
        <f t="shared" si="175"/>
        <v/>
      </c>
      <c r="R1274" s="5" t="str">
        <f t="shared" si="174"/>
        <v/>
      </c>
      <c r="S1274" s="5" t="str">
        <f t="shared" si="178"/>
        <v/>
      </c>
      <c r="T1274" s="5" t="str">
        <f t="shared" si="183"/>
        <v/>
      </c>
      <c r="U1274" s="5" t="str">
        <f t="shared" si="183"/>
        <v/>
      </c>
    </row>
    <row r="1275" spans="7:21" x14ac:dyDescent="0.2">
      <c r="G1275" s="8"/>
      <c r="H1275" s="5"/>
      <c r="J1275" s="10" t="str">
        <f t="shared" si="176"/>
        <v/>
      </c>
      <c r="K1275" s="10" t="str">
        <f t="shared" si="177"/>
        <v/>
      </c>
      <c r="L1275" s="11" t="str">
        <f t="shared" si="179"/>
        <v/>
      </c>
      <c r="M1275" s="9" t="str">
        <f>IF(G1275&lt;&gt;"",J1275/MAX(J$3:J1275)-1,"")</f>
        <v/>
      </c>
      <c r="N1275" s="9" t="str">
        <f>IF(G1275&lt;&gt;"",K1275/MAX(K$3:K1275)-1,"")</f>
        <v/>
      </c>
      <c r="O1275" s="16" t="str">
        <f t="shared" si="175"/>
        <v/>
      </c>
      <c r="P1275" s="16" t="str">
        <f t="shared" si="175"/>
        <v/>
      </c>
      <c r="Q1275" s="16" t="str">
        <f t="shared" si="175"/>
        <v/>
      </c>
      <c r="R1275" s="5" t="str">
        <f t="shared" si="174"/>
        <v/>
      </c>
      <c r="S1275" s="5" t="str">
        <f t="shared" si="178"/>
        <v/>
      </c>
      <c r="T1275" s="5" t="str">
        <f t="shared" si="183"/>
        <v/>
      </c>
      <c r="U1275" s="5" t="str">
        <f t="shared" si="183"/>
        <v/>
      </c>
    </row>
    <row r="1276" spans="7:21" x14ac:dyDescent="0.2">
      <c r="G1276" s="8"/>
      <c r="H1276" s="5"/>
      <c r="J1276" s="10" t="str">
        <f t="shared" si="176"/>
        <v/>
      </c>
      <c r="K1276" s="10" t="str">
        <f t="shared" si="177"/>
        <v/>
      </c>
      <c r="L1276" s="11" t="str">
        <f t="shared" si="179"/>
        <v/>
      </c>
      <c r="M1276" s="9" t="str">
        <f>IF(G1276&lt;&gt;"",J1276/MAX(J$3:J1276)-1,"")</f>
        <v/>
      </c>
      <c r="N1276" s="9" t="str">
        <f>IF(G1276&lt;&gt;"",K1276/MAX(K$3:K1276)-1,"")</f>
        <v/>
      </c>
      <c r="O1276" s="16" t="str">
        <f t="shared" si="175"/>
        <v/>
      </c>
      <c r="P1276" s="16" t="str">
        <f t="shared" si="175"/>
        <v/>
      </c>
      <c r="Q1276" s="16" t="str">
        <f t="shared" si="175"/>
        <v/>
      </c>
      <c r="R1276" s="5" t="str">
        <f t="shared" si="174"/>
        <v/>
      </c>
      <c r="S1276" s="5" t="str">
        <f t="shared" si="178"/>
        <v/>
      </c>
      <c r="T1276" s="5" t="str">
        <f t="shared" si="183"/>
        <v/>
      </c>
      <c r="U1276" s="5" t="str">
        <f t="shared" si="183"/>
        <v/>
      </c>
    </row>
    <row r="1277" spans="7:21" x14ac:dyDescent="0.2">
      <c r="G1277" s="8"/>
      <c r="H1277" s="5"/>
      <c r="J1277" s="10" t="str">
        <f t="shared" si="176"/>
        <v/>
      </c>
      <c r="K1277" s="10" t="str">
        <f t="shared" si="177"/>
        <v/>
      </c>
      <c r="L1277" s="11" t="str">
        <f t="shared" si="179"/>
        <v/>
      </c>
      <c r="M1277" s="9" t="str">
        <f>IF(G1277&lt;&gt;"",J1277/MAX(J$3:J1277)-1,"")</f>
        <v/>
      </c>
      <c r="N1277" s="9" t="str">
        <f>IF(G1277&lt;&gt;"",K1277/MAX(K$3:K1277)-1,"")</f>
        <v/>
      </c>
      <c r="O1277" s="16" t="str">
        <f t="shared" si="175"/>
        <v/>
      </c>
      <c r="P1277" s="16" t="str">
        <f t="shared" si="175"/>
        <v/>
      </c>
      <c r="Q1277" s="16" t="str">
        <f t="shared" si="175"/>
        <v/>
      </c>
      <c r="R1277" s="5" t="str">
        <f t="shared" ref="R1277:R1340" si="184">IF(G1277&lt;&gt;"",_xlfn.STDEV.S(Q1156:Q1277)*SQRT($B$5),"")</f>
        <v/>
      </c>
      <c r="S1277" s="5" t="str">
        <f t="shared" si="178"/>
        <v/>
      </c>
      <c r="T1277" s="5" t="str">
        <f t="shared" si="183"/>
        <v/>
      </c>
      <c r="U1277" s="5" t="str">
        <f t="shared" si="183"/>
        <v/>
      </c>
    </row>
    <row r="1278" spans="7:21" x14ac:dyDescent="0.2">
      <c r="G1278" s="8"/>
      <c r="H1278" s="5"/>
      <c r="J1278" s="10" t="str">
        <f t="shared" si="176"/>
        <v/>
      </c>
      <c r="K1278" s="10" t="str">
        <f t="shared" si="177"/>
        <v/>
      </c>
      <c r="L1278" s="11" t="str">
        <f t="shared" si="179"/>
        <v/>
      </c>
      <c r="M1278" s="9" t="str">
        <f>IF(G1278&lt;&gt;"",J1278/MAX(J$3:J1278)-1,"")</f>
        <v/>
      </c>
      <c r="N1278" s="9" t="str">
        <f>IF(G1278&lt;&gt;"",K1278/MAX(K$3:K1278)-1,"")</f>
        <v/>
      </c>
      <c r="O1278" s="16" t="str">
        <f t="shared" si="175"/>
        <v/>
      </c>
      <c r="P1278" s="16" t="str">
        <f t="shared" si="175"/>
        <v/>
      </c>
      <c r="Q1278" s="16" t="str">
        <f t="shared" si="175"/>
        <v/>
      </c>
      <c r="R1278" s="5" t="str">
        <f t="shared" si="184"/>
        <v/>
      </c>
      <c r="S1278" s="5" t="str">
        <f t="shared" si="178"/>
        <v/>
      </c>
      <c r="T1278" s="5" t="str">
        <f t="shared" si="183"/>
        <v/>
      </c>
      <c r="U1278" s="5" t="str">
        <f t="shared" si="183"/>
        <v/>
      </c>
    </row>
    <row r="1279" spans="7:21" x14ac:dyDescent="0.2">
      <c r="G1279" s="8"/>
      <c r="H1279" s="5"/>
      <c r="J1279" s="10" t="str">
        <f t="shared" si="176"/>
        <v/>
      </c>
      <c r="K1279" s="10" t="str">
        <f t="shared" si="177"/>
        <v/>
      </c>
      <c r="L1279" s="11" t="str">
        <f t="shared" si="179"/>
        <v/>
      </c>
      <c r="M1279" s="9" t="str">
        <f>IF(G1279&lt;&gt;"",J1279/MAX(J$3:J1279)-1,"")</f>
        <v/>
      </c>
      <c r="N1279" s="9" t="str">
        <f>IF(G1279&lt;&gt;"",K1279/MAX(K$3:K1279)-1,"")</f>
        <v/>
      </c>
      <c r="O1279" s="16" t="str">
        <f t="shared" si="175"/>
        <v/>
      </c>
      <c r="P1279" s="16" t="str">
        <f t="shared" si="175"/>
        <v/>
      </c>
      <c r="Q1279" s="16" t="str">
        <f t="shared" si="175"/>
        <v/>
      </c>
      <c r="R1279" s="5" t="str">
        <f t="shared" si="184"/>
        <v/>
      </c>
      <c r="S1279" s="5" t="str">
        <f t="shared" si="178"/>
        <v/>
      </c>
      <c r="T1279" s="5" t="str">
        <f t="shared" si="183"/>
        <v/>
      </c>
      <c r="U1279" s="5" t="str">
        <f t="shared" si="183"/>
        <v/>
      </c>
    </row>
    <row r="1280" spans="7:21" x14ac:dyDescent="0.2">
      <c r="G1280" s="8"/>
      <c r="H1280" s="5"/>
      <c r="J1280" s="10" t="str">
        <f t="shared" si="176"/>
        <v/>
      </c>
      <c r="K1280" s="10" t="str">
        <f t="shared" si="177"/>
        <v/>
      </c>
      <c r="L1280" s="11" t="str">
        <f t="shared" si="179"/>
        <v/>
      </c>
      <c r="M1280" s="9" t="str">
        <f>IF(G1280&lt;&gt;"",J1280/MAX(J$3:J1280)-1,"")</f>
        <v/>
      </c>
      <c r="N1280" s="9" t="str">
        <f>IF(G1280&lt;&gt;"",K1280/MAX(K$3:K1280)-1,"")</f>
        <v/>
      </c>
      <c r="O1280" s="16" t="str">
        <f t="shared" si="175"/>
        <v/>
      </c>
      <c r="P1280" s="16" t="str">
        <f t="shared" si="175"/>
        <v/>
      </c>
      <c r="Q1280" s="16" t="str">
        <f t="shared" si="175"/>
        <v/>
      </c>
      <c r="R1280" s="5" t="str">
        <f t="shared" si="184"/>
        <v/>
      </c>
      <c r="S1280" s="5" t="str">
        <f t="shared" si="178"/>
        <v/>
      </c>
      <c r="T1280" s="5" t="str">
        <f t="shared" si="183"/>
        <v/>
      </c>
      <c r="U1280" s="5" t="str">
        <f t="shared" si="183"/>
        <v/>
      </c>
    </row>
    <row r="1281" spans="7:21" x14ac:dyDescent="0.2">
      <c r="G1281" s="8"/>
      <c r="H1281" s="5"/>
      <c r="J1281" s="10" t="str">
        <f t="shared" si="176"/>
        <v/>
      </c>
      <c r="K1281" s="10" t="str">
        <f t="shared" si="177"/>
        <v/>
      </c>
      <c r="L1281" s="11" t="str">
        <f t="shared" si="179"/>
        <v/>
      </c>
      <c r="M1281" s="9" t="str">
        <f>IF(G1281&lt;&gt;"",J1281/MAX(J$3:J1281)-1,"")</f>
        <v/>
      </c>
      <c r="N1281" s="9" t="str">
        <f>IF(G1281&lt;&gt;"",K1281/MAX(K$3:K1281)-1,"")</f>
        <v/>
      </c>
      <c r="O1281" s="16" t="str">
        <f t="shared" si="175"/>
        <v/>
      </c>
      <c r="P1281" s="16" t="str">
        <f t="shared" si="175"/>
        <v/>
      </c>
      <c r="Q1281" s="16" t="str">
        <f t="shared" si="175"/>
        <v/>
      </c>
      <c r="R1281" s="5" t="str">
        <f t="shared" si="184"/>
        <v/>
      </c>
      <c r="S1281" s="5" t="str">
        <f t="shared" si="178"/>
        <v/>
      </c>
      <c r="T1281" s="5" t="str">
        <f t="shared" si="183"/>
        <v/>
      </c>
      <c r="U1281" s="5" t="str">
        <f t="shared" si="183"/>
        <v/>
      </c>
    </row>
    <row r="1282" spans="7:21" x14ac:dyDescent="0.2">
      <c r="G1282" s="8"/>
      <c r="H1282" s="5"/>
      <c r="J1282" s="10" t="str">
        <f t="shared" si="176"/>
        <v/>
      </c>
      <c r="K1282" s="10" t="str">
        <f t="shared" si="177"/>
        <v/>
      </c>
      <c r="L1282" s="11" t="str">
        <f t="shared" si="179"/>
        <v/>
      </c>
      <c r="M1282" s="9" t="str">
        <f>IF(G1282&lt;&gt;"",J1282/MAX(J$3:J1282)-1,"")</f>
        <v/>
      </c>
      <c r="N1282" s="9" t="str">
        <f>IF(G1282&lt;&gt;"",K1282/MAX(K$3:K1282)-1,"")</f>
        <v/>
      </c>
      <c r="O1282" s="16" t="str">
        <f t="shared" ref="O1282:Q1345" si="185">IF($G1282&lt;&gt;"",J1282/J1281-1,"")</f>
        <v/>
      </c>
      <c r="P1282" s="16" t="str">
        <f t="shared" si="185"/>
        <v/>
      </c>
      <c r="Q1282" s="16" t="str">
        <f t="shared" si="185"/>
        <v/>
      </c>
      <c r="R1282" s="5" t="str">
        <f t="shared" si="184"/>
        <v/>
      </c>
      <c r="S1282" s="5" t="str">
        <f t="shared" si="178"/>
        <v/>
      </c>
      <c r="T1282" s="5" t="str">
        <f t="shared" si="183"/>
        <v/>
      </c>
      <c r="U1282" s="5" t="str">
        <f t="shared" si="183"/>
        <v/>
      </c>
    </row>
    <row r="1283" spans="7:21" x14ac:dyDescent="0.2">
      <c r="G1283" s="8"/>
      <c r="H1283" s="5"/>
      <c r="J1283" s="10" t="str">
        <f t="shared" si="176"/>
        <v/>
      </c>
      <c r="K1283" s="10" t="str">
        <f t="shared" si="177"/>
        <v/>
      </c>
      <c r="L1283" s="11" t="str">
        <f t="shared" si="179"/>
        <v/>
      </c>
      <c r="M1283" s="9" t="str">
        <f>IF(G1283&lt;&gt;"",J1283/MAX(J$3:J1283)-1,"")</f>
        <v/>
      </c>
      <c r="N1283" s="9" t="str">
        <f>IF(G1283&lt;&gt;"",K1283/MAX(K$3:K1283)-1,"")</f>
        <v/>
      </c>
      <c r="O1283" s="16" t="str">
        <f t="shared" si="185"/>
        <v/>
      </c>
      <c r="P1283" s="16" t="str">
        <f t="shared" si="185"/>
        <v/>
      </c>
      <c r="Q1283" s="16" t="str">
        <f t="shared" si="185"/>
        <v/>
      </c>
      <c r="R1283" s="5" t="str">
        <f t="shared" si="184"/>
        <v/>
      </c>
      <c r="S1283" s="5" t="str">
        <f t="shared" si="178"/>
        <v/>
      </c>
      <c r="T1283" s="5" t="str">
        <f t="shared" si="183"/>
        <v/>
      </c>
      <c r="U1283" s="5" t="str">
        <f t="shared" si="183"/>
        <v/>
      </c>
    </row>
    <row r="1284" spans="7:21" x14ac:dyDescent="0.2">
      <c r="G1284" s="8"/>
      <c r="H1284" s="5"/>
      <c r="J1284" s="10" t="str">
        <f t="shared" ref="J1284:J1347" si="186">IF(G1284&lt;&gt;"",1+H1284,"")</f>
        <v/>
      </c>
      <c r="K1284" s="10" t="str">
        <f t="shared" ref="K1284:K1347" si="187">IF(G1284&lt;&gt;"",1+I1284,"")</f>
        <v/>
      </c>
      <c r="L1284" s="11" t="str">
        <f t="shared" si="179"/>
        <v/>
      </c>
      <c r="M1284" s="9" t="str">
        <f>IF(G1284&lt;&gt;"",J1284/MAX(J$3:J1284)-1,"")</f>
        <v/>
      </c>
      <c r="N1284" s="9" t="str">
        <f>IF(G1284&lt;&gt;"",K1284/MAX(K$3:K1284)-1,"")</f>
        <v/>
      </c>
      <c r="O1284" s="16" t="str">
        <f t="shared" si="185"/>
        <v/>
      </c>
      <c r="P1284" s="16" t="str">
        <f t="shared" si="185"/>
        <v/>
      </c>
      <c r="Q1284" s="16" t="str">
        <f t="shared" si="185"/>
        <v/>
      </c>
      <c r="R1284" s="5" t="str">
        <f t="shared" si="184"/>
        <v/>
      </c>
      <c r="S1284" s="5" t="str">
        <f t="shared" ref="S1284:S1347" si="188">IF(R1284&lt;&gt;"",B$12,"")</f>
        <v/>
      </c>
      <c r="T1284" s="5" t="str">
        <f t="shared" si="183"/>
        <v/>
      </c>
      <c r="U1284" s="5" t="str">
        <f t="shared" si="183"/>
        <v/>
      </c>
    </row>
    <row r="1285" spans="7:21" x14ac:dyDescent="0.2">
      <c r="G1285" s="8"/>
      <c r="H1285" s="5"/>
      <c r="J1285" s="10" t="str">
        <f t="shared" si="186"/>
        <v/>
      </c>
      <c r="K1285" s="10" t="str">
        <f t="shared" si="187"/>
        <v/>
      </c>
      <c r="L1285" s="11" t="str">
        <f t="shared" ref="L1285:L1348" si="189">IF(G1285&lt;&gt;"",J1285/K1285,"")</f>
        <v/>
      </c>
      <c r="M1285" s="9" t="str">
        <f>IF(G1285&lt;&gt;"",J1285/MAX(J$3:J1285)-1,"")</f>
        <v/>
      </c>
      <c r="N1285" s="9" t="str">
        <f>IF(G1285&lt;&gt;"",K1285/MAX(K$3:K1285)-1,"")</f>
        <v/>
      </c>
      <c r="O1285" s="16" t="str">
        <f t="shared" si="185"/>
        <v/>
      </c>
      <c r="P1285" s="16" t="str">
        <f t="shared" si="185"/>
        <v/>
      </c>
      <c r="Q1285" s="16" t="str">
        <f t="shared" si="185"/>
        <v/>
      </c>
      <c r="R1285" s="5" t="str">
        <f t="shared" si="184"/>
        <v/>
      </c>
      <c r="S1285" s="5" t="str">
        <f t="shared" si="188"/>
        <v/>
      </c>
      <c r="T1285" s="5" t="str">
        <f t="shared" si="183"/>
        <v/>
      </c>
      <c r="U1285" s="5" t="str">
        <f t="shared" si="183"/>
        <v/>
      </c>
    </row>
    <row r="1286" spans="7:21" x14ac:dyDescent="0.2">
      <c r="G1286" s="8"/>
      <c r="H1286" s="5"/>
      <c r="J1286" s="10" t="str">
        <f t="shared" si="186"/>
        <v/>
      </c>
      <c r="K1286" s="10" t="str">
        <f t="shared" si="187"/>
        <v/>
      </c>
      <c r="L1286" s="11" t="str">
        <f t="shared" si="189"/>
        <v/>
      </c>
      <c r="M1286" s="9" t="str">
        <f>IF(G1286&lt;&gt;"",J1286/MAX(J$3:J1286)-1,"")</f>
        <v/>
      </c>
      <c r="N1286" s="9" t="str">
        <f>IF(G1286&lt;&gt;"",K1286/MAX(K$3:K1286)-1,"")</f>
        <v/>
      </c>
      <c r="O1286" s="16" t="str">
        <f t="shared" si="185"/>
        <v/>
      </c>
      <c r="P1286" s="16" t="str">
        <f t="shared" si="185"/>
        <v/>
      </c>
      <c r="Q1286" s="16" t="str">
        <f t="shared" si="185"/>
        <v/>
      </c>
      <c r="R1286" s="5" t="str">
        <f t="shared" si="184"/>
        <v/>
      </c>
      <c r="S1286" s="5" t="str">
        <f t="shared" si="188"/>
        <v/>
      </c>
      <c r="T1286" s="5" t="str">
        <f t="shared" si="183"/>
        <v/>
      </c>
      <c r="U1286" s="5" t="str">
        <f t="shared" si="183"/>
        <v/>
      </c>
    </row>
    <row r="1287" spans="7:21" x14ac:dyDescent="0.2">
      <c r="G1287" s="8"/>
      <c r="H1287" s="5"/>
      <c r="J1287" s="10" t="str">
        <f t="shared" si="186"/>
        <v/>
      </c>
      <c r="K1287" s="10" t="str">
        <f t="shared" si="187"/>
        <v/>
      </c>
      <c r="L1287" s="11" t="str">
        <f t="shared" si="189"/>
        <v/>
      </c>
      <c r="M1287" s="9" t="str">
        <f>IF(G1287&lt;&gt;"",J1287/MAX(J$3:J1287)-1,"")</f>
        <v/>
      </c>
      <c r="N1287" s="9" t="str">
        <f>IF(G1287&lt;&gt;"",K1287/MAX(K$3:K1287)-1,"")</f>
        <v/>
      </c>
      <c r="O1287" s="16" t="str">
        <f t="shared" si="185"/>
        <v/>
      </c>
      <c r="P1287" s="16" t="str">
        <f t="shared" si="185"/>
        <v/>
      </c>
      <c r="Q1287" s="16" t="str">
        <f t="shared" si="185"/>
        <v/>
      </c>
      <c r="R1287" s="5" t="str">
        <f t="shared" si="184"/>
        <v/>
      </c>
      <c r="S1287" s="5" t="str">
        <f t="shared" si="188"/>
        <v/>
      </c>
      <c r="T1287" s="5" t="str">
        <f t="shared" si="183"/>
        <v/>
      </c>
      <c r="U1287" s="5" t="str">
        <f t="shared" si="183"/>
        <v/>
      </c>
    </row>
    <row r="1288" spans="7:21" x14ac:dyDescent="0.2">
      <c r="G1288" s="8"/>
      <c r="H1288" s="5"/>
      <c r="J1288" s="10" t="str">
        <f t="shared" si="186"/>
        <v/>
      </c>
      <c r="K1288" s="10" t="str">
        <f t="shared" si="187"/>
        <v/>
      </c>
      <c r="L1288" s="11" t="str">
        <f t="shared" si="189"/>
        <v/>
      </c>
      <c r="M1288" s="9" t="str">
        <f>IF(G1288&lt;&gt;"",J1288/MAX(J$3:J1288)-1,"")</f>
        <v/>
      </c>
      <c r="N1288" s="9" t="str">
        <f>IF(G1288&lt;&gt;"",K1288/MAX(K$3:K1288)-1,"")</f>
        <v/>
      </c>
      <c r="O1288" s="16" t="str">
        <f t="shared" si="185"/>
        <v/>
      </c>
      <c r="P1288" s="16" t="str">
        <f t="shared" si="185"/>
        <v/>
      </c>
      <c r="Q1288" s="16" t="str">
        <f t="shared" si="185"/>
        <v/>
      </c>
      <c r="R1288" s="5" t="str">
        <f t="shared" si="184"/>
        <v/>
      </c>
      <c r="S1288" s="5" t="str">
        <f t="shared" si="188"/>
        <v/>
      </c>
      <c r="T1288" s="5" t="str">
        <f t="shared" ref="T1288:U1303" si="190">IF($G1288&lt;&gt;"",_xlfn.STDEV.S(O1044:O1288),"")</f>
        <v/>
      </c>
      <c r="U1288" s="5" t="str">
        <f t="shared" si="190"/>
        <v/>
      </c>
    </row>
    <row r="1289" spans="7:21" x14ac:dyDescent="0.2">
      <c r="G1289" s="8"/>
      <c r="H1289" s="5"/>
      <c r="J1289" s="10" t="str">
        <f t="shared" si="186"/>
        <v/>
      </c>
      <c r="K1289" s="10" t="str">
        <f t="shared" si="187"/>
        <v/>
      </c>
      <c r="L1289" s="11" t="str">
        <f t="shared" si="189"/>
        <v/>
      </c>
      <c r="M1289" s="9" t="str">
        <f>IF(G1289&lt;&gt;"",J1289/MAX(J$3:J1289)-1,"")</f>
        <v/>
      </c>
      <c r="N1289" s="9" t="str">
        <f>IF(G1289&lt;&gt;"",K1289/MAX(K$3:K1289)-1,"")</f>
        <v/>
      </c>
      <c r="O1289" s="16" t="str">
        <f t="shared" si="185"/>
        <v/>
      </c>
      <c r="P1289" s="16" t="str">
        <f t="shared" si="185"/>
        <v/>
      </c>
      <c r="Q1289" s="16" t="str">
        <f t="shared" si="185"/>
        <v/>
      </c>
      <c r="R1289" s="5" t="str">
        <f t="shared" si="184"/>
        <v/>
      </c>
      <c r="S1289" s="5" t="str">
        <f t="shared" si="188"/>
        <v/>
      </c>
      <c r="T1289" s="5" t="str">
        <f t="shared" si="190"/>
        <v/>
      </c>
      <c r="U1289" s="5" t="str">
        <f t="shared" si="190"/>
        <v/>
      </c>
    </row>
    <row r="1290" spans="7:21" x14ac:dyDescent="0.2">
      <c r="G1290" s="8"/>
      <c r="H1290" s="5"/>
      <c r="J1290" s="10" t="str">
        <f t="shared" si="186"/>
        <v/>
      </c>
      <c r="K1290" s="10" t="str">
        <f t="shared" si="187"/>
        <v/>
      </c>
      <c r="L1290" s="11" t="str">
        <f t="shared" si="189"/>
        <v/>
      </c>
      <c r="M1290" s="9" t="str">
        <f>IF(G1290&lt;&gt;"",J1290/MAX(J$3:J1290)-1,"")</f>
        <v/>
      </c>
      <c r="N1290" s="9" t="str">
        <f>IF(G1290&lt;&gt;"",K1290/MAX(K$3:K1290)-1,"")</f>
        <v/>
      </c>
      <c r="O1290" s="16" t="str">
        <f t="shared" si="185"/>
        <v/>
      </c>
      <c r="P1290" s="16" t="str">
        <f t="shared" si="185"/>
        <v/>
      </c>
      <c r="Q1290" s="16" t="str">
        <f t="shared" si="185"/>
        <v/>
      </c>
      <c r="R1290" s="5" t="str">
        <f t="shared" si="184"/>
        <v/>
      </c>
      <c r="S1290" s="5" t="str">
        <f t="shared" si="188"/>
        <v/>
      </c>
      <c r="T1290" s="5" t="str">
        <f t="shared" si="190"/>
        <v/>
      </c>
      <c r="U1290" s="5" t="str">
        <f t="shared" si="190"/>
        <v/>
      </c>
    </row>
    <row r="1291" spans="7:21" x14ac:dyDescent="0.2">
      <c r="G1291" s="8"/>
      <c r="H1291" s="5"/>
      <c r="J1291" s="10" t="str">
        <f t="shared" si="186"/>
        <v/>
      </c>
      <c r="K1291" s="10" t="str">
        <f t="shared" si="187"/>
        <v/>
      </c>
      <c r="L1291" s="11" t="str">
        <f t="shared" si="189"/>
        <v/>
      </c>
      <c r="M1291" s="9" t="str">
        <f>IF(G1291&lt;&gt;"",J1291/MAX(J$3:J1291)-1,"")</f>
        <v/>
      </c>
      <c r="N1291" s="9" t="str">
        <f>IF(G1291&lt;&gt;"",K1291/MAX(K$3:K1291)-1,"")</f>
        <v/>
      </c>
      <c r="O1291" s="16" t="str">
        <f t="shared" si="185"/>
        <v/>
      </c>
      <c r="P1291" s="16" t="str">
        <f t="shared" si="185"/>
        <v/>
      </c>
      <c r="Q1291" s="16" t="str">
        <f t="shared" si="185"/>
        <v/>
      </c>
      <c r="R1291" s="5" t="str">
        <f t="shared" si="184"/>
        <v/>
      </c>
      <c r="S1291" s="5" t="str">
        <f t="shared" si="188"/>
        <v/>
      </c>
      <c r="T1291" s="5" t="str">
        <f t="shared" si="190"/>
        <v/>
      </c>
      <c r="U1291" s="5" t="str">
        <f t="shared" si="190"/>
        <v/>
      </c>
    </row>
    <row r="1292" spans="7:21" x14ac:dyDescent="0.2">
      <c r="G1292" s="8"/>
      <c r="H1292" s="5"/>
      <c r="J1292" s="10" t="str">
        <f t="shared" si="186"/>
        <v/>
      </c>
      <c r="K1292" s="10" t="str">
        <f t="shared" si="187"/>
        <v/>
      </c>
      <c r="L1292" s="11" t="str">
        <f t="shared" si="189"/>
        <v/>
      </c>
      <c r="M1292" s="9" t="str">
        <f>IF(G1292&lt;&gt;"",J1292/MAX(J$3:J1292)-1,"")</f>
        <v/>
      </c>
      <c r="N1292" s="9" t="str">
        <f>IF(G1292&lt;&gt;"",K1292/MAX(K$3:K1292)-1,"")</f>
        <v/>
      </c>
      <c r="O1292" s="16" t="str">
        <f t="shared" si="185"/>
        <v/>
      </c>
      <c r="P1292" s="16" t="str">
        <f t="shared" si="185"/>
        <v/>
      </c>
      <c r="Q1292" s="16" t="str">
        <f t="shared" si="185"/>
        <v/>
      </c>
      <c r="R1292" s="5" t="str">
        <f t="shared" si="184"/>
        <v/>
      </c>
      <c r="S1292" s="5" t="str">
        <f t="shared" si="188"/>
        <v/>
      </c>
      <c r="T1292" s="5" t="str">
        <f t="shared" si="190"/>
        <v/>
      </c>
      <c r="U1292" s="5" t="str">
        <f t="shared" si="190"/>
        <v/>
      </c>
    </row>
    <row r="1293" spans="7:21" x14ac:dyDescent="0.2">
      <c r="G1293" s="8"/>
      <c r="H1293" s="5"/>
      <c r="J1293" s="10" t="str">
        <f t="shared" si="186"/>
        <v/>
      </c>
      <c r="K1293" s="10" t="str">
        <f t="shared" si="187"/>
        <v/>
      </c>
      <c r="L1293" s="11" t="str">
        <f t="shared" si="189"/>
        <v/>
      </c>
      <c r="M1293" s="9" t="str">
        <f>IF(G1293&lt;&gt;"",J1293/MAX(J$3:J1293)-1,"")</f>
        <v/>
      </c>
      <c r="N1293" s="9" t="str">
        <f>IF(G1293&lt;&gt;"",K1293/MAX(K$3:K1293)-1,"")</f>
        <v/>
      </c>
      <c r="O1293" s="16" t="str">
        <f t="shared" si="185"/>
        <v/>
      </c>
      <c r="P1293" s="16" t="str">
        <f t="shared" si="185"/>
        <v/>
      </c>
      <c r="Q1293" s="16" t="str">
        <f t="shared" si="185"/>
        <v/>
      </c>
      <c r="R1293" s="5" t="str">
        <f t="shared" si="184"/>
        <v/>
      </c>
      <c r="S1293" s="5" t="str">
        <f t="shared" si="188"/>
        <v/>
      </c>
      <c r="T1293" s="5" t="str">
        <f t="shared" si="190"/>
        <v/>
      </c>
      <c r="U1293" s="5" t="str">
        <f t="shared" si="190"/>
        <v/>
      </c>
    </row>
    <row r="1294" spans="7:21" x14ac:dyDescent="0.2">
      <c r="G1294" s="8"/>
      <c r="H1294" s="5"/>
      <c r="J1294" s="10" t="str">
        <f t="shared" si="186"/>
        <v/>
      </c>
      <c r="K1294" s="10" t="str">
        <f t="shared" si="187"/>
        <v/>
      </c>
      <c r="L1294" s="11" t="str">
        <f t="shared" si="189"/>
        <v/>
      </c>
      <c r="M1294" s="9" t="str">
        <f>IF(G1294&lt;&gt;"",J1294/MAX(J$3:J1294)-1,"")</f>
        <v/>
      </c>
      <c r="N1294" s="9" t="str">
        <f>IF(G1294&lt;&gt;"",K1294/MAX(K$3:K1294)-1,"")</f>
        <v/>
      </c>
      <c r="O1294" s="16" t="str">
        <f t="shared" si="185"/>
        <v/>
      </c>
      <c r="P1294" s="16" t="str">
        <f t="shared" si="185"/>
        <v/>
      </c>
      <c r="Q1294" s="16" t="str">
        <f t="shared" si="185"/>
        <v/>
      </c>
      <c r="R1294" s="5" t="str">
        <f t="shared" si="184"/>
        <v/>
      </c>
      <c r="S1294" s="5" t="str">
        <f t="shared" si="188"/>
        <v/>
      </c>
      <c r="T1294" s="5" t="str">
        <f t="shared" si="190"/>
        <v/>
      </c>
      <c r="U1294" s="5" t="str">
        <f t="shared" si="190"/>
        <v/>
      </c>
    </row>
    <row r="1295" spans="7:21" x14ac:dyDescent="0.2">
      <c r="G1295" s="8"/>
      <c r="H1295" s="5"/>
      <c r="J1295" s="10" t="str">
        <f t="shared" si="186"/>
        <v/>
      </c>
      <c r="K1295" s="10" t="str">
        <f t="shared" si="187"/>
        <v/>
      </c>
      <c r="L1295" s="11" t="str">
        <f t="shared" si="189"/>
        <v/>
      </c>
      <c r="M1295" s="9" t="str">
        <f>IF(G1295&lt;&gt;"",J1295/MAX(J$3:J1295)-1,"")</f>
        <v/>
      </c>
      <c r="N1295" s="9" t="str">
        <f>IF(G1295&lt;&gt;"",K1295/MAX(K$3:K1295)-1,"")</f>
        <v/>
      </c>
      <c r="O1295" s="16" t="str">
        <f t="shared" si="185"/>
        <v/>
      </c>
      <c r="P1295" s="16" t="str">
        <f t="shared" si="185"/>
        <v/>
      </c>
      <c r="Q1295" s="16" t="str">
        <f t="shared" si="185"/>
        <v/>
      </c>
      <c r="R1295" s="5" t="str">
        <f t="shared" si="184"/>
        <v/>
      </c>
      <c r="S1295" s="5" t="str">
        <f t="shared" si="188"/>
        <v/>
      </c>
      <c r="T1295" s="5" t="str">
        <f t="shared" si="190"/>
        <v/>
      </c>
      <c r="U1295" s="5" t="str">
        <f t="shared" si="190"/>
        <v/>
      </c>
    </row>
    <row r="1296" spans="7:21" x14ac:dyDescent="0.2">
      <c r="G1296" s="8"/>
      <c r="H1296" s="5"/>
      <c r="J1296" s="10" t="str">
        <f t="shared" si="186"/>
        <v/>
      </c>
      <c r="K1296" s="10" t="str">
        <f t="shared" si="187"/>
        <v/>
      </c>
      <c r="L1296" s="11" t="str">
        <f t="shared" si="189"/>
        <v/>
      </c>
      <c r="M1296" s="9" t="str">
        <f>IF(G1296&lt;&gt;"",J1296/MAX(J$3:J1296)-1,"")</f>
        <v/>
      </c>
      <c r="N1296" s="9" t="str">
        <f>IF(G1296&lt;&gt;"",K1296/MAX(K$3:K1296)-1,"")</f>
        <v/>
      </c>
      <c r="O1296" s="16" t="str">
        <f t="shared" si="185"/>
        <v/>
      </c>
      <c r="P1296" s="16" t="str">
        <f t="shared" si="185"/>
        <v/>
      </c>
      <c r="Q1296" s="16" t="str">
        <f t="shared" si="185"/>
        <v/>
      </c>
      <c r="R1296" s="5" t="str">
        <f t="shared" si="184"/>
        <v/>
      </c>
      <c r="S1296" s="5" t="str">
        <f t="shared" si="188"/>
        <v/>
      </c>
      <c r="T1296" s="5" t="str">
        <f t="shared" si="190"/>
        <v/>
      </c>
      <c r="U1296" s="5" t="str">
        <f t="shared" si="190"/>
        <v/>
      </c>
    </row>
    <row r="1297" spans="7:21" x14ac:dyDescent="0.2">
      <c r="G1297" s="8"/>
      <c r="H1297" s="5"/>
      <c r="J1297" s="10" t="str">
        <f t="shared" si="186"/>
        <v/>
      </c>
      <c r="K1297" s="10" t="str">
        <f t="shared" si="187"/>
        <v/>
      </c>
      <c r="L1297" s="11" t="str">
        <f t="shared" si="189"/>
        <v/>
      </c>
      <c r="M1297" s="9" t="str">
        <f>IF(G1297&lt;&gt;"",J1297/MAX(J$3:J1297)-1,"")</f>
        <v/>
      </c>
      <c r="N1297" s="9" t="str">
        <f>IF(G1297&lt;&gt;"",K1297/MAX(K$3:K1297)-1,"")</f>
        <v/>
      </c>
      <c r="O1297" s="16" t="str">
        <f t="shared" si="185"/>
        <v/>
      </c>
      <c r="P1297" s="16" t="str">
        <f t="shared" si="185"/>
        <v/>
      </c>
      <c r="Q1297" s="16" t="str">
        <f t="shared" si="185"/>
        <v/>
      </c>
      <c r="R1297" s="5" t="str">
        <f t="shared" si="184"/>
        <v/>
      </c>
      <c r="S1297" s="5" t="str">
        <f t="shared" si="188"/>
        <v/>
      </c>
      <c r="T1297" s="5" t="str">
        <f t="shared" si="190"/>
        <v/>
      </c>
      <c r="U1297" s="5" t="str">
        <f t="shared" si="190"/>
        <v/>
      </c>
    </row>
    <row r="1298" spans="7:21" x14ac:dyDescent="0.2">
      <c r="G1298" s="8"/>
      <c r="H1298" s="5"/>
      <c r="J1298" s="10" t="str">
        <f t="shared" si="186"/>
        <v/>
      </c>
      <c r="K1298" s="10" t="str">
        <f t="shared" si="187"/>
        <v/>
      </c>
      <c r="L1298" s="11" t="str">
        <f t="shared" si="189"/>
        <v/>
      </c>
      <c r="M1298" s="9" t="str">
        <f>IF(G1298&lt;&gt;"",J1298/MAX(J$3:J1298)-1,"")</f>
        <v/>
      </c>
      <c r="N1298" s="9" t="str">
        <f>IF(G1298&lt;&gt;"",K1298/MAX(K$3:K1298)-1,"")</f>
        <v/>
      </c>
      <c r="O1298" s="16" t="str">
        <f t="shared" si="185"/>
        <v/>
      </c>
      <c r="P1298" s="16" t="str">
        <f t="shared" si="185"/>
        <v/>
      </c>
      <c r="Q1298" s="16" t="str">
        <f t="shared" si="185"/>
        <v/>
      </c>
      <c r="R1298" s="5" t="str">
        <f t="shared" si="184"/>
        <v/>
      </c>
      <c r="S1298" s="5" t="str">
        <f t="shared" si="188"/>
        <v/>
      </c>
      <c r="T1298" s="5" t="str">
        <f t="shared" si="190"/>
        <v/>
      </c>
      <c r="U1298" s="5" t="str">
        <f t="shared" si="190"/>
        <v/>
      </c>
    </row>
    <row r="1299" spans="7:21" x14ac:dyDescent="0.2">
      <c r="G1299" s="8"/>
      <c r="H1299" s="5"/>
      <c r="J1299" s="10" t="str">
        <f t="shared" si="186"/>
        <v/>
      </c>
      <c r="K1299" s="10" t="str">
        <f t="shared" si="187"/>
        <v/>
      </c>
      <c r="L1299" s="11" t="str">
        <f t="shared" si="189"/>
        <v/>
      </c>
      <c r="M1299" s="9" t="str">
        <f>IF(G1299&lt;&gt;"",J1299/MAX(J$3:J1299)-1,"")</f>
        <v/>
      </c>
      <c r="N1299" s="9" t="str">
        <f>IF(G1299&lt;&gt;"",K1299/MAX(K$3:K1299)-1,"")</f>
        <v/>
      </c>
      <c r="O1299" s="16" t="str">
        <f t="shared" si="185"/>
        <v/>
      </c>
      <c r="P1299" s="16" t="str">
        <f t="shared" si="185"/>
        <v/>
      </c>
      <c r="Q1299" s="16" t="str">
        <f t="shared" si="185"/>
        <v/>
      </c>
      <c r="R1299" s="5" t="str">
        <f t="shared" si="184"/>
        <v/>
      </c>
      <c r="S1299" s="5" t="str">
        <f t="shared" si="188"/>
        <v/>
      </c>
      <c r="T1299" s="5" t="str">
        <f t="shared" si="190"/>
        <v/>
      </c>
      <c r="U1299" s="5" t="str">
        <f t="shared" si="190"/>
        <v/>
      </c>
    </row>
    <row r="1300" spans="7:21" x14ac:dyDescent="0.2">
      <c r="G1300" s="8"/>
      <c r="H1300" s="5"/>
      <c r="J1300" s="10" t="str">
        <f t="shared" si="186"/>
        <v/>
      </c>
      <c r="K1300" s="10" t="str">
        <f t="shared" si="187"/>
        <v/>
      </c>
      <c r="L1300" s="11" t="str">
        <f t="shared" si="189"/>
        <v/>
      </c>
      <c r="M1300" s="9" t="str">
        <f>IF(G1300&lt;&gt;"",J1300/MAX(J$3:J1300)-1,"")</f>
        <v/>
      </c>
      <c r="N1300" s="9" t="str">
        <f>IF(G1300&lt;&gt;"",K1300/MAX(K$3:K1300)-1,"")</f>
        <v/>
      </c>
      <c r="O1300" s="16" t="str">
        <f t="shared" si="185"/>
        <v/>
      </c>
      <c r="P1300" s="16" t="str">
        <f t="shared" si="185"/>
        <v/>
      </c>
      <c r="Q1300" s="16" t="str">
        <f t="shared" si="185"/>
        <v/>
      </c>
      <c r="R1300" s="5" t="str">
        <f t="shared" si="184"/>
        <v/>
      </c>
      <c r="S1300" s="5" t="str">
        <f t="shared" si="188"/>
        <v/>
      </c>
      <c r="T1300" s="5" t="str">
        <f t="shared" si="190"/>
        <v/>
      </c>
      <c r="U1300" s="5" t="str">
        <f t="shared" si="190"/>
        <v/>
      </c>
    </row>
    <row r="1301" spans="7:21" x14ac:dyDescent="0.2">
      <c r="G1301" s="8"/>
      <c r="H1301" s="5"/>
      <c r="J1301" s="10" t="str">
        <f t="shared" si="186"/>
        <v/>
      </c>
      <c r="K1301" s="10" t="str">
        <f t="shared" si="187"/>
        <v/>
      </c>
      <c r="L1301" s="11" t="str">
        <f t="shared" si="189"/>
        <v/>
      </c>
      <c r="M1301" s="9" t="str">
        <f>IF(G1301&lt;&gt;"",J1301/MAX(J$3:J1301)-1,"")</f>
        <v/>
      </c>
      <c r="N1301" s="9" t="str">
        <f>IF(G1301&lt;&gt;"",K1301/MAX(K$3:K1301)-1,"")</f>
        <v/>
      </c>
      <c r="O1301" s="16" t="str">
        <f t="shared" si="185"/>
        <v/>
      </c>
      <c r="P1301" s="16" t="str">
        <f t="shared" si="185"/>
        <v/>
      </c>
      <c r="Q1301" s="16" t="str">
        <f t="shared" si="185"/>
        <v/>
      </c>
      <c r="R1301" s="5" t="str">
        <f t="shared" si="184"/>
        <v/>
      </c>
      <c r="S1301" s="5" t="str">
        <f t="shared" si="188"/>
        <v/>
      </c>
      <c r="T1301" s="5" t="str">
        <f t="shared" si="190"/>
        <v/>
      </c>
      <c r="U1301" s="5" t="str">
        <f t="shared" si="190"/>
        <v/>
      </c>
    </row>
    <row r="1302" spans="7:21" x14ac:dyDescent="0.2">
      <c r="G1302" s="8"/>
      <c r="H1302" s="5"/>
      <c r="J1302" s="10" t="str">
        <f t="shared" si="186"/>
        <v/>
      </c>
      <c r="K1302" s="10" t="str">
        <f t="shared" si="187"/>
        <v/>
      </c>
      <c r="L1302" s="11" t="str">
        <f t="shared" si="189"/>
        <v/>
      </c>
      <c r="M1302" s="9" t="str">
        <f>IF(G1302&lt;&gt;"",J1302/MAX(J$3:J1302)-1,"")</f>
        <v/>
      </c>
      <c r="N1302" s="9" t="str">
        <f>IF(G1302&lt;&gt;"",K1302/MAX(K$3:K1302)-1,"")</f>
        <v/>
      </c>
      <c r="O1302" s="16" t="str">
        <f t="shared" si="185"/>
        <v/>
      </c>
      <c r="P1302" s="16" t="str">
        <f t="shared" si="185"/>
        <v/>
      </c>
      <c r="Q1302" s="16" t="str">
        <f t="shared" si="185"/>
        <v/>
      </c>
      <c r="R1302" s="5" t="str">
        <f t="shared" si="184"/>
        <v/>
      </c>
      <c r="S1302" s="5" t="str">
        <f t="shared" si="188"/>
        <v/>
      </c>
      <c r="T1302" s="5" t="str">
        <f t="shared" si="190"/>
        <v/>
      </c>
      <c r="U1302" s="5" t="str">
        <f t="shared" si="190"/>
        <v/>
      </c>
    </row>
    <row r="1303" spans="7:21" x14ac:dyDescent="0.2">
      <c r="G1303" s="8"/>
      <c r="H1303" s="5"/>
      <c r="J1303" s="10" t="str">
        <f t="shared" si="186"/>
        <v/>
      </c>
      <c r="K1303" s="10" t="str">
        <f t="shared" si="187"/>
        <v/>
      </c>
      <c r="L1303" s="11" t="str">
        <f t="shared" si="189"/>
        <v/>
      </c>
      <c r="M1303" s="9" t="str">
        <f>IF(G1303&lt;&gt;"",J1303/MAX(J$3:J1303)-1,"")</f>
        <v/>
      </c>
      <c r="N1303" s="9" t="str">
        <f>IF(G1303&lt;&gt;"",K1303/MAX(K$3:K1303)-1,"")</f>
        <v/>
      </c>
      <c r="O1303" s="16" t="str">
        <f t="shared" si="185"/>
        <v/>
      </c>
      <c r="P1303" s="16" t="str">
        <f t="shared" si="185"/>
        <v/>
      </c>
      <c r="Q1303" s="16" t="str">
        <f t="shared" si="185"/>
        <v/>
      </c>
      <c r="R1303" s="5" t="str">
        <f t="shared" si="184"/>
        <v/>
      </c>
      <c r="S1303" s="5" t="str">
        <f t="shared" si="188"/>
        <v/>
      </c>
      <c r="T1303" s="5" t="str">
        <f t="shared" si="190"/>
        <v/>
      </c>
      <c r="U1303" s="5" t="str">
        <f t="shared" si="190"/>
        <v/>
      </c>
    </row>
    <row r="1304" spans="7:21" x14ac:dyDescent="0.2">
      <c r="G1304" s="8"/>
      <c r="H1304" s="5"/>
      <c r="J1304" s="10" t="str">
        <f t="shared" si="186"/>
        <v/>
      </c>
      <c r="K1304" s="10" t="str">
        <f t="shared" si="187"/>
        <v/>
      </c>
      <c r="L1304" s="11" t="str">
        <f t="shared" si="189"/>
        <v/>
      </c>
      <c r="M1304" s="9" t="str">
        <f>IF(G1304&lt;&gt;"",J1304/MAX(J$3:J1304)-1,"")</f>
        <v/>
      </c>
      <c r="N1304" s="9" t="str">
        <f>IF(G1304&lt;&gt;"",K1304/MAX(K$3:K1304)-1,"")</f>
        <v/>
      </c>
      <c r="O1304" s="16" t="str">
        <f t="shared" si="185"/>
        <v/>
      </c>
      <c r="P1304" s="16" t="str">
        <f t="shared" si="185"/>
        <v/>
      </c>
      <c r="Q1304" s="16" t="str">
        <f t="shared" si="185"/>
        <v/>
      </c>
      <c r="R1304" s="5" t="str">
        <f t="shared" si="184"/>
        <v/>
      </c>
      <c r="S1304" s="5" t="str">
        <f t="shared" si="188"/>
        <v/>
      </c>
      <c r="T1304" s="5" t="str">
        <f t="shared" ref="T1304:U1319" si="191">IF($G1304&lt;&gt;"",_xlfn.STDEV.S(O1060:O1304),"")</f>
        <v/>
      </c>
      <c r="U1304" s="5" t="str">
        <f t="shared" si="191"/>
        <v/>
      </c>
    </row>
    <row r="1305" spans="7:21" x14ac:dyDescent="0.2">
      <c r="G1305" s="8"/>
      <c r="H1305" s="5"/>
      <c r="J1305" s="10" t="str">
        <f t="shared" si="186"/>
        <v/>
      </c>
      <c r="K1305" s="10" t="str">
        <f t="shared" si="187"/>
        <v/>
      </c>
      <c r="L1305" s="11" t="str">
        <f t="shared" si="189"/>
        <v/>
      </c>
      <c r="M1305" s="9" t="str">
        <f>IF(G1305&lt;&gt;"",J1305/MAX(J$3:J1305)-1,"")</f>
        <v/>
      </c>
      <c r="N1305" s="9" t="str">
        <f>IF(G1305&lt;&gt;"",K1305/MAX(K$3:K1305)-1,"")</f>
        <v/>
      </c>
      <c r="O1305" s="16" t="str">
        <f t="shared" si="185"/>
        <v/>
      </c>
      <c r="P1305" s="16" t="str">
        <f t="shared" si="185"/>
        <v/>
      </c>
      <c r="Q1305" s="16" t="str">
        <f t="shared" si="185"/>
        <v/>
      </c>
      <c r="R1305" s="5" t="str">
        <f t="shared" si="184"/>
        <v/>
      </c>
      <c r="S1305" s="5" t="str">
        <f t="shared" si="188"/>
        <v/>
      </c>
      <c r="T1305" s="5" t="str">
        <f t="shared" si="191"/>
        <v/>
      </c>
      <c r="U1305" s="5" t="str">
        <f t="shared" si="191"/>
        <v/>
      </c>
    </row>
    <row r="1306" spans="7:21" x14ac:dyDescent="0.2">
      <c r="G1306" s="8"/>
      <c r="H1306" s="5"/>
      <c r="J1306" s="10" t="str">
        <f t="shared" si="186"/>
        <v/>
      </c>
      <c r="K1306" s="10" t="str">
        <f t="shared" si="187"/>
        <v/>
      </c>
      <c r="L1306" s="11" t="str">
        <f t="shared" si="189"/>
        <v/>
      </c>
      <c r="M1306" s="9" t="str">
        <f>IF(G1306&lt;&gt;"",J1306/MAX(J$3:J1306)-1,"")</f>
        <v/>
      </c>
      <c r="N1306" s="9" t="str">
        <f>IF(G1306&lt;&gt;"",K1306/MAX(K$3:K1306)-1,"")</f>
        <v/>
      </c>
      <c r="O1306" s="16" t="str">
        <f t="shared" si="185"/>
        <v/>
      </c>
      <c r="P1306" s="16" t="str">
        <f t="shared" si="185"/>
        <v/>
      </c>
      <c r="Q1306" s="16" t="str">
        <f t="shared" si="185"/>
        <v/>
      </c>
      <c r="R1306" s="5" t="str">
        <f t="shared" si="184"/>
        <v/>
      </c>
      <c r="S1306" s="5" t="str">
        <f t="shared" si="188"/>
        <v/>
      </c>
      <c r="T1306" s="5" t="str">
        <f t="shared" si="191"/>
        <v/>
      </c>
      <c r="U1306" s="5" t="str">
        <f t="shared" si="191"/>
        <v/>
      </c>
    </row>
    <row r="1307" spans="7:21" x14ac:dyDescent="0.2">
      <c r="G1307" s="8"/>
      <c r="H1307" s="5"/>
      <c r="J1307" s="10" t="str">
        <f t="shared" si="186"/>
        <v/>
      </c>
      <c r="K1307" s="10" t="str">
        <f t="shared" si="187"/>
        <v/>
      </c>
      <c r="L1307" s="11" t="str">
        <f t="shared" si="189"/>
        <v/>
      </c>
      <c r="M1307" s="9" t="str">
        <f>IF(G1307&lt;&gt;"",J1307/MAX(J$3:J1307)-1,"")</f>
        <v/>
      </c>
      <c r="N1307" s="9" t="str">
        <f>IF(G1307&lt;&gt;"",K1307/MAX(K$3:K1307)-1,"")</f>
        <v/>
      </c>
      <c r="O1307" s="16" t="str">
        <f t="shared" si="185"/>
        <v/>
      </c>
      <c r="P1307" s="16" t="str">
        <f t="shared" si="185"/>
        <v/>
      </c>
      <c r="Q1307" s="16" t="str">
        <f t="shared" si="185"/>
        <v/>
      </c>
      <c r="R1307" s="5" t="str">
        <f t="shared" si="184"/>
        <v/>
      </c>
      <c r="S1307" s="5" t="str">
        <f t="shared" si="188"/>
        <v/>
      </c>
      <c r="T1307" s="5" t="str">
        <f t="shared" si="191"/>
        <v/>
      </c>
      <c r="U1307" s="5" t="str">
        <f t="shared" si="191"/>
        <v/>
      </c>
    </row>
    <row r="1308" spans="7:21" x14ac:dyDescent="0.2">
      <c r="G1308" s="8"/>
      <c r="H1308" s="5"/>
      <c r="J1308" s="10" t="str">
        <f t="shared" si="186"/>
        <v/>
      </c>
      <c r="K1308" s="10" t="str">
        <f t="shared" si="187"/>
        <v/>
      </c>
      <c r="L1308" s="11" t="str">
        <f t="shared" si="189"/>
        <v/>
      </c>
      <c r="M1308" s="9" t="str">
        <f>IF(G1308&lt;&gt;"",J1308/MAX(J$3:J1308)-1,"")</f>
        <v/>
      </c>
      <c r="N1308" s="9" t="str">
        <f>IF(G1308&lt;&gt;"",K1308/MAX(K$3:K1308)-1,"")</f>
        <v/>
      </c>
      <c r="O1308" s="16" t="str">
        <f t="shared" si="185"/>
        <v/>
      </c>
      <c r="P1308" s="16" t="str">
        <f t="shared" si="185"/>
        <v/>
      </c>
      <c r="Q1308" s="16" t="str">
        <f t="shared" si="185"/>
        <v/>
      </c>
      <c r="R1308" s="5" t="str">
        <f t="shared" si="184"/>
        <v/>
      </c>
      <c r="S1308" s="5" t="str">
        <f t="shared" si="188"/>
        <v/>
      </c>
      <c r="T1308" s="5" t="str">
        <f t="shared" si="191"/>
        <v/>
      </c>
      <c r="U1308" s="5" t="str">
        <f t="shared" si="191"/>
        <v/>
      </c>
    </row>
    <row r="1309" spans="7:21" x14ac:dyDescent="0.2">
      <c r="G1309" s="8"/>
      <c r="H1309" s="5"/>
      <c r="J1309" s="10" t="str">
        <f t="shared" si="186"/>
        <v/>
      </c>
      <c r="K1309" s="10" t="str">
        <f t="shared" si="187"/>
        <v/>
      </c>
      <c r="L1309" s="11" t="str">
        <f t="shared" si="189"/>
        <v/>
      </c>
      <c r="M1309" s="9" t="str">
        <f>IF(G1309&lt;&gt;"",J1309/MAX(J$3:J1309)-1,"")</f>
        <v/>
      </c>
      <c r="N1309" s="9" t="str">
        <f>IF(G1309&lt;&gt;"",K1309/MAX(K$3:K1309)-1,"")</f>
        <v/>
      </c>
      <c r="O1309" s="16" t="str">
        <f t="shared" si="185"/>
        <v/>
      </c>
      <c r="P1309" s="16" t="str">
        <f t="shared" si="185"/>
        <v/>
      </c>
      <c r="Q1309" s="16" t="str">
        <f t="shared" si="185"/>
        <v/>
      </c>
      <c r="R1309" s="5" t="str">
        <f t="shared" si="184"/>
        <v/>
      </c>
      <c r="S1309" s="5" t="str">
        <f t="shared" si="188"/>
        <v/>
      </c>
      <c r="T1309" s="5" t="str">
        <f t="shared" si="191"/>
        <v/>
      </c>
      <c r="U1309" s="5" t="str">
        <f t="shared" si="191"/>
        <v/>
      </c>
    </row>
    <row r="1310" spans="7:21" x14ac:dyDescent="0.2">
      <c r="G1310" s="8"/>
      <c r="H1310" s="5"/>
      <c r="J1310" s="10" t="str">
        <f t="shared" si="186"/>
        <v/>
      </c>
      <c r="K1310" s="10" t="str">
        <f t="shared" si="187"/>
        <v/>
      </c>
      <c r="L1310" s="11" t="str">
        <f t="shared" si="189"/>
        <v/>
      </c>
      <c r="M1310" s="9" t="str">
        <f>IF(G1310&lt;&gt;"",J1310/MAX(J$3:J1310)-1,"")</f>
        <v/>
      </c>
      <c r="N1310" s="9" t="str">
        <f>IF(G1310&lt;&gt;"",K1310/MAX(K$3:K1310)-1,"")</f>
        <v/>
      </c>
      <c r="O1310" s="16" t="str">
        <f t="shared" si="185"/>
        <v/>
      </c>
      <c r="P1310" s="16" t="str">
        <f t="shared" si="185"/>
        <v/>
      </c>
      <c r="Q1310" s="16" t="str">
        <f t="shared" si="185"/>
        <v/>
      </c>
      <c r="R1310" s="5" t="str">
        <f t="shared" si="184"/>
        <v/>
      </c>
      <c r="S1310" s="5" t="str">
        <f t="shared" si="188"/>
        <v/>
      </c>
      <c r="T1310" s="5" t="str">
        <f t="shared" si="191"/>
        <v/>
      </c>
      <c r="U1310" s="5" t="str">
        <f t="shared" si="191"/>
        <v/>
      </c>
    </row>
    <row r="1311" spans="7:21" x14ac:dyDescent="0.2">
      <c r="G1311" s="8"/>
      <c r="H1311" s="5"/>
      <c r="J1311" s="10" t="str">
        <f t="shared" si="186"/>
        <v/>
      </c>
      <c r="K1311" s="10" t="str">
        <f t="shared" si="187"/>
        <v/>
      </c>
      <c r="L1311" s="11" t="str">
        <f t="shared" si="189"/>
        <v/>
      </c>
      <c r="M1311" s="9" t="str">
        <f>IF(G1311&lt;&gt;"",J1311/MAX(J$3:J1311)-1,"")</f>
        <v/>
      </c>
      <c r="N1311" s="9" t="str">
        <f>IF(G1311&lt;&gt;"",K1311/MAX(K$3:K1311)-1,"")</f>
        <v/>
      </c>
      <c r="O1311" s="16" t="str">
        <f t="shared" si="185"/>
        <v/>
      </c>
      <c r="P1311" s="16" t="str">
        <f t="shared" si="185"/>
        <v/>
      </c>
      <c r="Q1311" s="16" t="str">
        <f t="shared" si="185"/>
        <v/>
      </c>
      <c r="R1311" s="5" t="str">
        <f t="shared" si="184"/>
        <v/>
      </c>
      <c r="S1311" s="5" t="str">
        <f t="shared" si="188"/>
        <v/>
      </c>
      <c r="T1311" s="5" t="str">
        <f t="shared" si="191"/>
        <v/>
      </c>
      <c r="U1311" s="5" t="str">
        <f t="shared" si="191"/>
        <v/>
      </c>
    </row>
    <row r="1312" spans="7:21" x14ac:dyDescent="0.2">
      <c r="G1312" s="8"/>
      <c r="H1312" s="5"/>
      <c r="J1312" s="10" t="str">
        <f t="shared" si="186"/>
        <v/>
      </c>
      <c r="K1312" s="10" t="str">
        <f t="shared" si="187"/>
        <v/>
      </c>
      <c r="L1312" s="11" t="str">
        <f t="shared" si="189"/>
        <v/>
      </c>
      <c r="M1312" s="9" t="str">
        <f>IF(G1312&lt;&gt;"",J1312/MAX(J$3:J1312)-1,"")</f>
        <v/>
      </c>
      <c r="N1312" s="9" t="str">
        <f>IF(G1312&lt;&gt;"",K1312/MAX(K$3:K1312)-1,"")</f>
        <v/>
      </c>
      <c r="O1312" s="16" t="str">
        <f t="shared" si="185"/>
        <v/>
      </c>
      <c r="P1312" s="16" t="str">
        <f t="shared" si="185"/>
        <v/>
      </c>
      <c r="Q1312" s="16" t="str">
        <f t="shared" si="185"/>
        <v/>
      </c>
      <c r="R1312" s="5" t="str">
        <f t="shared" si="184"/>
        <v/>
      </c>
      <c r="S1312" s="5" t="str">
        <f t="shared" si="188"/>
        <v/>
      </c>
      <c r="T1312" s="5" t="str">
        <f t="shared" si="191"/>
        <v/>
      </c>
      <c r="U1312" s="5" t="str">
        <f t="shared" si="191"/>
        <v/>
      </c>
    </row>
    <row r="1313" spans="7:21" x14ac:dyDescent="0.2">
      <c r="G1313" s="8"/>
      <c r="H1313" s="5"/>
      <c r="J1313" s="10" t="str">
        <f t="shared" si="186"/>
        <v/>
      </c>
      <c r="K1313" s="10" t="str">
        <f t="shared" si="187"/>
        <v/>
      </c>
      <c r="L1313" s="11" t="str">
        <f t="shared" si="189"/>
        <v/>
      </c>
      <c r="M1313" s="9" t="str">
        <f>IF(G1313&lt;&gt;"",J1313/MAX(J$3:J1313)-1,"")</f>
        <v/>
      </c>
      <c r="N1313" s="9" t="str">
        <f>IF(G1313&lt;&gt;"",K1313/MAX(K$3:K1313)-1,"")</f>
        <v/>
      </c>
      <c r="O1313" s="16" t="str">
        <f t="shared" si="185"/>
        <v/>
      </c>
      <c r="P1313" s="16" t="str">
        <f t="shared" si="185"/>
        <v/>
      </c>
      <c r="Q1313" s="16" t="str">
        <f t="shared" si="185"/>
        <v/>
      </c>
      <c r="R1313" s="5" t="str">
        <f t="shared" si="184"/>
        <v/>
      </c>
      <c r="S1313" s="5" t="str">
        <f t="shared" si="188"/>
        <v/>
      </c>
      <c r="T1313" s="5" t="str">
        <f t="shared" si="191"/>
        <v/>
      </c>
      <c r="U1313" s="5" t="str">
        <f t="shared" si="191"/>
        <v/>
      </c>
    </row>
    <row r="1314" spans="7:21" x14ac:dyDescent="0.2">
      <c r="G1314" s="8"/>
      <c r="H1314" s="5"/>
      <c r="J1314" s="10" t="str">
        <f t="shared" si="186"/>
        <v/>
      </c>
      <c r="K1314" s="10" t="str">
        <f t="shared" si="187"/>
        <v/>
      </c>
      <c r="L1314" s="11" t="str">
        <f t="shared" si="189"/>
        <v/>
      </c>
      <c r="M1314" s="9" t="str">
        <f>IF(G1314&lt;&gt;"",J1314/MAX(J$3:J1314)-1,"")</f>
        <v/>
      </c>
      <c r="N1314" s="9" t="str">
        <f>IF(G1314&lt;&gt;"",K1314/MAX(K$3:K1314)-1,"")</f>
        <v/>
      </c>
      <c r="O1314" s="16" t="str">
        <f t="shared" si="185"/>
        <v/>
      </c>
      <c r="P1314" s="16" t="str">
        <f t="shared" si="185"/>
        <v/>
      </c>
      <c r="Q1314" s="16" t="str">
        <f t="shared" si="185"/>
        <v/>
      </c>
      <c r="R1314" s="5" t="str">
        <f t="shared" si="184"/>
        <v/>
      </c>
      <c r="S1314" s="5" t="str">
        <f t="shared" si="188"/>
        <v/>
      </c>
      <c r="T1314" s="5" t="str">
        <f t="shared" si="191"/>
        <v/>
      </c>
      <c r="U1314" s="5" t="str">
        <f t="shared" si="191"/>
        <v/>
      </c>
    </row>
    <row r="1315" spans="7:21" x14ac:dyDescent="0.2">
      <c r="G1315" s="8"/>
      <c r="H1315" s="5"/>
      <c r="J1315" s="10" t="str">
        <f t="shared" si="186"/>
        <v/>
      </c>
      <c r="K1315" s="10" t="str">
        <f t="shared" si="187"/>
        <v/>
      </c>
      <c r="L1315" s="11" t="str">
        <f t="shared" si="189"/>
        <v/>
      </c>
      <c r="M1315" s="9" t="str">
        <f>IF(G1315&lt;&gt;"",J1315/MAX(J$3:J1315)-1,"")</f>
        <v/>
      </c>
      <c r="N1315" s="9" t="str">
        <f>IF(G1315&lt;&gt;"",K1315/MAX(K$3:K1315)-1,"")</f>
        <v/>
      </c>
      <c r="O1315" s="16" t="str">
        <f t="shared" si="185"/>
        <v/>
      </c>
      <c r="P1315" s="16" t="str">
        <f t="shared" si="185"/>
        <v/>
      </c>
      <c r="Q1315" s="16" t="str">
        <f t="shared" si="185"/>
        <v/>
      </c>
      <c r="R1315" s="5" t="str">
        <f t="shared" si="184"/>
        <v/>
      </c>
      <c r="S1315" s="5" t="str">
        <f t="shared" si="188"/>
        <v/>
      </c>
      <c r="T1315" s="5" t="str">
        <f t="shared" si="191"/>
        <v/>
      </c>
      <c r="U1315" s="5" t="str">
        <f t="shared" si="191"/>
        <v/>
      </c>
    </row>
    <row r="1316" spans="7:21" x14ac:dyDescent="0.2">
      <c r="G1316" s="8"/>
      <c r="H1316" s="5"/>
      <c r="J1316" s="10" t="str">
        <f t="shared" si="186"/>
        <v/>
      </c>
      <c r="K1316" s="10" t="str">
        <f t="shared" si="187"/>
        <v/>
      </c>
      <c r="L1316" s="11" t="str">
        <f t="shared" si="189"/>
        <v/>
      </c>
      <c r="M1316" s="9" t="str">
        <f>IF(G1316&lt;&gt;"",J1316/MAX(J$3:J1316)-1,"")</f>
        <v/>
      </c>
      <c r="N1316" s="9" t="str">
        <f>IF(G1316&lt;&gt;"",K1316/MAX(K$3:K1316)-1,"")</f>
        <v/>
      </c>
      <c r="O1316" s="16" t="str">
        <f t="shared" si="185"/>
        <v/>
      </c>
      <c r="P1316" s="16" t="str">
        <f t="shared" si="185"/>
        <v/>
      </c>
      <c r="Q1316" s="16" t="str">
        <f t="shared" si="185"/>
        <v/>
      </c>
      <c r="R1316" s="5" t="str">
        <f t="shared" si="184"/>
        <v/>
      </c>
      <c r="S1316" s="5" t="str">
        <f t="shared" si="188"/>
        <v/>
      </c>
      <c r="T1316" s="5" t="str">
        <f t="shared" si="191"/>
        <v/>
      </c>
      <c r="U1316" s="5" t="str">
        <f t="shared" si="191"/>
        <v/>
      </c>
    </row>
    <row r="1317" spans="7:21" x14ac:dyDescent="0.2">
      <c r="G1317" s="8"/>
      <c r="H1317" s="5"/>
      <c r="J1317" s="10" t="str">
        <f t="shared" si="186"/>
        <v/>
      </c>
      <c r="K1317" s="10" t="str">
        <f t="shared" si="187"/>
        <v/>
      </c>
      <c r="L1317" s="11" t="str">
        <f t="shared" si="189"/>
        <v/>
      </c>
      <c r="M1317" s="9" t="str">
        <f>IF(G1317&lt;&gt;"",J1317/MAX(J$3:J1317)-1,"")</f>
        <v/>
      </c>
      <c r="N1317" s="9" t="str">
        <f>IF(G1317&lt;&gt;"",K1317/MAX(K$3:K1317)-1,"")</f>
        <v/>
      </c>
      <c r="O1317" s="16" t="str">
        <f t="shared" si="185"/>
        <v/>
      </c>
      <c r="P1317" s="16" t="str">
        <f t="shared" si="185"/>
        <v/>
      </c>
      <c r="Q1317" s="16" t="str">
        <f t="shared" si="185"/>
        <v/>
      </c>
      <c r="R1317" s="5" t="str">
        <f t="shared" si="184"/>
        <v/>
      </c>
      <c r="S1317" s="5" t="str">
        <f t="shared" si="188"/>
        <v/>
      </c>
      <c r="T1317" s="5" t="str">
        <f t="shared" si="191"/>
        <v/>
      </c>
      <c r="U1317" s="5" t="str">
        <f t="shared" si="191"/>
        <v/>
      </c>
    </row>
    <row r="1318" spans="7:21" x14ac:dyDescent="0.2">
      <c r="G1318" s="8"/>
      <c r="H1318" s="5"/>
      <c r="J1318" s="10" t="str">
        <f t="shared" si="186"/>
        <v/>
      </c>
      <c r="K1318" s="10" t="str">
        <f t="shared" si="187"/>
        <v/>
      </c>
      <c r="L1318" s="11" t="str">
        <f t="shared" si="189"/>
        <v/>
      </c>
      <c r="M1318" s="9" t="str">
        <f>IF(G1318&lt;&gt;"",J1318/MAX(J$3:J1318)-1,"")</f>
        <v/>
      </c>
      <c r="N1318" s="9" t="str">
        <f>IF(G1318&lt;&gt;"",K1318/MAX(K$3:K1318)-1,"")</f>
        <v/>
      </c>
      <c r="O1318" s="16" t="str">
        <f t="shared" si="185"/>
        <v/>
      </c>
      <c r="P1318" s="16" t="str">
        <f t="shared" si="185"/>
        <v/>
      </c>
      <c r="Q1318" s="16" t="str">
        <f t="shared" si="185"/>
        <v/>
      </c>
      <c r="R1318" s="5" t="str">
        <f t="shared" si="184"/>
        <v/>
      </c>
      <c r="S1318" s="5" t="str">
        <f t="shared" si="188"/>
        <v/>
      </c>
      <c r="T1318" s="5" t="str">
        <f t="shared" si="191"/>
        <v/>
      </c>
      <c r="U1318" s="5" t="str">
        <f t="shared" si="191"/>
        <v/>
      </c>
    </row>
    <row r="1319" spans="7:21" x14ac:dyDescent="0.2">
      <c r="G1319" s="8"/>
      <c r="H1319" s="5"/>
      <c r="J1319" s="10" t="str">
        <f t="shared" si="186"/>
        <v/>
      </c>
      <c r="K1319" s="10" t="str">
        <f t="shared" si="187"/>
        <v/>
      </c>
      <c r="L1319" s="11" t="str">
        <f t="shared" si="189"/>
        <v/>
      </c>
      <c r="M1319" s="9" t="str">
        <f>IF(G1319&lt;&gt;"",J1319/MAX(J$3:J1319)-1,"")</f>
        <v/>
      </c>
      <c r="N1319" s="9" t="str">
        <f>IF(G1319&lt;&gt;"",K1319/MAX(K$3:K1319)-1,"")</f>
        <v/>
      </c>
      <c r="O1319" s="16" t="str">
        <f t="shared" si="185"/>
        <v/>
      </c>
      <c r="P1319" s="16" t="str">
        <f t="shared" si="185"/>
        <v/>
      </c>
      <c r="Q1319" s="16" t="str">
        <f t="shared" si="185"/>
        <v/>
      </c>
      <c r="R1319" s="5" t="str">
        <f t="shared" si="184"/>
        <v/>
      </c>
      <c r="S1319" s="5" t="str">
        <f t="shared" si="188"/>
        <v/>
      </c>
      <c r="T1319" s="5" t="str">
        <f t="shared" si="191"/>
        <v/>
      </c>
      <c r="U1319" s="5" t="str">
        <f t="shared" si="191"/>
        <v/>
      </c>
    </row>
    <row r="1320" spans="7:21" x14ac:dyDescent="0.2">
      <c r="G1320" s="8"/>
      <c r="H1320" s="5"/>
      <c r="J1320" s="10" t="str">
        <f t="shared" si="186"/>
        <v/>
      </c>
      <c r="K1320" s="10" t="str">
        <f t="shared" si="187"/>
        <v/>
      </c>
      <c r="L1320" s="11" t="str">
        <f t="shared" si="189"/>
        <v/>
      </c>
      <c r="M1320" s="9" t="str">
        <f>IF(G1320&lt;&gt;"",J1320/MAX(J$3:J1320)-1,"")</f>
        <v/>
      </c>
      <c r="N1320" s="9" t="str">
        <f>IF(G1320&lt;&gt;"",K1320/MAX(K$3:K1320)-1,"")</f>
        <v/>
      </c>
      <c r="O1320" s="16" t="str">
        <f t="shared" si="185"/>
        <v/>
      </c>
      <c r="P1320" s="16" t="str">
        <f t="shared" si="185"/>
        <v/>
      </c>
      <c r="Q1320" s="16" t="str">
        <f t="shared" si="185"/>
        <v/>
      </c>
      <c r="R1320" s="5" t="str">
        <f t="shared" si="184"/>
        <v/>
      </c>
      <c r="S1320" s="5" t="str">
        <f t="shared" si="188"/>
        <v/>
      </c>
      <c r="T1320" s="5" t="str">
        <f t="shared" ref="T1320:U1335" si="192">IF($G1320&lt;&gt;"",_xlfn.STDEV.S(O1076:O1320),"")</f>
        <v/>
      </c>
      <c r="U1320" s="5" t="str">
        <f t="shared" si="192"/>
        <v/>
      </c>
    </row>
    <row r="1321" spans="7:21" x14ac:dyDescent="0.2">
      <c r="G1321" s="8"/>
      <c r="H1321" s="5"/>
      <c r="J1321" s="10" t="str">
        <f t="shared" si="186"/>
        <v/>
      </c>
      <c r="K1321" s="10" t="str">
        <f t="shared" si="187"/>
        <v/>
      </c>
      <c r="L1321" s="11" t="str">
        <f t="shared" si="189"/>
        <v/>
      </c>
      <c r="M1321" s="9" t="str">
        <f>IF(G1321&lt;&gt;"",J1321/MAX(J$3:J1321)-1,"")</f>
        <v/>
      </c>
      <c r="N1321" s="9" t="str">
        <f>IF(G1321&lt;&gt;"",K1321/MAX(K$3:K1321)-1,"")</f>
        <v/>
      </c>
      <c r="O1321" s="16" t="str">
        <f t="shared" si="185"/>
        <v/>
      </c>
      <c r="P1321" s="16" t="str">
        <f t="shared" si="185"/>
        <v/>
      </c>
      <c r="Q1321" s="16" t="str">
        <f t="shared" si="185"/>
        <v/>
      </c>
      <c r="R1321" s="5" t="str">
        <f t="shared" si="184"/>
        <v/>
      </c>
      <c r="S1321" s="5" t="str">
        <f t="shared" si="188"/>
        <v/>
      </c>
      <c r="T1321" s="5" t="str">
        <f t="shared" si="192"/>
        <v/>
      </c>
      <c r="U1321" s="5" t="str">
        <f t="shared" si="192"/>
        <v/>
      </c>
    </row>
    <row r="1322" spans="7:21" x14ac:dyDescent="0.2">
      <c r="G1322" s="8"/>
      <c r="H1322" s="5"/>
      <c r="J1322" s="10" t="str">
        <f t="shared" si="186"/>
        <v/>
      </c>
      <c r="K1322" s="10" t="str">
        <f t="shared" si="187"/>
        <v/>
      </c>
      <c r="L1322" s="11" t="str">
        <f t="shared" si="189"/>
        <v/>
      </c>
      <c r="M1322" s="9" t="str">
        <f>IF(G1322&lt;&gt;"",J1322/MAX(J$3:J1322)-1,"")</f>
        <v/>
      </c>
      <c r="N1322" s="9" t="str">
        <f>IF(G1322&lt;&gt;"",K1322/MAX(K$3:K1322)-1,"")</f>
        <v/>
      </c>
      <c r="O1322" s="16" t="str">
        <f t="shared" si="185"/>
        <v/>
      </c>
      <c r="P1322" s="16" t="str">
        <f t="shared" si="185"/>
        <v/>
      </c>
      <c r="Q1322" s="16" t="str">
        <f t="shared" si="185"/>
        <v/>
      </c>
      <c r="R1322" s="5" t="str">
        <f t="shared" si="184"/>
        <v/>
      </c>
      <c r="S1322" s="5" t="str">
        <f t="shared" si="188"/>
        <v/>
      </c>
      <c r="T1322" s="5" t="str">
        <f t="shared" si="192"/>
        <v/>
      </c>
      <c r="U1322" s="5" t="str">
        <f t="shared" si="192"/>
        <v/>
      </c>
    </row>
    <row r="1323" spans="7:21" x14ac:dyDescent="0.2">
      <c r="G1323" s="8"/>
      <c r="H1323" s="5"/>
      <c r="J1323" s="10" t="str">
        <f t="shared" si="186"/>
        <v/>
      </c>
      <c r="K1323" s="10" t="str">
        <f t="shared" si="187"/>
        <v/>
      </c>
      <c r="L1323" s="11" t="str">
        <f t="shared" si="189"/>
        <v/>
      </c>
      <c r="M1323" s="9" t="str">
        <f>IF(G1323&lt;&gt;"",J1323/MAX(J$3:J1323)-1,"")</f>
        <v/>
      </c>
      <c r="N1323" s="9" t="str">
        <f>IF(G1323&lt;&gt;"",K1323/MAX(K$3:K1323)-1,"")</f>
        <v/>
      </c>
      <c r="O1323" s="16" t="str">
        <f t="shared" si="185"/>
        <v/>
      </c>
      <c r="P1323" s="16" t="str">
        <f t="shared" si="185"/>
        <v/>
      </c>
      <c r="Q1323" s="16" t="str">
        <f t="shared" si="185"/>
        <v/>
      </c>
      <c r="R1323" s="5" t="str">
        <f t="shared" si="184"/>
        <v/>
      </c>
      <c r="S1323" s="5" t="str">
        <f t="shared" si="188"/>
        <v/>
      </c>
      <c r="T1323" s="5" t="str">
        <f t="shared" si="192"/>
        <v/>
      </c>
      <c r="U1323" s="5" t="str">
        <f t="shared" si="192"/>
        <v/>
      </c>
    </row>
    <row r="1324" spans="7:21" x14ac:dyDescent="0.2">
      <c r="G1324" s="8"/>
      <c r="H1324" s="5"/>
      <c r="J1324" s="10" t="str">
        <f t="shared" si="186"/>
        <v/>
      </c>
      <c r="K1324" s="10" t="str">
        <f t="shared" si="187"/>
        <v/>
      </c>
      <c r="L1324" s="11" t="str">
        <f t="shared" si="189"/>
        <v/>
      </c>
      <c r="M1324" s="9" t="str">
        <f>IF(G1324&lt;&gt;"",J1324/MAX(J$3:J1324)-1,"")</f>
        <v/>
      </c>
      <c r="N1324" s="9" t="str">
        <f>IF(G1324&lt;&gt;"",K1324/MAX(K$3:K1324)-1,"")</f>
        <v/>
      </c>
      <c r="O1324" s="16" t="str">
        <f t="shared" si="185"/>
        <v/>
      </c>
      <c r="P1324" s="16" t="str">
        <f t="shared" si="185"/>
        <v/>
      </c>
      <c r="Q1324" s="16" t="str">
        <f t="shared" si="185"/>
        <v/>
      </c>
      <c r="R1324" s="5" t="str">
        <f t="shared" si="184"/>
        <v/>
      </c>
      <c r="S1324" s="5" t="str">
        <f t="shared" si="188"/>
        <v/>
      </c>
      <c r="T1324" s="5" t="str">
        <f t="shared" si="192"/>
        <v/>
      </c>
      <c r="U1324" s="5" t="str">
        <f t="shared" si="192"/>
        <v/>
      </c>
    </row>
    <row r="1325" spans="7:21" x14ac:dyDescent="0.2">
      <c r="G1325" s="8"/>
      <c r="H1325" s="5"/>
      <c r="J1325" s="10" t="str">
        <f t="shared" si="186"/>
        <v/>
      </c>
      <c r="K1325" s="10" t="str">
        <f t="shared" si="187"/>
        <v/>
      </c>
      <c r="L1325" s="11" t="str">
        <f t="shared" si="189"/>
        <v/>
      </c>
      <c r="M1325" s="9" t="str">
        <f>IF(G1325&lt;&gt;"",J1325/MAX(J$3:J1325)-1,"")</f>
        <v/>
      </c>
      <c r="N1325" s="9" t="str">
        <f>IF(G1325&lt;&gt;"",K1325/MAX(K$3:K1325)-1,"")</f>
        <v/>
      </c>
      <c r="O1325" s="16" t="str">
        <f t="shared" si="185"/>
        <v/>
      </c>
      <c r="P1325" s="16" t="str">
        <f t="shared" si="185"/>
        <v/>
      </c>
      <c r="Q1325" s="16" t="str">
        <f t="shared" si="185"/>
        <v/>
      </c>
      <c r="R1325" s="5" t="str">
        <f t="shared" si="184"/>
        <v/>
      </c>
      <c r="S1325" s="5" t="str">
        <f t="shared" si="188"/>
        <v/>
      </c>
      <c r="T1325" s="5" t="str">
        <f t="shared" si="192"/>
        <v/>
      </c>
      <c r="U1325" s="5" t="str">
        <f t="shared" si="192"/>
        <v/>
      </c>
    </row>
    <row r="1326" spans="7:21" x14ac:dyDescent="0.2">
      <c r="G1326" s="8"/>
      <c r="H1326" s="5"/>
      <c r="J1326" s="10" t="str">
        <f t="shared" si="186"/>
        <v/>
      </c>
      <c r="K1326" s="10" t="str">
        <f t="shared" si="187"/>
        <v/>
      </c>
      <c r="L1326" s="11" t="str">
        <f t="shared" si="189"/>
        <v/>
      </c>
      <c r="M1326" s="9" t="str">
        <f>IF(G1326&lt;&gt;"",J1326/MAX(J$3:J1326)-1,"")</f>
        <v/>
      </c>
      <c r="N1326" s="9" t="str">
        <f>IF(G1326&lt;&gt;"",K1326/MAX(K$3:K1326)-1,"")</f>
        <v/>
      </c>
      <c r="O1326" s="16" t="str">
        <f t="shared" si="185"/>
        <v/>
      </c>
      <c r="P1326" s="16" t="str">
        <f t="shared" si="185"/>
        <v/>
      </c>
      <c r="Q1326" s="16" t="str">
        <f t="shared" si="185"/>
        <v/>
      </c>
      <c r="R1326" s="5" t="str">
        <f t="shared" si="184"/>
        <v/>
      </c>
      <c r="S1326" s="5" t="str">
        <f t="shared" si="188"/>
        <v/>
      </c>
      <c r="T1326" s="5" t="str">
        <f t="shared" si="192"/>
        <v/>
      </c>
      <c r="U1326" s="5" t="str">
        <f t="shared" si="192"/>
        <v/>
      </c>
    </row>
    <row r="1327" spans="7:21" x14ac:dyDescent="0.2">
      <c r="G1327" s="8"/>
      <c r="H1327" s="5"/>
      <c r="J1327" s="10" t="str">
        <f t="shared" si="186"/>
        <v/>
      </c>
      <c r="K1327" s="10" t="str">
        <f t="shared" si="187"/>
        <v/>
      </c>
      <c r="L1327" s="11" t="str">
        <f t="shared" si="189"/>
        <v/>
      </c>
      <c r="M1327" s="9" t="str">
        <f>IF(G1327&lt;&gt;"",J1327/MAX(J$3:J1327)-1,"")</f>
        <v/>
      </c>
      <c r="N1327" s="9" t="str">
        <f>IF(G1327&lt;&gt;"",K1327/MAX(K$3:K1327)-1,"")</f>
        <v/>
      </c>
      <c r="O1327" s="16" t="str">
        <f t="shared" si="185"/>
        <v/>
      </c>
      <c r="P1327" s="16" t="str">
        <f t="shared" si="185"/>
        <v/>
      </c>
      <c r="Q1327" s="16" t="str">
        <f t="shared" si="185"/>
        <v/>
      </c>
      <c r="R1327" s="5" t="str">
        <f t="shared" si="184"/>
        <v/>
      </c>
      <c r="S1327" s="5" t="str">
        <f t="shared" si="188"/>
        <v/>
      </c>
      <c r="T1327" s="5" t="str">
        <f t="shared" si="192"/>
        <v/>
      </c>
      <c r="U1327" s="5" t="str">
        <f t="shared" si="192"/>
        <v/>
      </c>
    </row>
    <row r="1328" spans="7:21" x14ac:dyDescent="0.2">
      <c r="G1328" s="8"/>
      <c r="H1328" s="5"/>
      <c r="J1328" s="10" t="str">
        <f t="shared" si="186"/>
        <v/>
      </c>
      <c r="K1328" s="10" t="str">
        <f t="shared" si="187"/>
        <v/>
      </c>
      <c r="L1328" s="11" t="str">
        <f t="shared" si="189"/>
        <v/>
      </c>
      <c r="M1328" s="9" t="str">
        <f>IF(G1328&lt;&gt;"",J1328/MAX(J$3:J1328)-1,"")</f>
        <v/>
      </c>
      <c r="N1328" s="9" t="str">
        <f>IF(G1328&lt;&gt;"",K1328/MAX(K$3:K1328)-1,"")</f>
        <v/>
      </c>
      <c r="O1328" s="16" t="str">
        <f t="shared" si="185"/>
        <v/>
      </c>
      <c r="P1328" s="16" t="str">
        <f t="shared" si="185"/>
        <v/>
      </c>
      <c r="Q1328" s="16" t="str">
        <f t="shared" si="185"/>
        <v/>
      </c>
      <c r="R1328" s="5" t="str">
        <f t="shared" si="184"/>
        <v/>
      </c>
      <c r="S1328" s="5" t="str">
        <f t="shared" si="188"/>
        <v/>
      </c>
      <c r="T1328" s="5" t="str">
        <f t="shared" si="192"/>
        <v/>
      </c>
      <c r="U1328" s="5" t="str">
        <f t="shared" si="192"/>
        <v/>
      </c>
    </row>
    <row r="1329" spans="7:21" x14ac:dyDescent="0.2">
      <c r="G1329" s="8"/>
      <c r="H1329" s="5"/>
      <c r="J1329" s="10" t="str">
        <f t="shared" si="186"/>
        <v/>
      </c>
      <c r="K1329" s="10" t="str">
        <f t="shared" si="187"/>
        <v/>
      </c>
      <c r="L1329" s="11" t="str">
        <f t="shared" si="189"/>
        <v/>
      </c>
      <c r="M1329" s="9" t="str">
        <f>IF(G1329&lt;&gt;"",J1329/MAX(J$3:J1329)-1,"")</f>
        <v/>
      </c>
      <c r="N1329" s="9" t="str">
        <f>IF(G1329&lt;&gt;"",K1329/MAX(K$3:K1329)-1,"")</f>
        <v/>
      </c>
      <c r="O1329" s="16" t="str">
        <f t="shared" si="185"/>
        <v/>
      </c>
      <c r="P1329" s="16" t="str">
        <f t="shared" si="185"/>
        <v/>
      </c>
      <c r="Q1329" s="16" t="str">
        <f t="shared" si="185"/>
        <v/>
      </c>
      <c r="R1329" s="5" t="str">
        <f t="shared" si="184"/>
        <v/>
      </c>
      <c r="S1329" s="5" t="str">
        <f t="shared" si="188"/>
        <v/>
      </c>
      <c r="T1329" s="5" t="str">
        <f t="shared" si="192"/>
        <v/>
      </c>
      <c r="U1329" s="5" t="str">
        <f t="shared" si="192"/>
        <v/>
      </c>
    </row>
    <row r="1330" spans="7:21" x14ac:dyDescent="0.2">
      <c r="G1330" s="8"/>
      <c r="H1330" s="5"/>
      <c r="J1330" s="10" t="str">
        <f t="shared" si="186"/>
        <v/>
      </c>
      <c r="K1330" s="10" t="str">
        <f t="shared" si="187"/>
        <v/>
      </c>
      <c r="L1330" s="11" t="str">
        <f t="shared" si="189"/>
        <v/>
      </c>
      <c r="M1330" s="9" t="str">
        <f>IF(G1330&lt;&gt;"",J1330/MAX(J$3:J1330)-1,"")</f>
        <v/>
      </c>
      <c r="N1330" s="9" t="str">
        <f>IF(G1330&lt;&gt;"",K1330/MAX(K$3:K1330)-1,"")</f>
        <v/>
      </c>
      <c r="O1330" s="16" t="str">
        <f t="shared" si="185"/>
        <v/>
      </c>
      <c r="P1330" s="16" t="str">
        <f t="shared" si="185"/>
        <v/>
      </c>
      <c r="Q1330" s="16" t="str">
        <f t="shared" si="185"/>
        <v/>
      </c>
      <c r="R1330" s="5" t="str">
        <f t="shared" si="184"/>
        <v/>
      </c>
      <c r="S1330" s="5" t="str">
        <f t="shared" si="188"/>
        <v/>
      </c>
      <c r="T1330" s="5" t="str">
        <f t="shared" si="192"/>
        <v/>
      </c>
      <c r="U1330" s="5" t="str">
        <f t="shared" si="192"/>
        <v/>
      </c>
    </row>
    <row r="1331" spans="7:21" x14ac:dyDescent="0.2">
      <c r="G1331" s="8"/>
      <c r="H1331" s="5"/>
      <c r="J1331" s="10" t="str">
        <f t="shared" si="186"/>
        <v/>
      </c>
      <c r="K1331" s="10" t="str">
        <f t="shared" si="187"/>
        <v/>
      </c>
      <c r="L1331" s="11" t="str">
        <f t="shared" si="189"/>
        <v/>
      </c>
      <c r="M1331" s="9" t="str">
        <f>IF(G1331&lt;&gt;"",J1331/MAX(J$3:J1331)-1,"")</f>
        <v/>
      </c>
      <c r="N1331" s="9" t="str">
        <f>IF(G1331&lt;&gt;"",K1331/MAX(K$3:K1331)-1,"")</f>
        <v/>
      </c>
      <c r="O1331" s="16" t="str">
        <f t="shared" si="185"/>
        <v/>
      </c>
      <c r="P1331" s="16" t="str">
        <f t="shared" si="185"/>
        <v/>
      </c>
      <c r="Q1331" s="16" t="str">
        <f t="shared" si="185"/>
        <v/>
      </c>
      <c r="R1331" s="5" t="str">
        <f t="shared" si="184"/>
        <v/>
      </c>
      <c r="S1331" s="5" t="str">
        <f t="shared" si="188"/>
        <v/>
      </c>
      <c r="T1331" s="5" t="str">
        <f t="shared" si="192"/>
        <v/>
      </c>
      <c r="U1331" s="5" t="str">
        <f t="shared" si="192"/>
        <v/>
      </c>
    </row>
    <row r="1332" spans="7:21" x14ac:dyDescent="0.2">
      <c r="G1332" s="8"/>
      <c r="H1332" s="5"/>
      <c r="J1332" s="10" t="str">
        <f t="shared" si="186"/>
        <v/>
      </c>
      <c r="K1332" s="10" t="str">
        <f t="shared" si="187"/>
        <v/>
      </c>
      <c r="L1332" s="11" t="str">
        <f t="shared" si="189"/>
        <v/>
      </c>
      <c r="M1332" s="9" t="str">
        <f>IF(G1332&lt;&gt;"",J1332/MAX(J$3:J1332)-1,"")</f>
        <v/>
      </c>
      <c r="N1332" s="9" t="str">
        <f>IF(G1332&lt;&gt;"",K1332/MAX(K$3:K1332)-1,"")</f>
        <v/>
      </c>
      <c r="O1332" s="16" t="str">
        <f t="shared" si="185"/>
        <v/>
      </c>
      <c r="P1332" s="16" t="str">
        <f t="shared" si="185"/>
        <v/>
      </c>
      <c r="Q1332" s="16" t="str">
        <f t="shared" si="185"/>
        <v/>
      </c>
      <c r="R1332" s="5" t="str">
        <f t="shared" si="184"/>
        <v/>
      </c>
      <c r="S1332" s="5" t="str">
        <f t="shared" si="188"/>
        <v/>
      </c>
      <c r="T1332" s="5" t="str">
        <f t="shared" si="192"/>
        <v/>
      </c>
      <c r="U1332" s="5" t="str">
        <f t="shared" si="192"/>
        <v/>
      </c>
    </row>
    <row r="1333" spans="7:21" x14ac:dyDescent="0.2">
      <c r="G1333" s="8"/>
      <c r="H1333" s="5"/>
      <c r="J1333" s="10" t="str">
        <f t="shared" si="186"/>
        <v/>
      </c>
      <c r="K1333" s="10" t="str">
        <f t="shared" si="187"/>
        <v/>
      </c>
      <c r="L1333" s="11" t="str">
        <f t="shared" si="189"/>
        <v/>
      </c>
      <c r="M1333" s="9" t="str">
        <f>IF(G1333&lt;&gt;"",J1333/MAX(J$3:J1333)-1,"")</f>
        <v/>
      </c>
      <c r="N1333" s="9" t="str">
        <f>IF(G1333&lt;&gt;"",K1333/MAX(K$3:K1333)-1,"")</f>
        <v/>
      </c>
      <c r="O1333" s="16" t="str">
        <f t="shared" si="185"/>
        <v/>
      </c>
      <c r="P1333" s="16" t="str">
        <f t="shared" si="185"/>
        <v/>
      </c>
      <c r="Q1333" s="16" t="str">
        <f t="shared" si="185"/>
        <v/>
      </c>
      <c r="R1333" s="5" t="str">
        <f t="shared" si="184"/>
        <v/>
      </c>
      <c r="S1333" s="5" t="str">
        <f t="shared" si="188"/>
        <v/>
      </c>
      <c r="T1333" s="5" t="str">
        <f t="shared" si="192"/>
        <v/>
      </c>
      <c r="U1333" s="5" t="str">
        <f t="shared" si="192"/>
        <v/>
      </c>
    </row>
    <row r="1334" spans="7:21" x14ac:dyDescent="0.2">
      <c r="G1334" s="8"/>
      <c r="H1334" s="5"/>
      <c r="J1334" s="10" t="str">
        <f t="shared" si="186"/>
        <v/>
      </c>
      <c r="K1334" s="10" t="str">
        <f t="shared" si="187"/>
        <v/>
      </c>
      <c r="L1334" s="11" t="str">
        <f t="shared" si="189"/>
        <v/>
      </c>
      <c r="M1334" s="9" t="str">
        <f>IF(G1334&lt;&gt;"",J1334/MAX(J$3:J1334)-1,"")</f>
        <v/>
      </c>
      <c r="N1334" s="9" t="str">
        <f>IF(G1334&lt;&gt;"",K1334/MAX(K$3:K1334)-1,"")</f>
        <v/>
      </c>
      <c r="O1334" s="16" t="str">
        <f t="shared" si="185"/>
        <v/>
      </c>
      <c r="P1334" s="16" t="str">
        <f t="shared" si="185"/>
        <v/>
      </c>
      <c r="Q1334" s="16" t="str">
        <f t="shared" si="185"/>
        <v/>
      </c>
      <c r="R1334" s="5" t="str">
        <f t="shared" si="184"/>
        <v/>
      </c>
      <c r="S1334" s="5" t="str">
        <f t="shared" si="188"/>
        <v/>
      </c>
      <c r="T1334" s="5" t="str">
        <f t="shared" si="192"/>
        <v/>
      </c>
      <c r="U1334" s="5" t="str">
        <f t="shared" si="192"/>
        <v/>
      </c>
    </row>
    <row r="1335" spans="7:21" x14ac:dyDescent="0.2">
      <c r="G1335" s="8"/>
      <c r="H1335" s="5"/>
      <c r="J1335" s="10" t="str">
        <f t="shared" si="186"/>
        <v/>
      </c>
      <c r="K1335" s="10" t="str">
        <f t="shared" si="187"/>
        <v/>
      </c>
      <c r="L1335" s="11" t="str">
        <f t="shared" si="189"/>
        <v/>
      </c>
      <c r="M1335" s="9" t="str">
        <f>IF(G1335&lt;&gt;"",J1335/MAX(J$3:J1335)-1,"")</f>
        <v/>
      </c>
      <c r="N1335" s="9" t="str">
        <f>IF(G1335&lt;&gt;"",K1335/MAX(K$3:K1335)-1,"")</f>
        <v/>
      </c>
      <c r="O1335" s="16" t="str">
        <f t="shared" si="185"/>
        <v/>
      </c>
      <c r="P1335" s="16" t="str">
        <f t="shared" si="185"/>
        <v/>
      </c>
      <c r="Q1335" s="16" t="str">
        <f t="shared" si="185"/>
        <v/>
      </c>
      <c r="R1335" s="5" t="str">
        <f t="shared" si="184"/>
        <v/>
      </c>
      <c r="S1335" s="5" t="str">
        <f t="shared" si="188"/>
        <v/>
      </c>
      <c r="T1335" s="5" t="str">
        <f t="shared" si="192"/>
        <v/>
      </c>
      <c r="U1335" s="5" t="str">
        <f t="shared" si="192"/>
        <v/>
      </c>
    </row>
    <row r="1336" spans="7:21" x14ac:dyDescent="0.2">
      <c r="G1336" s="8"/>
      <c r="H1336" s="5"/>
      <c r="J1336" s="10" t="str">
        <f t="shared" si="186"/>
        <v/>
      </c>
      <c r="K1336" s="10" t="str">
        <f t="shared" si="187"/>
        <v/>
      </c>
      <c r="L1336" s="11" t="str">
        <f t="shared" si="189"/>
        <v/>
      </c>
      <c r="M1336" s="9" t="str">
        <f>IF(G1336&lt;&gt;"",J1336/MAX(J$3:J1336)-1,"")</f>
        <v/>
      </c>
      <c r="N1336" s="9" t="str">
        <f>IF(G1336&lt;&gt;"",K1336/MAX(K$3:K1336)-1,"")</f>
        <v/>
      </c>
      <c r="O1336" s="16" t="str">
        <f t="shared" si="185"/>
        <v/>
      </c>
      <c r="P1336" s="16" t="str">
        <f t="shared" si="185"/>
        <v/>
      </c>
      <c r="Q1336" s="16" t="str">
        <f t="shared" si="185"/>
        <v/>
      </c>
      <c r="R1336" s="5" t="str">
        <f t="shared" si="184"/>
        <v/>
      </c>
      <c r="S1336" s="5" t="str">
        <f t="shared" si="188"/>
        <v/>
      </c>
      <c r="T1336" s="5" t="str">
        <f t="shared" ref="T1336:U1351" si="193">IF($G1336&lt;&gt;"",_xlfn.STDEV.S(O1092:O1336),"")</f>
        <v/>
      </c>
      <c r="U1336" s="5" t="str">
        <f t="shared" si="193"/>
        <v/>
      </c>
    </row>
    <row r="1337" spans="7:21" x14ac:dyDescent="0.2">
      <c r="G1337" s="8"/>
      <c r="H1337" s="5"/>
      <c r="J1337" s="10" t="str">
        <f t="shared" si="186"/>
        <v/>
      </c>
      <c r="K1337" s="10" t="str">
        <f t="shared" si="187"/>
        <v/>
      </c>
      <c r="L1337" s="11" t="str">
        <f t="shared" si="189"/>
        <v/>
      </c>
      <c r="M1337" s="9" t="str">
        <f>IF(G1337&lt;&gt;"",J1337/MAX(J$3:J1337)-1,"")</f>
        <v/>
      </c>
      <c r="N1337" s="9" t="str">
        <f>IF(G1337&lt;&gt;"",K1337/MAX(K$3:K1337)-1,"")</f>
        <v/>
      </c>
      <c r="O1337" s="16" t="str">
        <f t="shared" si="185"/>
        <v/>
      </c>
      <c r="P1337" s="16" t="str">
        <f t="shared" si="185"/>
        <v/>
      </c>
      <c r="Q1337" s="16" t="str">
        <f t="shared" si="185"/>
        <v/>
      </c>
      <c r="R1337" s="5" t="str">
        <f t="shared" si="184"/>
        <v/>
      </c>
      <c r="S1337" s="5" t="str">
        <f t="shared" si="188"/>
        <v/>
      </c>
      <c r="T1337" s="5" t="str">
        <f t="shared" si="193"/>
        <v/>
      </c>
      <c r="U1337" s="5" t="str">
        <f t="shared" si="193"/>
        <v/>
      </c>
    </row>
    <row r="1338" spans="7:21" x14ac:dyDescent="0.2">
      <c r="G1338" s="8"/>
      <c r="H1338" s="5"/>
      <c r="J1338" s="10" t="str">
        <f t="shared" si="186"/>
        <v/>
      </c>
      <c r="K1338" s="10" t="str">
        <f t="shared" si="187"/>
        <v/>
      </c>
      <c r="L1338" s="11" t="str">
        <f t="shared" si="189"/>
        <v/>
      </c>
      <c r="M1338" s="9" t="str">
        <f>IF(G1338&lt;&gt;"",J1338/MAX(J$3:J1338)-1,"")</f>
        <v/>
      </c>
      <c r="N1338" s="9" t="str">
        <f>IF(G1338&lt;&gt;"",K1338/MAX(K$3:K1338)-1,"")</f>
        <v/>
      </c>
      <c r="O1338" s="16" t="str">
        <f t="shared" si="185"/>
        <v/>
      </c>
      <c r="P1338" s="16" t="str">
        <f t="shared" si="185"/>
        <v/>
      </c>
      <c r="Q1338" s="16" t="str">
        <f t="shared" si="185"/>
        <v/>
      </c>
      <c r="R1338" s="5" t="str">
        <f t="shared" si="184"/>
        <v/>
      </c>
      <c r="S1338" s="5" t="str">
        <f t="shared" si="188"/>
        <v/>
      </c>
      <c r="T1338" s="5" t="str">
        <f t="shared" si="193"/>
        <v/>
      </c>
      <c r="U1338" s="5" t="str">
        <f t="shared" si="193"/>
        <v/>
      </c>
    </row>
    <row r="1339" spans="7:21" x14ac:dyDescent="0.2">
      <c r="G1339" s="8"/>
      <c r="H1339" s="5"/>
      <c r="J1339" s="10" t="str">
        <f t="shared" si="186"/>
        <v/>
      </c>
      <c r="K1339" s="10" t="str">
        <f t="shared" si="187"/>
        <v/>
      </c>
      <c r="L1339" s="11" t="str">
        <f t="shared" si="189"/>
        <v/>
      </c>
      <c r="M1339" s="9" t="str">
        <f>IF(G1339&lt;&gt;"",J1339/MAX(J$3:J1339)-1,"")</f>
        <v/>
      </c>
      <c r="N1339" s="9" t="str">
        <f>IF(G1339&lt;&gt;"",K1339/MAX(K$3:K1339)-1,"")</f>
        <v/>
      </c>
      <c r="O1339" s="16" t="str">
        <f t="shared" si="185"/>
        <v/>
      </c>
      <c r="P1339" s="16" t="str">
        <f t="shared" si="185"/>
        <v/>
      </c>
      <c r="Q1339" s="16" t="str">
        <f t="shared" si="185"/>
        <v/>
      </c>
      <c r="R1339" s="5" t="str">
        <f t="shared" si="184"/>
        <v/>
      </c>
      <c r="S1339" s="5" t="str">
        <f t="shared" si="188"/>
        <v/>
      </c>
      <c r="T1339" s="5" t="str">
        <f t="shared" si="193"/>
        <v/>
      </c>
      <c r="U1339" s="5" t="str">
        <f t="shared" si="193"/>
        <v/>
      </c>
    </row>
    <row r="1340" spans="7:21" x14ac:dyDescent="0.2">
      <c r="G1340" s="8"/>
      <c r="H1340" s="5"/>
      <c r="J1340" s="10" t="str">
        <f t="shared" si="186"/>
        <v/>
      </c>
      <c r="K1340" s="10" t="str">
        <f t="shared" si="187"/>
        <v/>
      </c>
      <c r="L1340" s="11" t="str">
        <f t="shared" si="189"/>
        <v/>
      </c>
      <c r="M1340" s="9" t="str">
        <f>IF(G1340&lt;&gt;"",J1340/MAX(J$3:J1340)-1,"")</f>
        <v/>
      </c>
      <c r="N1340" s="9" t="str">
        <f>IF(G1340&lt;&gt;"",K1340/MAX(K$3:K1340)-1,"")</f>
        <v/>
      </c>
      <c r="O1340" s="16" t="str">
        <f t="shared" si="185"/>
        <v/>
      </c>
      <c r="P1340" s="16" t="str">
        <f t="shared" si="185"/>
        <v/>
      </c>
      <c r="Q1340" s="16" t="str">
        <f t="shared" si="185"/>
        <v/>
      </c>
      <c r="R1340" s="5" t="str">
        <f t="shared" si="184"/>
        <v/>
      </c>
      <c r="S1340" s="5" t="str">
        <f t="shared" si="188"/>
        <v/>
      </c>
      <c r="T1340" s="5" t="str">
        <f t="shared" si="193"/>
        <v/>
      </c>
      <c r="U1340" s="5" t="str">
        <f t="shared" si="193"/>
        <v/>
      </c>
    </row>
    <row r="1341" spans="7:21" x14ac:dyDescent="0.2">
      <c r="G1341" s="8"/>
      <c r="H1341" s="5"/>
      <c r="J1341" s="10" t="str">
        <f t="shared" si="186"/>
        <v/>
      </c>
      <c r="K1341" s="10" t="str">
        <f t="shared" si="187"/>
        <v/>
      </c>
      <c r="L1341" s="11" t="str">
        <f t="shared" si="189"/>
        <v/>
      </c>
      <c r="M1341" s="9" t="str">
        <f>IF(G1341&lt;&gt;"",J1341/MAX(J$3:J1341)-1,"")</f>
        <v/>
      </c>
      <c r="N1341" s="9" t="str">
        <f>IF(G1341&lt;&gt;"",K1341/MAX(K$3:K1341)-1,"")</f>
        <v/>
      </c>
      <c r="O1341" s="16" t="str">
        <f t="shared" si="185"/>
        <v/>
      </c>
      <c r="P1341" s="16" t="str">
        <f t="shared" si="185"/>
        <v/>
      </c>
      <c r="Q1341" s="16" t="str">
        <f t="shared" si="185"/>
        <v/>
      </c>
      <c r="R1341" s="5" t="str">
        <f t="shared" ref="R1341:R1404" si="194">IF(G1341&lt;&gt;"",_xlfn.STDEV.S(Q1220:Q1341)*SQRT($B$5),"")</f>
        <v/>
      </c>
      <c r="S1341" s="5" t="str">
        <f t="shared" si="188"/>
        <v/>
      </c>
      <c r="T1341" s="5" t="str">
        <f t="shared" si="193"/>
        <v/>
      </c>
      <c r="U1341" s="5" t="str">
        <f t="shared" si="193"/>
        <v/>
      </c>
    </row>
    <row r="1342" spans="7:21" x14ac:dyDescent="0.2">
      <c r="G1342" s="8"/>
      <c r="H1342" s="5"/>
      <c r="J1342" s="10" t="str">
        <f t="shared" si="186"/>
        <v/>
      </c>
      <c r="K1342" s="10" t="str">
        <f t="shared" si="187"/>
        <v/>
      </c>
      <c r="L1342" s="11" t="str">
        <f t="shared" si="189"/>
        <v/>
      </c>
      <c r="M1342" s="9" t="str">
        <f>IF(G1342&lt;&gt;"",J1342/MAX(J$3:J1342)-1,"")</f>
        <v/>
      </c>
      <c r="N1342" s="9" t="str">
        <f>IF(G1342&lt;&gt;"",K1342/MAX(K$3:K1342)-1,"")</f>
        <v/>
      </c>
      <c r="O1342" s="16" t="str">
        <f t="shared" si="185"/>
        <v/>
      </c>
      <c r="P1342" s="16" t="str">
        <f t="shared" si="185"/>
        <v/>
      </c>
      <c r="Q1342" s="16" t="str">
        <f t="shared" si="185"/>
        <v/>
      </c>
      <c r="R1342" s="5" t="str">
        <f t="shared" si="194"/>
        <v/>
      </c>
      <c r="S1342" s="5" t="str">
        <f t="shared" si="188"/>
        <v/>
      </c>
      <c r="T1342" s="5" t="str">
        <f t="shared" si="193"/>
        <v/>
      </c>
      <c r="U1342" s="5" t="str">
        <f t="shared" si="193"/>
        <v/>
      </c>
    </row>
    <row r="1343" spans="7:21" x14ac:dyDescent="0.2">
      <c r="G1343" s="8"/>
      <c r="H1343" s="5"/>
      <c r="J1343" s="10" t="str">
        <f t="shared" si="186"/>
        <v/>
      </c>
      <c r="K1343" s="10" t="str">
        <f t="shared" si="187"/>
        <v/>
      </c>
      <c r="L1343" s="11" t="str">
        <f t="shared" si="189"/>
        <v/>
      </c>
      <c r="M1343" s="9" t="str">
        <f>IF(G1343&lt;&gt;"",J1343/MAX(J$3:J1343)-1,"")</f>
        <v/>
      </c>
      <c r="N1343" s="9" t="str">
        <f>IF(G1343&lt;&gt;"",K1343/MAX(K$3:K1343)-1,"")</f>
        <v/>
      </c>
      <c r="O1343" s="16" t="str">
        <f t="shared" si="185"/>
        <v/>
      </c>
      <c r="P1343" s="16" t="str">
        <f t="shared" si="185"/>
        <v/>
      </c>
      <c r="Q1343" s="16" t="str">
        <f t="shared" si="185"/>
        <v/>
      </c>
      <c r="R1343" s="5" t="str">
        <f t="shared" si="194"/>
        <v/>
      </c>
      <c r="S1343" s="5" t="str">
        <f t="shared" si="188"/>
        <v/>
      </c>
      <c r="T1343" s="5" t="str">
        <f t="shared" si="193"/>
        <v/>
      </c>
      <c r="U1343" s="5" t="str">
        <f t="shared" si="193"/>
        <v/>
      </c>
    </row>
    <row r="1344" spans="7:21" x14ac:dyDescent="0.2">
      <c r="G1344" s="8"/>
      <c r="H1344" s="5"/>
      <c r="J1344" s="10" t="str">
        <f t="shared" si="186"/>
        <v/>
      </c>
      <c r="K1344" s="10" t="str">
        <f t="shared" si="187"/>
        <v/>
      </c>
      <c r="L1344" s="11" t="str">
        <f t="shared" si="189"/>
        <v/>
      </c>
      <c r="M1344" s="9" t="str">
        <f>IF(G1344&lt;&gt;"",J1344/MAX(J$3:J1344)-1,"")</f>
        <v/>
      </c>
      <c r="N1344" s="9" t="str">
        <f>IF(G1344&lt;&gt;"",K1344/MAX(K$3:K1344)-1,"")</f>
        <v/>
      </c>
      <c r="O1344" s="16" t="str">
        <f t="shared" si="185"/>
        <v/>
      </c>
      <c r="P1344" s="16" t="str">
        <f t="shared" si="185"/>
        <v/>
      </c>
      <c r="Q1344" s="16" t="str">
        <f t="shared" si="185"/>
        <v/>
      </c>
      <c r="R1344" s="5" t="str">
        <f t="shared" si="194"/>
        <v/>
      </c>
      <c r="S1344" s="5" t="str">
        <f t="shared" si="188"/>
        <v/>
      </c>
      <c r="T1344" s="5" t="str">
        <f t="shared" si="193"/>
        <v/>
      </c>
      <c r="U1344" s="5" t="str">
        <f t="shared" si="193"/>
        <v/>
      </c>
    </row>
    <row r="1345" spans="7:21" x14ac:dyDescent="0.2">
      <c r="G1345" s="8"/>
      <c r="H1345" s="5"/>
      <c r="J1345" s="10" t="str">
        <f t="shared" si="186"/>
        <v/>
      </c>
      <c r="K1345" s="10" t="str">
        <f t="shared" si="187"/>
        <v/>
      </c>
      <c r="L1345" s="11" t="str">
        <f t="shared" si="189"/>
        <v/>
      </c>
      <c r="M1345" s="9" t="str">
        <f>IF(G1345&lt;&gt;"",J1345/MAX(J$3:J1345)-1,"")</f>
        <v/>
      </c>
      <c r="N1345" s="9" t="str">
        <f>IF(G1345&lt;&gt;"",K1345/MAX(K$3:K1345)-1,"")</f>
        <v/>
      </c>
      <c r="O1345" s="16" t="str">
        <f t="shared" si="185"/>
        <v/>
      </c>
      <c r="P1345" s="16" t="str">
        <f t="shared" si="185"/>
        <v/>
      </c>
      <c r="Q1345" s="16" t="str">
        <f t="shared" si="185"/>
        <v/>
      </c>
      <c r="R1345" s="5" t="str">
        <f t="shared" si="194"/>
        <v/>
      </c>
      <c r="S1345" s="5" t="str">
        <f t="shared" si="188"/>
        <v/>
      </c>
      <c r="T1345" s="5" t="str">
        <f t="shared" si="193"/>
        <v/>
      </c>
      <c r="U1345" s="5" t="str">
        <f t="shared" si="193"/>
        <v/>
      </c>
    </row>
    <row r="1346" spans="7:21" x14ac:dyDescent="0.2">
      <c r="G1346" s="8"/>
      <c r="H1346" s="5"/>
      <c r="J1346" s="10" t="str">
        <f t="shared" si="186"/>
        <v/>
      </c>
      <c r="K1346" s="10" t="str">
        <f t="shared" si="187"/>
        <v/>
      </c>
      <c r="L1346" s="11" t="str">
        <f t="shared" si="189"/>
        <v/>
      </c>
      <c r="M1346" s="9" t="str">
        <f>IF(G1346&lt;&gt;"",J1346/MAX(J$3:J1346)-1,"")</f>
        <v/>
      </c>
      <c r="N1346" s="9" t="str">
        <f>IF(G1346&lt;&gt;"",K1346/MAX(K$3:K1346)-1,"")</f>
        <v/>
      </c>
      <c r="O1346" s="16" t="str">
        <f t="shared" ref="O1346:Q1409" si="195">IF($G1346&lt;&gt;"",J1346/J1345-1,"")</f>
        <v/>
      </c>
      <c r="P1346" s="16" t="str">
        <f t="shared" si="195"/>
        <v/>
      </c>
      <c r="Q1346" s="16" t="str">
        <f t="shared" si="195"/>
        <v/>
      </c>
      <c r="R1346" s="5" t="str">
        <f t="shared" si="194"/>
        <v/>
      </c>
      <c r="S1346" s="5" t="str">
        <f t="shared" si="188"/>
        <v/>
      </c>
      <c r="T1346" s="5" t="str">
        <f t="shared" si="193"/>
        <v/>
      </c>
      <c r="U1346" s="5" t="str">
        <f t="shared" si="193"/>
        <v/>
      </c>
    </row>
    <row r="1347" spans="7:21" x14ac:dyDescent="0.2">
      <c r="G1347" s="8"/>
      <c r="H1347" s="5"/>
      <c r="J1347" s="10" t="str">
        <f t="shared" si="186"/>
        <v/>
      </c>
      <c r="K1347" s="10" t="str">
        <f t="shared" si="187"/>
        <v/>
      </c>
      <c r="L1347" s="11" t="str">
        <f t="shared" si="189"/>
        <v/>
      </c>
      <c r="M1347" s="9" t="str">
        <f>IF(G1347&lt;&gt;"",J1347/MAX(J$3:J1347)-1,"")</f>
        <v/>
      </c>
      <c r="N1347" s="9" t="str">
        <f>IF(G1347&lt;&gt;"",K1347/MAX(K$3:K1347)-1,"")</f>
        <v/>
      </c>
      <c r="O1347" s="16" t="str">
        <f t="shared" si="195"/>
        <v/>
      </c>
      <c r="P1347" s="16" t="str">
        <f t="shared" si="195"/>
        <v/>
      </c>
      <c r="Q1347" s="16" t="str">
        <f t="shared" si="195"/>
        <v/>
      </c>
      <c r="R1347" s="5" t="str">
        <f t="shared" si="194"/>
        <v/>
      </c>
      <c r="S1347" s="5" t="str">
        <f t="shared" si="188"/>
        <v/>
      </c>
      <c r="T1347" s="5" t="str">
        <f t="shared" si="193"/>
        <v/>
      </c>
      <c r="U1347" s="5" t="str">
        <f t="shared" si="193"/>
        <v/>
      </c>
    </row>
    <row r="1348" spans="7:21" x14ac:dyDescent="0.2">
      <c r="G1348" s="8"/>
      <c r="H1348" s="5"/>
      <c r="J1348" s="10" t="str">
        <f t="shared" ref="J1348:J1411" si="196">IF(G1348&lt;&gt;"",1+H1348,"")</f>
        <v/>
      </c>
      <c r="K1348" s="10" t="str">
        <f t="shared" ref="K1348:K1411" si="197">IF(G1348&lt;&gt;"",1+I1348,"")</f>
        <v/>
      </c>
      <c r="L1348" s="11" t="str">
        <f t="shared" si="189"/>
        <v/>
      </c>
      <c r="M1348" s="9" t="str">
        <f>IF(G1348&lt;&gt;"",J1348/MAX(J$3:J1348)-1,"")</f>
        <v/>
      </c>
      <c r="N1348" s="9" t="str">
        <f>IF(G1348&lt;&gt;"",K1348/MAX(K$3:K1348)-1,"")</f>
        <v/>
      </c>
      <c r="O1348" s="16" t="str">
        <f t="shared" si="195"/>
        <v/>
      </c>
      <c r="P1348" s="16" t="str">
        <f t="shared" si="195"/>
        <v/>
      </c>
      <c r="Q1348" s="16" t="str">
        <f t="shared" si="195"/>
        <v/>
      </c>
      <c r="R1348" s="5" t="str">
        <f t="shared" si="194"/>
        <v/>
      </c>
      <c r="S1348" s="5" t="str">
        <f t="shared" ref="S1348:S1411" si="198">IF(R1348&lt;&gt;"",B$12,"")</f>
        <v/>
      </c>
      <c r="T1348" s="5" t="str">
        <f t="shared" si="193"/>
        <v/>
      </c>
      <c r="U1348" s="5" t="str">
        <f t="shared" si="193"/>
        <v/>
      </c>
    </row>
    <row r="1349" spans="7:21" x14ac:dyDescent="0.2">
      <c r="G1349" s="8"/>
      <c r="H1349" s="5"/>
      <c r="J1349" s="10" t="str">
        <f t="shared" si="196"/>
        <v/>
      </c>
      <c r="K1349" s="10" t="str">
        <f t="shared" si="197"/>
        <v/>
      </c>
      <c r="L1349" s="11" t="str">
        <f t="shared" ref="L1349:L1412" si="199">IF(G1349&lt;&gt;"",J1349/K1349,"")</f>
        <v/>
      </c>
      <c r="M1349" s="9" t="str">
        <f>IF(G1349&lt;&gt;"",J1349/MAX(J$3:J1349)-1,"")</f>
        <v/>
      </c>
      <c r="N1349" s="9" t="str">
        <f>IF(G1349&lt;&gt;"",K1349/MAX(K$3:K1349)-1,"")</f>
        <v/>
      </c>
      <c r="O1349" s="16" t="str">
        <f t="shared" si="195"/>
        <v/>
      </c>
      <c r="P1349" s="16" t="str">
        <f t="shared" si="195"/>
        <v/>
      </c>
      <c r="Q1349" s="16" t="str">
        <f t="shared" si="195"/>
        <v/>
      </c>
      <c r="R1349" s="5" t="str">
        <f t="shared" si="194"/>
        <v/>
      </c>
      <c r="S1349" s="5" t="str">
        <f t="shared" si="198"/>
        <v/>
      </c>
      <c r="T1349" s="5" t="str">
        <f t="shared" si="193"/>
        <v/>
      </c>
      <c r="U1349" s="5" t="str">
        <f t="shared" si="193"/>
        <v/>
      </c>
    </row>
    <row r="1350" spans="7:21" x14ac:dyDescent="0.2">
      <c r="G1350" s="8"/>
      <c r="H1350" s="5"/>
      <c r="J1350" s="10" t="str">
        <f t="shared" si="196"/>
        <v/>
      </c>
      <c r="K1350" s="10" t="str">
        <f t="shared" si="197"/>
        <v/>
      </c>
      <c r="L1350" s="11" t="str">
        <f t="shared" si="199"/>
        <v/>
      </c>
      <c r="M1350" s="9" t="str">
        <f>IF(G1350&lt;&gt;"",J1350/MAX(J$3:J1350)-1,"")</f>
        <v/>
      </c>
      <c r="N1350" s="9" t="str">
        <f>IF(G1350&lt;&gt;"",K1350/MAX(K$3:K1350)-1,"")</f>
        <v/>
      </c>
      <c r="O1350" s="16" t="str">
        <f t="shared" si="195"/>
        <v/>
      </c>
      <c r="P1350" s="16" t="str">
        <f t="shared" si="195"/>
        <v/>
      </c>
      <c r="Q1350" s="16" t="str">
        <f t="shared" si="195"/>
        <v/>
      </c>
      <c r="R1350" s="5" t="str">
        <f t="shared" si="194"/>
        <v/>
      </c>
      <c r="S1350" s="5" t="str">
        <f t="shared" si="198"/>
        <v/>
      </c>
      <c r="T1350" s="5" t="str">
        <f t="shared" si="193"/>
        <v/>
      </c>
      <c r="U1350" s="5" t="str">
        <f t="shared" si="193"/>
        <v/>
      </c>
    </row>
    <row r="1351" spans="7:21" x14ac:dyDescent="0.2">
      <c r="G1351" s="8"/>
      <c r="H1351" s="5"/>
      <c r="J1351" s="10" t="str">
        <f t="shared" si="196"/>
        <v/>
      </c>
      <c r="K1351" s="10" t="str">
        <f t="shared" si="197"/>
        <v/>
      </c>
      <c r="L1351" s="11" t="str">
        <f t="shared" si="199"/>
        <v/>
      </c>
      <c r="M1351" s="9" t="str">
        <f>IF(G1351&lt;&gt;"",J1351/MAX(J$3:J1351)-1,"")</f>
        <v/>
      </c>
      <c r="N1351" s="9" t="str">
        <f>IF(G1351&lt;&gt;"",K1351/MAX(K$3:K1351)-1,"")</f>
        <v/>
      </c>
      <c r="O1351" s="16" t="str">
        <f t="shared" si="195"/>
        <v/>
      </c>
      <c r="P1351" s="16" t="str">
        <f t="shared" si="195"/>
        <v/>
      </c>
      <c r="Q1351" s="16" t="str">
        <f t="shared" si="195"/>
        <v/>
      </c>
      <c r="R1351" s="5" t="str">
        <f t="shared" si="194"/>
        <v/>
      </c>
      <c r="S1351" s="5" t="str">
        <f t="shared" si="198"/>
        <v/>
      </c>
      <c r="T1351" s="5" t="str">
        <f t="shared" si="193"/>
        <v/>
      </c>
      <c r="U1351" s="5" t="str">
        <f t="shared" si="193"/>
        <v/>
      </c>
    </row>
    <row r="1352" spans="7:21" x14ac:dyDescent="0.2">
      <c r="G1352" s="8"/>
      <c r="H1352" s="5"/>
      <c r="J1352" s="10" t="str">
        <f t="shared" si="196"/>
        <v/>
      </c>
      <c r="K1352" s="10" t="str">
        <f t="shared" si="197"/>
        <v/>
      </c>
      <c r="L1352" s="11" t="str">
        <f t="shared" si="199"/>
        <v/>
      </c>
      <c r="M1352" s="9" t="str">
        <f>IF(G1352&lt;&gt;"",J1352/MAX(J$3:J1352)-1,"")</f>
        <v/>
      </c>
      <c r="N1352" s="9" t="str">
        <f>IF(G1352&lt;&gt;"",K1352/MAX(K$3:K1352)-1,"")</f>
        <v/>
      </c>
      <c r="O1352" s="16" t="str">
        <f t="shared" si="195"/>
        <v/>
      </c>
      <c r="P1352" s="16" t="str">
        <f t="shared" si="195"/>
        <v/>
      </c>
      <c r="Q1352" s="16" t="str">
        <f t="shared" si="195"/>
        <v/>
      </c>
      <c r="R1352" s="5" t="str">
        <f t="shared" si="194"/>
        <v/>
      </c>
      <c r="S1352" s="5" t="str">
        <f t="shared" si="198"/>
        <v/>
      </c>
      <c r="T1352" s="5" t="str">
        <f t="shared" ref="T1352:U1367" si="200">IF($G1352&lt;&gt;"",_xlfn.STDEV.S(O1108:O1352),"")</f>
        <v/>
      </c>
      <c r="U1352" s="5" t="str">
        <f t="shared" si="200"/>
        <v/>
      </c>
    </row>
    <row r="1353" spans="7:21" x14ac:dyDescent="0.2">
      <c r="G1353" s="8"/>
      <c r="H1353" s="5"/>
      <c r="J1353" s="10" t="str">
        <f t="shared" si="196"/>
        <v/>
      </c>
      <c r="K1353" s="10" t="str">
        <f t="shared" si="197"/>
        <v/>
      </c>
      <c r="L1353" s="11" t="str">
        <f t="shared" si="199"/>
        <v/>
      </c>
      <c r="M1353" s="9" t="str">
        <f>IF(G1353&lt;&gt;"",J1353/MAX(J$3:J1353)-1,"")</f>
        <v/>
      </c>
      <c r="N1353" s="9" t="str">
        <f>IF(G1353&lt;&gt;"",K1353/MAX(K$3:K1353)-1,"")</f>
        <v/>
      </c>
      <c r="O1353" s="16" t="str">
        <f t="shared" si="195"/>
        <v/>
      </c>
      <c r="P1353" s="16" t="str">
        <f t="shared" si="195"/>
        <v/>
      </c>
      <c r="Q1353" s="16" t="str">
        <f t="shared" si="195"/>
        <v/>
      </c>
      <c r="R1353" s="5" t="str">
        <f t="shared" si="194"/>
        <v/>
      </c>
      <c r="S1353" s="5" t="str">
        <f t="shared" si="198"/>
        <v/>
      </c>
      <c r="T1353" s="5" t="str">
        <f t="shared" si="200"/>
        <v/>
      </c>
      <c r="U1353" s="5" t="str">
        <f t="shared" si="200"/>
        <v/>
      </c>
    </row>
    <row r="1354" spans="7:21" x14ac:dyDescent="0.2">
      <c r="G1354" s="8"/>
      <c r="H1354" s="5"/>
      <c r="J1354" s="10" t="str">
        <f t="shared" si="196"/>
        <v/>
      </c>
      <c r="K1354" s="10" t="str">
        <f t="shared" si="197"/>
        <v/>
      </c>
      <c r="L1354" s="11" t="str">
        <f t="shared" si="199"/>
        <v/>
      </c>
      <c r="M1354" s="9" t="str">
        <f>IF(G1354&lt;&gt;"",J1354/MAX(J$3:J1354)-1,"")</f>
        <v/>
      </c>
      <c r="N1354" s="9" t="str">
        <f>IF(G1354&lt;&gt;"",K1354/MAX(K$3:K1354)-1,"")</f>
        <v/>
      </c>
      <c r="O1354" s="16" t="str">
        <f t="shared" si="195"/>
        <v/>
      </c>
      <c r="P1354" s="16" t="str">
        <f t="shared" si="195"/>
        <v/>
      </c>
      <c r="Q1354" s="16" t="str">
        <f t="shared" si="195"/>
        <v/>
      </c>
      <c r="R1354" s="5" t="str">
        <f t="shared" si="194"/>
        <v/>
      </c>
      <c r="S1354" s="5" t="str">
        <f t="shared" si="198"/>
        <v/>
      </c>
      <c r="T1354" s="5" t="str">
        <f t="shared" si="200"/>
        <v/>
      </c>
      <c r="U1354" s="5" t="str">
        <f t="shared" si="200"/>
        <v/>
      </c>
    </row>
    <row r="1355" spans="7:21" x14ac:dyDescent="0.2">
      <c r="G1355" s="8"/>
      <c r="H1355" s="5"/>
      <c r="J1355" s="10" t="str">
        <f t="shared" si="196"/>
        <v/>
      </c>
      <c r="K1355" s="10" t="str">
        <f t="shared" si="197"/>
        <v/>
      </c>
      <c r="L1355" s="11" t="str">
        <f t="shared" si="199"/>
        <v/>
      </c>
      <c r="M1355" s="9" t="str">
        <f>IF(G1355&lt;&gt;"",J1355/MAX(J$3:J1355)-1,"")</f>
        <v/>
      </c>
      <c r="N1355" s="9" t="str">
        <f>IF(G1355&lt;&gt;"",K1355/MAX(K$3:K1355)-1,"")</f>
        <v/>
      </c>
      <c r="O1355" s="16" t="str">
        <f t="shared" si="195"/>
        <v/>
      </c>
      <c r="P1355" s="16" t="str">
        <f t="shared" si="195"/>
        <v/>
      </c>
      <c r="Q1355" s="16" t="str">
        <f t="shared" si="195"/>
        <v/>
      </c>
      <c r="R1355" s="5" t="str">
        <f t="shared" si="194"/>
        <v/>
      </c>
      <c r="S1355" s="5" t="str">
        <f t="shared" si="198"/>
        <v/>
      </c>
      <c r="T1355" s="5" t="str">
        <f t="shared" si="200"/>
        <v/>
      </c>
      <c r="U1355" s="5" t="str">
        <f t="shared" si="200"/>
        <v/>
      </c>
    </row>
    <row r="1356" spans="7:21" x14ac:dyDescent="0.2">
      <c r="G1356" s="8"/>
      <c r="H1356" s="5"/>
      <c r="J1356" s="10" t="str">
        <f t="shared" si="196"/>
        <v/>
      </c>
      <c r="K1356" s="10" t="str">
        <f t="shared" si="197"/>
        <v/>
      </c>
      <c r="L1356" s="11" t="str">
        <f t="shared" si="199"/>
        <v/>
      </c>
      <c r="M1356" s="9" t="str">
        <f>IF(G1356&lt;&gt;"",J1356/MAX(J$3:J1356)-1,"")</f>
        <v/>
      </c>
      <c r="N1356" s="9" t="str">
        <f>IF(G1356&lt;&gt;"",K1356/MAX(K$3:K1356)-1,"")</f>
        <v/>
      </c>
      <c r="O1356" s="16" t="str">
        <f t="shared" si="195"/>
        <v/>
      </c>
      <c r="P1356" s="16" t="str">
        <f t="shared" si="195"/>
        <v/>
      </c>
      <c r="Q1356" s="16" t="str">
        <f t="shared" si="195"/>
        <v/>
      </c>
      <c r="R1356" s="5" t="str">
        <f t="shared" si="194"/>
        <v/>
      </c>
      <c r="S1356" s="5" t="str">
        <f t="shared" si="198"/>
        <v/>
      </c>
      <c r="T1356" s="5" t="str">
        <f t="shared" si="200"/>
        <v/>
      </c>
      <c r="U1356" s="5" t="str">
        <f t="shared" si="200"/>
        <v/>
      </c>
    </row>
    <row r="1357" spans="7:21" x14ac:dyDescent="0.2">
      <c r="G1357" s="8"/>
      <c r="H1357" s="5"/>
      <c r="J1357" s="10" t="str">
        <f t="shared" si="196"/>
        <v/>
      </c>
      <c r="K1357" s="10" t="str">
        <f t="shared" si="197"/>
        <v/>
      </c>
      <c r="L1357" s="11" t="str">
        <f t="shared" si="199"/>
        <v/>
      </c>
      <c r="M1357" s="9" t="str">
        <f>IF(G1357&lt;&gt;"",J1357/MAX(J$3:J1357)-1,"")</f>
        <v/>
      </c>
      <c r="N1357" s="9" t="str">
        <f>IF(G1357&lt;&gt;"",K1357/MAX(K$3:K1357)-1,"")</f>
        <v/>
      </c>
      <c r="O1357" s="16" t="str">
        <f t="shared" si="195"/>
        <v/>
      </c>
      <c r="P1357" s="16" t="str">
        <f t="shared" si="195"/>
        <v/>
      </c>
      <c r="Q1357" s="16" t="str">
        <f t="shared" si="195"/>
        <v/>
      </c>
      <c r="R1357" s="5" t="str">
        <f t="shared" si="194"/>
        <v/>
      </c>
      <c r="S1357" s="5" t="str">
        <f t="shared" si="198"/>
        <v/>
      </c>
      <c r="T1357" s="5" t="str">
        <f t="shared" si="200"/>
        <v/>
      </c>
      <c r="U1357" s="5" t="str">
        <f t="shared" si="200"/>
        <v/>
      </c>
    </row>
    <row r="1358" spans="7:21" x14ac:dyDescent="0.2">
      <c r="G1358" s="8"/>
      <c r="H1358" s="5"/>
      <c r="J1358" s="10" t="str">
        <f t="shared" si="196"/>
        <v/>
      </c>
      <c r="K1358" s="10" t="str">
        <f t="shared" si="197"/>
        <v/>
      </c>
      <c r="L1358" s="11" t="str">
        <f t="shared" si="199"/>
        <v/>
      </c>
      <c r="M1358" s="9" t="str">
        <f>IF(G1358&lt;&gt;"",J1358/MAX(J$3:J1358)-1,"")</f>
        <v/>
      </c>
      <c r="N1358" s="9" t="str">
        <f>IF(G1358&lt;&gt;"",K1358/MAX(K$3:K1358)-1,"")</f>
        <v/>
      </c>
      <c r="O1358" s="16" t="str">
        <f t="shared" si="195"/>
        <v/>
      </c>
      <c r="P1358" s="16" t="str">
        <f t="shared" si="195"/>
        <v/>
      </c>
      <c r="Q1358" s="16" t="str">
        <f t="shared" si="195"/>
        <v/>
      </c>
      <c r="R1358" s="5" t="str">
        <f t="shared" si="194"/>
        <v/>
      </c>
      <c r="S1358" s="5" t="str">
        <f t="shared" si="198"/>
        <v/>
      </c>
      <c r="T1358" s="5" t="str">
        <f t="shared" si="200"/>
        <v/>
      </c>
      <c r="U1358" s="5" t="str">
        <f t="shared" si="200"/>
        <v/>
      </c>
    </row>
    <row r="1359" spans="7:21" x14ac:dyDescent="0.2">
      <c r="G1359" s="8"/>
      <c r="H1359" s="5"/>
      <c r="J1359" s="10" t="str">
        <f t="shared" si="196"/>
        <v/>
      </c>
      <c r="K1359" s="10" t="str">
        <f t="shared" si="197"/>
        <v/>
      </c>
      <c r="L1359" s="11" t="str">
        <f t="shared" si="199"/>
        <v/>
      </c>
      <c r="M1359" s="9" t="str">
        <f>IF(G1359&lt;&gt;"",J1359/MAX(J$3:J1359)-1,"")</f>
        <v/>
      </c>
      <c r="N1359" s="9" t="str">
        <f>IF(G1359&lt;&gt;"",K1359/MAX(K$3:K1359)-1,"")</f>
        <v/>
      </c>
      <c r="O1359" s="16" t="str">
        <f t="shared" si="195"/>
        <v/>
      </c>
      <c r="P1359" s="16" t="str">
        <f t="shared" si="195"/>
        <v/>
      </c>
      <c r="Q1359" s="16" t="str">
        <f t="shared" si="195"/>
        <v/>
      </c>
      <c r="R1359" s="5" t="str">
        <f t="shared" si="194"/>
        <v/>
      </c>
      <c r="S1359" s="5" t="str">
        <f t="shared" si="198"/>
        <v/>
      </c>
      <c r="T1359" s="5" t="str">
        <f t="shared" si="200"/>
        <v/>
      </c>
      <c r="U1359" s="5" t="str">
        <f t="shared" si="200"/>
        <v/>
      </c>
    </row>
    <row r="1360" spans="7:21" x14ac:dyDescent="0.2">
      <c r="G1360" s="8"/>
      <c r="H1360" s="5"/>
      <c r="J1360" s="10" t="str">
        <f t="shared" si="196"/>
        <v/>
      </c>
      <c r="K1360" s="10" t="str">
        <f t="shared" si="197"/>
        <v/>
      </c>
      <c r="L1360" s="11" t="str">
        <f t="shared" si="199"/>
        <v/>
      </c>
      <c r="M1360" s="9" t="str">
        <f>IF(G1360&lt;&gt;"",J1360/MAX(J$3:J1360)-1,"")</f>
        <v/>
      </c>
      <c r="N1360" s="9" t="str">
        <f>IF(G1360&lt;&gt;"",K1360/MAX(K$3:K1360)-1,"")</f>
        <v/>
      </c>
      <c r="O1360" s="16" t="str">
        <f t="shared" si="195"/>
        <v/>
      </c>
      <c r="P1360" s="16" t="str">
        <f t="shared" si="195"/>
        <v/>
      </c>
      <c r="Q1360" s="16" t="str">
        <f t="shared" si="195"/>
        <v/>
      </c>
      <c r="R1360" s="5" t="str">
        <f t="shared" si="194"/>
        <v/>
      </c>
      <c r="S1360" s="5" t="str">
        <f t="shared" si="198"/>
        <v/>
      </c>
      <c r="T1360" s="5" t="str">
        <f t="shared" si="200"/>
        <v/>
      </c>
      <c r="U1360" s="5" t="str">
        <f t="shared" si="200"/>
        <v/>
      </c>
    </row>
    <row r="1361" spans="7:21" x14ac:dyDescent="0.2">
      <c r="G1361" s="8"/>
      <c r="H1361" s="5"/>
      <c r="J1361" s="10" t="str">
        <f t="shared" si="196"/>
        <v/>
      </c>
      <c r="K1361" s="10" t="str">
        <f t="shared" si="197"/>
        <v/>
      </c>
      <c r="L1361" s="11" t="str">
        <f t="shared" si="199"/>
        <v/>
      </c>
      <c r="M1361" s="9" t="str">
        <f>IF(G1361&lt;&gt;"",J1361/MAX(J$3:J1361)-1,"")</f>
        <v/>
      </c>
      <c r="N1361" s="9" t="str">
        <f>IF(G1361&lt;&gt;"",K1361/MAX(K$3:K1361)-1,"")</f>
        <v/>
      </c>
      <c r="O1361" s="16" t="str">
        <f t="shared" si="195"/>
        <v/>
      </c>
      <c r="P1361" s="16" t="str">
        <f t="shared" si="195"/>
        <v/>
      </c>
      <c r="Q1361" s="16" t="str">
        <f t="shared" si="195"/>
        <v/>
      </c>
      <c r="R1361" s="5" t="str">
        <f t="shared" si="194"/>
        <v/>
      </c>
      <c r="S1361" s="5" t="str">
        <f t="shared" si="198"/>
        <v/>
      </c>
      <c r="T1361" s="5" t="str">
        <f t="shared" si="200"/>
        <v/>
      </c>
      <c r="U1361" s="5" t="str">
        <f t="shared" si="200"/>
        <v/>
      </c>
    </row>
    <row r="1362" spans="7:21" x14ac:dyDescent="0.2">
      <c r="G1362" s="8"/>
      <c r="H1362" s="5"/>
      <c r="J1362" s="10" t="str">
        <f t="shared" si="196"/>
        <v/>
      </c>
      <c r="K1362" s="10" t="str">
        <f t="shared" si="197"/>
        <v/>
      </c>
      <c r="L1362" s="11" t="str">
        <f t="shared" si="199"/>
        <v/>
      </c>
      <c r="M1362" s="9" t="str">
        <f>IF(G1362&lt;&gt;"",J1362/MAX(J$3:J1362)-1,"")</f>
        <v/>
      </c>
      <c r="N1362" s="9" t="str">
        <f>IF(G1362&lt;&gt;"",K1362/MAX(K$3:K1362)-1,"")</f>
        <v/>
      </c>
      <c r="O1362" s="16" t="str">
        <f t="shared" si="195"/>
        <v/>
      </c>
      <c r="P1362" s="16" t="str">
        <f t="shared" si="195"/>
        <v/>
      </c>
      <c r="Q1362" s="16" t="str">
        <f t="shared" si="195"/>
        <v/>
      </c>
      <c r="R1362" s="5" t="str">
        <f t="shared" si="194"/>
        <v/>
      </c>
      <c r="S1362" s="5" t="str">
        <f t="shared" si="198"/>
        <v/>
      </c>
      <c r="T1362" s="5" t="str">
        <f t="shared" si="200"/>
        <v/>
      </c>
      <c r="U1362" s="5" t="str">
        <f t="shared" si="200"/>
        <v/>
      </c>
    </row>
    <row r="1363" spans="7:21" x14ac:dyDescent="0.2">
      <c r="G1363" s="8"/>
      <c r="H1363" s="5"/>
      <c r="J1363" s="10" t="str">
        <f t="shared" si="196"/>
        <v/>
      </c>
      <c r="K1363" s="10" t="str">
        <f t="shared" si="197"/>
        <v/>
      </c>
      <c r="L1363" s="11" t="str">
        <f t="shared" si="199"/>
        <v/>
      </c>
      <c r="M1363" s="9" t="str">
        <f>IF(G1363&lt;&gt;"",J1363/MAX(J$3:J1363)-1,"")</f>
        <v/>
      </c>
      <c r="N1363" s="9" t="str">
        <f>IF(G1363&lt;&gt;"",K1363/MAX(K$3:K1363)-1,"")</f>
        <v/>
      </c>
      <c r="O1363" s="16" t="str">
        <f t="shared" si="195"/>
        <v/>
      </c>
      <c r="P1363" s="16" t="str">
        <f t="shared" si="195"/>
        <v/>
      </c>
      <c r="Q1363" s="16" t="str">
        <f t="shared" si="195"/>
        <v/>
      </c>
      <c r="R1363" s="5" t="str">
        <f t="shared" si="194"/>
        <v/>
      </c>
      <c r="S1363" s="5" t="str">
        <f t="shared" si="198"/>
        <v/>
      </c>
      <c r="T1363" s="5" t="str">
        <f t="shared" si="200"/>
        <v/>
      </c>
      <c r="U1363" s="5" t="str">
        <f t="shared" si="200"/>
        <v/>
      </c>
    </row>
    <row r="1364" spans="7:21" x14ac:dyDescent="0.2">
      <c r="G1364" s="8"/>
      <c r="H1364" s="5"/>
      <c r="J1364" s="10" t="str">
        <f t="shared" si="196"/>
        <v/>
      </c>
      <c r="K1364" s="10" t="str">
        <f t="shared" si="197"/>
        <v/>
      </c>
      <c r="L1364" s="11" t="str">
        <f t="shared" si="199"/>
        <v/>
      </c>
      <c r="M1364" s="9" t="str">
        <f>IF(G1364&lt;&gt;"",J1364/MAX(J$3:J1364)-1,"")</f>
        <v/>
      </c>
      <c r="N1364" s="9" t="str">
        <f>IF(G1364&lt;&gt;"",K1364/MAX(K$3:K1364)-1,"")</f>
        <v/>
      </c>
      <c r="O1364" s="16" t="str">
        <f t="shared" si="195"/>
        <v/>
      </c>
      <c r="P1364" s="16" t="str">
        <f t="shared" si="195"/>
        <v/>
      </c>
      <c r="Q1364" s="16" t="str">
        <f t="shared" si="195"/>
        <v/>
      </c>
      <c r="R1364" s="5" t="str">
        <f t="shared" si="194"/>
        <v/>
      </c>
      <c r="S1364" s="5" t="str">
        <f t="shared" si="198"/>
        <v/>
      </c>
      <c r="T1364" s="5" t="str">
        <f t="shared" si="200"/>
        <v/>
      </c>
      <c r="U1364" s="5" t="str">
        <f t="shared" si="200"/>
        <v/>
      </c>
    </row>
    <row r="1365" spans="7:21" x14ac:dyDescent="0.2">
      <c r="G1365" s="8"/>
      <c r="H1365" s="5"/>
      <c r="J1365" s="10" t="str">
        <f t="shared" si="196"/>
        <v/>
      </c>
      <c r="K1365" s="10" t="str">
        <f t="shared" si="197"/>
        <v/>
      </c>
      <c r="L1365" s="11" t="str">
        <f t="shared" si="199"/>
        <v/>
      </c>
      <c r="M1365" s="9" t="str">
        <f>IF(G1365&lt;&gt;"",J1365/MAX(J$3:J1365)-1,"")</f>
        <v/>
      </c>
      <c r="N1365" s="9" t="str">
        <f>IF(G1365&lt;&gt;"",K1365/MAX(K$3:K1365)-1,"")</f>
        <v/>
      </c>
      <c r="O1365" s="16" t="str">
        <f t="shared" si="195"/>
        <v/>
      </c>
      <c r="P1365" s="16" t="str">
        <f t="shared" si="195"/>
        <v/>
      </c>
      <c r="Q1365" s="16" t="str">
        <f t="shared" si="195"/>
        <v/>
      </c>
      <c r="R1365" s="5" t="str">
        <f t="shared" si="194"/>
        <v/>
      </c>
      <c r="S1365" s="5" t="str">
        <f t="shared" si="198"/>
        <v/>
      </c>
      <c r="T1365" s="5" t="str">
        <f t="shared" si="200"/>
        <v/>
      </c>
      <c r="U1365" s="5" t="str">
        <f t="shared" si="200"/>
        <v/>
      </c>
    </row>
    <row r="1366" spans="7:21" x14ac:dyDescent="0.2">
      <c r="G1366" s="8"/>
      <c r="H1366" s="5"/>
      <c r="J1366" s="10" t="str">
        <f t="shared" si="196"/>
        <v/>
      </c>
      <c r="K1366" s="10" t="str">
        <f t="shared" si="197"/>
        <v/>
      </c>
      <c r="L1366" s="11" t="str">
        <f t="shared" si="199"/>
        <v/>
      </c>
      <c r="M1366" s="9" t="str">
        <f>IF(G1366&lt;&gt;"",J1366/MAX(J$3:J1366)-1,"")</f>
        <v/>
      </c>
      <c r="N1366" s="9" t="str">
        <f>IF(G1366&lt;&gt;"",K1366/MAX(K$3:K1366)-1,"")</f>
        <v/>
      </c>
      <c r="O1366" s="16" t="str">
        <f t="shared" si="195"/>
        <v/>
      </c>
      <c r="P1366" s="16" t="str">
        <f t="shared" si="195"/>
        <v/>
      </c>
      <c r="Q1366" s="16" t="str">
        <f t="shared" si="195"/>
        <v/>
      </c>
      <c r="R1366" s="5" t="str">
        <f t="shared" si="194"/>
        <v/>
      </c>
      <c r="S1366" s="5" t="str">
        <f t="shared" si="198"/>
        <v/>
      </c>
      <c r="T1366" s="5" t="str">
        <f t="shared" si="200"/>
        <v/>
      </c>
      <c r="U1366" s="5" t="str">
        <f t="shared" si="200"/>
        <v/>
      </c>
    </row>
    <row r="1367" spans="7:21" x14ac:dyDescent="0.2">
      <c r="G1367" s="8"/>
      <c r="H1367" s="5"/>
      <c r="J1367" s="10" t="str">
        <f t="shared" si="196"/>
        <v/>
      </c>
      <c r="K1367" s="10" t="str">
        <f t="shared" si="197"/>
        <v/>
      </c>
      <c r="L1367" s="11" t="str">
        <f t="shared" si="199"/>
        <v/>
      </c>
      <c r="M1367" s="9" t="str">
        <f>IF(G1367&lt;&gt;"",J1367/MAX(J$3:J1367)-1,"")</f>
        <v/>
      </c>
      <c r="N1367" s="9" t="str">
        <f>IF(G1367&lt;&gt;"",K1367/MAX(K$3:K1367)-1,"")</f>
        <v/>
      </c>
      <c r="O1367" s="16" t="str">
        <f t="shared" si="195"/>
        <v/>
      </c>
      <c r="P1367" s="16" t="str">
        <f t="shared" si="195"/>
        <v/>
      </c>
      <c r="Q1367" s="16" t="str">
        <f t="shared" si="195"/>
        <v/>
      </c>
      <c r="R1367" s="5" t="str">
        <f t="shared" si="194"/>
        <v/>
      </c>
      <c r="S1367" s="5" t="str">
        <f t="shared" si="198"/>
        <v/>
      </c>
      <c r="T1367" s="5" t="str">
        <f t="shared" si="200"/>
        <v/>
      </c>
      <c r="U1367" s="5" t="str">
        <f t="shared" si="200"/>
        <v/>
      </c>
    </row>
    <row r="1368" spans="7:21" x14ac:dyDescent="0.2">
      <c r="G1368" s="8"/>
      <c r="H1368" s="5"/>
      <c r="J1368" s="10" t="str">
        <f t="shared" si="196"/>
        <v/>
      </c>
      <c r="K1368" s="10" t="str">
        <f t="shared" si="197"/>
        <v/>
      </c>
      <c r="L1368" s="11" t="str">
        <f t="shared" si="199"/>
        <v/>
      </c>
      <c r="M1368" s="9" t="str">
        <f>IF(G1368&lt;&gt;"",J1368/MAX(J$3:J1368)-1,"")</f>
        <v/>
      </c>
      <c r="N1368" s="9" t="str">
        <f>IF(G1368&lt;&gt;"",K1368/MAX(K$3:K1368)-1,"")</f>
        <v/>
      </c>
      <c r="O1368" s="16" t="str">
        <f t="shared" si="195"/>
        <v/>
      </c>
      <c r="P1368" s="16" t="str">
        <f t="shared" si="195"/>
        <v/>
      </c>
      <c r="Q1368" s="16" t="str">
        <f t="shared" si="195"/>
        <v/>
      </c>
      <c r="R1368" s="5" t="str">
        <f t="shared" si="194"/>
        <v/>
      </c>
      <c r="S1368" s="5" t="str">
        <f t="shared" si="198"/>
        <v/>
      </c>
      <c r="T1368" s="5" t="str">
        <f t="shared" ref="T1368:U1383" si="201">IF($G1368&lt;&gt;"",_xlfn.STDEV.S(O1124:O1368),"")</f>
        <v/>
      </c>
      <c r="U1368" s="5" t="str">
        <f t="shared" si="201"/>
        <v/>
      </c>
    </row>
    <row r="1369" spans="7:21" x14ac:dyDescent="0.2">
      <c r="G1369" s="8"/>
      <c r="H1369" s="5"/>
      <c r="J1369" s="10" t="str">
        <f t="shared" si="196"/>
        <v/>
      </c>
      <c r="K1369" s="10" t="str">
        <f t="shared" si="197"/>
        <v/>
      </c>
      <c r="L1369" s="11" t="str">
        <f t="shared" si="199"/>
        <v/>
      </c>
      <c r="M1369" s="9" t="str">
        <f>IF(G1369&lt;&gt;"",J1369/MAX(J$3:J1369)-1,"")</f>
        <v/>
      </c>
      <c r="N1369" s="9" t="str">
        <f>IF(G1369&lt;&gt;"",K1369/MAX(K$3:K1369)-1,"")</f>
        <v/>
      </c>
      <c r="O1369" s="16" t="str">
        <f t="shared" si="195"/>
        <v/>
      </c>
      <c r="P1369" s="16" t="str">
        <f t="shared" si="195"/>
        <v/>
      </c>
      <c r="Q1369" s="16" t="str">
        <f t="shared" si="195"/>
        <v/>
      </c>
      <c r="R1369" s="5" t="str">
        <f t="shared" si="194"/>
        <v/>
      </c>
      <c r="S1369" s="5" t="str">
        <f t="shared" si="198"/>
        <v/>
      </c>
      <c r="T1369" s="5" t="str">
        <f t="shared" si="201"/>
        <v/>
      </c>
      <c r="U1369" s="5" t="str">
        <f t="shared" si="201"/>
        <v/>
      </c>
    </row>
    <row r="1370" spans="7:21" x14ac:dyDescent="0.2">
      <c r="G1370" s="8"/>
      <c r="H1370" s="5"/>
      <c r="J1370" s="10" t="str">
        <f t="shared" si="196"/>
        <v/>
      </c>
      <c r="K1370" s="10" t="str">
        <f t="shared" si="197"/>
        <v/>
      </c>
      <c r="L1370" s="11" t="str">
        <f t="shared" si="199"/>
        <v/>
      </c>
      <c r="M1370" s="9" t="str">
        <f>IF(G1370&lt;&gt;"",J1370/MAX(J$3:J1370)-1,"")</f>
        <v/>
      </c>
      <c r="N1370" s="9" t="str">
        <f>IF(G1370&lt;&gt;"",K1370/MAX(K$3:K1370)-1,"")</f>
        <v/>
      </c>
      <c r="O1370" s="16" t="str">
        <f t="shared" si="195"/>
        <v/>
      </c>
      <c r="P1370" s="16" t="str">
        <f t="shared" si="195"/>
        <v/>
      </c>
      <c r="Q1370" s="16" t="str">
        <f t="shared" si="195"/>
        <v/>
      </c>
      <c r="R1370" s="5" t="str">
        <f t="shared" si="194"/>
        <v/>
      </c>
      <c r="S1370" s="5" t="str">
        <f t="shared" si="198"/>
        <v/>
      </c>
      <c r="T1370" s="5" t="str">
        <f t="shared" si="201"/>
        <v/>
      </c>
      <c r="U1370" s="5" t="str">
        <f t="shared" si="201"/>
        <v/>
      </c>
    </row>
    <row r="1371" spans="7:21" x14ac:dyDescent="0.2">
      <c r="G1371" s="8"/>
      <c r="H1371" s="5"/>
      <c r="J1371" s="10" t="str">
        <f t="shared" si="196"/>
        <v/>
      </c>
      <c r="K1371" s="10" t="str">
        <f t="shared" si="197"/>
        <v/>
      </c>
      <c r="L1371" s="11" t="str">
        <f t="shared" si="199"/>
        <v/>
      </c>
      <c r="M1371" s="9" t="str">
        <f>IF(G1371&lt;&gt;"",J1371/MAX(J$3:J1371)-1,"")</f>
        <v/>
      </c>
      <c r="N1371" s="9" t="str">
        <f>IF(G1371&lt;&gt;"",K1371/MAX(K$3:K1371)-1,"")</f>
        <v/>
      </c>
      <c r="O1371" s="16" t="str">
        <f t="shared" si="195"/>
        <v/>
      </c>
      <c r="P1371" s="16" t="str">
        <f t="shared" si="195"/>
        <v/>
      </c>
      <c r="Q1371" s="16" t="str">
        <f t="shared" si="195"/>
        <v/>
      </c>
      <c r="R1371" s="5" t="str">
        <f t="shared" si="194"/>
        <v/>
      </c>
      <c r="S1371" s="5" t="str">
        <f t="shared" si="198"/>
        <v/>
      </c>
      <c r="T1371" s="5" t="str">
        <f t="shared" si="201"/>
        <v/>
      </c>
      <c r="U1371" s="5" t="str">
        <f t="shared" si="201"/>
        <v/>
      </c>
    </row>
    <row r="1372" spans="7:21" x14ac:dyDescent="0.2">
      <c r="G1372" s="8"/>
      <c r="H1372" s="5"/>
      <c r="J1372" s="10" t="str">
        <f t="shared" si="196"/>
        <v/>
      </c>
      <c r="K1372" s="10" t="str">
        <f t="shared" si="197"/>
        <v/>
      </c>
      <c r="L1372" s="11" t="str">
        <f t="shared" si="199"/>
        <v/>
      </c>
      <c r="M1372" s="9" t="str">
        <f>IF(G1372&lt;&gt;"",J1372/MAX(J$3:J1372)-1,"")</f>
        <v/>
      </c>
      <c r="N1372" s="9" t="str">
        <f>IF(G1372&lt;&gt;"",K1372/MAX(K$3:K1372)-1,"")</f>
        <v/>
      </c>
      <c r="O1372" s="16" t="str">
        <f t="shared" si="195"/>
        <v/>
      </c>
      <c r="P1372" s="16" t="str">
        <f t="shared" si="195"/>
        <v/>
      </c>
      <c r="Q1372" s="16" t="str">
        <f t="shared" si="195"/>
        <v/>
      </c>
      <c r="R1372" s="5" t="str">
        <f t="shared" si="194"/>
        <v/>
      </c>
      <c r="S1372" s="5" t="str">
        <f t="shared" si="198"/>
        <v/>
      </c>
      <c r="T1372" s="5" t="str">
        <f t="shared" si="201"/>
        <v/>
      </c>
      <c r="U1372" s="5" t="str">
        <f t="shared" si="201"/>
        <v/>
      </c>
    </row>
    <row r="1373" spans="7:21" x14ac:dyDescent="0.2">
      <c r="G1373" s="8"/>
      <c r="H1373" s="5"/>
      <c r="J1373" s="10" t="str">
        <f t="shared" si="196"/>
        <v/>
      </c>
      <c r="K1373" s="10" t="str">
        <f t="shared" si="197"/>
        <v/>
      </c>
      <c r="L1373" s="11" t="str">
        <f t="shared" si="199"/>
        <v/>
      </c>
      <c r="M1373" s="9" t="str">
        <f>IF(G1373&lt;&gt;"",J1373/MAX(J$3:J1373)-1,"")</f>
        <v/>
      </c>
      <c r="N1373" s="9" t="str">
        <f>IF(G1373&lt;&gt;"",K1373/MAX(K$3:K1373)-1,"")</f>
        <v/>
      </c>
      <c r="O1373" s="16" t="str">
        <f t="shared" si="195"/>
        <v/>
      </c>
      <c r="P1373" s="16" t="str">
        <f t="shared" si="195"/>
        <v/>
      </c>
      <c r="Q1373" s="16" t="str">
        <f t="shared" si="195"/>
        <v/>
      </c>
      <c r="R1373" s="5" t="str">
        <f t="shared" si="194"/>
        <v/>
      </c>
      <c r="S1373" s="5" t="str">
        <f t="shared" si="198"/>
        <v/>
      </c>
      <c r="T1373" s="5" t="str">
        <f t="shared" si="201"/>
        <v/>
      </c>
      <c r="U1373" s="5" t="str">
        <f t="shared" si="201"/>
        <v/>
      </c>
    </row>
    <row r="1374" spans="7:21" x14ac:dyDescent="0.2">
      <c r="G1374" s="8"/>
      <c r="H1374" s="5"/>
      <c r="J1374" s="10" t="str">
        <f t="shared" si="196"/>
        <v/>
      </c>
      <c r="K1374" s="10" t="str">
        <f t="shared" si="197"/>
        <v/>
      </c>
      <c r="L1374" s="11" t="str">
        <f t="shared" si="199"/>
        <v/>
      </c>
      <c r="M1374" s="9" t="str">
        <f>IF(G1374&lt;&gt;"",J1374/MAX(J$3:J1374)-1,"")</f>
        <v/>
      </c>
      <c r="N1374" s="9" t="str">
        <f>IF(G1374&lt;&gt;"",K1374/MAX(K$3:K1374)-1,"")</f>
        <v/>
      </c>
      <c r="O1374" s="16" t="str">
        <f t="shared" si="195"/>
        <v/>
      </c>
      <c r="P1374" s="16" t="str">
        <f t="shared" si="195"/>
        <v/>
      </c>
      <c r="Q1374" s="16" t="str">
        <f t="shared" si="195"/>
        <v/>
      </c>
      <c r="R1374" s="5" t="str">
        <f t="shared" si="194"/>
        <v/>
      </c>
      <c r="S1374" s="5" t="str">
        <f t="shared" si="198"/>
        <v/>
      </c>
      <c r="T1374" s="5" t="str">
        <f t="shared" si="201"/>
        <v/>
      </c>
      <c r="U1374" s="5" t="str">
        <f t="shared" si="201"/>
        <v/>
      </c>
    </row>
    <row r="1375" spans="7:21" x14ac:dyDescent="0.2">
      <c r="G1375" s="8"/>
      <c r="H1375" s="5"/>
      <c r="J1375" s="10" t="str">
        <f t="shared" si="196"/>
        <v/>
      </c>
      <c r="K1375" s="10" t="str">
        <f t="shared" si="197"/>
        <v/>
      </c>
      <c r="L1375" s="11" t="str">
        <f t="shared" si="199"/>
        <v/>
      </c>
      <c r="M1375" s="9" t="str">
        <f>IF(G1375&lt;&gt;"",J1375/MAX(J$3:J1375)-1,"")</f>
        <v/>
      </c>
      <c r="N1375" s="9" t="str">
        <f>IF(G1375&lt;&gt;"",K1375/MAX(K$3:K1375)-1,"")</f>
        <v/>
      </c>
      <c r="O1375" s="16" t="str">
        <f t="shared" si="195"/>
        <v/>
      </c>
      <c r="P1375" s="16" t="str">
        <f t="shared" si="195"/>
        <v/>
      </c>
      <c r="Q1375" s="16" t="str">
        <f t="shared" si="195"/>
        <v/>
      </c>
      <c r="R1375" s="5" t="str">
        <f t="shared" si="194"/>
        <v/>
      </c>
      <c r="S1375" s="5" t="str">
        <f t="shared" si="198"/>
        <v/>
      </c>
      <c r="T1375" s="5" t="str">
        <f t="shared" si="201"/>
        <v/>
      </c>
      <c r="U1375" s="5" t="str">
        <f t="shared" si="201"/>
        <v/>
      </c>
    </row>
    <row r="1376" spans="7:21" x14ac:dyDescent="0.2">
      <c r="G1376" s="8"/>
      <c r="H1376" s="5"/>
      <c r="J1376" s="10" t="str">
        <f t="shared" si="196"/>
        <v/>
      </c>
      <c r="K1376" s="10" t="str">
        <f t="shared" si="197"/>
        <v/>
      </c>
      <c r="L1376" s="11" t="str">
        <f t="shared" si="199"/>
        <v/>
      </c>
      <c r="M1376" s="9" t="str">
        <f>IF(G1376&lt;&gt;"",J1376/MAX(J$3:J1376)-1,"")</f>
        <v/>
      </c>
      <c r="N1376" s="9" t="str">
        <f>IF(G1376&lt;&gt;"",K1376/MAX(K$3:K1376)-1,"")</f>
        <v/>
      </c>
      <c r="O1376" s="16" t="str">
        <f t="shared" si="195"/>
        <v/>
      </c>
      <c r="P1376" s="16" t="str">
        <f t="shared" si="195"/>
        <v/>
      </c>
      <c r="Q1376" s="16" t="str">
        <f t="shared" si="195"/>
        <v/>
      </c>
      <c r="R1376" s="5" t="str">
        <f t="shared" si="194"/>
        <v/>
      </c>
      <c r="S1376" s="5" t="str">
        <f t="shared" si="198"/>
        <v/>
      </c>
      <c r="T1376" s="5" t="str">
        <f t="shared" si="201"/>
        <v/>
      </c>
      <c r="U1376" s="5" t="str">
        <f t="shared" si="201"/>
        <v/>
      </c>
    </row>
    <row r="1377" spans="7:21" x14ac:dyDescent="0.2">
      <c r="G1377" s="8"/>
      <c r="H1377" s="5"/>
      <c r="J1377" s="10" t="str">
        <f t="shared" si="196"/>
        <v/>
      </c>
      <c r="K1377" s="10" t="str">
        <f t="shared" si="197"/>
        <v/>
      </c>
      <c r="L1377" s="11" t="str">
        <f t="shared" si="199"/>
        <v/>
      </c>
      <c r="M1377" s="9" t="str">
        <f>IF(G1377&lt;&gt;"",J1377/MAX(J$3:J1377)-1,"")</f>
        <v/>
      </c>
      <c r="N1377" s="9" t="str">
        <f>IF(G1377&lt;&gt;"",K1377/MAX(K$3:K1377)-1,"")</f>
        <v/>
      </c>
      <c r="O1377" s="16" t="str">
        <f t="shared" si="195"/>
        <v/>
      </c>
      <c r="P1377" s="16" t="str">
        <f t="shared" si="195"/>
        <v/>
      </c>
      <c r="Q1377" s="16" t="str">
        <f t="shared" si="195"/>
        <v/>
      </c>
      <c r="R1377" s="5" t="str">
        <f t="shared" si="194"/>
        <v/>
      </c>
      <c r="S1377" s="5" t="str">
        <f t="shared" si="198"/>
        <v/>
      </c>
      <c r="T1377" s="5" t="str">
        <f t="shared" si="201"/>
        <v/>
      </c>
      <c r="U1377" s="5" t="str">
        <f t="shared" si="201"/>
        <v/>
      </c>
    </row>
    <row r="1378" spans="7:21" x14ac:dyDescent="0.2">
      <c r="G1378" s="8"/>
      <c r="H1378" s="5"/>
      <c r="J1378" s="10" t="str">
        <f t="shared" si="196"/>
        <v/>
      </c>
      <c r="K1378" s="10" t="str">
        <f t="shared" si="197"/>
        <v/>
      </c>
      <c r="L1378" s="11" t="str">
        <f t="shared" si="199"/>
        <v/>
      </c>
      <c r="M1378" s="9" t="str">
        <f>IF(G1378&lt;&gt;"",J1378/MAX(J$3:J1378)-1,"")</f>
        <v/>
      </c>
      <c r="N1378" s="9" t="str">
        <f>IF(G1378&lt;&gt;"",K1378/MAX(K$3:K1378)-1,"")</f>
        <v/>
      </c>
      <c r="O1378" s="16" t="str">
        <f t="shared" si="195"/>
        <v/>
      </c>
      <c r="P1378" s="16" t="str">
        <f t="shared" si="195"/>
        <v/>
      </c>
      <c r="Q1378" s="16" t="str">
        <f t="shared" si="195"/>
        <v/>
      </c>
      <c r="R1378" s="5" t="str">
        <f t="shared" si="194"/>
        <v/>
      </c>
      <c r="S1378" s="5" t="str">
        <f t="shared" si="198"/>
        <v/>
      </c>
      <c r="T1378" s="5" t="str">
        <f t="shared" si="201"/>
        <v/>
      </c>
      <c r="U1378" s="5" t="str">
        <f t="shared" si="201"/>
        <v/>
      </c>
    </row>
    <row r="1379" spans="7:21" x14ac:dyDescent="0.2">
      <c r="G1379" s="8"/>
      <c r="H1379" s="5"/>
      <c r="J1379" s="10" t="str">
        <f t="shared" si="196"/>
        <v/>
      </c>
      <c r="K1379" s="10" t="str">
        <f t="shared" si="197"/>
        <v/>
      </c>
      <c r="L1379" s="11" t="str">
        <f t="shared" si="199"/>
        <v/>
      </c>
      <c r="M1379" s="9" t="str">
        <f>IF(G1379&lt;&gt;"",J1379/MAX(J$3:J1379)-1,"")</f>
        <v/>
      </c>
      <c r="N1379" s="9" t="str">
        <f>IF(G1379&lt;&gt;"",K1379/MAX(K$3:K1379)-1,"")</f>
        <v/>
      </c>
      <c r="O1379" s="16" t="str">
        <f t="shared" si="195"/>
        <v/>
      </c>
      <c r="P1379" s="16" t="str">
        <f t="shared" si="195"/>
        <v/>
      </c>
      <c r="Q1379" s="16" t="str">
        <f t="shared" si="195"/>
        <v/>
      </c>
      <c r="R1379" s="5" t="str">
        <f t="shared" si="194"/>
        <v/>
      </c>
      <c r="S1379" s="5" t="str">
        <f t="shared" si="198"/>
        <v/>
      </c>
      <c r="T1379" s="5" t="str">
        <f t="shared" si="201"/>
        <v/>
      </c>
      <c r="U1379" s="5" t="str">
        <f t="shared" si="201"/>
        <v/>
      </c>
    </row>
    <row r="1380" spans="7:21" x14ac:dyDescent="0.2">
      <c r="G1380" s="8"/>
      <c r="H1380" s="5"/>
      <c r="J1380" s="10" t="str">
        <f t="shared" si="196"/>
        <v/>
      </c>
      <c r="K1380" s="10" t="str">
        <f t="shared" si="197"/>
        <v/>
      </c>
      <c r="L1380" s="11" t="str">
        <f t="shared" si="199"/>
        <v/>
      </c>
      <c r="M1380" s="9" t="str">
        <f>IF(G1380&lt;&gt;"",J1380/MAX(J$3:J1380)-1,"")</f>
        <v/>
      </c>
      <c r="N1380" s="9" t="str">
        <f>IF(G1380&lt;&gt;"",K1380/MAX(K$3:K1380)-1,"")</f>
        <v/>
      </c>
      <c r="O1380" s="16" t="str">
        <f t="shared" si="195"/>
        <v/>
      </c>
      <c r="P1380" s="16" t="str">
        <f t="shared" si="195"/>
        <v/>
      </c>
      <c r="Q1380" s="16" t="str">
        <f t="shared" si="195"/>
        <v/>
      </c>
      <c r="R1380" s="5" t="str">
        <f t="shared" si="194"/>
        <v/>
      </c>
      <c r="S1380" s="5" t="str">
        <f t="shared" si="198"/>
        <v/>
      </c>
      <c r="T1380" s="5" t="str">
        <f t="shared" si="201"/>
        <v/>
      </c>
      <c r="U1380" s="5" t="str">
        <f t="shared" si="201"/>
        <v/>
      </c>
    </row>
    <row r="1381" spans="7:21" x14ac:dyDescent="0.2">
      <c r="G1381" s="8"/>
      <c r="H1381" s="5"/>
      <c r="J1381" s="10" t="str">
        <f t="shared" si="196"/>
        <v/>
      </c>
      <c r="K1381" s="10" t="str">
        <f t="shared" si="197"/>
        <v/>
      </c>
      <c r="L1381" s="11" t="str">
        <f t="shared" si="199"/>
        <v/>
      </c>
      <c r="M1381" s="9" t="str">
        <f>IF(G1381&lt;&gt;"",J1381/MAX(J$3:J1381)-1,"")</f>
        <v/>
      </c>
      <c r="N1381" s="9" t="str">
        <f>IF(G1381&lt;&gt;"",K1381/MAX(K$3:K1381)-1,"")</f>
        <v/>
      </c>
      <c r="O1381" s="16" t="str">
        <f t="shared" si="195"/>
        <v/>
      </c>
      <c r="P1381" s="16" t="str">
        <f t="shared" si="195"/>
        <v/>
      </c>
      <c r="Q1381" s="16" t="str">
        <f t="shared" si="195"/>
        <v/>
      </c>
      <c r="R1381" s="5" t="str">
        <f t="shared" si="194"/>
        <v/>
      </c>
      <c r="S1381" s="5" t="str">
        <f t="shared" si="198"/>
        <v/>
      </c>
      <c r="T1381" s="5" t="str">
        <f t="shared" si="201"/>
        <v/>
      </c>
      <c r="U1381" s="5" t="str">
        <f t="shared" si="201"/>
        <v/>
      </c>
    </row>
    <row r="1382" spans="7:21" x14ac:dyDescent="0.2">
      <c r="G1382" s="8"/>
      <c r="H1382" s="5"/>
      <c r="J1382" s="10" t="str">
        <f t="shared" si="196"/>
        <v/>
      </c>
      <c r="K1382" s="10" t="str">
        <f t="shared" si="197"/>
        <v/>
      </c>
      <c r="L1382" s="11" t="str">
        <f t="shared" si="199"/>
        <v/>
      </c>
      <c r="M1382" s="9" t="str">
        <f>IF(G1382&lt;&gt;"",J1382/MAX(J$3:J1382)-1,"")</f>
        <v/>
      </c>
      <c r="N1382" s="9" t="str">
        <f>IF(G1382&lt;&gt;"",K1382/MAX(K$3:K1382)-1,"")</f>
        <v/>
      </c>
      <c r="O1382" s="16" t="str">
        <f t="shared" si="195"/>
        <v/>
      </c>
      <c r="P1382" s="16" t="str">
        <f t="shared" si="195"/>
        <v/>
      </c>
      <c r="Q1382" s="16" t="str">
        <f t="shared" si="195"/>
        <v/>
      </c>
      <c r="R1382" s="5" t="str">
        <f t="shared" si="194"/>
        <v/>
      </c>
      <c r="S1382" s="5" t="str">
        <f t="shared" si="198"/>
        <v/>
      </c>
      <c r="T1382" s="5" t="str">
        <f t="shared" si="201"/>
        <v/>
      </c>
      <c r="U1382" s="5" t="str">
        <f t="shared" si="201"/>
        <v/>
      </c>
    </row>
    <row r="1383" spans="7:21" x14ac:dyDescent="0.2">
      <c r="G1383" s="8"/>
      <c r="H1383" s="5"/>
      <c r="J1383" s="10" t="str">
        <f t="shared" si="196"/>
        <v/>
      </c>
      <c r="K1383" s="10" t="str">
        <f t="shared" si="197"/>
        <v/>
      </c>
      <c r="L1383" s="11" t="str">
        <f t="shared" si="199"/>
        <v/>
      </c>
      <c r="M1383" s="9" t="str">
        <f>IF(G1383&lt;&gt;"",J1383/MAX(J$3:J1383)-1,"")</f>
        <v/>
      </c>
      <c r="N1383" s="9" t="str">
        <f>IF(G1383&lt;&gt;"",K1383/MAX(K$3:K1383)-1,"")</f>
        <v/>
      </c>
      <c r="O1383" s="16" t="str">
        <f t="shared" si="195"/>
        <v/>
      </c>
      <c r="P1383" s="16" t="str">
        <f t="shared" si="195"/>
        <v/>
      </c>
      <c r="Q1383" s="16" t="str">
        <f t="shared" si="195"/>
        <v/>
      </c>
      <c r="R1383" s="5" t="str">
        <f t="shared" si="194"/>
        <v/>
      </c>
      <c r="S1383" s="5" t="str">
        <f t="shared" si="198"/>
        <v/>
      </c>
      <c r="T1383" s="5" t="str">
        <f t="shared" si="201"/>
        <v/>
      </c>
      <c r="U1383" s="5" t="str">
        <f t="shared" si="201"/>
        <v/>
      </c>
    </row>
    <row r="1384" spans="7:21" x14ac:dyDescent="0.2">
      <c r="G1384" s="8"/>
      <c r="H1384" s="5"/>
      <c r="J1384" s="10" t="str">
        <f t="shared" si="196"/>
        <v/>
      </c>
      <c r="K1384" s="10" t="str">
        <f t="shared" si="197"/>
        <v/>
      </c>
      <c r="L1384" s="11" t="str">
        <f t="shared" si="199"/>
        <v/>
      </c>
      <c r="M1384" s="9" t="str">
        <f>IF(G1384&lt;&gt;"",J1384/MAX(J$3:J1384)-1,"")</f>
        <v/>
      </c>
      <c r="N1384" s="9" t="str">
        <f>IF(G1384&lt;&gt;"",K1384/MAX(K$3:K1384)-1,"")</f>
        <v/>
      </c>
      <c r="O1384" s="16" t="str">
        <f t="shared" si="195"/>
        <v/>
      </c>
      <c r="P1384" s="16" t="str">
        <f t="shared" si="195"/>
        <v/>
      </c>
      <c r="Q1384" s="16" t="str">
        <f t="shared" si="195"/>
        <v/>
      </c>
      <c r="R1384" s="5" t="str">
        <f t="shared" si="194"/>
        <v/>
      </c>
      <c r="S1384" s="5" t="str">
        <f t="shared" si="198"/>
        <v/>
      </c>
      <c r="T1384" s="5" t="str">
        <f t="shared" ref="T1384:U1399" si="202">IF($G1384&lt;&gt;"",_xlfn.STDEV.S(O1140:O1384),"")</f>
        <v/>
      </c>
      <c r="U1384" s="5" t="str">
        <f t="shared" si="202"/>
        <v/>
      </c>
    </row>
    <row r="1385" spans="7:21" x14ac:dyDescent="0.2">
      <c r="G1385" s="8"/>
      <c r="H1385" s="5"/>
      <c r="J1385" s="10" t="str">
        <f t="shared" si="196"/>
        <v/>
      </c>
      <c r="K1385" s="10" t="str">
        <f t="shared" si="197"/>
        <v/>
      </c>
      <c r="L1385" s="11" t="str">
        <f t="shared" si="199"/>
        <v/>
      </c>
      <c r="M1385" s="9" t="str">
        <f>IF(G1385&lt;&gt;"",J1385/MAX(J$3:J1385)-1,"")</f>
        <v/>
      </c>
      <c r="N1385" s="9" t="str">
        <f>IF(G1385&lt;&gt;"",K1385/MAX(K$3:K1385)-1,"")</f>
        <v/>
      </c>
      <c r="O1385" s="16" t="str">
        <f t="shared" si="195"/>
        <v/>
      </c>
      <c r="P1385" s="16" t="str">
        <f t="shared" si="195"/>
        <v/>
      </c>
      <c r="Q1385" s="16" t="str">
        <f t="shared" si="195"/>
        <v/>
      </c>
      <c r="R1385" s="5" t="str">
        <f t="shared" si="194"/>
        <v/>
      </c>
      <c r="S1385" s="5" t="str">
        <f t="shared" si="198"/>
        <v/>
      </c>
      <c r="T1385" s="5" t="str">
        <f t="shared" si="202"/>
        <v/>
      </c>
      <c r="U1385" s="5" t="str">
        <f t="shared" si="202"/>
        <v/>
      </c>
    </row>
    <row r="1386" spans="7:21" x14ac:dyDescent="0.2">
      <c r="G1386" s="8"/>
      <c r="H1386" s="5"/>
      <c r="J1386" s="10" t="str">
        <f t="shared" si="196"/>
        <v/>
      </c>
      <c r="K1386" s="10" t="str">
        <f t="shared" si="197"/>
        <v/>
      </c>
      <c r="L1386" s="11" t="str">
        <f t="shared" si="199"/>
        <v/>
      </c>
      <c r="M1386" s="9" t="str">
        <f>IF(G1386&lt;&gt;"",J1386/MAX(J$3:J1386)-1,"")</f>
        <v/>
      </c>
      <c r="N1386" s="9" t="str">
        <f>IF(G1386&lt;&gt;"",K1386/MAX(K$3:K1386)-1,"")</f>
        <v/>
      </c>
      <c r="O1386" s="16" t="str">
        <f t="shared" si="195"/>
        <v/>
      </c>
      <c r="P1386" s="16" t="str">
        <f t="shared" si="195"/>
        <v/>
      </c>
      <c r="Q1386" s="16" t="str">
        <f t="shared" si="195"/>
        <v/>
      </c>
      <c r="R1386" s="5" t="str">
        <f t="shared" si="194"/>
        <v/>
      </c>
      <c r="S1386" s="5" t="str">
        <f t="shared" si="198"/>
        <v/>
      </c>
      <c r="T1386" s="5" t="str">
        <f t="shared" si="202"/>
        <v/>
      </c>
      <c r="U1386" s="5" t="str">
        <f t="shared" si="202"/>
        <v/>
      </c>
    </row>
    <row r="1387" spans="7:21" x14ac:dyDescent="0.2">
      <c r="G1387" s="8"/>
      <c r="H1387" s="5"/>
      <c r="J1387" s="10" t="str">
        <f t="shared" si="196"/>
        <v/>
      </c>
      <c r="K1387" s="10" t="str">
        <f t="shared" si="197"/>
        <v/>
      </c>
      <c r="L1387" s="11" t="str">
        <f t="shared" si="199"/>
        <v/>
      </c>
      <c r="M1387" s="9" t="str">
        <f>IF(G1387&lt;&gt;"",J1387/MAX(J$3:J1387)-1,"")</f>
        <v/>
      </c>
      <c r="N1387" s="9" t="str">
        <f>IF(G1387&lt;&gt;"",K1387/MAX(K$3:K1387)-1,"")</f>
        <v/>
      </c>
      <c r="O1387" s="16" t="str">
        <f t="shared" si="195"/>
        <v/>
      </c>
      <c r="P1387" s="16" t="str">
        <f t="shared" si="195"/>
        <v/>
      </c>
      <c r="Q1387" s="16" t="str">
        <f t="shared" si="195"/>
        <v/>
      </c>
      <c r="R1387" s="5" t="str">
        <f t="shared" si="194"/>
        <v/>
      </c>
      <c r="S1387" s="5" t="str">
        <f t="shared" si="198"/>
        <v/>
      </c>
      <c r="T1387" s="5" t="str">
        <f t="shared" si="202"/>
        <v/>
      </c>
      <c r="U1387" s="5" t="str">
        <f t="shared" si="202"/>
        <v/>
      </c>
    </row>
    <row r="1388" spans="7:21" x14ac:dyDescent="0.2">
      <c r="G1388" s="8"/>
      <c r="H1388" s="5"/>
      <c r="J1388" s="10" t="str">
        <f t="shared" si="196"/>
        <v/>
      </c>
      <c r="K1388" s="10" t="str">
        <f t="shared" si="197"/>
        <v/>
      </c>
      <c r="L1388" s="11" t="str">
        <f t="shared" si="199"/>
        <v/>
      </c>
      <c r="M1388" s="9" t="str">
        <f>IF(G1388&lt;&gt;"",J1388/MAX(J$3:J1388)-1,"")</f>
        <v/>
      </c>
      <c r="N1388" s="9" t="str">
        <f>IF(G1388&lt;&gt;"",K1388/MAX(K$3:K1388)-1,"")</f>
        <v/>
      </c>
      <c r="O1388" s="16" t="str">
        <f t="shared" si="195"/>
        <v/>
      </c>
      <c r="P1388" s="16" t="str">
        <f t="shared" si="195"/>
        <v/>
      </c>
      <c r="Q1388" s="16" t="str">
        <f t="shared" si="195"/>
        <v/>
      </c>
      <c r="R1388" s="5" t="str">
        <f t="shared" si="194"/>
        <v/>
      </c>
      <c r="S1388" s="5" t="str">
        <f t="shared" si="198"/>
        <v/>
      </c>
      <c r="T1388" s="5" t="str">
        <f t="shared" si="202"/>
        <v/>
      </c>
      <c r="U1388" s="5" t="str">
        <f t="shared" si="202"/>
        <v/>
      </c>
    </row>
    <row r="1389" spans="7:21" x14ac:dyDescent="0.2">
      <c r="G1389" s="8"/>
      <c r="H1389" s="5"/>
      <c r="J1389" s="10" t="str">
        <f t="shared" si="196"/>
        <v/>
      </c>
      <c r="K1389" s="10" t="str">
        <f t="shared" si="197"/>
        <v/>
      </c>
      <c r="L1389" s="11" t="str">
        <f t="shared" si="199"/>
        <v/>
      </c>
      <c r="M1389" s="9" t="str">
        <f>IF(G1389&lt;&gt;"",J1389/MAX(J$3:J1389)-1,"")</f>
        <v/>
      </c>
      <c r="N1389" s="9" t="str">
        <f>IF(G1389&lt;&gt;"",K1389/MAX(K$3:K1389)-1,"")</f>
        <v/>
      </c>
      <c r="O1389" s="16" t="str">
        <f t="shared" si="195"/>
        <v/>
      </c>
      <c r="P1389" s="16" t="str">
        <f t="shared" si="195"/>
        <v/>
      </c>
      <c r="Q1389" s="16" t="str">
        <f t="shared" si="195"/>
        <v/>
      </c>
      <c r="R1389" s="5" t="str">
        <f t="shared" si="194"/>
        <v/>
      </c>
      <c r="S1389" s="5" t="str">
        <f t="shared" si="198"/>
        <v/>
      </c>
      <c r="T1389" s="5" t="str">
        <f t="shared" si="202"/>
        <v/>
      </c>
      <c r="U1389" s="5" t="str">
        <f t="shared" si="202"/>
        <v/>
      </c>
    </row>
    <row r="1390" spans="7:21" x14ac:dyDescent="0.2">
      <c r="G1390" s="8"/>
      <c r="H1390" s="5"/>
      <c r="J1390" s="10" t="str">
        <f t="shared" si="196"/>
        <v/>
      </c>
      <c r="K1390" s="10" t="str">
        <f t="shared" si="197"/>
        <v/>
      </c>
      <c r="L1390" s="11" t="str">
        <f t="shared" si="199"/>
        <v/>
      </c>
      <c r="M1390" s="9" t="str">
        <f>IF(G1390&lt;&gt;"",J1390/MAX(J$3:J1390)-1,"")</f>
        <v/>
      </c>
      <c r="N1390" s="9" t="str">
        <f>IF(G1390&lt;&gt;"",K1390/MAX(K$3:K1390)-1,"")</f>
        <v/>
      </c>
      <c r="O1390" s="16" t="str">
        <f t="shared" si="195"/>
        <v/>
      </c>
      <c r="P1390" s="16" t="str">
        <f t="shared" si="195"/>
        <v/>
      </c>
      <c r="Q1390" s="16" t="str">
        <f t="shared" si="195"/>
        <v/>
      </c>
      <c r="R1390" s="5" t="str">
        <f t="shared" si="194"/>
        <v/>
      </c>
      <c r="S1390" s="5" t="str">
        <f t="shared" si="198"/>
        <v/>
      </c>
      <c r="T1390" s="5" t="str">
        <f t="shared" si="202"/>
        <v/>
      </c>
      <c r="U1390" s="5" t="str">
        <f t="shared" si="202"/>
        <v/>
      </c>
    </row>
    <row r="1391" spans="7:21" x14ac:dyDescent="0.2">
      <c r="G1391" s="8"/>
      <c r="H1391" s="5"/>
      <c r="J1391" s="10" t="str">
        <f t="shared" si="196"/>
        <v/>
      </c>
      <c r="K1391" s="10" t="str">
        <f t="shared" si="197"/>
        <v/>
      </c>
      <c r="L1391" s="11" t="str">
        <f t="shared" si="199"/>
        <v/>
      </c>
      <c r="M1391" s="9" t="str">
        <f>IF(G1391&lt;&gt;"",J1391/MAX(J$3:J1391)-1,"")</f>
        <v/>
      </c>
      <c r="N1391" s="9" t="str">
        <f>IF(G1391&lt;&gt;"",K1391/MAX(K$3:K1391)-1,"")</f>
        <v/>
      </c>
      <c r="O1391" s="16" t="str">
        <f t="shared" si="195"/>
        <v/>
      </c>
      <c r="P1391" s="16" t="str">
        <f t="shared" si="195"/>
        <v/>
      </c>
      <c r="Q1391" s="16" t="str">
        <f t="shared" si="195"/>
        <v/>
      </c>
      <c r="R1391" s="5" t="str">
        <f t="shared" si="194"/>
        <v/>
      </c>
      <c r="S1391" s="5" t="str">
        <f t="shared" si="198"/>
        <v/>
      </c>
      <c r="T1391" s="5" t="str">
        <f t="shared" si="202"/>
        <v/>
      </c>
      <c r="U1391" s="5" t="str">
        <f t="shared" si="202"/>
        <v/>
      </c>
    </row>
    <row r="1392" spans="7:21" x14ac:dyDescent="0.2">
      <c r="G1392" s="8"/>
      <c r="H1392" s="5"/>
      <c r="J1392" s="10" t="str">
        <f t="shared" si="196"/>
        <v/>
      </c>
      <c r="K1392" s="10" t="str">
        <f t="shared" si="197"/>
        <v/>
      </c>
      <c r="L1392" s="11" t="str">
        <f t="shared" si="199"/>
        <v/>
      </c>
      <c r="M1392" s="9" t="str">
        <f>IF(G1392&lt;&gt;"",J1392/MAX(J$3:J1392)-1,"")</f>
        <v/>
      </c>
      <c r="N1392" s="9" t="str">
        <f>IF(G1392&lt;&gt;"",K1392/MAX(K$3:K1392)-1,"")</f>
        <v/>
      </c>
      <c r="O1392" s="16" t="str">
        <f t="shared" si="195"/>
        <v/>
      </c>
      <c r="P1392" s="16" t="str">
        <f t="shared" si="195"/>
        <v/>
      </c>
      <c r="Q1392" s="16" t="str">
        <f t="shared" si="195"/>
        <v/>
      </c>
      <c r="R1392" s="5" t="str">
        <f t="shared" si="194"/>
        <v/>
      </c>
      <c r="S1392" s="5" t="str">
        <f t="shared" si="198"/>
        <v/>
      </c>
      <c r="T1392" s="5" t="str">
        <f t="shared" si="202"/>
        <v/>
      </c>
      <c r="U1392" s="5" t="str">
        <f t="shared" si="202"/>
        <v/>
      </c>
    </row>
    <row r="1393" spans="7:21" x14ac:dyDescent="0.2">
      <c r="G1393" s="8"/>
      <c r="H1393" s="5"/>
      <c r="J1393" s="10" t="str">
        <f t="shared" si="196"/>
        <v/>
      </c>
      <c r="K1393" s="10" t="str">
        <f t="shared" si="197"/>
        <v/>
      </c>
      <c r="L1393" s="11" t="str">
        <f t="shared" si="199"/>
        <v/>
      </c>
      <c r="M1393" s="9" t="str">
        <f>IF(G1393&lt;&gt;"",J1393/MAX(J$3:J1393)-1,"")</f>
        <v/>
      </c>
      <c r="N1393" s="9" t="str">
        <f>IF(G1393&lt;&gt;"",K1393/MAX(K$3:K1393)-1,"")</f>
        <v/>
      </c>
      <c r="O1393" s="16" t="str">
        <f t="shared" si="195"/>
        <v/>
      </c>
      <c r="P1393" s="16" t="str">
        <f t="shared" si="195"/>
        <v/>
      </c>
      <c r="Q1393" s="16" t="str">
        <f t="shared" si="195"/>
        <v/>
      </c>
      <c r="R1393" s="5" t="str">
        <f t="shared" si="194"/>
        <v/>
      </c>
      <c r="S1393" s="5" t="str">
        <f t="shared" si="198"/>
        <v/>
      </c>
      <c r="T1393" s="5" t="str">
        <f t="shared" si="202"/>
        <v/>
      </c>
      <c r="U1393" s="5" t="str">
        <f t="shared" si="202"/>
        <v/>
      </c>
    </row>
    <row r="1394" spans="7:21" x14ac:dyDescent="0.2">
      <c r="G1394" s="8"/>
      <c r="H1394" s="5"/>
      <c r="J1394" s="10" t="str">
        <f t="shared" si="196"/>
        <v/>
      </c>
      <c r="K1394" s="10" t="str">
        <f t="shared" si="197"/>
        <v/>
      </c>
      <c r="L1394" s="11" t="str">
        <f t="shared" si="199"/>
        <v/>
      </c>
      <c r="M1394" s="9" t="str">
        <f>IF(G1394&lt;&gt;"",J1394/MAX(J$3:J1394)-1,"")</f>
        <v/>
      </c>
      <c r="N1394" s="9" t="str">
        <f>IF(G1394&lt;&gt;"",K1394/MAX(K$3:K1394)-1,"")</f>
        <v/>
      </c>
      <c r="O1394" s="16" t="str">
        <f t="shared" si="195"/>
        <v/>
      </c>
      <c r="P1394" s="16" t="str">
        <f t="shared" si="195"/>
        <v/>
      </c>
      <c r="Q1394" s="16" t="str">
        <f t="shared" si="195"/>
        <v/>
      </c>
      <c r="R1394" s="5" t="str">
        <f t="shared" si="194"/>
        <v/>
      </c>
      <c r="S1394" s="5" t="str">
        <f t="shared" si="198"/>
        <v/>
      </c>
      <c r="T1394" s="5" t="str">
        <f t="shared" si="202"/>
        <v/>
      </c>
      <c r="U1394" s="5" t="str">
        <f t="shared" si="202"/>
        <v/>
      </c>
    </row>
    <row r="1395" spans="7:21" x14ac:dyDescent="0.2">
      <c r="G1395" s="8"/>
      <c r="H1395" s="5"/>
      <c r="J1395" s="10" t="str">
        <f t="shared" si="196"/>
        <v/>
      </c>
      <c r="K1395" s="10" t="str">
        <f t="shared" si="197"/>
        <v/>
      </c>
      <c r="L1395" s="11" t="str">
        <f t="shared" si="199"/>
        <v/>
      </c>
      <c r="M1395" s="9" t="str">
        <f>IF(G1395&lt;&gt;"",J1395/MAX(J$3:J1395)-1,"")</f>
        <v/>
      </c>
      <c r="N1395" s="9" t="str">
        <f>IF(G1395&lt;&gt;"",K1395/MAX(K$3:K1395)-1,"")</f>
        <v/>
      </c>
      <c r="O1395" s="16" t="str">
        <f t="shared" si="195"/>
        <v/>
      </c>
      <c r="P1395" s="16" t="str">
        <f t="shared" si="195"/>
        <v/>
      </c>
      <c r="Q1395" s="16" t="str">
        <f t="shared" si="195"/>
        <v/>
      </c>
      <c r="R1395" s="5" t="str">
        <f t="shared" si="194"/>
        <v/>
      </c>
      <c r="S1395" s="5" t="str">
        <f t="shared" si="198"/>
        <v/>
      </c>
      <c r="T1395" s="5" t="str">
        <f t="shared" si="202"/>
        <v/>
      </c>
      <c r="U1395" s="5" t="str">
        <f t="shared" si="202"/>
        <v/>
      </c>
    </row>
    <row r="1396" spans="7:21" x14ac:dyDescent="0.2">
      <c r="G1396" s="8"/>
      <c r="H1396" s="5"/>
      <c r="J1396" s="10" t="str">
        <f t="shared" si="196"/>
        <v/>
      </c>
      <c r="K1396" s="10" t="str">
        <f t="shared" si="197"/>
        <v/>
      </c>
      <c r="L1396" s="11" t="str">
        <f t="shared" si="199"/>
        <v/>
      </c>
      <c r="M1396" s="9" t="str">
        <f>IF(G1396&lt;&gt;"",J1396/MAX(J$3:J1396)-1,"")</f>
        <v/>
      </c>
      <c r="N1396" s="9" t="str">
        <f>IF(G1396&lt;&gt;"",K1396/MAX(K$3:K1396)-1,"")</f>
        <v/>
      </c>
      <c r="O1396" s="16" t="str">
        <f t="shared" si="195"/>
        <v/>
      </c>
      <c r="P1396" s="16" t="str">
        <f t="shared" si="195"/>
        <v/>
      </c>
      <c r="Q1396" s="16" t="str">
        <f t="shared" si="195"/>
        <v/>
      </c>
      <c r="R1396" s="5" t="str">
        <f t="shared" si="194"/>
        <v/>
      </c>
      <c r="S1396" s="5" t="str">
        <f t="shared" si="198"/>
        <v/>
      </c>
      <c r="T1396" s="5" t="str">
        <f t="shared" si="202"/>
        <v/>
      </c>
      <c r="U1396" s="5" t="str">
        <f t="shared" si="202"/>
        <v/>
      </c>
    </row>
    <row r="1397" spans="7:21" x14ac:dyDescent="0.2">
      <c r="G1397" s="8"/>
      <c r="H1397" s="5"/>
      <c r="J1397" s="10" t="str">
        <f t="shared" si="196"/>
        <v/>
      </c>
      <c r="K1397" s="10" t="str">
        <f t="shared" si="197"/>
        <v/>
      </c>
      <c r="L1397" s="11" t="str">
        <f t="shared" si="199"/>
        <v/>
      </c>
      <c r="M1397" s="9" t="str">
        <f>IF(G1397&lt;&gt;"",J1397/MAX(J$3:J1397)-1,"")</f>
        <v/>
      </c>
      <c r="N1397" s="9" t="str">
        <f>IF(G1397&lt;&gt;"",K1397/MAX(K$3:K1397)-1,"")</f>
        <v/>
      </c>
      <c r="O1397" s="16" t="str">
        <f t="shared" si="195"/>
        <v/>
      </c>
      <c r="P1397" s="16" t="str">
        <f t="shared" si="195"/>
        <v/>
      </c>
      <c r="Q1397" s="16" t="str">
        <f t="shared" si="195"/>
        <v/>
      </c>
      <c r="R1397" s="5" t="str">
        <f t="shared" si="194"/>
        <v/>
      </c>
      <c r="S1397" s="5" t="str">
        <f t="shared" si="198"/>
        <v/>
      </c>
      <c r="T1397" s="5" t="str">
        <f t="shared" si="202"/>
        <v/>
      </c>
      <c r="U1397" s="5" t="str">
        <f t="shared" si="202"/>
        <v/>
      </c>
    </row>
    <row r="1398" spans="7:21" x14ac:dyDescent="0.2">
      <c r="G1398" s="8"/>
      <c r="H1398" s="5"/>
      <c r="J1398" s="10" t="str">
        <f t="shared" si="196"/>
        <v/>
      </c>
      <c r="K1398" s="10" t="str">
        <f t="shared" si="197"/>
        <v/>
      </c>
      <c r="L1398" s="11" t="str">
        <f t="shared" si="199"/>
        <v/>
      </c>
      <c r="M1398" s="9" t="str">
        <f>IF(G1398&lt;&gt;"",J1398/MAX(J$3:J1398)-1,"")</f>
        <v/>
      </c>
      <c r="N1398" s="9" t="str">
        <f>IF(G1398&lt;&gt;"",K1398/MAX(K$3:K1398)-1,"")</f>
        <v/>
      </c>
      <c r="O1398" s="16" t="str">
        <f t="shared" si="195"/>
        <v/>
      </c>
      <c r="P1398" s="16" t="str">
        <f t="shared" si="195"/>
        <v/>
      </c>
      <c r="Q1398" s="16" t="str">
        <f t="shared" si="195"/>
        <v/>
      </c>
      <c r="R1398" s="5" t="str">
        <f t="shared" si="194"/>
        <v/>
      </c>
      <c r="S1398" s="5" t="str">
        <f t="shared" si="198"/>
        <v/>
      </c>
      <c r="T1398" s="5" t="str">
        <f t="shared" si="202"/>
        <v/>
      </c>
      <c r="U1398" s="5" t="str">
        <f t="shared" si="202"/>
        <v/>
      </c>
    </row>
    <row r="1399" spans="7:21" x14ac:dyDescent="0.2">
      <c r="G1399" s="8"/>
      <c r="H1399" s="5"/>
      <c r="J1399" s="10" t="str">
        <f t="shared" si="196"/>
        <v/>
      </c>
      <c r="K1399" s="10" t="str">
        <f t="shared" si="197"/>
        <v/>
      </c>
      <c r="L1399" s="11" t="str">
        <f t="shared" si="199"/>
        <v/>
      </c>
      <c r="M1399" s="9" t="str">
        <f>IF(G1399&lt;&gt;"",J1399/MAX(J$3:J1399)-1,"")</f>
        <v/>
      </c>
      <c r="N1399" s="9" t="str">
        <f>IF(G1399&lt;&gt;"",K1399/MAX(K$3:K1399)-1,"")</f>
        <v/>
      </c>
      <c r="O1399" s="16" t="str">
        <f t="shared" si="195"/>
        <v/>
      </c>
      <c r="P1399" s="16" t="str">
        <f t="shared" si="195"/>
        <v/>
      </c>
      <c r="Q1399" s="16" t="str">
        <f t="shared" si="195"/>
        <v/>
      </c>
      <c r="R1399" s="5" t="str">
        <f t="shared" si="194"/>
        <v/>
      </c>
      <c r="S1399" s="5" t="str">
        <f t="shared" si="198"/>
        <v/>
      </c>
      <c r="T1399" s="5" t="str">
        <f t="shared" si="202"/>
        <v/>
      </c>
      <c r="U1399" s="5" t="str">
        <f t="shared" si="202"/>
        <v/>
      </c>
    </row>
    <row r="1400" spans="7:21" x14ac:dyDescent="0.2">
      <c r="G1400" s="8"/>
      <c r="H1400" s="5"/>
      <c r="J1400" s="10" t="str">
        <f t="shared" si="196"/>
        <v/>
      </c>
      <c r="K1400" s="10" t="str">
        <f t="shared" si="197"/>
        <v/>
      </c>
      <c r="L1400" s="11" t="str">
        <f t="shared" si="199"/>
        <v/>
      </c>
      <c r="M1400" s="9" t="str">
        <f>IF(G1400&lt;&gt;"",J1400/MAX(J$3:J1400)-1,"")</f>
        <v/>
      </c>
      <c r="N1400" s="9" t="str">
        <f>IF(G1400&lt;&gt;"",K1400/MAX(K$3:K1400)-1,"")</f>
        <v/>
      </c>
      <c r="O1400" s="16" t="str">
        <f t="shared" si="195"/>
        <v/>
      </c>
      <c r="P1400" s="16" t="str">
        <f t="shared" si="195"/>
        <v/>
      </c>
      <c r="Q1400" s="16" t="str">
        <f t="shared" si="195"/>
        <v/>
      </c>
      <c r="R1400" s="5" t="str">
        <f t="shared" si="194"/>
        <v/>
      </c>
      <c r="S1400" s="5" t="str">
        <f t="shared" si="198"/>
        <v/>
      </c>
      <c r="T1400" s="5" t="str">
        <f t="shared" ref="T1400:U1415" si="203">IF($G1400&lt;&gt;"",_xlfn.STDEV.S(O1156:O1400),"")</f>
        <v/>
      </c>
      <c r="U1400" s="5" t="str">
        <f t="shared" si="203"/>
        <v/>
      </c>
    </row>
    <row r="1401" spans="7:21" x14ac:dyDescent="0.2">
      <c r="G1401" s="8"/>
      <c r="H1401" s="5"/>
      <c r="J1401" s="10" t="str">
        <f t="shared" si="196"/>
        <v/>
      </c>
      <c r="K1401" s="10" t="str">
        <f t="shared" si="197"/>
        <v/>
      </c>
      <c r="L1401" s="11" t="str">
        <f t="shared" si="199"/>
        <v/>
      </c>
      <c r="M1401" s="9" t="str">
        <f>IF(G1401&lt;&gt;"",J1401/MAX(J$3:J1401)-1,"")</f>
        <v/>
      </c>
      <c r="N1401" s="9" t="str">
        <f>IF(G1401&lt;&gt;"",K1401/MAX(K$3:K1401)-1,"")</f>
        <v/>
      </c>
      <c r="O1401" s="16" t="str">
        <f t="shared" si="195"/>
        <v/>
      </c>
      <c r="P1401" s="16" t="str">
        <f t="shared" si="195"/>
        <v/>
      </c>
      <c r="Q1401" s="16" t="str">
        <f t="shared" si="195"/>
        <v/>
      </c>
      <c r="R1401" s="5" t="str">
        <f t="shared" si="194"/>
        <v/>
      </c>
      <c r="S1401" s="5" t="str">
        <f t="shared" si="198"/>
        <v/>
      </c>
      <c r="T1401" s="5" t="str">
        <f t="shared" si="203"/>
        <v/>
      </c>
      <c r="U1401" s="5" t="str">
        <f t="shared" si="203"/>
        <v/>
      </c>
    </row>
    <row r="1402" spans="7:21" x14ac:dyDescent="0.2">
      <c r="G1402" s="8"/>
      <c r="H1402" s="5"/>
      <c r="J1402" s="10" t="str">
        <f t="shared" si="196"/>
        <v/>
      </c>
      <c r="K1402" s="10" t="str">
        <f t="shared" si="197"/>
        <v/>
      </c>
      <c r="L1402" s="11" t="str">
        <f t="shared" si="199"/>
        <v/>
      </c>
      <c r="M1402" s="9" t="str">
        <f>IF(G1402&lt;&gt;"",J1402/MAX(J$3:J1402)-1,"")</f>
        <v/>
      </c>
      <c r="N1402" s="9" t="str">
        <f>IF(G1402&lt;&gt;"",K1402/MAX(K$3:K1402)-1,"")</f>
        <v/>
      </c>
      <c r="O1402" s="16" t="str">
        <f t="shared" si="195"/>
        <v/>
      </c>
      <c r="P1402" s="16" t="str">
        <f t="shared" si="195"/>
        <v/>
      </c>
      <c r="Q1402" s="16" t="str">
        <f t="shared" si="195"/>
        <v/>
      </c>
      <c r="R1402" s="5" t="str">
        <f t="shared" si="194"/>
        <v/>
      </c>
      <c r="S1402" s="5" t="str">
        <f t="shared" si="198"/>
        <v/>
      </c>
      <c r="T1402" s="5" t="str">
        <f t="shared" si="203"/>
        <v/>
      </c>
      <c r="U1402" s="5" t="str">
        <f t="shared" si="203"/>
        <v/>
      </c>
    </row>
    <row r="1403" spans="7:21" x14ac:dyDescent="0.2">
      <c r="G1403" s="8"/>
      <c r="H1403" s="5"/>
      <c r="J1403" s="10" t="str">
        <f t="shared" si="196"/>
        <v/>
      </c>
      <c r="K1403" s="10" t="str">
        <f t="shared" si="197"/>
        <v/>
      </c>
      <c r="L1403" s="11" t="str">
        <f t="shared" si="199"/>
        <v/>
      </c>
      <c r="M1403" s="9" t="str">
        <f>IF(G1403&lt;&gt;"",J1403/MAX(J$3:J1403)-1,"")</f>
        <v/>
      </c>
      <c r="N1403" s="9" t="str">
        <f>IF(G1403&lt;&gt;"",K1403/MAX(K$3:K1403)-1,"")</f>
        <v/>
      </c>
      <c r="O1403" s="16" t="str">
        <f t="shared" si="195"/>
        <v/>
      </c>
      <c r="P1403" s="16" t="str">
        <f t="shared" si="195"/>
        <v/>
      </c>
      <c r="Q1403" s="16" t="str">
        <f t="shared" si="195"/>
        <v/>
      </c>
      <c r="R1403" s="5" t="str">
        <f t="shared" si="194"/>
        <v/>
      </c>
      <c r="S1403" s="5" t="str">
        <f t="shared" si="198"/>
        <v/>
      </c>
      <c r="T1403" s="5" t="str">
        <f t="shared" si="203"/>
        <v/>
      </c>
      <c r="U1403" s="5" t="str">
        <f t="shared" si="203"/>
        <v/>
      </c>
    </row>
    <row r="1404" spans="7:21" x14ac:dyDescent="0.2">
      <c r="G1404" s="8"/>
      <c r="H1404" s="5"/>
      <c r="J1404" s="10" t="str">
        <f t="shared" si="196"/>
        <v/>
      </c>
      <c r="K1404" s="10" t="str">
        <f t="shared" si="197"/>
        <v/>
      </c>
      <c r="L1404" s="11" t="str">
        <f t="shared" si="199"/>
        <v/>
      </c>
      <c r="M1404" s="9" t="str">
        <f>IF(G1404&lt;&gt;"",J1404/MAX(J$3:J1404)-1,"")</f>
        <v/>
      </c>
      <c r="N1404" s="9" t="str">
        <f>IF(G1404&lt;&gt;"",K1404/MAX(K$3:K1404)-1,"")</f>
        <v/>
      </c>
      <c r="O1404" s="16" t="str">
        <f t="shared" si="195"/>
        <v/>
      </c>
      <c r="P1404" s="16" t="str">
        <f t="shared" si="195"/>
        <v/>
      </c>
      <c r="Q1404" s="16" t="str">
        <f t="shared" si="195"/>
        <v/>
      </c>
      <c r="R1404" s="5" t="str">
        <f t="shared" si="194"/>
        <v/>
      </c>
      <c r="S1404" s="5" t="str">
        <f t="shared" si="198"/>
        <v/>
      </c>
      <c r="T1404" s="5" t="str">
        <f t="shared" si="203"/>
        <v/>
      </c>
      <c r="U1404" s="5" t="str">
        <f t="shared" si="203"/>
        <v/>
      </c>
    </row>
    <row r="1405" spans="7:21" x14ac:dyDescent="0.2">
      <c r="G1405" s="8"/>
      <c r="H1405" s="5"/>
      <c r="J1405" s="10" t="str">
        <f t="shared" si="196"/>
        <v/>
      </c>
      <c r="K1405" s="10" t="str">
        <f t="shared" si="197"/>
        <v/>
      </c>
      <c r="L1405" s="11" t="str">
        <f t="shared" si="199"/>
        <v/>
      </c>
      <c r="M1405" s="9" t="str">
        <f>IF(G1405&lt;&gt;"",J1405/MAX(J$3:J1405)-1,"")</f>
        <v/>
      </c>
      <c r="N1405" s="9" t="str">
        <f>IF(G1405&lt;&gt;"",K1405/MAX(K$3:K1405)-1,"")</f>
        <v/>
      </c>
      <c r="O1405" s="16" t="str">
        <f t="shared" si="195"/>
        <v/>
      </c>
      <c r="P1405" s="16" t="str">
        <f t="shared" si="195"/>
        <v/>
      </c>
      <c r="Q1405" s="16" t="str">
        <f t="shared" si="195"/>
        <v/>
      </c>
      <c r="R1405" s="5" t="str">
        <f t="shared" ref="R1405:R1468" si="204">IF(G1405&lt;&gt;"",_xlfn.STDEV.S(Q1284:Q1405)*SQRT($B$5),"")</f>
        <v/>
      </c>
      <c r="S1405" s="5" t="str">
        <f t="shared" si="198"/>
        <v/>
      </c>
      <c r="T1405" s="5" t="str">
        <f t="shared" si="203"/>
        <v/>
      </c>
      <c r="U1405" s="5" t="str">
        <f t="shared" si="203"/>
        <v/>
      </c>
    </row>
    <row r="1406" spans="7:21" x14ac:dyDescent="0.2">
      <c r="G1406" s="8"/>
      <c r="H1406" s="5"/>
      <c r="J1406" s="10" t="str">
        <f t="shared" si="196"/>
        <v/>
      </c>
      <c r="K1406" s="10" t="str">
        <f t="shared" si="197"/>
        <v/>
      </c>
      <c r="L1406" s="11" t="str">
        <f t="shared" si="199"/>
        <v/>
      </c>
      <c r="M1406" s="9" t="str">
        <f>IF(G1406&lt;&gt;"",J1406/MAX(J$3:J1406)-1,"")</f>
        <v/>
      </c>
      <c r="N1406" s="9" t="str">
        <f>IF(G1406&lt;&gt;"",K1406/MAX(K$3:K1406)-1,"")</f>
        <v/>
      </c>
      <c r="O1406" s="16" t="str">
        <f t="shared" si="195"/>
        <v/>
      </c>
      <c r="P1406" s="16" t="str">
        <f t="shared" si="195"/>
        <v/>
      </c>
      <c r="Q1406" s="16" t="str">
        <f t="shared" si="195"/>
        <v/>
      </c>
      <c r="R1406" s="5" t="str">
        <f t="shared" si="204"/>
        <v/>
      </c>
      <c r="S1406" s="5" t="str">
        <f t="shared" si="198"/>
        <v/>
      </c>
      <c r="T1406" s="5" t="str">
        <f t="shared" si="203"/>
        <v/>
      </c>
      <c r="U1406" s="5" t="str">
        <f t="shared" si="203"/>
        <v/>
      </c>
    </row>
    <row r="1407" spans="7:21" x14ac:dyDescent="0.2">
      <c r="G1407" s="8"/>
      <c r="H1407" s="5"/>
      <c r="J1407" s="10" t="str">
        <f t="shared" si="196"/>
        <v/>
      </c>
      <c r="K1407" s="10" t="str">
        <f t="shared" si="197"/>
        <v/>
      </c>
      <c r="L1407" s="11" t="str">
        <f t="shared" si="199"/>
        <v/>
      </c>
      <c r="M1407" s="9" t="str">
        <f>IF(G1407&lt;&gt;"",J1407/MAX(J$3:J1407)-1,"")</f>
        <v/>
      </c>
      <c r="N1407" s="9" t="str">
        <f>IF(G1407&lt;&gt;"",K1407/MAX(K$3:K1407)-1,"")</f>
        <v/>
      </c>
      <c r="O1407" s="16" t="str">
        <f t="shared" si="195"/>
        <v/>
      </c>
      <c r="P1407" s="16" t="str">
        <f t="shared" si="195"/>
        <v/>
      </c>
      <c r="Q1407" s="16" t="str">
        <f t="shared" si="195"/>
        <v/>
      </c>
      <c r="R1407" s="5" t="str">
        <f t="shared" si="204"/>
        <v/>
      </c>
      <c r="S1407" s="5" t="str">
        <f t="shared" si="198"/>
        <v/>
      </c>
      <c r="T1407" s="5" t="str">
        <f t="shared" si="203"/>
        <v/>
      </c>
      <c r="U1407" s="5" t="str">
        <f t="shared" si="203"/>
        <v/>
      </c>
    </row>
    <row r="1408" spans="7:21" x14ac:dyDescent="0.2">
      <c r="G1408" s="8"/>
      <c r="H1408" s="5"/>
      <c r="J1408" s="10" t="str">
        <f t="shared" si="196"/>
        <v/>
      </c>
      <c r="K1408" s="10" t="str">
        <f t="shared" si="197"/>
        <v/>
      </c>
      <c r="L1408" s="11" t="str">
        <f t="shared" si="199"/>
        <v/>
      </c>
      <c r="M1408" s="9" t="str">
        <f>IF(G1408&lt;&gt;"",J1408/MAX(J$3:J1408)-1,"")</f>
        <v/>
      </c>
      <c r="N1408" s="9" t="str">
        <f>IF(G1408&lt;&gt;"",K1408/MAX(K$3:K1408)-1,"")</f>
        <v/>
      </c>
      <c r="O1408" s="16" t="str">
        <f t="shared" si="195"/>
        <v/>
      </c>
      <c r="P1408" s="16" t="str">
        <f t="shared" si="195"/>
        <v/>
      </c>
      <c r="Q1408" s="16" t="str">
        <f t="shared" si="195"/>
        <v/>
      </c>
      <c r="R1408" s="5" t="str">
        <f t="shared" si="204"/>
        <v/>
      </c>
      <c r="S1408" s="5" t="str">
        <f t="shared" si="198"/>
        <v/>
      </c>
      <c r="T1408" s="5" t="str">
        <f t="shared" si="203"/>
        <v/>
      </c>
      <c r="U1408" s="5" t="str">
        <f t="shared" si="203"/>
        <v/>
      </c>
    </row>
    <row r="1409" spans="7:21" x14ac:dyDescent="0.2">
      <c r="G1409" s="8"/>
      <c r="H1409" s="5"/>
      <c r="J1409" s="10" t="str">
        <f t="shared" si="196"/>
        <v/>
      </c>
      <c r="K1409" s="10" t="str">
        <f t="shared" si="197"/>
        <v/>
      </c>
      <c r="L1409" s="11" t="str">
        <f t="shared" si="199"/>
        <v/>
      </c>
      <c r="M1409" s="9" t="str">
        <f>IF(G1409&lt;&gt;"",J1409/MAX(J$3:J1409)-1,"")</f>
        <v/>
      </c>
      <c r="N1409" s="9" t="str">
        <f>IF(G1409&lt;&gt;"",K1409/MAX(K$3:K1409)-1,"")</f>
        <v/>
      </c>
      <c r="O1409" s="16" t="str">
        <f t="shared" si="195"/>
        <v/>
      </c>
      <c r="P1409" s="16" t="str">
        <f t="shared" si="195"/>
        <v/>
      </c>
      <c r="Q1409" s="16" t="str">
        <f t="shared" si="195"/>
        <v/>
      </c>
      <c r="R1409" s="5" t="str">
        <f t="shared" si="204"/>
        <v/>
      </c>
      <c r="S1409" s="5" t="str">
        <f t="shared" si="198"/>
        <v/>
      </c>
      <c r="T1409" s="5" t="str">
        <f t="shared" si="203"/>
        <v/>
      </c>
      <c r="U1409" s="5" t="str">
        <f t="shared" si="203"/>
        <v/>
      </c>
    </row>
    <row r="1410" spans="7:21" x14ac:dyDescent="0.2">
      <c r="G1410" s="8"/>
      <c r="H1410" s="5"/>
      <c r="J1410" s="10" t="str">
        <f t="shared" si="196"/>
        <v/>
      </c>
      <c r="K1410" s="10" t="str">
        <f t="shared" si="197"/>
        <v/>
      </c>
      <c r="L1410" s="11" t="str">
        <f t="shared" si="199"/>
        <v/>
      </c>
      <c r="M1410" s="9" t="str">
        <f>IF(G1410&lt;&gt;"",J1410/MAX(J$3:J1410)-1,"")</f>
        <v/>
      </c>
      <c r="N1410" s="9" t="str">
        <f>IF(G1410&lt;&gt;"",K1410/MAX(K$3:K1410)-1,"")</f>
        <v/>
      </c>
      <c r="O1410" s="16" t="str">
        <f t="shared" ref="O1410:Q1473" si="205">IF($G1410&lt;&gt;"",J1410/J1409-1,"")</f>
        <v/>
      </c>
      <c r="P1410" s="16" t="str">
        <f t="shared" si="205"/>
        <v/>
      </c>
      <c r="Q1410" s="16" t="str">
        <f t="shared" si="205"/>
        <v/>
      </c>
      <c r="R1410" s="5" t="str">
        <f t="shared" si="204"/>
        <v/>
      </c>
      <c r="S1410" s="5" t="str">
        <f t="shared" si="198"/>
        <v/>
      </c>
      <c r="T1410" s="5" t="str">
        <f t="shared" si="203"/>
        <v/>
      </c>
      <c r="U1410" s="5" t="str">
        <f t="shared" si="203"/>
        <v/>
      </c>
    </row>
    <row r="1411" spans="7:21" x14ac:dyDescent="0.2">
      <c r="G1411" s="8"/>
      <c r="H1411" s="5"/>
      <c r="J1411" s="10" t="str">
        <f t="shared" si="196"/>
        <v/>
      </c>
      <c r="K1411" s="10" t="str">
        <f t="shared" si="197"/>
        <v/>
      </c>
      <c r="L1411" s="11" t="str">
        <f t="shared" si="199"/>
        <v/>
      </c>
      <c r="M1411" s="9" t="str">
        <f>IF(G1411&lt;&gt;"",J1411/MAX(J$3:J1411)-1,"")</f>
        <v/>
      </c>
      <c r="N1411" s="9" t="str">
        <f>IF(G1411&lt;&gt;"",K1411/MAX(K$3:K1411)-1,"")</f>
        <v/>
      </c>
      <c r="O1411" s="16" t="str">
        <f t="shared" si="205"/>
        <v/>
      </c>
      <c r="P1411" s="16" t="str">
        <f t="shared" si="205"/>
        <v/>
      </c>
      <c r="Q1411" s="16" t="str">
        <f t="shared" si="205"/>
        <v/>
      </c>
      <c r="R1411" s="5" t="str">
        <f t="shared" si="204"/>
        <v/>
      </c>
      <c r="S1411" s="5" t="str">
        <f t="shared" si="198"/>
        <v/>
      </c>
      <c r="T1411" s="5" t="str">
        <f t="shared" si="203"/>
        <v/>
      </c>
      <c r="U1411" s="5" t="str">
        <f t="shared" si="203"/>
        <v/>
      </c>
    </row>
    <row r="1412" spans="7:21" x14ac:dyDescent="0.2">
      <c r="G1412" s="8"/>
      <c r="H1412" s="5"/>
      <c r="J1412" s="10" t="str">
        <f t="shared" ref="J1412:J1475" si="206">IF(G1412&lt;&gt;"",1+H1412,"")</f>
        <v/>
      </c>
      <c r="K1412" s="10" t="str">
        <f t="shared" ref="K1412:K1475" si="207">IF(G1412&lt;&gt;"",1+I1412,"")</f>
        <v/>
      </c>
      <c r="L1412" s="11" t="str">
        <f t="shared" si="199"/>
        <v/>
      </c>
      <c r="M1412" s="9" t="str">
        <f>IF(G1412&lt;&gt;"",J1412/MAX(J$3:J1412)-1,"")</f>
        <v/>
      </c>
      <c r="N1412" s="9" t="str">
        <f>IF(G1412&lt;&gt;"",K1412/MAX(K$3:K1412)-1,"")</f>
        <v/>
      </c>
      <c r="O1412" s="16" t="str">
        <f t="shared" si="205"/>
        <v/>
      </c>
      <c r="P1412" s="16" t="str">
        <f t="shared" si="205"/>
        <v/>
      </c>
      <c r="Q1412" s="16" t="str">
        <f t="shared" si="205"/>
        <v/>
      </c>
      <c r="R1412" s="5" t="str">
        <f t="shared" si="204"/>
        <v/>
      </c>
      <c r="S1412" s="5" t="str">
        <f t="shared" ref="S1412:S1475" si="208">IF(R1412&lt;&gt;"",B$12,"")</f>
        <v/>
      </c>
      <c r="T1412" s="5" t="str">
        <f t="shared" si="203"/>
        <v/>
      </c>
      <c r="U1412" s="5" t="str">
        <f t="shared" si="203"/>
        <v/>
      </c>
    </row>
    <row r="1413" spans="7:21" x14ac:dyDescent="0.2">
      <c r="G1413" s="8"/>
      <c r="H1413" s="5"/>
      <c r="J1413" s="10" t="str">
        <f t="shared" si="206"/>
        <v/>
      </c>
      <c r="K1413" s="10" t="str">
        <f t="shared" si="207"/>
        <v/>
      </c>
      <c r="L1413" s="11" t="str">
        <f t="shared" ref="L1413:L1476" si="209">IF(G1413&lt;&gt;"",J1413/K1413,"")</f>
        <v/>
      </c>
      <c r="M1413" s="9" t="str">
        <f>IF(G1413&lt;&gt;"",J1413/MAX(J$3:J1413)-1,"")</f>
        <v/>
      </c>
      <c r="N1413" s="9" t="str">
        <f>IF(G1413&lt;&gt;"",K1413/MAX(K$3:K1413)-1,"")</f>
        <v/>
      </c>
      <c r="O1413" s="16" t="str">
        <f t="shared" si="205"/>
        <v/>
      </c>
      <c r="P1413" s="16" t="str">
        <f t="shared" si="205"/>
        <v/>
      </c>
      <c r="Q1413" s="16" t="str">
        <f t="shared" si="205"/>
        <v/>
      </c>
      <c r="R1413" s="5" t="str">
        <f t="shared" si="204"/>
        <v/>
      </c>
      <c r="S1413" s="5" t="str">
        <f t="shared" si="208"/>
        <v/>
      </c>
      <c r="T1413" s="5" t="str">
        <f t="shared" si="203"/>
        <v/>
      </c>
      <c r="U1413" s="5" t="str">
        <f t="shared" si="203"/>
        <v/>
      </c>
    </row>
    <row r="1414" spans="7:21" x14ac:dyDescent="0.2">
      <c r="G1414" s="8"/>
      <c r="H1414" s="5"/>
      <c r="J1414" s="10" t="str">
        <f t="shared" si="206"/>
        <v/>
      </c>
      <c r="K1414" s="10" t="str">
        <f t="shared" si="207"/>
        <v/>
      </c>
      <c r="L1414" s="11" t="str">
        <f t="shared" si="209"/>
        <v/>
      </c>
      <c r="M1414" s="9" t="str">
        <f>IF(G1414&lt;&gt;"",J1414/MAX(J$3:J1414)-1,"")</f>
        <v/>
      </c>
      <c r="N1414" s="9" t="str">
        <f>IF(G1414&lt;&gt;"",K1414/MAX(K$3:K1414)-1,"")</f>
        <v/>
      </c>
      <c r="O1414" s="16" t="str">
        <f t="shared" si="205"/>
        <v/>
      </c>
      <c r="P1414" s="16" t="str">
        <f t="shared" si="205"/>
        <v/>
      </c>
      <c r="Q1414" s="16" t="str">
        <f t="shared" si="205"/>
        <v/>
      </c>
      <c r="R1414" s="5" t="str">
        <f t="shared" si="204"/>
        <v/>
      </c>
      <c r="S1414" s="5" t="str">
        <f t="shared" si="208"/>
        <v/>
      </c>
      <c r="T1414" s="5" t="str">
        <f t="shared" si="203"/>
        <v/>
      </c>
      <c r="U1414" s="5" t="str">
        <f t="shared" si="203"/>
        <v/>
      </c>
    </row>
    <row r="1415" spans="7:21" x14ac:dyDescent="0.2">
      <c r="G1415" s="8"/>
      <c r="H1415" s="5"/>
      <c r="J1415" s="10" t="str">
        <f t="shared" si="206"/>
        <v/>
      </c>
      <c r="K1415" s="10" t="str">
        <f t="shared" si="207"/>
        <v/>
      </c>
      <c r="L1415" s="11" t="str">
        <f t="shared" si="209"/>
        <v/>
      </c>
      <c r="M1415" s="9" t="str">
        <f>IF(G1415&lt;&gt;"",J1415/MAX(J$3:J1415)-1,"")</f>
        <v/>
      </c>
      <c r="N1415" s="9" t="str">
        <f>IF(G1415&lt;&gt;"",K1415/MAX(K$3:K1415)-1,"")</f>
        <v/>
      </c>
      <c r="O1415" s="16" t="str">
        <f t="shared" si="205"/>
        <v/>
      </c>
      <c r="P1415" s="16" t="str">
        <f t="shared" si="205"/>
        <v/>
      </c>
      <c r="Q1415" s="16" t="str">
        <f t="shared" si="205"/>
        <v/>
      </c>
      <c r="R1415" s="5" t="str">
        <f t="shared" si="204"/>
        <v/>
      </c>
      <c r="S1415" s="5" t="str">
        <f t="shared" si="208"/>
        <v/>
      </c>
      <c r="T1415" s="5" t="str">
        <f t="shared" si="203"/>
        <v/>
      </c>
      <c r="U1415" s="5" t="str">
        <f t="shared" si="203"/>
        <v/>
      </c>
    </row>
    <row r="1416" spans="7:21" x14ac:dyDescent="0.2">
      <c r="G1416" s="8"/>
      <c r="H1416" s="5"/>
      <c r="J1416" s="10" t="str">
        <f t="shared" si="206"/>
        <v/>
      </c>
      <c r="K1416" s="10" t="str">
        <f t="shared" si="207"/>
        <v/>
      </c>
      <c r="L1416" s="11" t="str">
        <f t="shared" si="209"/>
        <v/>
      </c>
      <c r="M1416" s="9" t="str">
        <f>IF(G1416&lt;&gt;"",J1416/MAX(J$3:J1416)-1,"")</f>
        <v/>
      </c>
      <c r="N1416" s="9" t="str">
        <f>IF(G1416&lt;&gt;"",K1416/MAX(K$3:K1416)-1,"")</f>
        <v/>
      </c>
      <c r="O1416" s="16" t="str">
        <f t="shared" si="205"/>
        <v/>
      </c>
      <c r="P1416" s="16" t="str">
        <f t="shared" si="205"/>
        <v/>
      </c>
      <c r="Q1416" s="16" t="str">
        <f t="shared" si="205"/>
        <v/>
      </c>
      <c r="R1416" s="5" t="str">
        <f t="shared" si="204"/>
        <v/>
      </c>
      <c r="S1416" s="5" t="str">
        <f t="shared" si="208"/>
        <v/>
      </c>
      <c r="T1416" s="5" t="str">
        <f t="shared" ref="T1416:U1431" si="210">IF($G1416&lt;&gt;"",_xlfn.STDEV.S(O1172:O1416),"")</f>
        <v/>
      </c>
      <c r="U1416" s="5" t="str">
        <f t="shared" si="210"/>
        <v/>
      </c>
    </row>
    <row r="1417" spans="7:21" x14ac:dyDescent="0.2">
      <c r="G1417" s="8"/>
      <c r="H1417" s="5"/>
      <c r="J1417" s="10" t="str">
        <f t="shared" si="206"/>
        <v/>
      </c>
      <c r="K1417" s="10" t="str">
        <f t="shared" si="207"/>
        <v/>
      </c>
      <c r="L1417" s="11" t="str">
        <f t="shared" si="209"/>
        <v/>
      </c>
      <c r="M1417" s="9" t="str">
        <f>IF(G1417&lt;&gt;"",J1417/MAX(J$3:J1417)-1,"")</f>
        <v/>
      </c>
      <c r="N1417" s="9" t="str">
        <f>IF(G1417&lt;&gt;"",K1417/MAX(K$3:K1417)-1,"")</f>
        <v/>
      </c>
      <c r="O1417" s="16" t="str">
        <f t="shared" si="205"/>
        <v/>
      </c>
      <c r="P1417" s="16" t="str">
        <f t="shared" si="205"/>
        <v/>
      </c>
      <c r="Q1417" s="16" t="str">
        <f t="shared" si="205"/>
        <v/>
      </c>
      <c r="R1417" s="5" t="str">
        <f t="shared" si="204"/>
        <v/>
      </c>
      <c r="S1417" s="5" t="str">
        <f t="shared" si="208"/>
        <v/>
      </c>
      <c r="T1417" s="5" t="str">
        <f t="shared" si="210"/>
        <v/>
      </c>
      <c r="U1417" s="5" t="str">
        <f t="shared" si="210"/>
        <v/>
      </c>
    </row>
    <row r="1418" spans="7:21" x14ac:dyDescent="0.2">
      <c r="G1418" s="8"/>
      <c r="H1418" s="5"/>
      <c r="J1418" s="10" t="str">
        <f t="shared" si="206"/>
        <v/>
      </c>
      <c r="K1418" s="10" t="str">
        <f t="shared" si="207"/>
        <v/>
      </c>
      <c r="L1418" s="11" t="str">
        <f t="shared" si="209"/>
        <v/>
      </c>
      <c r="M1418" s="9" t="str">
        <f>IF(G1418&lt;&gt;"",J1418/MAX(J$3:J1418)-1,"")</f>
        <v/>
      </c>
      <c r="N1418" s="9" t="str">
        <f>IF(G1418&lt;&gt;"",K1418/MAX(K$3:K1418)-1,"")</f>
        <v/>
      </c>
      <c r="O1418" s="16" t="str">
        <f t="shared" si="205"/>
        <v/>
      </c>
      <c r="P1418" s="16" t="str">
        <f t="shared" si="205"/>
        <v/>
      </c>
      <c r="Q1418" s="16" t="str">
        <f t="shared" si="205"/>
        <v/>
      </c>
      <c r="R1418" s="5" t="str">
        <f t="shared" si="204"/>
        <v/>
      </c>
      <c r="S1418" s="5" t="str">
        <f t="shared" si="208"/>
        <v/>
      </c>
      <c r="T1418" s="5" t="str">
        <f t="shared" si="210"/>
        <v/>
      </c>
      <c r="U1418" s="5" t="str">
        <f t="shared" si="210"/>
        <v/>
      </c>
    </row>
    <row r="1419" spans="7:21" x14ac:dyDescent="0.2">
      <c r="G1419" s="8"/>
      <c r="H1419" s="5"/>
      <c r="J1419" s="10" t="str">
        <f t="shared" si="206"/>
        <v/>
      </c>
      <c r="K1419" s="10" t="str">
        <f t="shared" si="207"/>
        <v/>
      </c>
      <c r="L1419" s="11" t="str">
        <f t="shared" si="209"/>
        <v/>
      </c>
      <c r="M1419" s="9" t="str">
        <f>IF(G1419&lt;&gt;"",J1419/MAX(J$3:J1419)-1,"")</f>
        <v/>
      </c>
      <c r="N1419" s="9" t="str">
        <f>IF(G1419&lt;&gt;"",K1419/MAX(K$3:K1419)-1,"")</f>
        <v/>
      </c>
      <c r="O1419" s="16" t="str">
        <f t="shared" si="205"/>
        <v/>
      </c>
      <c r="P1419" s="16" t="str">
        <f t="shared" si="205"/>
        <v/>
      </c>
      <c r="Q1419" s="16" t="str">
        <f t="shared" si="205"/>
        <v/>
      </c>
      <c r="R1419" s="5" t="str">
        <f t="shared" si="204"/>
        <v/>
      </c>
      <c r="S1419" s="5" t="str">
        <f t="shared" si="208"/>
        <v/>
      </c>
      <c r="T1419" s="5" t="str">
        <f t="shared" si="210"/>
        <v/>
      </c>
      <c r="U1419" s="5" t="str">
        <f t="shared" si="210"/>
        <v/>
      </c>
    </row>
    <row r="1420" spans="7:21" x14ac:dyDescent="0.2">
      <c r="G1420" s="8"/>
      <c r="H1420" s="5"/>
      <c r="J1420" s="10" t="str">
        <f t="shared" si="206"/>
        <v/>
      </c>
      <c r="K1420" s="10" t="str">
        <f t="shared" si="207"/>
        <v/>
      </c>
      <c r="L1420" s="11" t="str">
        <f t="shared" si="209"/>
        <v/>
      </c>
      <c r="M1420" s="9" t="str">
        <f>IF(G1420&lt;&gt;"",J1420/MAX(J$3:J1420)-1,"")</f>
        <v/>
      </c>
      <c r="N1420" s="9" t="str">
        <f>IF(G1420&lt;&gt;"",K1420/MAX(K$3:K1420)-1,"")</f>
        <v/>
      </c>
      <c r="O1420" s="16" t="str">
        <f t="shared" si="205"/>
        <v/>
      </c>
      <c r="P1420" s="16" t="str">
        <f t="shared" si="205"/>
        <v/>
      </c>
      <c r="Q1420" s="16" t="str">
        <f t="shared" si="205"/>
        <v/>
      </c>
      <c r="R1420" s="5" t="str">
        <f t="shared" si="204"/>
        <v/>
      </c>
      <c r="S1420" s="5" t="str">
        <f t="shared" si="208"/>
        <v/>
      </c>
      <c r="T1420" s="5" t="str">
        <f t="shared" si="210"/>
        <v/>
      </c>
      <c r="U1420" s="5" t="str">
        <f t="shared" si="210"/>
        <v/>
      </c>
    </row>
    <row r="1421" spans="7:21" x14ac:dyDescent="0.2">
      <c r="G1421" s="8"/>
      <c r="H1421" s="5"/>
      <c r="J1421" s="10" t="str">
        <f t="shared" si="206"/>
        <v/>
      </c>
      <c r="K1421" s="10" t="str">
        <f t="shared" si="207"/>
        <v/>
      </c>
      <c r="L1421" s="11" t="str">
        <f t="shared" si="209"/>
        <v/>
      </c>
      <c r="M1421" s="9" t="str">
        <f>IF(G1421&lt;&gt;"",J1421/MAX(J$3:J1421)-1,"")</f>
        <v/>
      </c>
      <c r="N1421" s="9" t="str">
        <f>IF(G1421&lt;&gt;"",K1421/MAX(K$3:K1421)-1,"")</f>
        <v/>
      </c>
      <c r="O1421" s="16" t="str">
        <f t="shared" si="205"/>
        <v/>
      </c>
      <c r="P1421" s="16" t="str">
        <f t="shared" si="205"/>
        <v/>
      </c>
      <c r="Q1421" s="16" t="str">
        <f t="shared" si="205"/>
        <v/>
      </c>
      <c r="R1421" s="5" t="str">
        <f t="shared" si="204"/>
        <v/>
      </c>
      <c r="S1421" s="5" t="str">
        <f t="shared" si="208"/>
        <v/>
      </c>
      <c r="T1421" s="5" t="str">
        <f t="shared" si="210"/>
        <v/>
      </c>
      <c r="U1421" s="5" t="str">
        <f t="shared" si="210"/>
        <v/>
      </c>
    </row>
    <row r="1422" spans="7:21" x14ac:dyDescent="0.2">
      <c r="G1422" s="8"/>
      <c r="H1422" s="5"/>
      <c r="J1422" s="10" t="str">
        <f t="shared" si="206"/>
        <v/>
      </c>
      <c r="K1422" s="10" t="str">
        <f t="shared" si="207"/>
        <v/>
      </c>
      <c r="L1422" s="11" t="str">
        <f t="shared" si="209"/>
        <v/>
      </c>
      <c r="M1422" s="9" t="str">
        <f>IF(G1422&lt;&gt;"",J1422/MAX(J$3:J1422)-1,"")</f>
        <v/>
      </c>
      <c r="N1422" s="9" t="str">
        <f>IF(G1422&lt;&gt;"",K1422/MAX(K$3:K1422)-1,"")</f>
        <v/>
      </c>
      <c r="O1422" s="16" t="str">
        <f t="shared" si="205"/>
        <v/>
      </c>
      <c r="P1422" s="16" t="str">
        <f t="shared" si="205"/>
        <v/>
      </c>
      <c r="Q1422" s="16" t="str">
        <f t="shared" si="205"/>
        <v/>
      </c>
      <c r="R1422" s="5" t="str">
        <f t="shared" si="204"/>
        <v/>
      </c>
      <c r="S1422" s="5" t="str">
        <f t="shared" si="208"/>
        <v/>
      </c>
      <c r="T1422" s="5" t="str">
        <f t="shared" si="210"/>
        <v/>
      </c>
      <c r="U1422" s="5" t="str">
        <f t="shared" si="210"/>
        <v/>
      </c>
    </row>
    <row r="1423" spans="7:21" x14ac:dyDescent="0.2">
      <c r="G1423" s="8"/>
      <c r="H1423" s="5"/>
      <c r="J1423" s="10" t="str">
        <f t="shared" si="206"/>
        <v/>
      </c>
      <c r="K1423" s="10" t="str">
        <f t="shared" si="207"/>
        <v/>
      </c>
      <c r="L1423" s="11" t="str">
        <f t="shared" si="209"/>
        <v/>
      </c>
      <c r="M1423" s="9" t="str">
        <f>IF(G1423&lt;&gt;"",J1423/MAX(J$3:J1423)-1,"")</f>
        <v/>
      </c>
      <c r="N1423" s="9" t="str">
        <f>IF(G1423&lt;&gt;"",K1423/MAX(K$3:K1423)-1,"")</f>
        <v/>
      </c>
      <c r="O1423" s="16" t="str">
        <f t="shared" si="205"/>
        <v/>
      </c>
      <c r="P1423" s="16" t="str">
        <f t="shared" si="205"/>
        <v/>
      </c>
      <c r="Q1423" s="16" t="str">
        <f t="shared" si="205"/>
        <v/>
      </c>
      <c r="R1423" s="5" t="str">
        <f t="shared" si="204"/>
        <v/>
      </c>
      <c r="S1423" s="5" t="str">
        <f t="shared" si="208"/>
        <v/>
      </c>
      <c r="T1423" s="5" t="str">
        <f t="shared" si="210"/>
        <v/>
      </c>
      <c r="U1423" s="5" t="str">
        <f t="shared" si="210"/>
        <v/>
      </c>
    </row>
    <row r="1424" spans="7:21" x14ac:dyDescent="0.2">
      <c r="G1424" s="8"/>
      <c r="H1424" s="5"/>
      <c r="J1424" s="10" t="str">
        <f t="shared" si="206"/>
        <v/>
      </c>
      <c r="K1424" s="10" t="str">
        <f t="shared" si="207"/>
        <v/>
      </c>
      <c r="L1424" s="11" t="str">
        <f t="shared" si="209"/>
        <v/>
      </c>
      <c r="M1424" s="9" t="str">
        <f>IF(G1424&lt;&gt;"",J1424/MAX(J$3:J1424)-1,"")</f>
        <v/>
      </c>
      <c r="N1424" s="9" t="str">
        <f>IF(G1424&lt;&gt;"",K1424/MAX(K$3:K1424)-1,"")</f>
        <v/>
      </c>
      <c r="O1424" s="16" t="str">
        <f t="shared" si="205"/>
        <v/>
      </c>
      <c r="P1424" s="16" t="str">
        <f t="shared" si="205"/>
        <v/>
      </c>
      <c r="Q1424" s="16" t="str">
        <f t="shared" si="205"/>
        <v/>
      </c>
      <c r="R1424" s="5" t="str">
        <f t="shared" si="204"/>
        <v/>
      </c>
      <c r="S1424" s="5" t="str">
        <f t="shared" si="208"/>
        <v/>
      </c>
      <c r="T1424" s="5" t="str">
        <f t="shared" si="210"/>
        <v/>
      </c>
      <c r="U1424" s="5" t="str">
        <f t="shared" si="210"/>
        <v/>
      </c>
    </row>
    <row r="1425" spans="7:21" x14ac:dyDescent="0.2">
      <c r="G1425" s="8"/>
      <c r="H1425" s="5"/>
      <c r="J1425" s="10" t="str">
        <f t="shared" si="206"/>
        <v/>
      </c>
      <c r="K1425" s="10" t="str">
        <f t="shared" si="207"/>
        <v/>
      </c>
      <c r="L1425" s="11" t="str">
        <f t="shared" si="209"/>
        <v/>
      </c>
      <c r="M1425" s="9" t="str">
        <f>IF(G1425&lt;&gt;"",J1425/MAX(J$3:J1425)-1,"")</f>
        <v/>
      </c>
      <c r="N1425" s="9" t="str">
        <f>IF(G1425&lt;&gt;"",K1425/MAX(K$3:K1425)-1,"")</f>
        <v/>
      </c>
      <c r="O1425" s="16" t="str">
        <f t="shared" si="205"/>
        <v/>
      </c>
      <c r="P1425" s="16" t="str">
        <f t="shared" si="205"/>
        <v/>
      </c>
      <c r="Q1425" s="16" t="str">
        <f t="shared" si="205"/>
        <v/>
      </c>
      <c r="R1425" s="5" t="str">
        <f t="shared" si="204"/>
        <v/>
      </c>
      <c r="S1425" s="5" t="str">
        <f t="shared" si="208"/>
        <v/>
      </c>
      <c r="T1425" s="5" t="str">
        <f t="shared" si="210"/>
        <v/>
      </c>
      <c r="U1425" s="5" t="str">
        <f t="shared" si="210"/>
        <v/>
      </c>
    </row>
    <row r="1426" spans="7:21" x14ac:dyDescent="0.2">
      <c r="G1426" s="8"/>
      <c r="H1426" s="5"/>
      <c r="J1426" s="10" t="str">
        <f t="shared" si="206"/>
        <v/>
      </c>
      <c r="K1426" s="10" t="str">
        <f t="shared" si="207"/>
        <v/>
      </c>
      <c r="L1426" s="11" t="str">
        <f t="shared" si="209"/>
        <v/>
      </c>
      <c r="M1426" s="9" t="str">
        <f>IF(G1426&lt;&gt;"",J1426/MAX(J$3:J1426)-1,"")</f>
        <v/>
      </c>
      <c r="N1426" s="9" t="str">
        <f>IF(G1426&lt;&gt;"",K1426/MAX(K$3:K1426)-1,"")</f>
        <v/>
      </c>
      <c r="O1426" s="16" t="str">
        <f t="shared" si="205"/>
        <v/>
      </c>
      <c r="P1426" s="16" t="str">
        <f t="shared" si="205"/>
        <v/>
      </c>
      <c r="Q1426" s="16" t="str">
        <f t="shared" si="205"/>
        <v/>
      </c>
      <c r="R1426" s="5" t="str">
        <f t="shared" si="204"/>
        <v/>
      </c>
      <c r="S1426" s="5" t="str">
        <f t="shared" si="208"/>
        <v/>
      </c>
      <c r="T1426" s="5" t="str">
        <f t="shared" si="210"/>
        <v/>
      </c>
      <c r="U1426" s="5" t="str">
        <f t="shared" si="210"/>
        <v/>
      </c>
    </row>
    <row r="1427" spans="7:21" x14ac:dyDescent="0.2">
      <c r="G1427" s="8"/>
      <c r="H1427" s="5"/>
      <c r="J1427" s="10" t="str">
        <f t="shared" si="206"/>
        <v/>
      </c>
      <c r="K1427" s="10" t="str">
        <f t="shared" si="207"/>
        <v/>
      </c>
      <c r="L1427" s="11" t="str">
        <f t="shared" si="209"/>
        <v/>
      </c>
      <c r="M1427" s="9" t="str">
        <f>IF(G1427&lt;&gt;"",J1427/MAX(J$3:J1427)-1,"")</f>
        <v/>
      </c>
      <c r="N1427" s="9" t="str">
        <f>IF(G1427&lt;&gt;"",K1427/MAX(K$3:K1427)-1,"")</f>
        <v/>
      </c>
      <c r="O1427" s="16" t="str">
        <f t="shared" si="205"/>
        <v/>
      </c>
      <c r="P1427" s="16" t="str">
        <f t="shared" si="205"/>
        <v/>
      </c>
      <c r="Q1427" s="16" t="str">
        <f t="shared" si="205"/>
        <v/>
      </c>
      <c r="R1427" s="5" t="str">
        <f t="shared" si="204"/>
        <v/>
      </c>
      <c r="S1427" s="5" t="str">
        <f t="shared" si="208"/>
        <v/>
      </c>
      <c r="T1427" s="5" t="str">
        <f t="shared" si="210"/>
        <v/>
      </c>
      <c r="U1427" s="5" t="str">
        <f t="shared" si="210"/>
        <v/>
      </c>
    </row>
    <row r="1428" spans="7:21" x14ac:dyDescent="0.2">
      <c r="G1428" s="8"/>
      <c r="H1428" s="5"/>
      <c r="J1428" s="10" t="str">
        <f t="shared" si="206"/>
        <v/>
      </c>
      <c r="K1428" s="10" t="str">
        <f t="shared" si="207"/>
        <v/>
      </c>
      <c r="L1428" s="11" t="str">
        <f t="shared" si="209"/>
        <v/>
      </c>
      <c r="M1428" s="9" t="str">
        <f>IF(G1428&lt;&gt;"",J1428/MAX(J$3:J1428)-1,"")</f>
        <v/>
      </c>
      <c r="N1428" s="9" t="str">
        <f>IF(G1428&lt;&gt;"",K1428/MAX(K$3:K1428)-1,"")</f>
        <v/>
      </c>
      <c r="O1428" s="16" t="str">
        <f t="shared" si="205"/>
        <v/>
      </c>
      <c r="P1428" s="16" t="str">
        <f t="shared" si="205"/>
        <v/>
      </c>
      <c r="Q1428" s="16" t="str">
        <f t="shared" si="205"/>
        <v/>
      </c>
      <c r="R1428" s="5" t="str">
        <f t="shared" si="204"/>
        <v/>
      </c>
      <c r="S1428" s="5" t="str">
        <f t="shared" si="208"/>
        <v/>
      </c>
      <c r="T1428" s="5" t="str">
        <f t="shared" si="210"/>
        <v/>
      </c>
      <c r="U1428" s="5" t="str">
        <f t="shared" si="210"/>
        <v/>
      </c>
    </row>
    <row r="1429" spans="7:21" x14ac:dyDescent="0.2">
      <c r="G1429" s="8"/>
      <c r="H1429" s="5"/>
      <c r="J1429" s="10" t="str">
        <f t="shared" si="206"/>
        <v/>
      </c>
      <c r="K1429" s="10" t="str">
        <f t="shared" si="207"/>
        <v/>
      </c>
      <c r="L1429" s="11" t="str">
        <f t="shared" si="209"/>
        <v/>
      </c>
      <c r="M1429" s="9" t="str">
        <f>IF(G1429&lt;&gt;"",J1429/MAX(J$3:J1429)-1,"")</f>
        <v/>
      </c>
      <c r="N1429" s="9" t="str">
        <f>IF(G1429&lt;&gt;"",K1429/MAX(K$3:K1429)-1,"")</f>
        <v/>
      </c>
      <c r="O1429" s="16" t="str">
        <f t="shared" si="205"/>
        <v/>
      </c>
      <c r="P1429" s="16" t="str">
        <f t="shared" si="205"/>
        <v/>
      </c>
      <c r="Q1429" s="16" t="str">
        <f t="shared" si="205"/>
        <v/>
      </c>
      <c r="R1429" s="5" t="str">
        <f t="shared" si="204"/>
        <v/>
      </c>
      <c r="S1429" s="5" t="str">
        <f t="shared" si="208"/>
        <v/>
      </c>
      <c r="T1429" s="5" t="str">
        <f t="shared" si="210"/>
        <v/>
      </c>
      <c r="U1429" s="5" t="str">
        <f t="shared" si="210"/>
        <v/>
      </c>
    </row>
    <row r="1430" spans="7:21" x14ac:dyDescent="0.2">
      <c r="G1430" s="8"/>
      <c r="H1430" s="5"/>
      <c r="J1430" s="10" t="str">
        <f t="shared" si="206"/>
        <v/>
      </c>
      <c r="K1430" s="10" t="str">
        <f t="shared" si="207"/>
        <v/>
      </c>
      <c r="L1430" s="11" t="str">
        <f t="shared" si="209"/>
        <v/>
      </c>
      <c r="M1430" s="9" t="str">
        <f>IF(G1430&lt;&gt;"",J1430/MAX(J$3:J1430)-1,"")</f>
        <v/>
      </c>
      <c r="N1430" s="9" t="str">
        <f>IF(G1430&lt;&gt;"",K1430/MAX(K$3:K1430)-1,"")</f>
        <v/>
      </c>
      <c r="O1430" s="16" t="str">
        <f t="shared" si="205"/>
        <v/>
      </c>
      <c r="P1430" s="16" t="str">
        <f t="shared" si="205"/>
        <v/>
      </c>
      <c r="Q1430" s="16" t="str">
        <f t="shared" si="205"/>
        <v/>
      </c>
      <c r="R1430" s="5" t="str">
        <f t="shared" si="204"/>
        <v/>
      </c>
      <c r="S1430" s="5" t="str">
        <f t="shared" si="208"/>
        <v/>
      </c>
      <c r="T1430" s="5" t="str">
        <f t="shared" si="210"/>
        <v/>
      </c>
      <c r="U1430" s="5" t="str">
        <f t="shared" si="210"/>
        <v/>
      </c>
    </row>
    <row r="1431" spans="7:21" x14ac:dyDescent="0.2">
      <c r="G1431" s="8"/>
      <c r="H1431" s="5"/>
      <c r="J1431" s="10" t="str">
        <f t="shared" si="206"/>
        <v/>
      </c>
      <c r="K1431" s="10" t="str">
        <f t="shared" si="207"/>
        <v/>
      </c>
      <c r="L1431" s="11" t="str">
        <f t="shared" si="209"/>
        <v/>
      </c>
      <c r="M1431" s="9" t="str">
        <f>IF(G1431&lt;&gt;"",J1431/MAX(J$3:J1431)-1,"")</f>
        <v/>
      </c>
      <c r="N1431" s="9" t="str">
        <f>IF(G1431&lt;&gt;"",K1431/MAX(K$3:K1431)-1,"")</f>
        <v/>
      </c>
      <c r="O1431" s="16" t="str">
        <f t="shared" si="205"/>
        <v/>
      </c>
      <c r="P1431" s="16" t="str">
        <f t="shared" si="205"/>
        <v/>
      </c>
      <c r="Q1431" s="16" t="str">
        <f t="shared" si="205"/>
        <v/>
      </c>
      <c r="R1431" s="5" t="str">
        <f t="shared" si="204"/>
        <v/>
      </c>
      <c r="S1431" s="5" t="str">
        <f t="shared" si="208"/>
        <v/>
      </c>
      <c r="T1431" s="5" t="str">
        <f t="shared" si="210"/>
        <v/>
      </c>
      <c r="U1431" s="5" t="str">
        <f t="shared" si="210"/>
        <v/>
      </c>
    </row>
    <row r="1432" spans="7:21" x14ac:dyDescent="0.2">
      <c r="G1432" s="8"/>
      <c r="H1432" s="5"/>
      <c r="J1432" s="10" t="str">
        <f t="shared" si="206"/>
        <v/>
      </c>
      <c r="K1432" s="10" t="str">
        <f t="shared" si="207"/>
        <v/>
      </c>
      <c r="L1432" s="11" t="str">
        <f t="shared" si="209"/>
        <v/>
      </c>
      <c r="M1432" s="9" t="str">
        <f>IF(G1432&lt;&gt;"",J1432/MAX(J$3:J1432)-1,"")</f>
        <v/>
      </c>
      <c r="N1432" s="9" t="str">
        <f>IF(G1432&lt;&gt;"",K1432/MAX(K$3:K1432)-1,"")</f>
        <v/>
      </c>
      <c r="O1432" s="16" t="str">
        <f t="shared" si="205"/>
        <v/>
      </c>
      <c r="P1432" s="16" t="str">
        <f t="shared" si="205"/>
        <v/>
      </c>
      <c r="Q1432" s="16" t="str">
        <f t="shared" si="205"/>
        <v/>
      </c>
      <c r="R1432" s="5" t="str">
        <f t="shared" si="204"/>
        <v/>
      </c>
      <c r="S1432" s="5" t="str">
        <f t="shared" si="208"/>
        <v/>
      </c>
      <c r="T1432" s="5" t="str">
        <f t="shared" ref="T1432:U1447" si="211">IF($G1432&lt;&gt;"",_xlfn.STDEV.S(O1188:O1432),"")</f>
        <v/>
      </c>
      <c r="U1432" s="5" t="str">
        <f t="shared" si="211"/>
        <v/>
      </c>
    </row>
    <row r="1433" spans="7:21" x14ac:dyDescent="0.2">
      <c r="G1433" s="8"/>
      <c r="H1433" s="5"/>
      <c r="J1433" s="10" t="str">
        <f t="shared" si="206"/>
        <v/>
      </c>
      <c r="K1433" s="10" t="str">
        <f t="shared" si="207"/>
        <v/>
      </c>
      <c r="L1433" s="11" t="str">
        <f t="shared" si="209"/>
        <v/>
      </c>
      <c r="M1433" s="9" t="str">
        <f>IF(G1433&lt;&gt;"",J1433/MAX(J$3:J1433)-1,"")</f>
        <v/>
      </c>
      <c r="N1433" s="9" t="str">
        <f>IF(G1433&lt;&gt;"",K1433/MAX(K$3:K1433)-1,"")</f>
        <v/>
      </c>
      <c r="O1433" s="16" t="str">
        <f t="shared" si="205"/>
        <v/>
      </c>
      <c r="P1433" s="16" t="str">
        <f t="shared" si="205"/>
        <v/>
      </c>
      <c r="Q1433" s="16" t="str">
        <f t="shared" si="205"/>
        <v/>
      </c>
      <c r="R1433" s="5" t="str">
        <f t="shared" si="204"/>
        <v/>
      </c>
      <c r="S1433" s="5" t="str">
        <f t="shared" si="208"/>
        <v/>
      </c>
      <c r="T1433" s="5" t="str">
        <f t="shared" si="211"/>
        <v/>
      </c>
      <c r="U1433" s="5" t="str">
        <f t="shared" si="211"/>
        <v/>
      </c>
    </row>
    <row r="1434" spans="7:21" x14ac:dyDescent="0.2">
      <c r="G1434" s="8"/>
      <c r="H1434" s="5"/>
      <c r="J1434" s="10" t="str">
        <f t="shared" si="206"/>
        <v/>
      </c>
      <c r="K1434" s="10" t="str">
        <f t="shared" si="207"/>
        <v/>
      </c>
      <c r="L1434" s="11" t="str">
        <f t="shared" si="209"/>
        <v/>
      </c>
      <c r="M1434" s="9" t="str">
        <f>IF(G1434&lt;&gt;"",J1434/MAX(J$3:J1434)-1,"")</f>
        <v/>
      </c>
      <c r="N1434" s="9" t="str">
        <f>IF(G1434&lt;&gt;"",K1434/MAX(K$3:K1434)-1,"")</f>
        <v/>
      </c>
      <c r="O1434" s="16" t="str">
        <f t="shared" si="205"/>
        <v/>
      </c>
      <c r="P1434" s="16" t="str">
        <f t="shared" si="205"/>
        <v/>
      </c>
      <c r="Q1434" s="16" t="str">
        <f t="shared" si="205"/>
        <v/>
      </c>
      <c r="R1434" s="5" t="str">
        <f t="shared" si="204"/>
        <v/>
      </c>
      <c r="S1434" s="5" t="str">
        <f t="shared" si="208"/>
        <v/>
      </c>
      <c r="T1434" s="5" t="str">
        <f t="shared" si="211"/>
        <v/>
      </c>
      <c r="U1434" s="5" t="str">
        <f t="shared" si="211"/>
        <v/>
      </c>
    </row>
    <row r="1435" spans="7:21" x14ac:dyDescent="0.2">
      <c r="G1435" s="8"/>
      <c r="H1435" s="5"/>
      <c r="J1435" s="10" t="str">
        <f t="shared" si="206"/>
        <v/>
      </c>
      <c r="K1435" s="10" t="str">
        <f t="shared" si="207"/>
        <v/>
      </c>
      <c r="L1435" s="11" t="str">
        <f t="shared" si="209"/>
        <v/>
      </c>
      <c r="M1435" s="9" t="str">
        <f>IF(G1435&lt;&gt;"",J1435/MAX(J$3:J1435)-1,"")</f>
        <v/>
      </c>
      <c r="N1435" s="9" t="str">
        <f>IF(G1435&lt;&gt;"",K1435/MAX(K$3:K1435)-1,"")</f>
        <v/>
      </c>
      <c r="O1435" s="16" t="str">
        <f t="shared" si="205"/>
        <v/>
      </c>
      <c r="P1435" s="16" t="str">
        <f t="shared" si="205"/>
        <v/>
      </c>
      <c r="Q1435" s="16" t="str">
        <f t="shared" si="205"/>
        <v/>
      </c>
      <c r="R1435" s="5" t="str">
        <f t="shared" si="204"/>
        <v/>
      </c>
      <c r="S1435" s="5" t="str">
        <f t="shared" si="208"/>
        <v/>
      </c>
      <c r="T1435" s="5" t="str">
        <f t="shared" si="211"/>
        <v/>
      </c>
      <c r="U1435" s="5" t="str">
        <f t="shared" si="211"/>
        <v/>
      </c>
    </row>
    <row r="1436" spans="7:21" x14ac:dyDescent="0.2">
      <c r="G1436" s="8"/>
      <c r="H1436" s="5"/>
      <c r="J1436" s="10" t="str">
        <f t="shared" si="206"/>
        <v/>
      </c>
      <c r="K1436" s="10" t="str">
        <f t="shared" si="207"/>
        <v/>
      </c>
      <c r="L1436" s="11" t="str">
        <f t="shared" si="209"/>
        <v/>
      </c>
      <c r="M1436" s="9" t="str">
        <f>IF(G1436&lt;&gt;"",J1436/MAX(J$3:J1436)-1,"")</f>
        <v/>
      </c>
      <c r="N1436" s="9" t="str">
        <f>IF(G1436&lt;&gt;"",K1436/MAX(K$3:K1436)-1,"")</f>
        <v/>
      </c>
      <c r="O1436" s="16" t="str">
        <f t="shared" si="205"/>
        <v/>
      </c>
      <c r="P1436" s="16" t="str">
        <f t="shared" si="205"/>
        <v/>
      </c>
      <c r="Q1436" s="16" t="str">
        <f t="shared" si="205"/>
        <v/>
      </c>
      <c r="R1436" s="5" t="str">
        <f t="shared" si="204"/>
        <v/>
      </c>
      <c r="S1436" s="5" t="str">
        <f t="shared" si="208"/>
        <v/>
      </c>
      <c r="T1436" s="5" t="str">
        <f t="shared" si="211"/>
        <v/>
      </c>
      <c r="U1436" s="5" t="str">
        <f t="shared" si="211"/>
        <v/>
      </c>
    </row>
    <row r="1437" spans="7:21" x14ac:dyDescent="0.2">
      <c r="G1437" s="8"/>
      <c r="H1437" s="5"/>
      <c r="J1437" s="10" t="str">
        <f t="shared" si="206"/>
        <v/>
      </c>
      <c r="K1437" s="10" t="str">
        <f t="shared" si="207"/>
        <v/>
      </c>
      <c r="L1437" s="11" t="str">
        <f t="shared" si="209"/>
        <v/>
      </c>
      <c r="M1437" s="9" t="str">
        <f>IF(G1437&lt;&gt;"",J1437/MAX(J$3:J1437)-1,"")</f>
        <v/>
      </c>
      <c r="N1437" s="9" t="str">
        <f>IF(G1437&lt;&gt;"",K1437/MAX(K$3:K1437)-1,"")</f>
        <v/>
      </c>
      <c r="O1437" s="16" t="str">
        <f t="shared" si="205"/>
        <v/>
      </c>
      <c r="P1437" s="16" t="str">
        <f t="shared" si="205"/>
        <v/>
      </c>
      <c r="Q1437" s="16" t="str">
        <f t="shared" si="205"/>
        <v/>
      </c>
      <c r="R1437" s="5" t="str">
        <f t="shared" si="204"/>
        <v/>
      </c>
      <c r="S1437" s="5" t="str">
        <f t="shared" si="208"/>
        <v/>
      </c>
      <c r="T1437" s="5" t="str">
        <f t="shared" si="211"/>
        <v/>
      </c>
      <c r="U1437" s="5" t="str">
        <f t="shared" si="211"/>
        <v/>
      </c>
    </row>
    <row r="1438" spans="7:21" x14ac:dyDescent="0.2">
      <c r="G1438" s="8"/>
      <c r="H1438" s="5"/>
      <c r="J1438" s="10" t="str">
        <f t="shared" si="206"/>
        <v/>
      </c>
      <c r="K1438" s="10" t="str">
        <f t="shared" si="207"/>
        <v/>
      </c>
      <c r="L1438" s="11" t="str">
        <f t="shared" si="209"/>
        <v/>
      </c>
      <c r="M1438" s="9" t="str">
        <f>IF(G1438&lt;&gt;"",J1438/MAX(J$3:J1438)-1,"")</f>
        <v/>
      </c>
      <c r="N1438" s="9" t="str">
        <f>IF(G1438&lt;&gt;"",K1438/MAX(K$3:K1438)-1,"")</f>
        <v/>
      </c>
      <c r="O1438" s="16" t="str">
        <f t="shared" si="205"/>
        <v/>
      </c>
      <c r="P1438" s="16" t="str">
        <f t="shared" si="205"/>
        <v/>
      </c>
      <c r="Q1438" s="16" t="str">
        <f t="shared" si="205"/>
        <v/>
      </c>
      <c r="R1438" s="5" t="str">
        <f t="shared" si="204"/>
        <v/>
      </c>
      <c r="S1438" s="5" t="str">
        <f t="shared" si="208"/>
        <v/>
      </c>
      <c r="T1438" s="5" t="str">
        <f t="shared" si="211"/>
        <v/>
      </c>
      <c r="U1438" s="5" t="str">
        <f t="shared" si="211"/>
        <v/>
      </c>
    </row>
    <row r="1439" spans="7:21" x14ac:dyDescent="0.2">
      <c r="G1439" s="8"/>
      <c r="H1439" s="5"/>
      <c r="J1439" s="10" t="str">
        <f t="shared" si="206"/>
        <v/>
      </c>
      <c r="K1439" s="10" t="str">
        <f t="shared" si="207"/>
        <v/>
      </c>
      <c r="L1439" s="11" t="str">
        <f t="shared" si="209"/>
        <v/>
      </c>
      <c r="M1439" s="9" t="str">
        <f>IF(G1439&lt;&gt;"",J1439/MAX(J$3:J1439)-1,"")</f>
        <v/>
      </c>
      <c r="N1439" s="9" t="str">
        <f>IF(G1439&lt;&gt;"",K1439/MAX(K$3:K1439)-1,"")</f>
        <v/>
      </c>
      <c r="O1439" s="16" t="str">
        <f t="shared" si="205"/>
        <v/>
      </c>
      <c r="P1439" s="16" t="str">
        <f t="shared" si="205"/>
        <v/>
      </c>
      <c r="Q1439" s="16" t="str">
        <f t="shared" si="205"/>
        <v/>
      </c>
      <c r="R1439" s="5" t="str">
        <f t="shared" si="204"/>
        <v/>
      </c>
      <c r="S1439" s="5" t="str">
        <f t="shared" si="208"/>
        <v/>
      </c>
      <c r="T1439" s="5" t="str">
        <f t="shared" si="211"/>
        <v/>
      </c>
      <c r="U1439" s="5" t="str">
        <f t="shared" si="211"/>
        <v/>
      </c>
    </row>
    <row r="1440" spans="7:21" x14ac:dyDescent="0.2">
      <c r="G1440" s="8"/>
      <c r="H1440" s="5"/>
      <c r="J1440" s="10" t="str">
        <f t="shared" si="206"/>
        <v/>
      </c>
      <c r="K1440" s="10" t="str">
        <f t="shared" si="207"/>
        <v/>
      </c>
      <c r="L1440" s="11" t="str">
        <f t="shared" si="209"/>
        <v/>
      </c>
      <c r="M1440" s="9" t="str">
        <f>IF(G1440&lt;&gt;"",J1440/MAX(J$3:J1440)-1,"")</f>
        <v/>
      </c>
      <c r="N1440" s="9" t="str">
        <f>IF(G1440&lt;&gt;"",K1440/MAX(K$3:K1440)-1,"")</f>
        <v/>
      </c>
      <c r="O1440" s="16" t="str">
        <f t="shared" si="205"/>
        <v/>
      </c>
      <c r="P1440" s="16" t="str">
        <f t="shared" si="205"/>
        <v/>
      </c>
      <c r="Q1440" s="16" t="str">
        <f t="shared" si="205"/>
        <v/>
      </c>
      <c r="R1440" s="5" t="str">
        <f t="shared" si="204"/>
        <v/>
      </c>
      <c r="S1440" s="5" t="str">
        <f t="shared" si="208"/>
        <v/>
      </c>
      <c r="T1440" s="5" t="str">
        <f t="shared" si="211"/>
        <v/>
      </c>
      <c r="U1440" s="5" t="str">
        <f t="shared" si="211"/>
        <v/>
      </c>
    </row>
    <row r="1441" spans="7:21" x14ac:dyDescent="0.2">
      <c r="G1441" s="8"/>
      <c r="H1441" s="5"/>
      <c r="J1441" s="10" t="str">
        <f t="shared" si="206"/>
        <v/>
      </c>
      <c r="K1441" s="10" t="str">
        <f t="shared" si="207"/>
        <v/>
      </c>
      <c r="L1441" s="11" t="str">
        <f t="shared" si="209"/>
        <v/>
      </c>
      <c r="M1441" s="9" t="str">
        <f>IF(G1441&lt;&gt;"",J1441/MAX(J$3:J1441)-1,"")</f>
        <v/>
      </c>
      <c r="N1441" s="9" t="str">
        <f>IF(G1441&lt;&gt;"",K1441/MAX(K$3:K1441)-1,"")</f>
        <v/>
      </c>
      <c r="O1441" s="16" t="str">
        <f t="shared" si="205"/>
        <v/>
      </c>
      <c r="P1441" s="16" t="str">
        <f t="shared" si="205"/>
        <v/>
      </c>
      <c r="Q1441" s="16" t="str">
        <f t="shared" si="205"/>
        <v/>
      </c>
      <c r="R1441" s="5" t="str">
        <f t="shared" si="204"/>
        <v/>
      </c>
      <c r="S1441" s="5" t="str">
        <f t="shared" si="208"/>
        <v/>
      </c>
      <c r="T1441" s="5" t="str">
        <f t="shared" si="211"/>
        <v/>
      </c>
      <c r="U1441" s="5" t="str">
        <f t="shared" si="211"/>
        <v/>
      </c>
    </row>
    <row r="1442" spans="7:21" x14ac:dyDescent="0.2">
      <c r="G1442" s="8"/>
      <c r="H1442" s="5"/>
      <c r="J1442" s="10" t="str">
        <f t="shared" si="206"/>
        <v/>
      </c>
      <c r="K1442" s="10" t="str">
        <f t="shared" si="207"/>
        <v/>
      </c>
      <c r="L1442" s="11" t="str">
        <f t="shared" si="209"/>
        <v/>
      </c>
      <c r="M1442" s="9" t="str">
        <f>IF(G1442&lt;&gt;"",J1442/MAX(J$3:J1442)-1,"")</f>
        <v/>
      </c>
      <c r="N1442" s="9" t="str">
        <f>IF(G1442&lt;&gt;"",K1442/MAX(K$3:K1442)-1,"")</f>
        <v/>
      </c>
      <c r="O1442" s="16" t="str">
        <f t="shared" si="205"/>
        <v/>
      </c>
      <c r="P1442" s="16" t="str">
        <f t="shared" si="205"/>
        <v/>
      </c>
      <c r="Q1442" s="16" t="str">
        <f t="shared" si="205"/>
        <v/>
      </c>
      <c r="R1442" s="5" t="str">
        <f t="shared" si="204"/>
        <v/>
      </c>
      <c r="S1442" s="5" t="str">
        <f t="shared" si="208"/>
        <v/>
      </c>
      <c r="T1442" s="5" t="str">
        <f t="shared" si="211"/>
        <v/>
      </c>
      <c r="U1442" s="5" t="str">
        <f t="shared" si="211"/>
        <v/>
      </c>
    </row>
    <row r="1443" spans="7:21" x14ac:dyDescent="0.2">
      <c r="G1443" s="8"/>
      <c r="H1443" s="5"/>
      <c r="J1443" s="10" t="str">
        <f t="shared" si="206"/>
        <v/>
      </c>
      <c r="K1443" s="10" t="str">
        <f t="shared" si="207"/>
        <v/>
      </c>
      <c r="L1443" s="11" t="str">
        <f t="shared" si="209"/>
        <v/>
      </c>
      <c r="M1443" s="9" t="str">
        <f>IF(G1443&lt;&gt;"",J1443/MAX(J$3:J1443)-1,"")</f>
        <v/>
      </c>
      <c r="N1443" s="9" t="str">
        <f>IF(G1443&lt;&gt;"",K1443/MAX(K$3:K1443)-1,"")</f>
        <v/>
      </c>
      <c r="O1443" s="16" t="str">
        <f t="shared" si="205"/>
        <v/>
      </c>
      <c r="P1443" s="16" t="str">
        <f t="shared" si="205"/>
        <v/>
      </c>
      <c r="Q1443" s="16" t="str">
        <f t="shared" si="205"/>
        <v/>
      </c>
      <c r="R1443" s="5" t="str">
        <f t="shared" si="204"/>
        <v/>
      </c>
      <c r="S1443" s="5" t="str">
        <f t="shared" si="208"/>
        <v/>
      </c>
      <c r="T1443" s="5" t="str">
        <f t="shared" si="211"/>
        <v/>
      </c>
      <c r="U1443" s="5" t="str">
        <f t="shared" si="211"/>
        <v/>
      </c>
    </row>
    <row r="1444" spans="7:21" x14ac:dyDescent="0.2">
      <c r="G1444" s="8"/>
      <c r="H1444" s="5"/>
      <c r="J1444" s="10" t="str">
        <f t="shared" si="206"/>
        <v/>
      </c>
      <c r="K1444" s="10" t="str">
        <f t="shared" si="207"/>
        <v/>
      </c>
      <c r="L1444" s="11" t="str">
        <f t="shared" si="209"/>
        <v/>
      </c>
      <c r="M1444" s="9" t="str">
        <f>IF(G1444&lt;&gt;"",J1444/MAX(J$3:J1444)-1,"")</f>
        <v/>
      </c>
      <c r="N1444" s="9" t="str">
        <f>IF(G1444&lt;&gt;"",K1444/MAX(K$3:K1444)-1,"")</f>
        <v/>
      </c>
      <c r="O1444" s="16" t="str">
        <f t="shared" si="205"/>
        <v/>
      </c>
      <c r="P1444" s="16" t="str">
        <f t="shared" si="205"/>
        <v/>
      </c>
      <c r="Q1444" s="16" t="str">
        <f t="shared" si="205"/>
        <v/>
      </c>
      <c r="R1444" s="5" t="str">
        <f t="shared" si="204"/>
        <v/>
      </c>
      <c r="S1444" s="5" t="str">
        <f t="shared" si="208"/>
        <v/>
      </c>
      <c r="T1444" s="5" t="str">
        <f t="shared" si="211"/>
        <v/>
      </c>
      <c r="U1444" s="5" t="str">
        <f t="shared" si="211"/>
        <v/>
      </c>
    </row>
    <row r="1445" spans="7:21" x14ac:dyDescent="0.2">
      <c r="G1445" s="8"/>
      <c r="H1445" s="5"/>
      <c r="J1445" s="10" t="str">
        <f t="shared" si="206"/>
        <v/>
      </c>
      <c r="K1445" s="10" t="str">
        <f t="shared" si="207"/>
        <v/>
      </c>
      <c r="L1445" s="11" t="str">
        <f t="shared" si="209"/>
        <v/>
      </c>
      <c r="M1445" s="9" t="str">
        <f>IF(G1445&lt;&gt;"",J1445/MAX(J$3:J1445)-1,"")</f>
        <v/>
      </c>
      <c r="N1445" s="9" t="str">
        <f>IF(G1445&lt;&gt;"",K1445/MAX(K$3:K1445)-1,"")</f>
        <v/>
      </c>
      <c r="O1445" s="16" t="str">
        <f t="shared" si="205"/>
        <v/>
      </c>
      <c r="P1445" s="16" t="str">
        <f t="shared" si="205"/>
        <v/>
      </c>
      <c r="Q1445" s="16" t="str">
        <f t="shared" si="205"/>
        <v/>
      </c>
      <c r="R1445" s="5" t="str">
        <f t="shared" si="204"/>
        <v/>
      </c>
      <c r="S1445" s="5" t="str">
        <f t="shared" si="208"/>
        <v/>
      </c>
      <c r="T1445" s="5" t="str">
        <f t="shared" si="211"/>
        <v/>
      </c>
      <c r="U1445" s="5" t="str">
        <f t="shared" si="211"/>
        <v/>
      </c>
    </row>
    <row r="1446" spans="7:21" x14ac:dyDescent="0.2">
      <c r="G1446" s="8"/>
      <c r="H1446" s="5"/>
      <c r="J1446" s="10" t="str">
        <f t="shared" si="206"/>
        <v/>
      </c>
      <c r="K1446" s="10" t="str">
        <f t="shared" si="207"/>
        <v/>
      </c>
      <c r="L1446" s="11" t="str">
        <f t="shared" si="209"/>
        <v/>
      </c>
      <c r="M1446" s="9" t="str">
        <f>IF(G1446&lt;&gt;"",J1446/MAX(J$3:J1446)-1,"")</f>
        <v/>
      </c>
      <c r="N1446" s="9" t="str">
        <f>IF(G1446&lt;&gt;"",K1446/MAX(K$3:K1446)-1,"")</f>
        <v/>
      </c>
      <c r="O1446" s="16" t="str">
        <f t="shared" si="205"/>
        <v/>
      </c>
      <c r="P1446" s="16" t="str">
        <f t="shared" si="205"/>
        <v/>
      </c>
      <c r="Q1446" s="16" t="str">
        <f t="shared" si="205"/>
        <v/>
      </c>
      <c r="R1446" s="5" t="str">
        <f t="shared" si="204"/>
        <v/>
      </c>
      <c r="S1446" s="5" t="str">
        <f t="shared" si="208"/>
        <v/>
      </c>
      <c r="T1446" s="5" t="str">
        <f t="shared" si="211"/>
        <v/>
      </c>
      <c r="U1446" s="5" t="str">
        <f t="shared" si="211"/>
        <v/>
      </c>
    </row>
    <row r="1447" spans="7:21" x14ac:dyDescent="0.2">
      <c r="G1447" s="8"/>
      <c r="H1447" s="5"/>
      <c r="J1447" s="10" t="str">
        <f t="shared" si="206"/>
        <v/>
      </c>
      <c r="K1447" s="10" t="str">
        <f t="shared" si="207"/>
        <v/>
      </c>
      <c r="L1447" s="11" t="str">
        <f t="shared" si="209"/>
        <v/>
      </c>
      <c r="M1447" s="9" t="str">
        <f>IF(G1447&lt;&gt;"",J1447/MAX(J$3:J1447)-1,"")</f>
        <v/>
      </c>
      <c r="N1447" s="9" t="str">
        <f>IF(G1447&lt;&gt;"",K1447/MAX(K$3:K1447)-1,"")</f>
        <v/>
      </c>
      <c r="O1447" s="16" t="str">
        <f t="shared" si="205"/>
        <v/>
      </c>
      <c r="P1447" s="16" t="str">
        <f t="shared" si="205"/>
        <v/>
      </c>
      <c r="Q1447" s="16" t="str">
        <f t="shared" si="205"/>
        <v/>
      </c>
      <c r="R1447" s="5" t="str">
        <f t="shared" si="204"/>
        <v/>
      </c>
      <c r="S1447" s="5" t="str">
        <f t="shared" si="208"/>
        <v/>
      </c>
      <c r="T1447" s="5" t="str">
        <f t="shared" si="211"/>
        <v/>
      </c>
      <c r="U1447" s="5" t="str">
        <f t="shared" si="211"/>
        <v/>
      </c>
    </row>
    <row r="1448" spans="7:21" x14ac:dyDescent="0.2">
      <c r="G1448" s="8"/>
      <c r="H1448" s="5"/>
      <c r="J1448" s="10" t="str">
        <f t="shared" si="206"/>
        <v/>
      </c>
      <c r="K1448" s="10" t="str">
        <f t="shared" si="207"/>
        <v/>
      </c>
      <c r="L1448" s="11" t="str">
        <f t="shared" si="209"/>
        <v/>
      </c>
      <c r="M1448" s="9" t="str">
        <f>IF(G1448&lt;&gt;"",J1448/MAX(J$3:J1448)-1,"")</f>
        <v/>
      </c>
      <c r="N1448" s="9" t="str">
        <f>IF(G1448&lt;&gt;"",K1448/MAX(K$3:K1448)-1,"")</f>
        <v/>
      </c>
      <c r="O1448" s="16" t="str">
        <f t="shared" si="205"/>
        <v/>
      </c>
      <c r="P1448" s="16" t="str">
        <f t="shared" si="205"/>
        <v/>
      </c>
      <c r="Q1448" s="16" t="str">
        <f t="shared" si="205"/>
        <v/>
      </c>
      <c r="R1448" s="5" t="str">
        <f t="shared" si="204"/>
        <v/>
      </c>
      <c r="S1448" s="5" t="str">
        <f t="shared" si="208"/>
        <v/>
      </c>
      <c r="T1448" s="5" t="str">
        <f t="shared" ref="T1448:U1463" si="212">IF($G1448&lt;&gt;"",_xlfn.STDEV.S(O1204:O1448),"")</f>
        <v/>
      </c>
      <c r="U1448" s="5" t="str">
        <f t="shared" si="212"/>
        <v/>
      </c>
    </row>
    <row r="1449" spans="7:21" x14ac:dyDescent="0.2">
      <c r="G1449" s="8"/>
      <c r="H1449" s="5"/>
      <c r="J1449" s="10" t="str">
        <f t="shared" si="206"/>
        <v/>
      </c>
      <c r="K1449" s="10" t="str">
        <f t="shared" si="207"/>
        <v/>
      </c>
      <c r="L1449" s="11" t="str">
        <f t="shared" si="209"/>
        <v/>
      </c>
      <c r="M1449" s="9" t="str">
        <f>IF(G1449&lt;&gt;"",J1449/MAX(J$3:J1449)-1,"")</f>
        <v/>
      </c>
      <c r="N1449" s="9" t="str">
        <f>IF(G1449&lt;&gt;"",K1449/MAX(K$3:K1449)-1,"")</f>
        <v/>
      </c>
      <c r="O1449" s="16" t="str">
        <f t="shared" si="205"/>
        <v/>
      </c>
      <c r="P1449" s="16" t="str">
        <f t="shared" si="205"/>
        <v/>
      </c>
      <c r="Q1449" s="16" t="str">
        <f t="shared" si="205"/>
        <v/>
      </c>
      <c r="R1449" s="5" t="str">
        <f t="shared" si="204"/>
        <v/>
      </c>
      <c r="S1449" s="5" t="str">
        <f t="shared" si="208"/>
        <v/>
      </c>
      <c r="T1449" s="5" t="str">
        <f t="shared" si="212"/>
        <v/>
      </c>
      <c r="U1449" s="5" t="str">
        <f t="shared" si="212"/>
        <v/>
      </c>
    </row>
    <row r="1450" spans="7:21" x14ac:dyDescent="0.2">
      <c r="G1450" s="8"/>
      <c r="H1450" s="5"/>
      <c r="J1450" s="10" t="str">
        <f t="shared" si="206"/>
        <v/>
      </c>
      <c r="K1450" s="10" t="str">
        <f t="shared" si="207"/>
        <v/>
      </c>
      <c r="L1450" s="11" t="str">
        <f t="shared" si="209"/>
        <v/>
      </c>
      <c r="M1450" s="9" t="str">
        <f>IF(G1450&lt;&gt;"",J1450/MAX(J$3:J1450)-1,"")</f>
        <v/>
      </c>
      <c r="N1450" s="9" t="str">
        <f>IF(G1450&lt;&gt;"",K1450/MAX(K$3:K1450)-1,"")</f>
        <v/>
      </c>
      <c r="O1450" s="16" t="str">
        <f t="shared" si="205"/>
        <v/>
      </c>
      <c r="P1450" s="16" t="str">
        <f t="shared" si="205"/>
        <v/>
      </c>
      <c r="Q1450" s="16" t="str">
        <f t="shared" si="205"/>
        <v/>
      </c>
      <c r="R1450" s="5" t="str">
        <f t="shared" si="204"/>
        <v/>
      </c>
      <c r="S1450" s="5" t="str">
        <f t="shared" si="208"/>
        <v/>
      </c>
      <c r="T1450" s="5" t="str">
        <f t="shared" si="212"/>
        <v/>
      </c>
      <c r="U1450" s="5" t="str">
        <f t="shared" si="212"/>
        <v/>
      </c>
    </row>
    <row r="1451" spans="7:21" x14ac:dyDescent="0.2">
      <c r="G1451" s="8"/>
      <c r="H1451" s="5"/>
      <c r="J1451" s="10" t="str">
        <f t="shared" si="206"/>
        <v/>
      </c>
      <c r="K1451" s="10" t="str">
        <f t="shared" si="207"/>
        <v/>
      </c>
      <c r="L1451" s="11" t="str">
        <f t="shared" si="209"/>
        <v/>
      </c>
      <c r="M1451" s="9" t="str">
        <f>IF(G1451&lt;&gt;"",J1451/MAX(J$3:J1451)-1,"")</f>
        <v/>
      </c>
      <c r="N1451" s="9" t="str">
        <f>IF(G1451&lt;&gt;"",K1451/MAX(K$3:K1451)-1,"")</f>
        <v/>
      </c>
      <c r="O1451" s="16" t="str">
        <f t="shared" si="205"/>
        <v/>
      </c>
      <c r="P1451" s="16" t="str">
        <f t="shared" si="205"/>
        <v/>
      </c>
      <c r="Q1451" s="16" t="str">
        <f t="shared" si="205"/>
        <v/>
      </c>
      <c r="R1451" s="5" t="str">
        <f t="shared" si="204"/>
        <v/>
      </c>
      <c r="S1451" s="5" t="str">
        <f t="shared" si="208"/>
        <v/>
      </c>
      <c r="T1451" s="5" t="str">
        <f t="shared" si="212"/>
        <v/>
      </c>
      <c r="U1451" s="5" t="str">
        <f t="shared" si="212"/>
        <v/>
      </c>
    </row>
    <row r="1452" spans="7:21" x14ac:dyDescent="0.2">
      <c r="G1452" s="8"/>
      <c r="H1452" s="5"/>
      <c r="J1452" s="10" t="str">
        <f t="shared" si="206"/>
        <v/>
      </c>
      <c r="K1452" s="10" t="str">
        <f t="shared" si="207"/>
        <v/>
      </c>
      <c r="L1452" s="11" t="str">
        <f t="shared" si="209"/>
        <v/>
      </c>
      <c r="M1452" s="9" t="str">
        <f>IF(G1452&lt;&gt;"",J1452/MAX(J$3:J1452)-1,"")</f>
        <v/>
      </c>
      <c r="N1452" s="9" t="str">
        <f>IF(G1452&lt;&gt;"",K1452/MAX(K$3:K1452)-1,"")</f>
        <v/>
      </c>
      <c r="O1452" s="16" t="str">
        <f t="shared" si="205"/>
        <v/>
      </c>
      <c r="P1452" s="16" t="str">
        <f t="shared" si="205"/>
        <v/>
      </c>
      <c r="Q1452" s="16" t="str">
        <f t="shared" si="205"/>
        <v/>
      </c>
      <c r="R1452" s="5" t="str">
        <f t="shared" si="204"/>
        <v/>
      </c>
      <c r="S1452" s="5" t="str">
        <f t="shared" si="208"/>
        <v/>
      </c>
      <c r="T1452" s="5" t="str">
        <f t="shared" si="212"/>
        <v/>
      </c>
      <c r="U1452" s="5" t="str">
        <f t="shared" si="212"/>
        <v/>
      </c>
    </row>
    <row r="1453" spans="7:21" x14ac:dyDescent="0.2">
      <c r="G1453" s="8"/>
      <c r="H1453" s="5"/>
      <c r="J1453" s="10" t="str">
        <f t="shared" si="206"/>
        <v/>
      </c>
      <c r="K1453" s="10" t="str">
        <f t="shared" si="207"/>
        <v/>
      </c>
      <c r="L1453" s="11" t="str">
        <f t="shared" si="209"/>
        <v/>
      </c>
      <c r="M1453" s="9" t="str">
        <f>IF(G1453&lt;&gt;"",J1453/MAX(J$3:J1453)-1,"")</f>
        <v/>
      </c>
      <c r="N1453" s="9" t="str">
        <f>IF(G1453&lt;&gt;"",K1453/MAX(K$3:K1453)-1,"")</f>
        <v/>
      </c>
      <c r="O1453" s="16" t="str">
        <f t="shared" si="205"/>
        <v/>
      </c>
      <c r="P1453" s="16" t="str">
        <f t="shared" si="205"/>
        <v/>
      </c>
      <c r="Q1453" s="16" t="str">
        <f t="shared" si="205"/>
        <v/>
      </c>
      <c r="R1453" s="5" t="str">
        <f t="shared" si="204"/>
        <v/>
      </c>
      <c r="S1453" s="5" t="str">
        <f t="shared" si="208"/>
        <v/>
      </c>
      <c r="T1453" s="5" t="str">
        <f t="shared" si="212"/>
        <v/>
      </c>
      <c r="U1453" s="5" t="str">
        <f t="shared" si="212"/>
        <v/>
      </c>
    </row>
    <row r="1454" spans="7:21" x14ac:dyDescent="0.2">
      <c r="G1454" s="8"/>
      <c r="H1454" s="5"/>
      <c r="J1454" s="10" t="str">
        <f t="shared" si="206"/>
        <v/>
      </c>
      <c r="K1454" s="10" t="str">
        <f t="shared" si="207"/>
        <v/>
      </c>
      <c r="L1454" s="11" t="str">
        <f t="shared" si="209"/>
        <v/>
      </c>
      <c r="M1454" s="9" t="str">
        <f>IF(G1454&lt;&gt;"",J1454/MAX(J$3:J1454)-1,"")</f>
        <v/>
      </c>
      <c r="N1454" s="9" t="str">
        <f>IF(G1454&lt;&gt;"",K1454/MAX(K$3:K1454)-1,"")</f>
        <v/>
      </c>
      <c r="O1454" s="16" t="str">
        <f t="shared" si="205"/>
        <v/>
      </c>
      <c r="P1454" s="16" t="str">
        <f t="shared" si="205"/>
        <v/>
      </c>
      <c r="Q1454" s="16" t="str">
        <f t="shared" si="205"/>
        <v/>
      </c>
      <c r="R1454" s="5" t="str">
        <f t="shared" si="204"/>
        <v/>
      </c>
      <c r="S1454" s="5" t="str">
        <f t="shared" si="208"/>
        <v/>
      </c>
      <c r="T1454" s="5" t="str">
        <f t="shared" si="212"/>
        <v/>
      </c>
      <c r="U1454" s="5" t="str">
        <f t="shared" si="212"/>
        <v/>
      </c>
    </row>
    <row r="1455" spans="7:21" x14ac:dyDescent="0.2">
      <c r="G1455" s="8"/>
      <c r="H1455" s="5"/>
      <c r="J1455" s="10" t="str">
        <f t="shared" si="206"/>
        <v/>
      </c>
      <c r="K1455" s="10" t="str">
        <f t="shared" si="207"/>
        <v/>
      </c>
      <c r="L1455" s="11" t="str">
        <f t="shared" si="209"/>
        <v/>
      </c>
      <c r="M1455" s="9" t="str">
        <f>IF(G1455&lt;&gt;"",J1455/MAX(J$3:J1455)-1,"")</f>
        <v/>
      </c>
      <c r="N1455" s="9" t="str">
        <f>IF(G1455&lt;&gt;"",K1455/MAX(K$3:K1455)-1,"")</f>
        <v/>
      </c>
      <c r="O1455" s="16" t="str">
        <f t="shared" si="205"/>
        <v/>
      </c>
      <c r="P1455" s="16" t="str">
        <f t="shared" si="205"/>
        <v/>
      </c>
      <c r="Q1455" s="16" t="str">
        <f t="shared" si="205"/>
        <v/>
      </c>
      <c r="R1455" s="5" t="str">
        <f t="shared" si="204"/>
        <v/>
      </c>
      <c r="S1455" s="5" t="str">
        <f t="shared" si="208"/>
        <v/>
      </c>
      <c r="T1455" s="5" t="str">
        <f t="shared" si="212"/>
        <v/>
      </c>
      <c r="U1455" s="5" t="str">
        <f t="shared" si="212"/>
        <v/>
      </c>
    </row>
    <row r="1456" spans="7:21" x14ac:dyDescent="0.2">
      <c r="G1456" s="8"/>
      <c r="H1456" s="5"/>
      <c r="J1456" s="10" t="str">
        <f t="shared" si="206"/>
        <v/>
      </c>
      <c r="K1456" s="10" t="str">
        <f t="shared" si="207"/>
        <v/>
      </c>
      <c r="L1456" s="11" t="str">
        <f t="shared" si="209"/>
        <v/>
      </c>
      <c r="M1456" s="9" t="str">
        <f>IF(G1456&lt;&gt;"",J1456/MAX(J$3:J1456)-1,"")</f>
        <v/>
      </c>
      <c r="N1456" s="9" t="str">
        <f>IF(G1456&lt;&gt;"",K1456/MAX(K$3:K1456)-1,"")</f>
        <v/>
      </c>
      <c r="O1456" s="16" t="str">
        <f t="shared" si="205"/>
        <v/>
      </c>
      <c r="P1456" s="16" t="str">
        <f t="shared" si="205"/>
        <v/>
      </c>
      <c r="Q1456" s="16" t="str">
        <f t="shared" si="205"/>
        <v/>
      </c>
      <c r="R1456" s="5" t="str">
        <f t="shared" si="204"/>
        <v/>
      </c>
      <c r="S1456" s="5" t="str">
        <f t="shared" si="208"/>
        <v/>
      </c>
      <c r="T1456" s="5" t="str">
        <f t="shared" si="212"/>
        <v/>
      </c>
      <c r="U1456" s="5" t="str">
        <f t="shared" si="212"/>
        <v/>
      </c>
    </row>
    <row r="1457" spans="7:21" x14ac:dyDescent="0.2">
      <c r="G1457" s="8"/>
      <c r="H1457" s="5"/>
      <c r="J1457" s="10" t="str">
        <f t="shared" si="206"/>
        <v/>
      </c>
      <c r="K1457" s="10" t="str">
        <f t="shared" si="207"/>
        <v/>
      </c>
      <c r="L1457" s="11" t="str">
        <f t="shared" si="209"/>
        <v/>
      </c>
      <c r="M1457" s="9" t="str">
        <f>IF(G1457&lt;&gt;"",J1457/MAX(J$3:J1457)-1,"")</f>
        <v/>
      </c>
      <c r="N1457" s="9" t="str">
        <f>IF(G1457&lt;&gt;"",K1457/MAX(K$3:K1457)-1,"")</f>
        <v/>
      </c>
      <c r="O1457" s="16" t="str">
        <f t="shared" si="205"/>
        <v/>
      </c>
      <c r="P1457" s="16" t="str">
        <f t="shared" si="205"/>
        <v/>
      </c>
      <c r="Q1457" s="16" t="str">
        <f t="shared" si="205"/>
        <v/>
      </c>
      <c r="R1457" s="5" t="str">
        <f t="shared" si="204"/>
        <v/>
      </c>
      <c r="S1457" s="5" t="str">
        <f t="shared" si="208"/>
        <v/>
      </c>
      <c r="T1457" s="5" t="str">
        <f t="shared" si="212"/>
        <v/>
      </c>
      <c r="U1457" s="5" t="str">
        <f t="shared" si="212"/>
        <v/>
      </c>
    </row>
    <row r="1458" spans="7:21" x14ac:dyDescent="0.2">
      <c r="G1458" s="8"/>
      <c r="H1458" s="5"/>
      <c r="J1458" s="10" t="str">
        <f t="shared" si="206"/>
        <v/>
      </c>
      <c r="K1458" s="10" t="str">
        <f t="shared" si="207"/>
        <v/>
      </c>
      <c r="L1458" s="11" t="str">
        <f t="shared" si="209"/>
        <v/>
      </c>
      <c r="M1458" s="9" t="str">
        <f>IF(G1458&lt;&gt;"",J1458/MAX(J$3:J1458)-1,"")</f>
        <v/>
      </c>
      <c r="N1458" s="9" t="str">
        <f>IF(G1458&lt;&gt;"",K1458/MAX(K$3:K1458)-1,"")</f>
        <v/>
      </c>
      <c r="O1458" s="16" t="str">
        <f t="shared" si="205"/>
        <v/>
      </c>
      <c r="P1458" s="16" t="str">
        <f t="shared" si="205"/>
        <v/>
      </c>
      <c r="Q1458" s="16" t="str">
        <f t="shared" si="205"/>
        <v/>
      </c>
      <c r="R1458" s="5" t="str">
        <f t="shared" si="204"/>
        <v/>
      </c>
      <c r="S1458" s="5" t="str">
        <f t="shared" si="208"/>
        <v/>
      </c>
      <c r="T1458" s="5" t="str">
        <f t="shared" si="212"/>
        <v/>
      </c>
      <c r="U1458" s="5" t="str">
        <f t="shared" si="212"/>
        <v/>
      </c>
    </row>
    <row r="1459" spans="7:21" x14ac:dyDescent="0.2">
      <c r="G1459" s="8"/>
      <c r="H1459" s="5"/>
      <c r="J1459" s="10" t="str">
        <f t="shared" si="206"/>
        <v/>
      </c>
      <c r="K1459" s="10" t="str">
        <f t="shared" si="207"/>
        <v/>
      </c>
      <c r="L1459" s="11" t="str">
        <f t="shared" si="209"/>
        <v/>
      </c>
      <c r="M1459" s="9" t="str">
        <f>IF(G1459&lt;&gt;"",J1459/MAX(J$3:J1459)-1,"")</f>
        <v/>
      </c>
      <c r="N1459" s="9" t="str">
        <f>IF(G1459&lt;&gt;"",K1459/MAX(K$3:K1459)-1,"")</f>
        <v/>
      </c>
      <c r="O1459" s="16" t="str">
        <f t="shared" si="205"/>
        <v/>
      </c>
      <c r="P1459" s="16" t="str">
        <f t="shared" si="205"/>
        <v/>
      </c>
      <c r="Q1459" s="16" t="str">
        <f t="shared" si="205"/>
        <v/>
      </c>
      <c r="R1459" s="5" t="str">
        <f t="shared" si="204"/>
        <v/>
      </c>
      <c r="S1459" s="5" t="str">
        <f t="shared" si="208"/>
        <v/>
      </c>
      <c r="T1459" s="5" t="str">
        <f t="shared" si="212"/>
        <v/>
      </c>
      <c r="U1459" s="5" t="str">
        <f t="shared" si="212"/>
        <v/>
      </c>
    </row>
    <row r="1460" spans="7:21" x14ac:dyDescent="0.2">
      <c r="G1460" s="8"/>
      <c r="H1460" s="5"/>
      <c r="J1460" s="10" t="str">
        <f t="shared" si="206"/>
        <v/>
      </c>
      <c r="K1460" s="10" t="str">
        <f t="shared" si="207"/>
        <v/>
      </c>
      <c r="L1460" s="11" t="str">
        <f t="shared" si="209"/>
        <v/>
      </c>
      <c r="M1460" s="9" t="str">
        <f>IF(G1460&lt;&gt;"",J1460/MAX(J$3:J1460)-1,"")</f>
        <v/>
      </c>
      <c r="N1460" s="9" t="str">
        <f>IF(G1460&lt;&gt;"",K1460/MAX(K$3:K1460)-1,"")</f>
        <v/>
      </c>
      <c r="O1460" s="16" t="str">
        <f t="shared" si="205"/>
        <v/>
      </c>
      <c r="P1460" s="16" t="str">
        <f t="shared" si="205"/>
        <v/>
      </c>
      <c r="Q1460" s="16" t="str">
        <f t="shared" si="205"/>
        <v/>
      </c>
      <c r="R1460" s="5" t="str">
        <f t="shared" si="204"/>
        <v/>
      </c>
      <c r="S1460" s="5" t="str">
        <f t="shared" si="208"/>
        <v/>
      </c>
      <c r="T1460" s="5" t="str">
        <f t="shared" si="212"/>
        <v/>
      </c>
      <c r="U1460" s="5" t="str">
        <f t="shared" si="212"/>
        <v/>
      </c>
    </row>
    <row r="1461" spans="7:21" x14ac:dyDescent="0.2">
      <c r="G1461" s="8"/>
      <c r="H1461" s="5"/>
      <c r="J1461" s="10" t="str">
        <f t="shared" si="206"/>
        <v/>
      </c>
      <c r="K1461" s="10" t="str">
        <f t="shared" si="207"/>
        <v/>
      </c>
      <c r="L1461" s="11" t="str">
        <f t="shared" si="209"/>
        <v/>
      </c>
      <c r="M1461" s="9" t="str">
        <f>IF(G1461&lt;&gt;"",J1461/MAX(J$3:J1461)-1,"")</f>
        <v/>
      </c>
      <c r="N1461" s="9" t="str">
        <f>IF(G1461&lt;&gt;"",K1461/MAX(K$3:K1461)-1,"")</f>
        <v/>
      </c>
      <c r="O1461" s="16" t="str">
        <f t="shared" si="205"/>
        <v/>
      </c>
      <c r="P1461" s="16" t="str">
        <f t="shared" si="205"/>
        <v/>
      </c>
      <c r="Q1461" s="16" t="str">
        <f t="shared" si="205"/>
        <v/>
      </c>
      <c r="R1461" s="5" t="str">
        <f t="shared" si="204"/>
        <v/>
      </c>
      <c r="S1461" s="5" t="str">
        <f t="shared" si="208"/>
        <v/>
      </c>
      <c r="T1461" s="5" t="str">
        <f t="shared" si="212"/>
        <v/>
      </c>
      <c r="U1461" s="5" t="str">
        <f t="shared" si="212"/>
        <v/>
      </c>
    </row>
    <row r="1462" spans="7:21" x14ac:dyDescent="0.2">
      <c r="G1462" s="8"/>
      <c r="H1462" s="5"/>
      <c r="J1462" s="10" t="str">
        <f t="shared" si="206"/>
        <v/>
      </c>
      <c r="K1462" s="10" t="str">
        <f t="shared" si="207"/>
        <v/>
      </c>
      <c r="L1462" s="11" t="str">
        <f t="shared" si="209"/>
        <v/>
      </c>
      <c r="M1462" s="9" t="str">
        <f>IF(G1462&lt;&gt;"",J1462/MAX(J$3:J1462)-1,"")</f>
        <v/>
      </c>
      <c r="N1462" s="9" t="str">
        <f>IF(G1462&lt;&gt;"",K1462/MAX(K$3:K1462)-1,"")</f>
        <v/>
      </c>
      <c r="O1462" s="16" t="str">
        <f t="shared" si="205"/>
        <v/>
      </c>
      <c r="P1462" s="16" t="str">
        <f t="shared" si="205"/>
        <v/>
      </c>
      <c r="Q1462" s="16" t="str">
        <f t="shared" si="205"/>
        <v/>
      </c>
      <c r="R1462" s="5" t="str">
        <f t="shared" si="204"/>
        <v/>
      </c>
      <c r="S1462" s="5" t="str">
        <f t="shared" si="208"/>
        <v/>
      </c>
      <c r="T1462" s="5" t="str">
        <f t="shared" si="212"/>
        <v/>
      </c>
      <c r="U1462" s="5" t="str">
        <f t="shared" si="212"/>
        <v/>
      </c>
    </row>
    <row r="1463" spans="7:21" x14ac:dyDescent="0.2">
      <c r="G1463" s="8"/>
      <c r="H1463" s="5"/>
      <c r="J1463" s="10" t="str">
        <f t="shared" si="206"/>
        <v/>
      </c>
      <c r="K1463" s="10" t="str">
        <f t="shared" si="207"/>
        <v/>
      </c>
      <c r="L1463" s="11" t="str">
        <f t="shared" si="209"/>
        <v/>
      </c>
      <c r="M1463" s="9" t="str">
        <f>IF(G1463&lt;&gt;"",J1463/MAX(J$3:J1463)-1,"")</f>
        <v/>
      </c>
      <c r="N1463" s="9" t="str">
        <f>IF(G1463&lt;&gt;"",K1463/MAX(K$3:K1463)-1,"")</f>
        <v/>
      </c>
      <c r="O1463" s="16" t="str">
        <f t="shared" si="205"/>
        <v/>
      </c>
      <c r="P1463" s="16" t="str">
        <f t="shared" si="205"/>
        <v/>
      </c>
      <c r="Q1463" s="16" t="str">
        <f t="shared" si="205"/>
        <v/>
      </c>
      <c r="R1463" s="5" t="str">
        <f t="shared" si="204"/>
        <v/>
      </c>
      <c r="S1463" s="5" t="str">
        <f t="shared" si="208"/>
        <v/>
      </c>
      <c r="T1463" s="5" t="str">
        <f t="shared" si="212"/>
        <v/>
      </c>
      <c r="U1463" s="5" t="str">
        <f t="shared" si="212"/>
        <v/>
      </c>
    </row>
    <row r="1464" spans="7:21" x14ac:dyDescent="0.2">
      <c r="G1464" s="8"/>
      <c r="H1464" s="5"/>
      <c r="J1464" s="10" t="str">
        <f t="shared" si="206"/>
        <v/>
      </c>
      <c r="K1464" s="10" t="str">
        <f t="shared" si="207"/>
        <v/>
      </c>
      <c r="L1464" s="11" t="str">
        <f t="shared" si="209"/>
        <v/>
      </c>
      <c r="M1464" s="9" t="str">
        <f>IF(G1464&lt;&gt;"",J1464/MAX(J$3:J1464)-1,"")</f>
        <v/>
      </c>
      <c r="N1464" s="9" t="str">
        <f>IF(G1464&lt;&gt;"",K1464/MAX(K$3:K1464)-1,"")</f>
        <v/>
      </c>
      <c r="O1464" s="16" t="str">
        <f t="shared" si="205"/>
        <v/>
      </c>
      <c r="P1464" s="16" t="str">
        <f t="shared" si="205"/>
        <v/>
      </c>
      <c r="Q1464" s="16" t="str">
        <f t="shared" si="205"/>
        <v/>
      </c>
      <c r="R1464" s="5" t="str">
        <f t="shared" si="204"/>
        <v/>
      </c>
      <c r="S1464" s="5" t="str">
        <f t="shared" si="208"/>
        <v/>
      </c>
      <c r="T1464" s="5" t="str">
        <f t="shared" ref="T1464:U1479" si="213">IF($G1464&lt;&gt;"",_xlfn.STDEV.S(O1220:O1464),"")</f>
        <v/>
      </c>
      <c r="U1464" s="5" t="str">
        <f t="shared" si="213"/>
        <v/>
      </c>
    </row>
    <row r="1465" spans="7:21" x14ac:dyDescent="0.2">
      <c r="G1465" s="8"/>
      <c r="H1465" s="5"/>
      <c r="J1465" s="10" t="str">
        <f t="shared" si="206"/>
        <v/>
      </c>
      <c r="K1465" s="10" t="str">
        <f t="shared" si="207"/>
        <v/>
      </c>
      <c r="L1465" s="11" t="str">
        <f t="shared" si="209"/>
        <v/>
      </c>
      <c r="M1465" s="9" t="str">
        <f>IF(G1465&lt;&gt;"",J1465/MAX(J$3:J1465)-1,"")</f>
        <v/>
      </c>
      <c r="N1465" s="9" t="str">
        <f>IF(G1465&lt;&gt;"",K1465/MAX(K$3:K1465)-1,"")</f>
        <v/>
      </c>
      <c r="O1465" s="16" t="str">
        <f t="shared" si="205"/>
        <v/>
      </c>
      <c r="P1465" s="16" t="str">
        <f t="shared" si="205"/>
        <v/>
      </c>
      <c r="Q1465" s="16" t="str">
        <f t="shared" si="205"/>
        <v/>
      </c>
      <c r="R1465" s="5" t="str">
        <f t="shared" si="204"/>
        <v/>
      </c>
      <c r="S1465" s="5" t="str">
        <f t="shared" si="208"/>
        <v/>
      </c>
      <c r="T1465" s="5" t="str">
        <f t="shared" si="213"/>
        <v/>
      </c>
      <c r="U1465" s="5" t="str">
        <f t="shared" si="213"/>
        <v/>
      </c>
    </row>
    <row r="1466" spans="7:21" x14ac:dyDescent="0.2">
      <c r="G1466" s="8"/>
      <c r="H1466" s="5"/>
      <c r="J1466" s="10" t="str">
        <f t="shared" si="206"/>
        <v/>
      </c>
      <c r="K1466" s="10" t="str">
        <f t="shared" si="207"/>
        <v/>
      </c>
      <c r="L1466" s="11" t="str">
        <f t="shared" si="209"/>
        <v/>
      </c>
      <c r="M1466" s="9" t="str">
        <f>IF(G1466&lt;&gt;"",J1466/MAX(J$3:J1466)-1,"")</f>
        <v/>
      </c>
      <c r="N1466" s="9" t="str">
        <f>IF(G1466&lt;&gt;"",K1466/MAX(K$3:K1466)-1,"")</f>
        <v/>
      </c>
      <c r="O1466" s="16" t="str">
        <f t="shared" si="205"/>
        <v/>
      </c>
      <c r="P1466" s="16" t="str">
        <f t="shared" si="205"/>
        <v/>
      </c>
      <c r="Q1466" s="16" t="str">
        <f t="shared" si="205"/>
        <v/>
      </c>
      <c r="R1466" s="5" t="str">
        <f t="shared" si="204"/>
        <v/>
      </c>
      <c r="S1466" s="5" t="str">
        <f t="shared" si="208"/>
        <v/>
      </c>
      <c r="T1466" s="5" t="str">
        <f t="shared" si="213"/>
        <v/>
      </c>
      <c r="U1466" s="5" t="str">
        <f t="shared" si="213"/>
        <v/>
      </c>
    </row>
    <row r="1467" spans="7:21" x14ac:dyDescent="0.2">
      <c r="G1467" s="8"/>
      <c r="H1467" s="5"/>
      <c r="J1467" s="10" t="str">
        <f t="shared" si="206"/>
        <v/>
      </c>
      <c r="K1467" s="10" t="str">
        <f t="shared" si="207"/>
        <v/>
      </c>
      <c r="L1467" s="11" t="str">
        <f t="shared" si="209"/>
        <v/>
      </c>
      <c r="M1467" s="9" t="str">
        <f>IF(G1467&lt;&gt;"",J1467/MAX(J$3:J1467)-1,"")</f>
        <v/>
      </c>
      <c r="N1467" s="9" t="str">
        <f>IF(G1467&lt;&gt;"",K1467/MAX(K$3:K1467)-1,"")</f>
        <v/>
      </c>
      <c r="O1467" s="16" t="str">
        <f t="shared" si="205"/>
        <v/>
      </c>
      <c r="P1467" s="16" t="str">
        <f t="shared" si="205"/>
        <v/>
      </c>
      <c r="Q1467" s="16" t="str">
        <f t="shared" si="205"/>
        <v/>
      </c>
      <c r="R1467" s="5" t="str">
        <f t="shared" si="204"/>
        <v/>
      </c>
      <c r="S1467" s="5" t="str">
        <f t="shared" si="208"/>
        <v/>
      </c>
      <c r="T1467" s="5" t="str">
        <f t="shared" si="213"/>
        <v/>
      </c>
      <c r="U1467" s="5" t="str">
        <f t="shared" si="213"/>
        <v/>
      </c>
    </row>
    <row r="1468" spans="7:21" x14ac:dyDescent="0.2">
      <c r="G1468" s="8"/>
      <c r="H1468" s="5"/>
      <c r="J1468" s="10" t="str">
        <f t="shared" si="206"/>
        <v/>
      </c>
      <c r="K1468" s="10" t="str">
        <f t="shared" si="207"/>
        <v/>
      </c>
      <c r="L1468" s="11" t="str">
        <f t="shared" si="209"/>
        <v/>
      </c>
      <c r="M1468" s="9" t="str">
        <f>IF(G1468&lt;&gt;"",J1468/MAX(J$3:J1468)-1,"")</f>
        <v/>
      </c>
      <c r="N1468" s="9" t="str">
        <f>IF(G1468&lt;&gt;"",K1468/MAX(K$3:K1468)-1,"")</f>
        <v/>
      </c>
      <c r="O1468" s="16" t="str">
        <f t="shared" si="205"/>
        <v/>
      </c>
      <c r="P1468" s="16" t="str">
        <f t="shared" si="205"/>
        <v/>
      </c>
      <c r="Q1468" s="16" t="str">
        <f t="shared" si="205"/>
        <v/>
      </c>
      <c r="R1468" s="5" t="str">
        <f t="shared" si="204"/>
        <v/>
      </c>
      <c r="S1468" s="5" t="str">
        <f t="shared" si="208"/>
        <v/>
      </c>
      <c r="T1468" s="5" t="str">
        <f t="shared" si="213"/>
        <v/>
      </c>
      <c r="U1468" s="5" t="str">
        <f t="shared" si="213"/>
        <v/>
      </c>
    </row>
    <row r="1469" spans="7:21" x14ac:dyDescent="0.2">
      <c r="G1469" s="8"/>
      <c r="H1469" s="5"/>
      <c r="J1469" s="10" t="str">
        <f t="shared" si="206"/>
        <v/>
      </c>
      <c r="K1469" s="10" t="str">
        <f t="shared" si="207"/>
        <v/>
      </c>
      <c r="L1469" s="11" t="str">
        <f t="shared" si="209"/>
        <v/>
      </c>
      <c r="M1469" s="9" t="str">
        <f>IF(G1469&lt;&gt;"",J1469/MAX(J$3:J1469)-1,"")</f>
        <v/>
      </c>
      <c r="N1469" s="9" t="str">
        <f>IF(G1469&lt;&gt;"",K1469/MAX(K$3:K1469)-1,"")</f>
        <v/>
      </c>
      <c r="O1469" s="16" t="str">
        <f t="shared" si="205"/>
        <v/>
      </c>
      <c r="P1469" s="16" t="str">
        <f t="shared" si="205"/>
        <v/>
      </c>
      <c r="Q1469" s="16" t="str">
        <f t="shared" si="205"/>
        <v/>
      </c>
      <c r="R1469" s="5" t="str">
        <f t="shared" ref="R1469:R1532" si="214">IF(G1469&lt;&gt;"",_xlfn.STDEV.S(Q1348:Q1469)*SQRT($B$5),"")</f>
        <v/>
      </c>
      <c r="S1469" s="5" t="str">
        <f t="shared" si="208"/>
        <v/>
      </c>
      <c r="T1469" s="5" t="str">
        <f t="shared" si="213"/>
        <v/>
      </c>
      <c r="U1469" s="5" t="str">
        <f t="shared" si="213"/>
        <v/>
      </c>
    </row>
    <row r="1470" spans="7:21" x14ac:dyDescent="0.2">
      <c r="G1470" s="8"/>
      <c r="H1470" s="5"/>
      <c r="J1470" s="10" t="str">
        <f t="shared" si="206"/>
        <v/>
      </c>
      <c r="K1470" s="10" t="str">
        <f t="shared" si="207"/>
        <v/>
      </c>
      <c r="L1470" s="11" t="str">
        <f t="shared" si="209"/>
        <v/>
      </c>
      <c r="M1470" s="9" t="str">
        <f>IF(G1470&lt;&gt;"",J1470/MAX(J$3:J1470)-1,"")</f>
        <v/>
      </c>
      <c r="N1470" s="9" t="str">
        <f>IF(G1470&lt;&gt;"",K1470/MAX(K$3:K1470)-1,"")</f>
        <v/>
      </c>
      <c r="O1470" s="16" t="str">
        <f t="shared" si="205"/>
        <v/>
      </c>
      <c r="P1470" s="16" t="str">
        <f t="shared" si="205"/>
        <v/>
      </c>
      <c r="Q1470" s="16" t="str">
        <f t="shared" si="205"/>
        <v/>
      </c>
      <c r="R1470" s="5" t="str">
        <f t="shared" si="214"/>
        <v/>
      </c>
      <c r="S1470" s="5" t="str">
        <f t="shared" si="208"/>
        <v/>
      </c>
      <c r="T1470" s="5" t="str">
        <f t="shared" si="213"/>
        <v/>
      </c>
      <c r="U1470" s="5" t="str">
        <f t="shared" si="213"/>
        <v/>
      </c>
    </row>
    <row r="1471" spans="7:21" x14ac:dyDescent="0.2">
      <c r="G1471" s="8"/>
      <c r="H1471" s="5"/>
      <c r="J1471" s="10" t="str">
        <f t="shared" si="206"/>
        <v/>
      </c>
      <c r="K1471" s="10" t="str">
        <f t="shared" si="207"/>
        <v/>
      </c>
      <c r="L1471" s="11" t="str">
        <f t="shared" si="209"/>
        <v/>
      </c>
      <c r="M1471" s="9" t="str">
        <f>IF(G1471&lt;&gt;"",J1471/MAX(J$3:J1471)-1,"")</f>
        <v/>
      </c>
      <c r="N1471" s="9" t="str">
        <f>IF(G1471&lt;&gt;"",K1471/MAX(K$3:K1471)-1,"")</f>
        <v/>
      </c>
      <c r="O1471" s="16" t="str">
        <f t="shared" si="205"/>
        <v/>
      </c>
      <c r="P1471" s="16" t="str">
        <f t="shared" si="205"/>
        <v/>
      </c>
      <c r="Q1471" s="16" t="str">
        <f t="shared" si="205"/>
        <v/>
      </c>
      <c r="R1471" s="5" t="str">
        <f t="shared" si="214"/>
        <v/>
      </c>
      <c r="S1471" s="5" t="str">
        <f t="shared" si="208"/>
        <v/>
      </c>
      <c r="T1471" s="5" t="str">
        <f t="shared" si="213"/>
        <v/>
      </c>
      <c r="U1471" s="5" t="str">
        <f t="shared" si="213"/>
        <v/>
      </c>
    </row>
    <row r="1472" spans="7:21" x14ac:dyDescent="0.2">
      <c r="G1472" s="8"/>
      <c r="H1472" s="5"/>
      <c r="J1472" s="10" t="str">
        <f t="shared" si="206"/>
        <v/>
      </c>
      <c r="K1472" s="10" t="str">
        <f t="shared" si="207"/>
        <v/>
      </c>
      <c r="L1472" s="11" t="str">
        <f t="shared" si="209"/>
        <v/>
      </c>
      <c r="M1472" s="9" t="str">
        <f>IF(G1472&lt;&gt;"",J1472/MAX(J$3:J1472)-1,"")</f>
        <v/>
      </c>
      <c r="N1472" s="9" t="str">
        <f>IF(G1472&lt;&gt;"",K1472/MAX(K$3:K1472)-1,"")</f>
        <v/>
      </c>
      <c r="O1472" s="16" t="str">
        <f t="shared" si="205"/>
        <v/>
      </c>
      <c r="P1472" s="16" t="str">
        <f t="shared" si="205"/>
        <v/>
      </c>
      <c r="Q1472" s="16" t="str">
        <f t="shared" si="205"/>
        <v/>
      </c>
      <c r="R1472" s="5" t="str">
        <f t="shared" si="214"/>
        <v/>
      </c>
      <c r="S1472" s="5" t="str">
        <f t="shared" si="208"/>
        <v/>
      </c>
      <c r="T1472" s="5" t="str">
        <f t="shared" si="213"/>
        <v/>
      </c>
      <c r="U1472" s="5" t="str">
        <f t="shared" si="213"/>
        <v/>
      </c>
    </row>
    <row r="1473" spans="7:21" x14ac:dyDescent="0.2">
      <c r="G1473" s="8"/>
      <c r="H1473" s="5"/>
      <c r="J1473" s="10" t="str">
        <f t="shared" si="206"/>
        <v/>
      </c>
      <c r="K1473" s="10" t="str">
        <f t="shared" si="207"/>
        <v/>
      </c>
      <c r="L1473" s="11" t="str">
        <f t="shared" si="209"/>
        <v/>
      </c>
      <c r="M1473" s="9" t="str">
        <f>IF(G1473&lt;&gt;"",J1473/MAX(J$3:J1473)-1,"")</f>
        <v/>
      </c>
      <c r="N1473" s="9" t="str">
        <f>IF(G1473&lt;&gt;"",K1473/MAX(K$3:K1473)-1,"")</f>
        <v/>
      </c>
      <c r="O1473" s="16" t="str">
        <f t="shared" si="205"/>
        <v/>
      </c>
      <c r="P1473" s="16" t="str">
        <f t="shared" si="205"/>
        <v/>
      </c>
      <c r="Q1473" s="16" t="str">
        <f t="shared" si="205"/>
        <v/>
      </c>
      <c r="R1473" s="5" t="str">
        <f t="shared" si="214"/>
        <v/>
      </c>
      <c r="S1473" s="5" t="str">
        <f t="shared" si="208"/>
        <v/>
      </c>
      <c r="T1473" s="5" t="str">
        <f t="shared" si="213"/>
        <v/>
      </c>
      <c r="U1473" s="5" t="str">
        <f t="shared" si="213"/>
        <v/>
      </c>
    </row>
    <row r="1474" spans="7:21" x14ac:dyDescent="0.2">
      <c r="G1474" s="8"/>
      <c r="H1474" s="5"/>
      <c r="J1474" s="10" t="str">
        <f t="shared" si="206"/>
        <v/>
      </c>
      <c r="K1474" s="10" t="str">
        <f t="shared" si="207"/>
        <v/>
      </c>
      <c r="L1474" s="11" t="str">
        <f t="shared" si="209"/>
        <v/>
      </c>
      <c r="M1474" s="9" t="str">
        <f>IF(G1474&lt;&gt;"",J1474/MAX(J$3:J1474)-1,"")</f>
        <v/>
      </c>
      <c r="N1474" s="9" t="str">
        <f>IF(G1474&lt;&gt;"",K1474/MAX(K$3:K1474)-1,"")</f>
        <v/>
      </c>
      <c r="O1474" s="16" t="str">
        <f t="shared" ref="O1474:Q1537" si="215">IF($G1474&lt;&gt;"",J1474/J1473-1,"")</f>
        <v/>
      </c>
      <c r="P1474" s="16" t="str">
        <f t="shared" si="215"/>
        <v/>
      </c>
      <c r="Q1474" s="16" t="str">
        <f t="shared" si="215"/>
        <v/>
      </c>
      <c r="R1474" s="5" t="str">
        <f t="shared" si="214"/>
        <v/>
      </c>
      <c r="S1474" s="5" t="str">
        <f t="shared" si="208"/>
        <v/>
      </c>
      <c r="T1474" s="5" t="str">
        <f t="shared" si="213"/>
        <v/>
      </c>
      <c r="U1474" s="5" t="str">
        <f t="shared" si="213"/>
        <v/>
      </c>
    </row>
    <row r="1475" spans="7:21" x14ac:dyDescent="0.2">
      <c r="G1475" s="8"/>
      <c r="H1475" s="5"/>
      <c r="J1475" s="10" t="str">
        <f t="shared" si="206"/>
        <v/>
      </c>
      <c r="K1475" s="10" t="str">
        <f t="shared" si="207"/>
        <v/>
      </c>
      <c r="L1475" s="11" t="str">
        <f t="shared" si="209"/>
        <v/>
      </c>
      <c r="M1475" s="9" t="str">
        <f>IF(G1475&lt;&gt;"",J1475/MAX(J$3:J1475)-1,"")</f>
        <v/>
      </c>
      <c r="N1475" s="9" t="str">
        <f>IF(G1475&lt;&gt;"",K1475/MAX(K$3:K1475)-1,"")</f>
        <v/>
      </c>
      <c r="O1475" s="16" t="str">
        <f t="shared" si="215"/>
        <v/>
      </c>
      <c r="P1475" s="16" t="str">
        <f t="shared" si="215"/>
        <v/>
      </c>
      <c r="Q1475" s="16" t="str">
        <f t="shared" si="215"/>
        <v/>
      </c>
      <c r="R1475" s="5" t="str">
        <f t="shared" si="214"/>
        <v/>
      </c>
      <c r="S1475" s="5" t="str">
        <f t="shared" si="208"/>
        <v/>
      </c>
      <c r="T1475" s="5" t="str">
        <f t="shared" si="213"/>
        <v/>
      </c>
      <c r="U1475" s="5" t="str">
        <f t="shared" si="213"/>
        <v/>
      </c>
    </row>
    <row r="1476" spans="7:21" x14ac:dyDescent="0.2">
      <c r="G1476" s="8"/>
      <c r="H1476" s="5"/>
      <c r="J1476" s="10" t="str">
        <f t="shared" ref="J1476:J1539" si="216">IF(G1476&lt;&gt;"",1+H1476,"")</f>
        <v/>
      </c>
      <c r="K1476" s="10" t="str">
        <f t="shared" ref="K1476:K1539" si="217">IF(G1476&lt;&gt;"",1+I1476,"")</f>
        <v/>
      </c>
      <c r="L1476" s="11" t="str">
        <f t="shared" si="209"/>
        <v/>
      </c>
      <c r="M1476" s="9" t="str">
        <f>IF(G1476&lt;&gt;"",J1476/MAX(J$3:J1476)-1,"")</f>
        <v/>
      </c>
      <c r="N1476" s="9" t="str">
        <f>IF(G1476&lt;&gt;"",K1476/MAX(K$3:K1476)-1,"")</f>
        <v/>
      </c>
      <c r="O1476" s="16" t="str">
        <f t="shared" si="215"/>
        <v/>
      </c>
      <c r="P1476" s="16" t="str">
        <f t="shared" si="215"/>
        <v/>
      </c>
      <c r="Q1476" s="16" t="str">
        <f t="shared" si="215"/>
        <v/>
      </c>
      <c r="R1476" s="5" t="str">
        <f t="shared" si="214"/>
        <v/>
      </c>
      <c r="S1476" s="5" t="str">
        <f t="shared" ref="S1476:S1539" si="218">IF(R1476&lt;&gt;"",B$12,"")</f>
        <v/>
      </c>
      <c r="T1476" s="5" t="str">
        <f t="shared" si="213"/>
        <v/>
      </c>
      <c r="U1476" s="5" t="str">
        <f t="shared" si="213"/>
        <v/>
      </c>
    </row>
    <row r="1477" spans="7:21" x14ac:dyDescent="0.2">
      <c r="G1477" s="8"/>
      <c r="H1477" s="5"/>
      <c r="J1477" s="10" t="str">
        <f t="shared" si="216"/>
        <v/>
      </c>
      <c r="K1477" s="10" t="str">
        <f t="shared" si="217"/>
        <v/>
      </c>
      <c r="L1477" s="11" t="str">
        <f t="shared" ref="L1477:L1540" si="219">IF(G1477&lt;&gt;"",J1477/K1477,"")</f>
        <v/>
      </c>
      <c r="M1477" s="9" t="str">
        <f>IF(G1477&lt;&gt;"",J1477/MAX(J$3:J1477)-1,"")</f>
        <v/>
      </c>
      <c r="N1477" s="9" t="str">
        <f>IF(G1477&lt;&gt;"",K1477/MAX(K$3:K1477)-1,"")</f>
        <v/>
      </c>
      <c r="O1477" s="16" t="str">
        <f t="shared" si="215"/>
        <v/>
      </c>
      <c r="P1477" s="16" t="str">
        <f t="shared" si="215"/>
        <v/>
      </c>
      <c r="Q1477" s="16" t="str">
        <f t="shared" si="215"/>
        <v/>
      </c>
      <c r="R1477" s="5" t="str">
        <f t="shared" si="214"/>
        <v/>
      </c>
      <c r="S1477" s="5" t="str">
        <f t="shared" si="218"/>
        <v/>
      </c>
      <c r="T1477" s="5" t="str">
        <f t="shared" si="213"/>
        <v/>
      </c>
      <c r="U1477" s="5" t="str">
        <f t="shared" si="213"/>
        <v/>
      </c>
    </row>
    <row r="1478" spans="7:21" x14ac:dyDescent="0.2">
      <c r="G1478" s="8"/>
      <c r="H1478" s="5"/>
      <c r="J1478" s="10" t="str">
        <f t="shared" si="216"/>
        <v/>
      </c>
      <c r="K1478" s="10" t="str">
        <f t="shared" si="217"/>
        <v/>
      </c>
      <c r="L1478" s="11" t="str">
        <f t="shared" si="219"/>
        <v/>
      </c>
      <c r="M1478" s="9" t="str">
        <f>IF(G1478&lt;&gt;"",J1478/MAX(J$3:J1478)-1,"")</f>
        <v/>
      </c>
      <c r="N1478" s="9" t="str">
        <f>IF(G1478&lt;&gt;"",K1478/MAX(K$3:K1478)-1,"")</f>
        <v/>
      </c>
      <c r="O1478" s="16" t="str">
        <f t="shared" si="215"/>
        <v/>
      </c>
      <c r="P1478" s="16" t="str">
        <f t="shared" si="215"/>
        <v/>
      </c>
      <c r="Q1478" s="16" t="str">
        <f t="shared" si="215"/>
        <v/>
      </c>
      <c r="R1478" s="5" t="str">
        <f t="shared" si="214"/>
        <v/>
      </c>
      <c r="S1478" s="5" t="str">
        <f t="shared" si="218"/>
        <v/>
      </c>
      <c r="T1478" s="5" t="str">
        <f t="shared" si="213"/>
        <v/>
      </c>
      <c r="U1478" s="5" t="str">
        <f t="shared" si="213"/>
        <v/>
      </c>
    </row>
    <row r="1479" spans="7:21" x14ac:dyDescent="0.2">
      <c r="G1479" s="8"/>
      <c r="H1479" s="5"/>
      <c r="J1479" s="10" t="str">
        <f t="shared" si="216"/>
        <v/>
      </c>
      <c r="K1479" s="10" t="str">
        <f t="shared" si="217"/>
        <v/>
      </c>
      <c r="L1479" s="11" t="str">
        <f t="shared" si="219"/>
        <v/>
      </c>
      <c r="M1479" s="9" t="str">
        <f>IF(G1479&lt;&gt;"",J1479/MAX(J$3:J1479)-1,"")</f>
        <v/>
      </c>
      <c r="N1479" s="9" t="str">
        <f>IF(G1479&lt;&gt;"",K1479/MAX(K$3:K1479)-1,"")</f>
        <v/>
      </c>
      <c r="O1479" s="16" t="str">
        <f t="shared" si="215"/>
        <v/>
      </c>
      <c r="P1479" s="16" t="str">
        <f t="shared" si="215"/>
        <v/>
      </c>
      <c r="Q1479" s="16" t="str">
        <f t="shared" si="215"/>
        <v/>
      </c>
      <c r="R1479" s="5" t="str">
        <f t="shared" si="214"/>
        <v/>
      </c>
      <c r="S1479" s="5" t="str">
        <f t="shared" si="218"/>
        <v/>
      </c>
      <c r="T1479" s="5" t="str">
        <f t="shared" si="213"/>
        <v/>
      </c>
      <c r="U1479" s="5" t="str">
        <f t="shared" si="213"/>
        <v/>
      </c>
    </row>
    <row r="1480" spans="7:21" x14ac:dyDescent="0.2">
      <c r="G1480" s="8"/>
      <c r="H1480" s="5"/>
      <c r="J1480" s="10" t="str">
        <f t="shared" si="216"/>
        <v/>
      </c>
      <c r="K1480" s="10" t="str">
        <f t="shared" si="217"/>
        <v/>
      </c>
      <c r="L1480" s="11" t="str">
        <f t="shared" si="219"/>
        <v/>
      </c>
      <c r="M1480" s="9" t="str">
        <f>IF(G1480&lt;&gt;"",J1480/MAX(J$3:J1480)-1,"")</f>
        <v/>
      </c>
      <c r="N1480" s="9" t="str">
        <f>IF(G1480&lt;&gt;"",K1480/MAX(K$3:K1480)-1,"")</f>
        <v/>
      </c>
      <c r="O1480" s="16" t="str">
        <f t="shared" si="215"/>
        <v/>
      </c>
      <c r="P1480" s="16" t="str">
        <f t="shared" si="215"/>
        <v/>
      </c>
      <c r="Q1480" s="16" t="str">
        <f t="shared" si="215"/>
        <v/>
      </c>
      <c r="R1480" s="5" t="str">
        <f t="shared" si="214"/>
        <v/>
      </c>
      <c r="S1480" s="5" t="str">
        <f t="shared" si="218"/>
        <v/>
      </c>
      <c r="T1480" s="5" t="str">
        <f t="shared" ref="T1480:U1495" si="220">IF($G1480&lt;&gt;"",_xlfn.STDEV.S(O1236:O1480),"")</f>
        <v/>
      </c>
      <c r="U1480" s="5" t="str">
        <f t="shared" si="220"/>
        <v/>
      </c>
    </row>
    <row r="1481" spans="7:21" x14ac:dyDescent="0.2">
      <c r="G1481" s="8"/>
      <c r="H1481" s="5"/>
      <c r="J1481" s="10" t="str">
        <f t="shared" si="216"/>
        <v/>
      </c>
      <c r="K1481" s="10" t="str">
        <f t="shared" si="217"/>
        <v/>
      </c>
      <c r="L1481" s="11" t="str">
        <f t="shared" si="219"/>
        <v/>
      </c>
      <c r="M1481" s="9" t="str">
        <f>IF(G1481&lt;&gt;"",J1481/MAX(J$3:J1481)-1,"")</f>
        <v/>
      </c>
      <c r="N1481" s="9" t="str">
        <f>IF(G1481&lt;&gt;"",K1481/MAX(K$3:K1481)-1,"")</f>
        <v/>
      </c>
      <c r="O1481" s="16" t="str">
        <f t="shared" si="215"/>
        <v/>
      </c>
      <c r="P1481" s="16" t="str">
        <f t="shared" si="215"/>
        <v/>
      </c>
      <c r="Q1481" s="16" t="str">
        <f t="shared" si="215"/>
        <v/>
      </c>
      <c r="R1481" s="5" t="str">
        <f t="shared" si="214"/>
        <v/>
      </c>
      <c r="S1481" s="5" t="str">
        <f t="shared" si="218"/>
        <v/>
      </c>
      <c r="T1481" s="5" t="str">
        <f t="shared" si="220"/>
        <v/>
      </c>
      <c r="U1481" s="5" t="str">
        <f t="shared" si="220"/>
        <v/>
      </c>
    </row>
    <row r="1482" spans="7:21" x14ac:dyDescent="0.2">
      <c r="G1482" s="8"/>
      <c r="H1482" s="5"/>
      <c r="J1482" s="10" t="str">
        <f t="shared" si="216"/>
        <v/>
      </c>
      <c r="K1482" s="10" t="str">
        <f t="shared" si="217"/>
        <v/>
      </c>
      <c r="L1482" s="11" t="str">
        <f t="shared" si="219"/>
        <v/>
      </c>
      <c r="M1482" s="9" t="str">
        <f>IF(G1482&lt;&gt;"",J1482/MAX(J$3:J1482)-1,"")</f>
        <v/>
      </c>
      <c r="N1482" s="9" t="str">
        <f>IF(G1482&lt;&gt;"",K1482/MAX(K$3:K1482)-1,"")</f>
        <v/>
      </c>
      <c r="O1482" s="16" t="str">
        <f t="shared" si="215"/>
        <v/>
      </c>
      <c r="P1482" s="16" t="str">
        <f t="shared" si="215"/>
        <v/>
      </c>
      <c r="Q1482" s="16" t="str">
        <f t="shared" si="215"/>
        <v/>
      </c>
      <c r="R1482" s="5" t="str">
        <f t="shared" si="214"/>
        <v/>
      </c>
      <c r="S1482" s="5" t="str">
        <f t="shared" si="218"/>
        <v/>
      </c>
      <c r="T1482" s="5" t="str">
        <f t="shared" si="220"/>
        <v/>
      </c>
      <c r="U1482" s="5" t="str">
        <f t="shared" si="220"/>
        <v/>
      </c>
    </row>
    <row r="1483" spans="7:21" x14ac:dyDescent="0.2">
      <c r="G1483" s="8"/>
      <c r="H1483" s="5"/>
      <c r="J1483" s="10" t="str">
        <f t="shared" si="216"/>
        <v/>
      </c>
      <c r="K1483" s="10" t="str">
        <f t="shared" si="217"/>
        <v/>
      </c>
      <c r="L1483" s="11" t="str">
        <f t="shared" si="219"/>
        <v/>
      </c>
      <c r="M1483" s="9" t="str">
        <f>IF(G1483&lt;&gt;"",J1483/MAX(J$3:J1483)-1,"")</f>
        <v/>
      </c>
      <c r="N1483" s="9" t="str">
        <f>IF(G1483&lt;&gt;"",K1483/MAX(K$3:K1483)-1,"")</f>
        <v/>
      </c>
      <c r="O1483" s="16" t="str">
        <f t="shared" si="215"/>
        <v/>
      </c>
      <c r="P1483" s="16" t="str">
        <f t="shared" si="215"/>
        <v/>
      </c>
      <c r="Q1483" s="16" t="str">
        <f t="shared" si="215"/>
        <v/>
      </c>
      <c r="R1483" s="5" t="str">
        <f t="shared" si="214"/>
        <v/>
      </c>
      <c r="S1483" s="5" t="str">
        <f t="shared" si="218"/>
        <v/>
      </c>
      <c r="T1483" s="5" t="str">
        <f t="shared" si="220"/>
        <v/>
      </c>
      <c r="U1483" s="5" t="str">
        <f t="shared" si="220"/>
        <v/>
      </c>
    </row>
    <row r="1484" spans="7:21" x14ac:dyDescent="0.2">
      <c r="G1484" s="8"/>
      <c r="H1484" s="5"/>
      <c r="J1484" s="10" t="str">
        <f t="shared" si="216"/>
        <v/>
      </c>
      <c r="K1484" s="10" t="str">
        <f t="shared" si="217"/>
        <v/>
      </c>
      <c r="L1484" s="11" t="str">
        <f t="shared" si="219"/>
        <v/>
      </c>
      <c r="M1484" s="9" t="str">
        <f>IF(G1484&lt;&gt;"",J1484/MAX(J$3:J1484)-1,"")</f>
        <v/>
      </c>
      <c r="N1484" s="9" t="str">
        <f>IF(G1484&lt;&gt;"",K1484/MAX(K$3:K1484)-1,"")</f>
        <v/>
      </c>
      <c r="O1484" s="16" t="str">
        <f t="shared" si="215"/>
        <v/>
      </c>
      <c r="P1484" s="16" t="str">
        <f t="shared" si="215"/>
        <v/>
      </c>
      <c r="Q1484" s="16" t="str">
        <f t="shared" si="215"/>
        <v/>
      </c>
      <c r="R1484" s="5" t="str">
        <f t="shared" si="214"/>
        <v/>
      </c>
      <c r="S1484" s="5" t="str">
        <f t="shared" si="218"/>
        <v/>
      </c>
      <c r="T1484" s="5" t="str">
        <f t="shared" si="220"/>
        <v/>
      </c>
      <c r="U1484" s="5" t="str">
        <f t="shared" si="220"/>
        <v/>
      </c>
    </row>
    <row r="1485" spans="7:21" x14ac:dyDescent="0.2">
      <c r="G1485" s="8"/>
      <c r="H1485" s="5"/>
      <c r="J1485" s="10" t="str">
        <f t="shared" si="216"/>
        <v/>
      </c>
      <c r="K1485" s="10" t="str">
        <f t="shared" si="217"/>
        <v/>
      </c>
      <c r="L1485" s="11" t="str">
        <f t="shared" si="219"/>
        <v/>
      </c>
      <c r="M1485" s="9" t="str">
        <f>IF(G1485&lt;&gt;"",J1485/MAX(J$3:J1485)-1,"")</f>
        <v/>
      </c>
      <c r="N1485" s="9" t="str">
        <f>IF(G1485&lt;&gt;"",K1485/MAX(K$3:K1485)-1,"")</f>
        <v/>
      </c>
      <c r="O1485" s="16" t="str">
        <f t="shared" si="215"/>
        <v/>
      </c>
      <c r="P1485" s="16" t="str">
        <f t="shared" si="215"/>
        <v/>
      </c>
      <c r="Q1485" s="16" t="str">
        <f t="shared" si="215"/>
        <v/>
      </c>
      <c r="R1485" s="5" t="str">
        <f t="shared" si="214"/>
        <v/>
      </c>
      <c r="S1485" s="5" t="str">
        <f t="shared" si="218"/>
        <v/>
      </c>
      <c r="T1485" s="5" t="str">
        <f t="shared" si="220"/>
        <v/>
      </c>
      <c r="U1485" s="5" t="str">
        <f t="shared" si="220"/>
        <v/>
      </c>
    </row>
    <row r="1486" spans="7:21" x14ac:dyDescent="0.2">
      <c r="G1486" s="8"/>
      <c r="H1486" s="5"/>
      <c r="J1486" s="10" t="str">
        <f t="shared" si="216"/>
        <v/>
      </c>
      <c r="K1486" s="10" t="str">
        <f t="shared" si="217"/>
        <v/>
      </c>
      <c r="L1486" s="11" t="str">
        <f t="shared" si="219"/>
        <v/>
      </c>
      <c r="M1486" s="9" t="str">
        <f>IF(G1486&lt;&gt;"",J1486/MAX(J$3:J1486)-1,"")</f>
        <v/>
      </c>
      <c r="N1486" s="9" t="str">
        <f>IF(G1486&lt;&gt;"",K1486/MAX(K$3:K1486)-1,"")</f>
        <v/>
      </c>
      <c r="O1486" s="16" t="str">
        <f t="shared" si="215"/>
        <v/>
      </c>
      <c r="P1486" s="16" t="str">
        <f t="shared" si="215"/>
        <v/>
      </c>
      <c r="Q1486" s="16" t="str">
        <f t="shared" si="215"/>
        <v/>
      </c>
      <c r="R1486" s="5" t="str">
        <f t="shared" si="214"/>
        <v/>
      </c>
      <c r="S1486" s="5" t="str">
        <f t="shared" si="218"/>
        <v/>
      </c>
      <c r="T1486" s="5" t="str">
        <f t="shared" si="220"/>
        <v/>
      </c>
      <c r="U1486" s="5" t="str">
        <f t="shared" si="220"/>
        <v/>
      </c>
    </row>
    <row r="1487" spans="7:21" x14ac:dyDescent="0.2">
      <c r="G1487" s="8"/>
      <c r="H1487" s="5"/>
      <c r="J1487" s="10" t="str">
        <f t="shared" si="216"/>
        <v/>
      </c>
      <c r="K1487" s="10" t="str">
        <f t="shared" si="217"/>
        <v/>
      </c>
      <c r="L1487" s="11" t="str">
        <f t="shared" si="219"/>
        <v/>
      </c>
      <c r="M1487" s="9" t="str">
        <f>IF(G1487&lt;&gt;"",J1487/MAX(J$3:J1487)-1,"")</f>
        <v/>
      </c>
      <c r="N1487" s="9" t="str">
        <f>IF(G1487&lt;&gt;"",K1487/MAX(K$3:K1487)-1,"")</f>
        <v/>
      </c>
      <c r="O1487" s="16" t="str">
        <f t="shared" si="215"/>
        <v/>
      </c>
      <c r="P1487" s="16" t="str">
        <f t="shared" si="215"/>
        <v/>
      </c>
      <c r="Q1487" s="16" t="str">
        <f t="shared" si="215"/>
        <v/>
      </c>
      <c r="R1487" s="5" t="str">
        <f t="shared" si="214"/>
        <v/>
      </c>
      <c r="S1487" s="5" t="str">
        <f t="shared" si="218"/>
        <v/>
      </c>
      <c r="T1487" s="5" t="str">
        <f t="shared" si="220"/>
        <v/>
      </c>
      <c r="U1487" s="5" t="str">
        <f t="shared" si="220"/>
        <v/>
      </c>
    </row>
    <row r="1488" spans="7:21" x14ac:dyDescent="0.2">
      <c r="G1488" s="8"/>
      <c r="H1488" s="5"/>
      <c r="J1488" s="10" t="str">
        <f t="shared" si="216"/>
        <v/>
      </c>
      <c r="K1488" s="10" t="str">
        <f t="shared" si="217"/>
        <v/>
      </c>
      <c r="L1488" s="11" t="str">
        <f t="shared" si="219"/>
        <v/>
      </c>
      <c r="M1488" s="9" t="str">
        <f>IF(G1488&lt;&gt;"",J1488/MAX(J$3:J1488)-1,"")</f>
        <v/>
      </c>
      <c r="N1488" s="9" t="str">
        <f>IF(G1488&lt;&gt;"",K1488/MAX(K$3:K1488)-1,"")</f>
        <v/>
      </c>
      <c r="O1488" s="16" t="str">
        <f t="shared" si="215"/>
        <v/>
      </c>
      <c r="P1488" s="16" t="str">
        <f t="shared" si="215"/>
        <v/>
      </c>
      <c r="Q1488" s="16" t="str">
        <f t="shared" si="215"/>
        <v/>
      </c>
      <c r="R1488" s="5" t="str">
        <f t="shared" si="214"/>
        <v/>
      </c>
      <c r="S1488" s="5" t="str">
        <f t="shared" si="218"/>
        <v/>
      </c>
      <c r="T1488" s="5" t="str">
        <f t="shared" si="220"/>
        <v/>
      </c>
      <c r="U1488" s="5" t="str">
        <f t="shared" si="220"/>
        <v/>
      </c>
    </row>
    <row r="1489" spans="7:21" x14ac:dyDescent="0.2">
      <c r="G1489" s="8"/>
      <c r="H1489" s="5"/>
      <c r="J1489" s="10" t="str">
        <f t="shared" si="216"/>
        <v/>
      </c>
      <c r="K1489" s="10" t="str">
        <f t="shared" si="217"/>
        <v/>
      </c>
      <c r="L1489" s="11" t="str">
        <f t="shared" si="219"/>
        <v/>
      </c>
      <c r="M1489" s="9" t="str">
        <f>IF(G1489&lt;&gt;"",J1489/MAX(J$3:J1489)-1,"")</f>
        <v/>
      </c>
      <c r="N1489" s="9" t="str">
        <f>IF(G1489&lt;&gt;"",K1489/MAX(K$3:K1489)-1,"")</f>
        <v/>
      </c>
      <c r="O1489" s="16" t="str">
        <f t="shared" si="215"/>
        <v/>
      </c>
      <c r="P1489" s="16" t="str">
        <f t="shared" si="215"/>
        <v/>
      </c>
      <c r="Q1489" s="16" t="str">
        <f t="shared" si="215"/>
        <v/>
      </c>
      <c r="R1489" s="5" t="str">
        <f t="shared" si="214"/>
        <v/>
      </c>
      <c r="S1489" s="5" t="str">
        <f t="shared" si="218"/>
        <v/>
      </c>
      <c r="T1489" s="5" t="str">
        <f t="shared" si="220"/>
        <v/>
      </c>
      <c r="U1489" s="5" t="str">
        <f t="shared" si="220"/>
        <v/>
      </c>
    </row>
    <row r="1490" spans="7:21" x14ac:dyDescent="0.2">
      <c r="G1490" s="8"/>
      <c r="H1490" s="5"/>
      <c r="J1490" s="10" t="str">
        <f t="shared" si="216"/>
        <v/>
      </c>
      <c r="K1490" s="10" t="str">
        <f t="shared" si="217"/>
        <v/>
      </c>
      <c r="L1490" s="11" t="str">
        <f t="shared" si="219"/>
        <v/>
      </c>
      <c r="M1490" s="9" t="str">
        <f>IF(G1490&lt;&gt;"",J1490/MAX(J$3:J1490)-1,"")</f>
        <v/>
      </c>
      <c r="N1490" s="9" t="str">
        <f>IF(G1490&lt;&gt;"",K1490/MAX(K$3:K1490)-1,"")</f>
        <v/>
      </c>
      <c r="O1490" s="16" t="str">
        <f t="shared" si="215"/>
        <v/>
      </c>
      <c r="P1490" s="16" t="str">
        <f t="shared" si="215"/>
        <v/>
      </c>
      <c r="Q1490" s="16" t="str">
        <f t="shared" si="215"/>
        <v/>
      </c>
      <c r="R1490" s="5" t="str">
        <f t="shared" si="214"/>
        <v/>
      </c>
      <c r="S1490" s="5" t="str">
        <f t="shared" si="218"/>
        <v/>
      </c>
      <c r="T1490" s="5" t="str">
        <f t="shared" si="220"/>
        <v/>
      </c>
      <c r="U1490" s="5" t="str">
        <f t="shared" si="220"/>
        <v/>
      </c>
    </row>
    <row r="1491" spans="7:21" x14ac:dyDescent="0.2">
      <c r="G1491" s="8"/>
      <c r="H1491" s="5"/>
      <c r="J1491" s="10" t="str">
        <f t="shared" si="216"/>
        <v/>
      </c>
      <c r="K1491" s="10" t="str">
        <f t="shared" si="217"/>
        <v/>
      </c>
      <c r="L1491" s="11" t="str">
        <f t="shared" si="219"/>
        <v/>
      </c>
      <c r="M1491" s="9" t="str">
        <f>IF(G1491&lt;&gt;"",J1491/MAX(J$3:J1491)-1,"")</f>
        <v/>
      </c>
      <c r="N1491" s="9" t="str">
        <f>IF(G1491&lt;&gt;"",K1491/MAX(K$3:K1491)-1,"")</f>
        <v/>
      </c>
      <c r="O1491" s="16" t="str">
        <f t="shared" si="215"/>
        <v/>
      </c>
      <c r="P1491" s="16" t="str">
        <f t="shared" si="215"/>
        <v/>
      </c>
      <c r="Q1491" s="16" t="str">
        <f t="shared" si="215"/>
        <v/>
      </c>
      <c r="R1491" s="5" t="str">
        <f t="shared" si="214"/>
        <v/>
      </c>
      <c r="S1491" s="5" t="str">
        <f t="shared" si="218"/>
        <v/>
      </c>
      <c r="T1491" s="5" t="str">
        <f t="shared" si="220"/>
        <v/>
      </c>
      <c r="U1491" s="5" t="str">
        <f t="shared" si="220"/>
        <v/>
      </c>
    </row>
    <row r="1492" spans="7:21" x14ac:dyDescent="0.2">
      <c r="G1492" s="8"/>
      <c r="H1492" s="5"/>
      <c r="J1492" s="10" t="str">
        <f t="shared" si="216"/>
        <v/>
      </c>
      <c r="K1492" s="10" t="str">
        <f t="shared" si="217"/>
        <v/>
      </c>
      <c r="L1492" s="11" t="str">
        <f t="shared" si="219"/>
        <v/>
      </c>
      <c r="M1492" s="9" t="str">
        <f>IF(G1492&lt;&gt;"",J1492/MAX(J$3:J1492)-1,"")</f>
        <v/>
      </c>
      <c r="N1492" s="9" t="str">
        <f>IF(G1492&lt;&gt;"",K1492/MAX(K$3:K1492)-1,"")</f>
        <v/>
      </c>
      <c r="O1492" s="16" t="str">
        <f t="shared" si="215"/>
        <v/>
      </c>
      <c r="P1492" s="16" t="str">
        <f t="shared" si="215"/>
        <v/>
      </c>
      <c r="Q1492" s="16" t="str">
        <f t="shared" si="215"/>
        <v/>
      </c>
      <c r="R1492" s="5" t="str">
        <f t="shared" si="214"/>
        <v/>
      </c>
      <c r="S1492" s="5" t="str">
        <f t="shared" si="218"/>
        <v/>
      </c>
      <c r="T1492" s="5" t="str">
        <f t="shared" si="220"/>
        <v/>
      </c>
      <c r="U1492" s="5" t="str">
        <f t="shared" si="220"/>
        <v/>
      </c>
    </row>
    <row r="1493" spans="7:21" x14ac:dyDescent="0.2">
      <c r="G1493" s="8"/>
      <c r="H1493" s="5"/>
      <c r="J1493" s="10" t="str">
        <f t="shared" si="216"/>
        <v/>
      </c>
      <c r="K1493" s="10" t="str">
        <f t="shared" si="217"/>
        <v/>
      </c>
      <c r="L1493" s="11" t="str">
        <f t="shared" si="219"/>
        <v/>
      </c>
      <c r="M1493" s="9" t="str">
        <f>IF(G1493&lt;&gt;"",J1493/MAX(J$3:J1493)-1,"")</f>
        <v/>
      </c>
      <c r="N1493" s="9" t="str">
        <f>IF(G1493&lt;&gt;"",K1493/MAX(K$3:K1493)-1,"")</f>
        <v/>
      </c>
      <c r="O1493" s="16" t="str">
        <f t="shared" si="215"/>
        <v/>
      </c>
      <c r="P1493" s="16" t="str">
        <f t="shared" si="215"/>
        <v/>
      </c>
      <c r="Q1493" s="16" t="str">
        <f t="shared" si="215"/>
        <v/>
      </c>
      <c r="R1493" s="5" t="str">
        <f t="shared" si="214"/>
        <v/>
      </c>
      <c r="S1493" s="5" t="str">
        <f t="shared" si="218"/>
        <v/>
      </c>
      <c r="T1493" s="5" t="str">
        <f t="shared" si="220"/>
        <v/>
      </c>
      <c r="U1493" s="5" t="str">
        <f t="shared" si="220"/>
        <v/>
      </c>
    </row>
    <row r="1494" spans="7:21" x14ac:dyDescent="0.2">
      <c r="G1494" s="8"/>
      <c r="H1494" s="5"/>
      <c r="J1494" s="10" t="str">
        <f t="shared" si="216"/>
        <v/>
      </c>
      <c r="K1494" s="10" t="str">
        <f t="shared" si="217"/>
        <v/>
      </c>
      <c r="L1494" s="11" t="str">
        <f t="shared" si="219"/>
        <v/>
      </c>
      <c r="M1494" s="9" t="str">
        <f>IF(G1494&lt;&gt;"",J1494/MAX(J$3:J1494)-1,"")</f>
        <v/>
      </c>
      <c r="N1494" s="9" t="str">
        <f>IF(G1494&lt;&gt;"",K1494/MAX(K$3:K1494)-1,"")</f>
        <v/>
      </c>
      <c r="O1494" s="16" t="str">
        <f t="shared" si="215"/>
        <v/>
      </c>
      <c r="P1494" s="16" t="str">
        <f t="shared" si="215"/>
        <v/>
      </c>
      <c r="Q1494" s="16" t="str">
        <f t="shared" si="215"/>
        <v/>
      </c>
      <c r="R1494" s="5" t="str">
        <f t="shared" si="214"/>
        <v/>
      </c>
      <c r="S1494" s="5" t="str">
        <f t="shared" si="218"/>
        <v/>
      </c>
      <c r="T1494" s="5" t="str">
        <f t="shared" si="220"/>
        <v/>
      </c>
      <c r="U1494" s="5" t="str">
        <f t="shared" si="220"/>
        <v/>
      </c>
    </row>
    <row r="1495" spans="7:21" x14ac:dyDescent="0.2">
      <c r="G1495" s="8"/>
      <c r="H1495" s="5"/>
      <c r="J1495" s="10" t="str">
        <f t="shared" si="216"/>
        <v/>
      </c>
      <c r="K1495" s="10" t="str">
        <f t="shared" si="217"/>
        <v/>
      </c>
      <c r="L1495" s="11" t="str">
        <f t="shared" si="219"/>
        <v/>
      </c>
      <c r="M1495" s="9" t="str">
        <f>IF(G1495&lt;&gt;"",J1495/MAX(J$3:J1495)-1,"")</f>
        <v/>
      </c>
      <c r="N1495" s="9" t="str">
        <f>IF(G1495&lt;&gt;"",K1495/MAX(K$3:K1495)-1,"")</f>
        <v/>
      </c>
      <c r="O1495" s="16" t="str">
        <f t="shared" si="215"/>
        <v/>
      </c>
      <c r="P1495" s="16" t="str">
        <f t="shared" si="215"/>
        <v/>
      </c>
      <c r="Q1495" s="16" t="str">
        <f t="shared" si="215"/>
        <v/>
      </c>
      <c r="R1495" s="5" t="str">
        <f t="shared" si="214"/>
        <v/>
      </c>
      <c r="S1495" s="5" t="str">
        <f t="shared" si="218"/>
        <v/>
      </c>
      <c r="T1495" s="5" t="str">
        <f t="shared" si="220"/>
        <v/>
      </c>
      <c r="U1495" s="5" t="str">
        <f t="shared" si="220"/>
        <v/>
      </c>
    </row>
    <row r="1496" spans="7:21" x14ac:dyDescent="0.2">
      <c r="G1496" s="8"/>
      <c r="H1496" s="5"/>
      <c r="J1496" s="10" t="str">
        <f t="shared" si="216"/>
        <v/>
      </c>
      <c r="K1496" s="10" t="str">
        <f t="shared" si="217"/>
        <v/>
      </c>
      <c r="L1496" s="11" t="str">
        <f t="shared" si="219"/>
        <v/>
      </c>
      <c r="M1496" s="9" t="str">
        <f>IF(G1496&lt;&gt;"",J1496/MAX(J$3:J1496)-1,"")</f>
        <v/>
      </c>
      <c r="N1496" s="9" t="str">
        <f>IF(G1496&lt;&gt;"",K1496/MAX(K$3:K1496)-1,"")</f>
        <v/>
      </c>
      <c r="O1496" s="16" t="str">
        <f t="shared" si="215"/>
        <v/>
      </c>
      <c r="P1496" s="16" t="str">
        <f t="shared" si="215"/>
        <v/>
      </c>
      <c r="Q1496" s="16" t="str">
        <f t="shared" si="215"/>
        <v/>
      </c>
      <c r="R1496" s="5" t="str">
        <f t="shared" si="214"/>
        <v/>
      </c>
      <c r="S1496" s="5" t="str">
        <f t="shared" si="218"/>
        <v/>
      </c>
      <c r="T1496" s="5" t="str">
        <f t="shared" ref="T1496:U1511" si="221">IF($G1496&lt;&gt;"",_xlfn.STDEV.S(O1252:O1496),"")</f>
        <v/>
      </c>
      <c r="U1496" s="5" t="str">
        <f t="shared" si="221"/>
        <v/>
      </c>
    </row>
    <row r="1497" spans="7:21" x14ac:dyDescent="0.2">
      <c r="G1497" s="8"/>
      <c r="H1497" s="5"/>
      <c r="J1497" s="10" t="str">
        <f t="shared" si="216"/>
        <v/>
      </c>
      <c r="K1497" s="10" t="str">
        <f t="shared" si="217"/>
        <v/>
      </c>
      <c r="L1497" s="11" t="str">
        <f t="shared" si="219"/>
        <v/>
      </c>
      <c r="M1497" s="9" t="str">
        <f>IF(G1497&lt;&gt;"",J1497/MAX(J$3:J1497)-1,"")</f>
        <v/>
      </c>
      <c r="N1497" s="9" t="str">
        <f>IF(G1497&lt;&gt;"",K1497/MAX(K$3:K1497)-1,"")</f>
        <v/>
      </c>
      <c r="O1497" s="16" t="str">
        <f t="shared" si="215"/>
        <v/>
      </c>
      <c r="P1497" s="16" t="str">
        <f t="shared" si="215"/>
        <v/>
      </c>
      <c r="Q1497" s="16" t="str">
        <f t="shared" si="215"/>
        <v/>
      </c>
      <c r="R1497" s="5" t="str">
        <f t="shared" si="214"/>
        <v/>
      </c>
      <c r="S1497" s="5" t="str">
        <f t="shared" si="218"/>
        <v/>
      </c>
      <c r="T1497" s="5" t="str">
        <f t="shared" si="221"/>
        <v/>
      </c>
      <c r="U1497" s="5" t="str">
        <f t="shared" si="221"/>
        <v/>
      </c>
    </row>
    <row r="1498" spans="7:21" x14ac:dyDescent="0.2">
      <c r="G1498" s="8"/>
      <c r="H1498" s="5"/>
      <c r="J1498" s="10" t="str">
        <f t="shared" si="216"/>
        <v/>
      </c>
      <c r="K1498" s="10" t="str">
        <f t="shared" si="217"/>
        <v/>
      </c>
      <c r="L1498" s="11" t="str">
        <f t="shared" si="219"/>
        <v/>
      </c>
      <c r="M1498" s="9" t="str">
        <f>IF(G1498&lt;&gt;"",J1498/MAX(J$3:J1498)-1,"")</f>
        <v/>
      </c>
      <c r="N1498" s="9" t="str">
        <f>IF(G1498&lt;&gt;"",K1498/MAX(K$3:K1498)-1,"")</f>
        <v/>
      </c>
      <c r="O1498" s="16" t="str">
        <f t="shared" si="215"/>
        <v/>
      </c>
      <c r="P1498" s="16" t="str">
        <f t="shared" si="215"/>
        <v/>
      </c>
      <c r="Q1498" s="16" t="str">
        <f t="shared" si="215"/>
        <v/>
      </c>
      <c r="R1498" s="5" t="str">
        <f t="shared" si="214"/>
        <v/>
      </c>
      <c r="S1498" s="5" t="str">
        <f t="shared" si="218"/>
        <v/>
      </c>
      <c r="T1498" s="5" t="str">
        <f t="shared" si="221"/>
        <v/>
      </c>
      <c r="U1498" s="5" t="str">
        <f t="shared" si="221"/>
        <v/>
      </c>
    </row>
    <row r="1499" spans="7:21" x14ac:dyDescent="0.2">
      <c r="G1499" s="8"/>
      <c r="H1499" s="5"/>
      <c r="J1499" s="10" t="str">
        <f t="shared" si="216"/>
        <v/>
      </c>
      <c r="K1499" s="10" t="str">
        <f t="shared" si="217"/>
        <v/>
      </c>
      <c r="L1499" s="11" t="str">
        <f t="shared" si="219"/>
        <v/>
      </c>
      <c r="M1499" s="9" t="str">
        <f>IF(G1499&lt;&gt;"",J1499/MAX(J$3:J1499)-1,"")</f>
        <v/>
      </c>
      <c r="N1499" s="9" t="str">
        <f>IF(G1499&lt;&gt;"",K1499/MAX(K$3:K1499)-1,"")</f>
        <v/>
      </c>
      <c r="O1499" s="16" t="str">
        <f t="shared" si="215"/>
        <v/>
      </c>
      <c r="P1499" s="16" t="str">
        <f t="shared" si="215"/>
        <v/>
      </c>
      <c r="Q1499" s="16" t="str">
        <f t="shared" si="215"/>
        <v/>
      </c>
      <c r="R1499" s="5" t="str">
        <f t="shared" si="214"/>
        <v/>
      </c>
      <c r="S1499" s="5" t="str">
        <f t="shared" si="218"/>
        <v/>
      </c>
      <c r="T1499" s="5" t="str">
        <f t="shared" si="221"/>
        <v/>
      </c>
      <c r="U1499" s="5" t="str">
        <f t="shared" si="221"/>
        <v/>
      </c>
    </row>
    <row r="1500" spans="7:21" x14ac:dyDescent="0.2">
      <c r="G1500" s="8"/>
      <c r="H1500" s="5"/>
      <c r="J1500" s="10" t="str">
        <f t="shared" si="216"/>
        <v/>
      </c>
      <c r="K1500" s="10" t="str">
        <f t="shared" si="217"/>
        <v/>
      </c>
      <c r="L1500" s="11" t="str">
        <f t="shared" si="219"/>
        <v/>
      </c>
      <c r="M1500" s="9" t="str">
        <f>IF(G1500&lt;&gt;"",J1500/MAX(J$3:J1500)-1,"")</f>
        <v/>
      </c>
      <c r="N1500" s="9" t="str">
        <f>IF(G1500&lt;&gt;"",K1500/MAX(K$3:K1500)-1,"")</f>
        <v/>
      </c>
      <c r="O1500" s="16" t="str">
        <f t="shared" si="215"/>
        <v/>
      </c>
      <c r="P1500" s="16" t="str">
        <f t="shared" si="215"/>
        <v/>
      </c>
      <c r="Q1500" s="16" t="str">
        <f t="shared" si="215"/>
        <v/>
      </c>
      <c r="R1500" s="5" t="str">
        <f t="shared" si="214"/>
        <v/>
      </c>
      <c r="S1500" s="5" t="str">
        <f t="shared" si="218"/>
        <v/>
      </c>
      <c r="T1500" s="5" t="str">
        <f t="shared" si="221"/>
        <v/>
      </c>
      <c r="U1500" s="5" t="str">
        <f t="shared" si="221"/>
        <v/>
      </c>
    </row>
    <row r="1501" spans="7:21" x14ac:dyDescent="0.2">
      <c r="G1501" s="8"/>
      <c r="H1501" s="5"/>
      <c r="J1501" s="10" t="str">
        <f t="shared" si="216"/>
        <v/>
      </c>
      <c r="K1501" s="10" t="str">
        <f t="shared" si="217"/>
        <v/>
      </c>
      <c r="L1501" s="11" t="str">
        <f t="shared" si="219"/>
        <v/>
      </c>
      <c r="M1501" s="9" t="str">
        <f>IF(G1501&lt;&gt;"",J1501/MAX(J$3:J1501)-1,"")</f>
        <v/>
      </c>
      <c r="N1501" s="9" t="str">
        <f>IF(G1501&lt;&gt;"",K1501/MAX(K$3:K1501)-1,"")</f>
        <v/>
      </c>
      <c r="O1501" s="16" t="str">
        <f t="shared" si="215"/>
        <v/>
      </c>
      <c r="P1501" s="16" t="str">
        <f t="shared" si="215"/>
        <v/>
      </c>
      <c r="Q1501" s="16" t="str">
        <f t="shared" si="215"/>
        <v/>
      </c>
      <c r="R1501" s="5" t="str">
        <f t="shared" si="214"/>
        <v/>
      </c>
      <c r="S1501" s="5" t="str">
        <f t="shared" si="218"/>
        <v/>
      </c>
      <c r="T1501" s="5" t="str">
        <f t="shared" si="221"/>
        <v/>
      </c>
      <c r="U1501" s="5" t="str">
        <f t="shared" si="221"/>
        <v/>
      </c>
    </row>
    <row r="1502" spans="7:21" x14ac:dyDescent="0.2">
      <c r="G1502" s="8"/>
      <c r="H1502" s="5"/>
      <c r="J1502" s="10" t="str">
        <f t="shared" si="216"/>
        <v/>
      </c>
      <c r="K1502" s="10" t="str">
        <f t="shared" si="217"/>
        <v/>
      </c>
      <c r="L1502" s="11" t="str">
        <f t="shared" si="219"/>
        <v/>
      </c>
      <c r="M1502" s="9" t="str">
        <f>IF(G1502&lt;&gt;"",J1502/MAX(J$3:J1502)-1,"")</f>
        <v/>
      </c>
      <c r="N1502" s="9" t="str">
        <f>IF(G1502&lt;&gt;"",K1502/MAX(K$3:K1502)-1,"")</f>
        <v/>
      </c>
      <c r="O1502" s="16" t="str">
        <f t="shared" si="215"/>
        <v/>
      </c>
      <c r="P1502" s="16" t="str">
        <f t="shared" si="215"/>
        <v/>
      </c>
      <c r="Q1502" s="16" t="str">
        <f t="shared" si="215"/>
        <v/>
      </c>
      <c r="R1502" s="5" t="str">
        <f t="shared" si="214"/>
        <v/>
      </c>
      <c r="S1502" s="5" t="str">
        <f t="shared" si="218"/>
        <v/>
      </c>
      <c r="T1502" s="5" t="str">
        <f t="shared" si="221"/>
        <v/>
      </c>
      <c r="U1502" s="5" t="str">
        <f t="shared" si="221"/>
        <v/>
      </c>
    </row>
    <row r="1503" spans="7:21" x14ac:dyDescent="0.2">
      <c r="G1503" s="8"/>
      <c r="H1503" s="5"/>
      <c r="J1503" s="10" t="str">
        <f t="shared" si="216"/>
        <v/>
      </c>
      <c r="K1503" s="10" t="str">
        <f t="shared" si="217"/>
        <v/>
      </c>
      <c r="L1503" s="11" t="str">
        <f t="shared" si="219"/>
        <v/>
      </c>
      <c r="M1503" s="9" t="str">
        <f>IF(G1503&lt;&gt;"",J1503/MAX(J$3:J1503)-1,"")</f>
        <v/>
      </c>
      <c r="N1503" s="9" t="str">
        <f>IF(G1503&lt;&gt;"",K1503/MAX(K$3:K1503)-1,"")</f>
        <v/>
      </c>
      <c r="O1503" s="16" t="str">
        <f t="shared" si="215"/>
        <v/>
      </c>
      <c r="P1503" s="16" t="str">
        <f t="shared" si="215"/>
        <v/>
      </c>
      <c r="Q1503" s="16" t="str">
        <f t="shared" si="215"/>
        <v/>
      </c>
      <c r="R1503" s="5" t="str">
        <f t="shared" si="214"/>
        <v/>
      </c>
      <c r="S1503" s="5" t="str">
        <f t="shared" si="218"/>
        <v/>
      </c>
      <c r="T1503" s="5" t="str">
        <f t="shared" si="221"/>
        <v/>
      </c>
      <c r="U1503" s="5" t="str">
        <f t="shared" si="221"/>
        <v/>
      </c>
    </row>
    <row r="1504" spans="7:21" x14ac:dyDescent="0.2">
      <c r="G1504" s="8"/>
      <c r="H1504" s="5"/>
      <c r="J1504" s="10" t="str">
        <f t="shared" si="216"/>
        <v/>
      </c>
      <c r="K1504" s="10" t="str">
        <f t="shared" si="217"/>
        <v/>
      </c>
      <c r="L1504" s="11" t="str">
        <f t="shared" si="219"/>
        <v/>
      </c>
      <c r="M1504" s="9" t="str">
        <f>IF(G1504&lt;&gt;"",J1504/MAX(J$3:J1504)-1,"")</f>
        <v/>
      </c>
      <c r="N1504" s="9" t="str">
        <f>IF(G1504&lt;&gt;"",K1504/MAX(K$3:K1504)-1,"")</f>
        <v/>
      </c>
      <c r="O1504" s="16" t="str">
        <f t="shared" si="215"/>
        <v/>
      </c>
      <c r="P1504" s="16" t="str">
        <f t="shared" si="215"/>
        <v/>
      </c>
      <c r="Q1504" s="16" t="str">
        <f t="shared" si="215"/>
        <v/>
      </c>
      <c r="R1504" s="5" t="str">
        <f t="shared" si="214"/>
        <v/>
      </c>
      <c r="S1504" s="5" t="str">
        <f t="shared" si="218"/>
        <v/>
      </c>
      <c r="T1504" s="5" t="str">
        <f t="shared" si="221"/>
        <v/>
      </c>
      <c r="U1504" s="5" t="str">
        <f t="shared" si="221"/>
        <v/>
      </c>
    </row>
    <row r="1505" spans="7:21" x14ac:dyDescent="0.2">
      <c r="G1505" s="8"/>
      <c r="H1505" s="5"/>
      <c r="J1505" s="10" t="str">
        <f t="shared" si="216"/>
        <v/>
      </c>
      <c r="K1505" s="10" t="str">
        <f t="shared" si="217"/>
        <v/>
      </c>
      <c r="L1505" s="11" t="str">
        <f t="shared" si="219"/>
        <v/>
      </c>
      <c r="M1505" s="9" t="str">
        <f>IF(G1505&lt;&gt;"",J1505/MAX(J$3:J1505)-1,"")</f>
        <v/>
      </c>
      <c r="N1505" s="9" t="str">
        <f>IF(G1505&lt;&gt;"",K1505/MAX(K$3:K1505)-1,"")</f>
        <v/>
      </c>
      <c r="O1505" s="16" t="str">
        <f t="shared" si="215"/>
        <v/>
      </c>
      <c r="P1505" s="16" t="str">
        <f t="shared" si="215"/>
        <v/>
      </c>
      <c r="Q1505" s="16" t="str">
        <f t="shared" si="215"/>
        <v/>
      </c>
      <c r="R1505" s="5" t="str">
        <f t="shared" si="214"/>
        <v/>
      </c>
      <c r="S1505" s="5" t="str">
        <f t="shared" si="218"/>
        <v/>
      </c>
      <c r="T1505" s="5" t="str">
        <f t="shared" si="221"/>
        <v/>
      </c>
      <c r="U1505" s="5" t="str">
        <f t="shared" si="221"/>
        <v/>
      </c>
    </row>
    <row r="1506" spans="7:21" x14ac:dyDescent="0.2">
      <c r="G1506" s="8"/>
      <c r="H1506" s="5"/>
      <c r="J1506" s="10" t="str">
        <f t="shared" si="216"/>
        <v/>
      </c>
      <c r="K1506" s="10" t="str">
        <f t="shared" si="217"/>
        <v/>
      </c>
      <c r="L1506" s="11" t="str">
        <f t="shared" si="219"/>
        <v/>
      </c>
      <c r="M1506" s="9" t="str">
        <f>IF(G1506&lt;&gt;"",J1506/MAX(J$3:J1506)-1,"")</f>
        <v/>
      </c>
      <c r="N1506" s="9" t="str">
        <f>IF(G1506&lt;&gt;"",K1506/MAX(K$3:K1506)-1,"")</f>
        <v/>
      </c>
      <c r="O1506" s="16" t="str">
        <f t="shared" si="215"/>
        <v/>
      </c>
      <c r="P1506" s="16" t="str">
        <f t="shared" si="215"/>
        <v/>
      </c>
      <c r="Q1506" s="16" t="str">
        <f t="shared" si="215"/>
        <v/>
      </c>
      <c r="R1506" s="5" t="str">
        <f t="shared" si="214"/>
        <v/>
      </c>
      <c r="S1506" s="5" t="str">
        <f t="shared" si="218"/>
        <v/>
      </c>
      <c r="T1506" s="5" t="str">
        <f t="shared" si="221"/>
        <v/>
      </c>
      <c r="U1506" s="5" t="str">
        <f t="shared" si="221"/>
        <v/>
      </c>
    </row>
    <row r="1507" spans="7:21" x14ac:dyDescent="0.2">
      <c r="G1507" s="8"/>
      <c r="H1507" s="5"/>
      <c r="J1507" s="10" t="str">
        <f t="shared" si="216"/>
        <v/>
      </c>
      <c r="K1507" s="10" t="str">
        <f t="shared" si="217"/>
        <v/>
      </c>
      <c r="L1507" s="11" t="str">
        <f t="shared" si="219"/>
        <v/>
      </c>
      <c r="M1507" s="9" t="str">
        <f>IF(G1507&lt;&gt;"",J1507/MAX(J$3:J1507)-1,"")</f>
        <v/>
      </c>
      <c r="N1507" s="9" t="str">
        <f>IF(G1507&lt;&gt;"",K1507/MAX(K$3:K1507)-1,"")</f>
        <v/>
      </c>
      <c r="O1507" s="16" t="str">
        <f t="shared" si="215"/>
        <v/>
      </c>
      <c r="P1507" s="16" t="str">
        <f t="shared" si="215"/>
        <v/>
      </c>
      <c r="Q1507" s="16" t="str">
        <f t="shared" si="215"/>
        <v/>
      </c>
      <c r="R1507" s="5" t="str">
        <f t="shared" si="214"/>
        <v/>
      </c>
      <c r="S1507" s="5" t="str">
        <f t="shared" si="218"/>
        <v/>
      </c>
      <c r="T1507" s="5" t="str">
        <f t="shared" si="221"/>
        <v/>
      </c>
      <c r="U1507" s="5" t="str">
        <f t="shared" si="221"/>
        <v/>
      </c>
    </row>
    <row r="1508" spans="7:21" x14ac:dyDescent="0.2">
      <c r="G1508" s="8"/>
      <c r="H1508" s="5"/>
      <c r="J1508" s="10" t="str">
        <f t="shared" si="216"/>
        <v/>
      </c>
      <c r="K1508" s="10" t="str">
        <f t="shared" si="217"/>
        <v/>
      </c>
      <c r="L1508" s="11" t="str">
        <f t="shared" si="219"/>
        <v/>
      </c>
      <c r="M1508" s="9" t="str">
        <f>IF(G1508&lt;&gt;"",J1508/MAX(J$3:J1508)-1,"")</f>
        <v/>
      </c>
      <c r="N1508" s="9" t="str">
        <f>IF(G1508&lt;&gt;"",K1508/MAX(K$3:K1508)-1,"")</f>
        <v/>
      </c>
      <c r="O1508" s="16" t="str">
        <f t="shared" si="215"/>
        <v/>
      </c>
      <c r="P1508" s="16" t="str">
        <f t="shared" si="215"/>
        <v/>
      </c>
      <c r="Q1508" s="16" t="str">
        <f t="shared" si="215"/>
        <v/>
      </c>
      <c r="R1508" s="5" t="str">
        <f t="shared" si="214"/>
        <v/>
      </c>
      <c r="S1508" s="5" t="str">
        <f t="shared" si="218"/>
        <v/>
      </c>
      <c r="T1508" s="5" t="str">
        <f t="shared" si="221"/>
        <v/>
      </c>
      <c r="U1508" s="5" t="str">
        <f t="shared" si="221"/>
        <v/>
      </c>
    </row>
    <row r="1509" spans="7:21" x14ac:dyDescent="0.2">
      <c r="G1509" s="8"/>
      <c r="H1509" s="5"/>
      <c r="J1509" s="10" t="str">
        <f t="shared" si="216"/>
        <v/>
      </c>
      <c r="K1509" s="10" t="str">
        <f t="shared" si="217"/>
        <v/>
      </c>
      <c r="L1509" s="11" t="str">
        <f t="shared" si="219"/>
        <v/>
      </c>
      <c r="M1509" s="9" t="str">
        <f>IF(G1509&lt;&gt;"",J1509/MAX(J$3:J1509)-1,"")</f>
        <v/>
      </c>
      <c r="N1509" s="9" t="str">
        <f>IF(G1509&lt;&gt;"",K1509/MAX(K$3:K1509)-1,"")</f>
        <v/>
      </c>
      <c r="O1509" s="16" t="str">
        <f t="shared" si="215"/>
        <v/>
      </c>
      <c r="P1509" s="16" t="str">
        <f t="shared" si="215"/>
        <v/>
      </c>
      <c r="Q1509" s="16" t="str">
        <f t="shared" si="215"/>
        <v/>
      </c>
      <c r="R1509" s="5" t="str">
        <f t="shared" si="214"/>
        <v/>
      </c>
      <c r="S1509" s="5" t="str">
        <f t="shared" si="218"/>
        <v/>
      </c>
      <c r="T1509" s="5" t="str">
        <f t="shared" si="221"/>
        <v/>
      </c>
      <c r="U1509" s="5" t="str">
        <f t="shared" si="221"/>
        <v/>
      </c>
    </row>
    <row r="1510" spans="7:21" x14ac:dyDescent="0.2">
      <c r="G1510" s="8"/>
      <c r="H1510" s="5"/>
      <c r="J1510" s="10" t="str">
        <f t="shared" si="216"/>
        <v/>
      </c>
      <c r="K1510" s="10" t="str">
        <f t="shared" si="217"/>
        <v/>
      </c>
      <c r="L1510" s="11" t="str">
        <f t="shared" si="219"/>
        <v/>
      </c>
      <c r="M1510" s="9" t="str">
        <f>IF(G1510&lt;&gt;"",J1510/MAX(J$3:J1510)-1,"")</f>
        <v/>
      </c>
      <c r="N1510" s="9" t="str">
        <f>IF(G1510&lt;&gt;"",K1510/MAX(K$3:K1510)-1,"")</f>
        <v/>
      </c>
      <c r="O1510" s="16" t="str">
        <f t="shared" si="215"/>
        <v/>
      </c>
      <c r="P1510" s="16" t="str">
        <f t="shared" si="215"/>
        <v/>
      </c>
      <c r="Q1510" s="16" t="str">
        <f t="shared" si="215"/>
        <v/>
      </c>
      <c r="R1510" s="5" t="str">
        <f t="shared" si="214"/>
        <v/>
      </c>
      <c r="S1510" s="5" t="str">
        <f t="shared" si="218"/>
        <v/>
      </c>
      <c r="T1510" s="5" t="str">
        <f t="shared" si="221"/>
        <v/>
      </c>
      <c r="U1510" s="5" t="str">
        <f t="shared" si="221"/>
        <v/>
      </c>
    </row>
    <row r="1511" spans="7:21" x14ac:dyDescent="0.2">
      <c r="G1511" s="8"/>
      <c r="H1511" s="5"/>
      <c r="J1511" s="10" t="str">
        <f t="shared" si="216"/>
        <v/>
      </c>
      <c r="K1511" s="10" t="str">
        <f t="shared" si="217"/>
        <v/>
      </c>
      <c r="L1511" s="11" t="str">
        <f t="shared" si="219"/>
        <v/>
      </c>
      <c r="M1511" s="9" t="str">
        <f>IF(G1511&lt;&gt;"",J1511/MAX(J$3:J1511)-1,"")</f>
        <v/>
      </c>
      <c r="N1511" s="9" t="str">
        <f>IF(G1511&lt;&gt;"",K1511/MAX(K$3:K1511)-1,"")</f>
        <v/>
      </c>
      <c r="O1511" s="16" t="str">
        <f t="shared" si="215"/>
        <v/>
      </c>
      <c r="P1511" s="16" t="str">
        <f t="shared" si="215"/>
        <v/>
      </c>
      <c r="Q1511" s="16" t="str">
        <f t="shared" si="215"/>
        <v/>
      </c>
      <c r="R1511" s="5" t="str">
        <f t="shared" si="214"/>
        <v/>
      </c>
      <c r="S1511" s="5" t="str">
        <f t="shared" si="218"/>
        <v/>
      </c>
      <c r="T1511" s="5" t="str">
        <f t="shared" si="221"/>
        <v/>
      </c>
      <c r="U1511" s="5" t="str">
        <f t="shared" si="221"/>
        <v/>
      </c>
    </row>
    <row r="1512" spans="7:21" x14ac:dyDescent="0.2">
      <c r="G1512" s="8"/>
      <c r="H1512" s="5"/>
      <c r="J1512" s="10" t="str">
        <f t="shared" si="216"/>
        <v/>
      </c>
      <c r="K1512" s="10" t="str">
        <f t="shared" si="217"/>
        <v/>
      </c>
      <c r="L1512" s="11" t="str">
        <f t="shared" si="219"/>
        <v/>
      </c>
      <c r="M1512" s="9" t="str">
        <f>IF(G1512&lt;&gt;"",J1512/MAX(J$3:J1512)-1,"")</f>
        <v/>
      </c>
      <c r="N1512" s="9" t="str">
        <f>IF(G1512&lt;&gt;"",K1512/MAX(K$3:K1512)-1,"")</f>
        <v/>
      </c>
      <c r="O1512" s="16" t="str">
        <f t="shared" si="215"/>
        <v/>
      </c>
      <c r="P1512" s="16" t="str">
        <f t="shared" si="215"/>
        <v/>
      </c>
      <c r="Q1512" s="16" t="str">
        <f t="shared" si="215"/>
        <v/>
      </c>
      <c r="R1512" s="5" t="str">
        <f t="shared" si="214"/>
        <v/>
      </c>
      <c r="S1512" s="5" t="str">
        <f t="shared" si="218"/>
        <v/>
      </c>
      <c r="T1512" s="5" t="str">
        <f t="shared" ref="T1512:U1527" si="222">IF($G1512&lt;&gt;"",_xlfn.STDEV.S(O1268:O1512),"")</f>
        <v/>
      </c>
      <c r="U1512" s="5" t="str">
        <f t="shared" si="222"/>
        <v/>
      </c>
    </row>
    <row r="1513" spans="7:21" x14ac:dyDescent="0.2">
      <c r="G1513" s="8"/>
      <c r="H1513" s="5"/>
      <c r="J1513" s="10" t="str">
        <f t="shared" si="216"/>
        <v/>
      </c>
      <c r="K1513" s="10" t="str">
        <f t="shared" si="217"/>
        <v/>
      </c>
      <c r="L1513" s="11" t="str">
        <f t="shared" si="219"/>
        <v/>
      </c>
      <c r="M1513" s="9" t="str">
        <f>IF(G1513&lt;&gt;"",J1513/MAX(J$3:J1513)-1,"")</f>
        <v/>
      </c>
      <c r="N1513" s="9" t="str">
        <f>IF(G1513&lt;&gt;"",K1513/MAX(K$3:K1513)-1,"")</f>
        <v/>
      </c>
      <c r="O1513" s="16" t="str">
        <f t="shared" si="215"/>
        <v/>
      </c>
      <c r="P1513" s="16" t="str">
        <f t="shared" si="215"/>
        <v/>
      </c>
      <c r="Q1513" s="16" t="str">
        <f t="shared" si="215"/>
        <v/>
      </c>
      <c r="R1513" s="5" t="str">
        <f t="shared" si="214"/>
        <v/>
      </c>
      <c r="S1513" s="5" t="str">
        <f t="shared" si="218"/>
        <v/>
      </c>
      <c r="T1513" s="5" t="str">
        <f t="shared" si="222"/>
        <v/>
      </c>
      <c r="U1513" s="5" t="str">
        <f t="shared" si="222"/>
        <v/>
      </c>
    </row>
    <row r="1514" spans="7:21" x14ac:dyDescent="0.2">
      <c r="G1514" s="8"/>
      <c r="H1514" s="5"/>
      <c r="J1514" s="10" t="str">
        <f t="shared" si="216"/>
        <v/>
      </c>
      <c r="K1514" s="10" t="str">
        <f t="shared" si="217"/>
        <v/>
      </c>
      <c r="L1514" s="11" t="str">
        <f t="shared" si="219"/>
        <v/>
      </c>
      <c r="M1514" s="9" t="str">
        <f>IF(G1514&lt;&gt;"",J1514/MAX(J$3:J1514)-1,"")</f>
        <v/>
      </c>
      <c r="N1514" s="9" t="str">
        <f>IF(G1514&lt;&gt;"",K1514/MAX(K$3:K1514)-1,"")</f>
        <v/>
      </c>
      <c r="O1514" s="16" t="str">
        <f t="shared" si="215"/>
        <v/>
      </c>
      <c r="P1514" s="16" t="str">
        <f t="shared" si="215"/>
        <v/>
      </c>
      <c r="Q1514" s="16" t="str">
        <f t="shared" si="215"/>
        <v/>
      </c>
      <c r="R1514" s="5" t="str">
        <f t="shared" si="214"/>
        <v/>
      </c>
      <c r="S1514" s="5" t="str">
        <f t="shared" si="218"/>
        <v/>
      </c>
      <c r="T1514" s="5" t="str">
        <f t="shared" si="222"/>
        <v/>
      </c>
      <c r="U1514" s="5" t="str">
        <f t="shared" si="222"/>
        <v/>
      </c>
    </row>
    <row r="1515" spans="7:21" x14ac:dyDescent="0.2">
      <c r="G1515" s="8"/>
      <c r="H1515" s="5"/>
      <c r="J1515" s="10" t="str">
        <f t="shared" si="216"/>
        <v/>
      </c>
      <c r="K1515" s="10" t="str">
        <f t="shared" si="217"/>
        <v/>
      </c>
      <c r="L1515" s="11" t="str">
        <f t="shared" si="219"/>
        <v/>
      </c>
      <c r="M1515" s="9" t="str">
        <f>IF(G1515&lt;&gt;"",J1515/MAX(J$3:J1515)-1,"")</f>
        <v/>
      </c>
      <c r="N1515" s="9" t="str">
        <f>IF(G1515&lt;&gt;"",K1515/MAX(K$3:K1515)-1,"")</f>
        <v/>
      </c>
      <c r="O1515" s="16" t="str">
        <f t="shared" si="215"/>
        <v/>
      </c>
      <c r="P1515" s="16" t="str">
        <f t="shared" si="215"/>
        <v/>
      </c>
      <c r="Q1515" s="16" t="str">
        <f t="shared" si="215"/>
        <v/>
      </c>
      <c r="R1515" s="5" t="str">
        <f t="shared" si="214"/>
        <v/>
      </c>
      <c r="S1515" s="5" t="str">
        <f t="shared" si="218"/>
        <v/>
      </c>
      <c r="T1515" s="5" t="str">
        <f t="shared" si="222"/>
        <v/>
      </c>
      <c r="U1515" s="5" t="str">
        <f t="shared" si="222"/>
        <v/>
      </c>
    </row>
    <row r="1516" spans="7:21" x14ac:dyDescent="0.2">
      <c r="G1516" s="8"/>
      <c r="H1516" s="5"/>
      <c r="J1516" s="10" t="str">
        <f t="shared" si="216"/>
        <v/>
      </c>
      <c r="K1516" s="10" t="str">
        <f t="shared" si="217"/>
        <v/>
      </c>
      <c r="L1516" s="11" t="str">
        <f t="shared" si="219"/>
        <v/>
      </c>
      <c r="M1516" s="9" t="str">
        <f>IF(G1516&lt;&gt;"",J1516/MAX(J$3:J1516)-1,"")</f>
        <v/>
      </c>
      <c r="N1516" s="9" t="str">
        <f>IF(G1516&lt;&gt;"",K1516/MAX(K$3:K1516)-1,"")</f>
        <v/>
      </c>
      <c r="O1516" s="16" t="str">
        <f t="shared" si="215"/>
        <v/>
      </c>
      <c r="P1516" s="16" t="str">
        <f t="shared" si="215"/>
        <v/>
      </c>
      <c r="Q1516" s="16" t="str">
        <f t="shared" si="215"/>
        <v/>
      </c>
      <c r="R1516" s="5" t="str">
        <f t="shared" si="214"/>
        <v/>
      </c>
      <c r="S1516" s="5" t="str">
        <f t="shared" si="218"/>
        <v/>
      </c>
      <c r="T1516" s="5" t="str">
        <f t="shared" si="222"/>
        <v/>
      </c>
      <c r="U1516" s="5" t="str">
        <f t="shared" si="222"/>
        <v/>
      </c>
    </row>
    <row r="1517" spans="7:21" x14ac:dyDescent="0.2">
      <c r="G1517" s="8"/>
      <c r="H1517" s="5"/>
      <c r="J1517" s="10" t="str">
        <f t="shared" si="216"/>
        <v/>
      </c>
      <c r="K1517" s="10" t="str">
        <f t="shared" si="217"/>
        <v/>
      </c>
      <c r="L1517" s="11" t="str">
        <f t="shared" si="219"/>
        <v/>
      </c>
      <c r="M1517" s="9" t="str">
        <f>IF(G1517&lt;&gt;"",J1517/MAX(J$3:J1517)-1,"")</f>
        <v/>
      </c>
      <c r="N1517" s="9" t="str">
        <f>IF(G1517&lt;&gt;"",K1517/MAX(K$3:K1517)-1,"")</f>
        <v/>
      </c>
      <c r="O1517" s="16" t="str">
        <f t="shared" si="215"/>
        <v/>
      </c>
      <c r="P1517" s="16" t="str">
        <f t="shared" si="215"/>
        <v/>
      </c>
      <c r="Q1517" s="16" t="str">
        <f t="shared" si="215"/>
        <v/>
      </c>
      <c r="R1517" s="5" t="str">
        <f t="shared" si="214"/>
        <v/>
      </c>
      <c r="S1517" s="5" t="str">
        <f t="shared" si="218"/>
        <v/>
      </c>
      <c r="T1517" s="5" t="str">
        <f t="shared" si="222"/>
        <v/>
      </c>
      <c r="U1517" s="5" t="str">
        <f t="shared" si="222"/>
        <v/>
      </c>
    </row>
    <row r="1518" spans="7:21" x14ac:dyDescent="0.2">
      <c r="G1518" s="8"/>
      <c r="H1518" s="5"/>
      <c r="J1518" s="10" t="str">
        <f t="shared" si="216"/>
        <v/>
      </c>
      <c r="K1518" s="10" t="str">
        <f t="shared" si="217"/>
        <v/>
      </c>
      <c r="L1518" s="11" t="str">
        <f t="shared" si="219"/>
        <v/>
      </c>
      <c r="M1518" s="9" t="str">
        <f>IF(G1518&lt;&gt;"",J1518/MAX(J$3:J1518)-1,"")</f>
        <v/>
      </c>
      <c r="N1518" s="9" t="str">
        <f>IF(G1518&lt;&gt;"",K1518/MAX(K$3:K1518)-1,"")</f>
        <v/>
      </c>
      <c r="O1518" s="16" t="str">
        <f t="shared" si="215"/>
        <v/>
      </c>
      <c r="P1518" s="16" t="str">
        <f t="shared" si="215"/>
        <v/>
      </c>
      <c r="Q1518" s="16" t="str">
        <f t="shared" si="215"/>
        <v/>
      </c>
      <c r="R1518" s="5" t="str">
        <f t="shared" si="214"/>
        <v/>
      </c>
      <c r="S1518" s="5" t="str">
        <f t="shared" si="218"/>
        <v/>
      </c>
      <c r="T1518" s="5" t="str">
        <f t="shared" si="222"/>
        <v/>
      </c>
      <c r="U1518" s="5" t="str">
        <f t="shared" si="222"/>
        <v/>
      </c>
    </row>
    <row r="1519" spans="7:21" x14ac:dyDescent="0.2">
      <c r="G1519" s="8"/>
      <c r="H1519" s="5"/>
      <c r="J1519" s="10" t="str">
        <f t="shared" si="216"/>
        <v/>
      </c>
      <c r="K1519" s="10" t="str">
        <f t="shared" si="217"/>
        <v/>
      </c>
      <c r="L1519" s="11" t="str">
        <f t="shared" si="219"/>
        <v/>
      </c>
      <c r="M1519" s="9" t="str">
        <f>IF(G1519&lt;&gt;"",J1519/MAX(J$3:J1519)-1,"")</f>
        <v/>
      </c>
      <c r="N1519" s="9" t="str">
        <f>IF(G1519&lt;&gt;"",K1519/MAX(K$3:K1519)-1,"")</f>
        <v/>
      </c>
      <c r="O1519" s="16" t="str">
        <f t="shared" si="215"/>
        <v/>
      </c>
      <c r="P1519" s="16" t="str">
        <f t="shared" si="215"/>
        <v/>
      </c>
      <c r="Q1519" s="16" t="str">
        <f t="shared" si="215"/>
        <v/>
      </c>
      <c r="R1519" s="5" t="str">
        <f t="shared" si="214"/>
        <v/>
      </c>
      <c r="S1519" s="5" t="str">
        <f t="shared" si="218"/>
        <v/>
      </c>
      <c r="T1519" s="5" t="str">
        <f t="shared" si="222"/>
        <v/>
      </c>
      <c r="U1519" s="5" t="str">
        <f t="shared" si="222"/>
        <v/>
      </c>
    </row>
    <row r="1520" spans="7:21" x14ac:dyDescent="0.2">
      <c r="G1520" s="8"/>
      <c r="H1520" s="5"/>
      <c r="J1520" s="10" t="str">
        <f t="shared" si="216"/>
        <v/>
      </c>
      <c r="K1520" s="10" t="str">
        <f t="shared" si="217"/>
        <v/>
      </c>
      <c r="L1520" s="11" t="str">
        <f t="shared" si="219"/>
        <v/>
      </c>
      <c r="M1520" s="9" t="str">
        <f>IF(G1520&lt;&gt;"",J1520/MAX(J$3:J1520)-1,"")</f>
        <v/>
      </c>
      <c r="N1520" s="9" t="str">
        <f>IF(G1520&lt;&gt;"",K1520/MAX(K$3:K1520)-1,"")</f>
        <v/>
      </c>
      <c r="O1520" s="16" t="str">
        <f t="shared" si="215"/>
        <v/>
      </c>
      <c r="P1520" s="16" t="str">
        <f t="shared" si="215"/>
        <v/>
      </c>
      <c r="Q1520" s="16" t="str">
        <f t="shared" si="215"/>
        <v/>
      </c>
      <c r="R1520" s="5" t="str">
        <f t="shared" si="214"/>
        <v/>
      </c>
      <c r="S1520" s="5" t="str">
        <f t="shared" si="218"/>
        <v/>
      </c>
      <c r="T1520" s="5" t="str">
        <f t="shared" si="222"/>
        <v/>
      </c>
      <c r="U1520" s="5" t="str">
        <f t="shared" si="222"/>
        <v/>
      </c>
    </row>
    <row r="1521" spans="7:21" x14ac:dyDescent="0.2">
      <c r="G1521" s="8"/>
      <c r="H1521" s="5"/>
      <c r="J1521" s="10" t="str">
        <f t="shared" si="216"/>
        <v/>
      </c>
      <c r="K1521" s="10" t="str">
        <f t="shared" si="217"/>
        <v/>
      </c>
      <c r="L1521" s="11" t="str">
        <f t="shared" si="219"/>
        <v/>
      </c>
      <c r="M1521" s="9" t="str">
        <f>IF(G1521&lt;&gt;"",J1521/MAX(J$3:J1521)-1,"")</f>
        <v/>
      </c>
      <c r="N1521" s="9" t="str">
        <f>IF(G1521&lt;&gt;"",K1521/MAX(K$3:K1521)-1,"")</f>
        <v/>
      </c>
      <c r="O1521" s="16" t="str">
        <f t="shared" si="215"/>
        <v/>
      </c>
      <c r="P1521" s="16" t="str">
        <f t="shared" si="215"/>
        <v/>
      </c>
      <c r="Q1521" s="16" t="str">
        <f t="shared" si="215"/>
        <v/>
      </c>
      <c r="R1521" s="5" t="str">
        <f t="shared" si="214"/>
        <v/>
      </c>
      <c r="S1521" s="5" t="str">
        <f t="shared" si="218"/>
        <v/>
      </c>
      <c r="T1521" s="5" t="str">
        <f t="shared" si="222"/>
        <v/>
      </c>
      <c r="U1521" s="5" t="str">
        <f t="shared" si="222"/>
        <v/>
      </c>
    </row>
    <row r="1522" spans="7:21" x14ac:dyDescent="0.2">
      <c r="G1522" s="8"/>
      <c r="H1522" s="5"/>
      <c r="J1522" s="10" t="str">
        <f t="shared" si="216"/>
        <v/>
      </c>
      <c r="K1522" s="10" t="str">
        <f t="shared" si="217"/>
        <v/>
      </c>
      <c r="L1522" s="11" t="str">
        <f t="shared" si="219"/>
        <v/>
      </c>
      <c r="M1522" s="9" t="str">
        <f>IF(G1522&lt;&gt;"",J1522/MAX(J$3:J1522)-1,"")</f>
        <v/>
      </c>
      <c r="N1522" s="9" t="str">
        <f>IF(G1522&lt;&gt;"",K1522/MAX(K$3:K1522)-1,"")</f>
        <v/>
      </c>
      <c r="O1522" s="16" t="str">
        <f t="shared" si="215"/>
        <v/>
      </c>
      <c r="P1522" s="16" t="str">
        <f t="shared" si="215"/>
        <v/>
      </c>
      <c r="Q1522" s="16" t="str">
        <f t="shared" si="215"/>
        <v/>
      </c>
      <c r="R1522" s="5" t="str">
        <f t="shared" si="214"/>
        <v/>
      </c>
      <c r="S1522" s="5" t="str">
        <f t="shared" si="218"/>
        <v/>
      </c>
      <c r="T1522" s="5" t="str">
        <f t="shared" si="222"/>
        <v/>
      </c>
      <c r="U1522" s="5" t="str">
        <f t="shared" si="222"/>
        <v/>
      </c>
    </row>
    <row r="1523" spans="7:21" x14ac:dyDescent="0.2">
      <c r="G1523" s="8"/>
      <c r="H1523" s="5"/>
      <c r="J1523" s="10" t="str">
        <f t="shared" si="216"/>
        <v/>
      </c>
      <c r="K1523" s="10" t="str">
        <f t="shared" si="217"/>
        <v/>
      </c>
      <c r="L1523" s="11" t="str">
        <f t="shared" si="219"/>
        <v/>
      </c>
      <c r="M1523" s="9" t="str">
        <f>IF(G1523&lt;&gt;"",J1523/MAX(J$3:J1523)-1,"")</f>
        <v/>
      </c>
      <c r="N1523" s="9" t="str">
        <f>IF(G1523&lt;&gt;"",K1523/MAX(K$3:K1523)-1,"")</f>
        <v/>
      </c>
      <c r="O1523" s="16" t="str">
        <f t="shared" si="215"/>
        <v/>
      </c>
      <c r="P1523" s="16" t="str">
        <f t="shared" si="215"/>
        <v/>
      </c>
      <c r="Q1523" s="16" t="str">
        <f t="shared" si="215"/>
        <v/>
      </c>
      <c r="R1523" s="5" t="str">
        <f t="shared" si="214"/>
        <v/>
      </c>
      <c r="S1523" s="5" t="str">
        <f t="shared" si="218"/>
        <v/>
      </c>
      <c r="T1523" s="5" t="str">
        <f t="shared" si="222"/>
        <v/>
      </c>
      <c r="U1523" s="5" t="str">
        <f t="shared" si="222"/>
        <v/>
      </c>
    </row>
    <row r="1524" spans="7:21" x14ac:dyDescent="0.2">
      <c r="G1524" s="8"/>
      <c r="H1524" s="5"/>
      <c r="J1524" s="10" t="str">
        <f t="shared" si="216"/>
        <v/>
      </c>
      <c r="K1524" s="10" t="str">
        <f t="shared" si="217"/>
        <v/>
      </c>
      <c r="L1524" s="11" t="str">
        <f t="shared" si="219"/>
        <v/>
      </c>
      <c r="M1524" s="9" t="str">
        <f>IF(G1524&lt;&gt;"",J1524/MAX(J$3:J1524)-1,"")</f>
        <v/>
      </c>
      <c r="N1524" s="9" t="str">
        <f>IF(G1524&lt;&gt;"",K1524/MAX(K$3:K1524)-1,"")</f>
        <v/>
      </c>
      <c r="O1524" s="16" t="str">
        <f t="shared" si="215"/>
        <v/>
      </c>
      <c r="P1524" s="16" t="str">
        <f t="shared" si="215"/>
        <v/>
      </c>
      <c r="Q1524" s="16" t="str">
        <f t="shared" si="215"/>
        <v/>
      </c>
      <c r="R1524" s="5" t="str">
        <f t="shared" si="214"/>
        <v/>
      </c>
      <c r="S1524" s="5" t="str">
        <f t="shared" si="218"/>
        <v/>
      </c>
      <c r="T1524" s="5" t="str">
        <f t="shared" si="222"/>
        <v/>
      </c>
      <c r="U1524" s="5" t="str">
        <f t="shared" si="222"/>
        <v/>
      </c>
    </row>
    <row r="1525" spans="7:21" x14ac:dyDescent="0.2">
      <c r="G1525" s="8"/>
      <c r="H1525" s="5"/>
      <c r="J1525" s="10" t="str">
        <f t="shared" si="216"/>
        <v/>
      </c>
      <c r="K1525" s="10" t="str">
        <f t="shared" si="217"/>
        <v/>
      </c>
      <c r="L1525" s="11" t="str">
        <f t="shared" si="219"/>
        <v/>
      </c>
      <c r="M1525" s="9" t="str">
        <f>IF(G1525&lt;&gt;"",J1525/MAX(J$3:J1525)-1,"")</f>
        <v/>
      </c>
      <c r="N1525" s="9" t="str">
        <f>IF(G1525&lt;&gt;"",K1525/MAX(K$3:K1525)-1,"")</f>
        <v/>
      </c>
      <c r="O1525" s="16" t="str">
        <f t="shared" si="215"/>
        <v/>
      </c>
      <c r="P1525" s="16" t="str">
        <f t="shared" si="215"/>
        <v/>
      </c>
      <c r="Q1525" s="16" t="str">
        <f t="shared" si="215"/>
        <v/>
      </c>
      <c r="R1525" s="5" t="str">
        <f t="shared" si="214"/>
        <v/>
      </c>
      <c r="S1525" s="5" t="str">
        <f t="shared" si="218"/>
        <v/>
      </c>
      <c r="T1525" s="5" t="str">
        <f t="shared" si="222"/>
        <v/>
      </c>
      <c r="U1525" s="5" t="str">
        <f t="shared" si="222"/>
        <v/>
      </c>
    </row>
    <row r="1526" spans="7:21" x14ac:dyDescent="0.2">
      <c r="G1526" s="8"/>
      <c r="H1526" s="5"/>
      <c r="J1526" s="10" t="str">
        <f t="shared" si="216"/>
        <v/>
      </c>
      <c r="K1526" s="10" t="str">
        <f t="shared" si="217"/>
        <v/>
      </c>
      <c r="L1526" s="11" t="str">
        <f t="shared" si="219"/>
        <v/>
      </c>
      <c r="M1526" s="9" t="str">
        <f>IF(G1526&lt;&gt;"",J1526/MAX(J$3:J1526)-1,"")</f>
        <v/>
      </c>
      <c r="N1526" s="9" t="str">
        <f>IF(G1526&lt;&gt;"",K1526/MAX(K$3:K1526)-1,"")</f>
        <v/>
      </c>
      <c r="O1526" s="16" t="str">
        <f t="shared" si="215"/>
        <v/>
      </c>
      <c r="P1526" s="16" t="str">
        <f t="shared" si="215"/>
        <v/>
      </c>
      <c r="Q1526" s="16" t="str">
        <f t="shared" si="215"/>
        <v/>
      </c>
      <c r="R1526" s="5" t="str">
        <f t="shared" si="214"/>
        <v/>
      </c>
      <c r="S1526" s="5" t="str">
        <f t="shared" si="218"/>
        <v/>
      </c>
      <c r="T1526" s="5" t="str">
        <f t="shared" si="222"/>
        <v/>
      </c>
      <c r="U1526" s="5" t="str">
        <f t="shared" si="222"/>
        <v/>
      </c>
    </row>
    <row r="1527" spans="7:21" x14ac:dyDescent="0.2">
      <c r="G1527" s="8"/>
      <c r="H1527" s="5"/>
      <c r="J1527" s="10" t="str">
        <f t="shared" si="216"/>
        <v/>
      </c>
      <c r="K1527" s="10" t="str">
        <f t="shared" si="217"/>
        <v/>
      </c>
      <c r="L1527" s="11" t="str">
        <f t="shared" si="219"/>
        <v/>
      </c>
      <c r="M1527" s="9" t="str">
        <f>IF(G1527&lt;&gt;"",J1527/MAX(J$3:J1527)-1,"")</f>
        <v/>
      </c>
      <c r="N1527" s="9" t="str">
        <f>IF(G1527&lt;&gt;"",K1527/MAX(K$3:K1527)-1,"")</f>
        <v/>
      </c>
      <c r="O1527" s="16" t="str">
        <f t="shared" si="215"/>
        <v/>
      </c>
      <c r="P1527" s="16" t="str">
        <f t="shared" si="215"/>
        <v/>
      </c>
      <c r="Q1527" s="16" t="str">
        <f t="shared" si="215"/>
        <v/>
      </c>
      <c r="R1527" s="5" t="str">
        <f t="shared" si="214"/>
        <v/>
      </c>
      <c r="S1527" s="5" t="str">
        <f t="shared" si="218"/>
        <v/>
      </c>
      <c r="T1527" s="5" t="str">
        <f t="shared" si="222"/>
        <v/>
      </c>
      <c r="U1527" s="5" t="str">
        <f t="shared" si="222"/>
        <v/>
      </c>
    </row>
    <row r="1528" spans="7:21" x14ac:dyDescent="0.2">
      <c r="G1528" s="8"/>
      <c r="H1528" s="5"/>
      <c r="J1528" s="10" t="str">
        <f t="shared" si="216"/>
        <v/>
      </c>
      <c r="K1528" s="10" t="str">
        <f t="shared" si="217"/>
        <v/>
      </c>
      <c r="L1528" s="11" t="str">
        <f t="shared" si="219"/>
        <v/>
      </c>
      <c r="M1528" s="9" t="str">
        <f>IF(G1528&lt;&gt;"",J1528/MAX(J$3:J1528)-1,"")</f>
        <v/>
      </c>
      <c r="N1528" s="9" t="str">
        <f>IF(G1528&lt;&gt;"",K1528/MAX(K$3:K1528)-1,"")</f>
        <v/>
      </c>
      <c r="O1528" s="16" t="str">
        <f t="shared" si="215"/>
        <v/>
      </c>
      <c r="P1528" s="16" t="str">
        <f t="shared" si="215"/>
        <v/>
      </c>
      <c r="Q1528" s="16" t="str">
        <f t="shared" si="215"/>
        <v/>
      </c>
      <c r="R1528" s="5" t="str">
        <f t="shared" si="214"/>
        <v/>
      </c>
      <c r="S1528" s="5" t="str">
        <f t="shared" si="218"/>
        <v/>
      </c>
      <c r="T1528" s="5" t="str">
        <f t="shared" ref="T1528:U1543" si="223">IF($G1528&lt;&gt;"",_xlfn.STDEV.S(O1284:O1528),"")</f>
        <v/>
      </c>
      <c r="U1528" s="5" t="str">
        <f t="shared" si="223"/>
        <v/>
      </c>
    </row>
    <row r="1529" spans="7:21" x14ac:dyDescent="0.2">
      <c r="G1529" s="8"/>
      <c r="H1529" s="5"/>
      <c r="J1529" s="10" t="str">
        <f t="shared" si="216"/>
        <v/>
      </c>
      <c r="K1529" s="10" t="str">
        <f t="shared" si="217"/>
        <v/>
      </c>
      <c r="L1529" s="11" t="str">
        <f t="shared" si="219"/>
        <v/>
      </c>
      <c r="M1529" s="9" t="str">
        <f>IF(G1529&lt;&gt;"",J1529/MAX(J$3:J1529)-1,"")</f>
        <v/>
      </c>
      <c r="N1529" s="9" t="str">
        <f>IF(G1529&lt;&gt;"",K1529/MAX(K$3:K1529)-1,"")</f>
        <v/>
      </c>
      <c r="O1529" s="16" t="str">
        <f t="shared" si="215"/>
        <v/>
      </c>
      <c r="P1529" s="16" t="str">
        <f t="shared" si="215"/>
        <v/>
      </c>
      <c r="Q1529" s="16" t="str">
        <f t="shared" si="215"/>
        <v/>
      </c>
      <c r="R1529" s="5" t="str">
        <f t="shared" si="214"/>
        <v/>
      </c>
      <c r="S1529" s="5" t="str">
        <f t="shared" si="218"/>
        <v/>
      </c>
      <c r="T1529" s="5" t="str">
        <f t="shared" si="223"/>
        <v/>
      </c>
      <c r="U1529" s="5" t="str">
        <f t="shared" si="223"/>
        <v/>
      </c>
    </row>
    <row r="1530" spans="7:21" x14ac:dyDescent="0.2">
      <c r="G1530" s="8"/>
      <c r="H1530" s="5"/>
      <c r="J1530" s="10" t="str">
        <f t="shared" si="216"/>
        <v/>
      </c>
      <c r="K1530" s="10" t="str">
        <f t="shared" si="217"/>
        <v/>
      </c>
      <c r="L1530" s="11" t="str">
        <f t="shared" si="219"/>
        <v/>
      </c>
      <c r="M1530" s="9" t="str">
        <f>IF(G1530&lt;&gt;"",J1530/MAX(J$3:J1530)-1,"")</f>
        <v/>
      </c>
      <c r="N1530" s="9" t="str">
        <f>IF(G1530&lt;&gt;"",K1530/MAX(K$3:K1530)-1,"")</f>
        <v/>
      </c>
      <c r="O1530" s="16" t="str">
        <f t="shared" si="215"/>
        <v/>
      </c>
      <c r="P1530" s="16" t="str">
        <f t="shared" si="215"/>
        <v/>
      </c>
      <c r="Q1530" s="16" t="str">
        <f t="shared" si="215"/>
        <v/>
      </c>
      <c r="R1530" s="5" t="str">
        <f t="shared" si="214"/>
        <v/>
      </c>
      <c r="S1530" s="5" t="str">
        <f t="shared" si="218"/>
        <v/>
      </c>
      <c r="T1530" s="5" t="str">
        <f t="shared" si="223"/>
        <v/>
      </c>
      <c r="U1530" s="5" t="str">
        <f t="shared" si="223"/>
        <v/>
      </c>
    </row>
    <row r="1531" spans="7:21" x14ac:dyDescent="0.2">
      <c r="G1531" s="8"/>
      <c r="H1531" s="5"/>
      <c r="J1531" s="10" t="str">
        <f t="shared" si="216"/>
        <v/>
      </c>
      <c r="K1531" s="10" t="str">
        <f t="shared" si="217"/>
        <v/>
      </c>
      <c r="L1531" s="11" t="str">
        <f t="shared" si="219"/>
        <v/>
      </c>
      <c r="M1531" s="9" t="str">
        <f>IF(G1531&lt;&gt;"",J1531/MAX(J$3:J1531)-1,"")</f>
        <v/>
      </c>
      <c r="N1531" s="9" t="str">
        <f>IF(G1531&lt;&gt;"",K1531/MAX(K$3:K1531)-1,"")</f>
        <v/>
      </c>
      <c r="O1531" s="16" t="str">
        <f t="shared" si="215"/>
        <v/>
      </c>
      <c r="P1531" s="16" t="str">
        <f t="shared" si="215"/>
        <v/>
      </c>
      <c r="Q1531" s="16" t="str">
        <f t="shared" si="215"/>
        <v/>
      </c>
      <c r="R1531" s="5" t="str">
        <f t="shared" si="214"/>
        <v/>
      </c>
      <c r="S1531" s="5" t="str">
        <f t="shared" si="218"/>
        <v/>
      </c>
      <c r="T1531" s="5" t="str">
        <f t="shared" si="223"/>
        <v/>
      </c>
      <c r="U1531" s="5" t="str">
        <f t="shared" si="223"/>
        <v/>
      </c>
    </row>
    <row r="1532" spans="7:21" x14ac:dyDescent="0.2">
      <c r="G1532" s="8"/>
      <c r="H1532" s="5"/>
      <c r="J1532" s="10" t="str">
        <f t="shared" si="216"/>
        <v/>
      </c>
      <c r="K1532" s="10" t="str">
        <f t="shared" si="217"/>
        <v/>
      </c>
      <c r="L1532" s="11" t="str">
        <f t="shared" si="219"/>
        <v/>
      </c>
      <c r="M1532" s="9" t="str">
        <f>IF(G1532&lt;&gt;"",J1532/MAX(J$3:J1532)-1,"")</f>
        <v/>
      </c>
      <c r="N1532" s="9" t="str">
        <f>IF(G1532&lt;&gt;"",K1532/MAX(K$3:K1532)-1,"")</f>
        <v/>
      </c>
      <c r="O1532" s="16" t="str">
        <f t="shared" si="215"/>
        <v/>
      </c>
      <c r="P1532" s="16" t="str">
        <f t="shared" si="215"/>
        <v/>
      </c>
      <c r="Q1532" s="16" t="str">
        <f t="shared" si="215"/>
        <v/>
      </c>
      <c r="R1532" s="5" t="str">
        <f t="shared" si="214"/>
        <v/>
      </c>
      <c r="S1532" s="5" t="str">
        <f t="shared" si="218"/>
        <v/>
      </c>
      <c r="T1532" s="5" t="str">
        <f t="shared" si="223"/>
        <v/>
      </c>
      <c r="U1532" s="5" t="str">
        <f t="shared" si="223"/>
        <v/>
      </c>
    </row>
    <row r="1533" spans="7:21" x14ac:dyDescent="0.2">
      <c r="G1533" s="8"/>
      <c r="H1533" s="5"/>
      <c r="J1533" s="10" t="str">
        <f t="shared" si="216"/>
        <v/>
      </c>
      <c r="K1533" s="10" t="str">
        <f t="shared" si="217"/>
        <v/>
      </c>
      <c r="L1533" s="11" t="str">
        <f t="shared" si="219"/>
        <v/>
      </c>
      <c r="M1533" s="9" t="str">
        <f>IF(G1533&lt;&gt;"",J1533/MAX(J$3:J1533)-1,"")</f>
        <v/>
      </c>
      <c r="N1533" s="9" t="str">
        <f>IF(G1533&lt;&gt;"",K1533/MAX(K$3:K1533)-1,"")</f>
        <v/>
      </c>
      <c r="O1533" s="16" t="str">
        <f t="shared" si="215"/>
        <v/>
      </c>
      <c r="P1533" s="16" t="str">
        <f t="shared" si="215"/>
        <v/>
      </c>
      <c r="Q1533" s="16" t="str">
        <f t="shared" si="215"/>
        <v/>
      </c>
      <c r="R1533" s="5" t="str">
        <f t="shared" ref="R1533:R1596" si="224">IF(G1533&lt;&gt;"",_xlfn.STDEV.S(Q1412:Q1533)*SQRT($B$5),"")</f>
        <v/>
      </c>
      <c r="S1533" s="5" t="str">
        <f t="shared" si="218"/>
        <v/>
      </c>
      <c r="T1533" s="5" t="str">
        <f t="shared" si="223"/>
        <v/>
      </c>
      <c r="U1533" s="5" t="str">
        <f t="shared" si="223"/>
        <v/>
      </c>
    </row>
    <row r="1534" spans="7:21" x14ac:dyDescent="0.2">
      <c r="G1534" s="8"/>
      <c r="H1534" s="5"/>
      <c r="J1534" s="10" t="str">
        <f t="shared" si="216"/>
        <v/>
      </c>
      <c r="K1534" s="10" t="str">
        <f t="shared" si="217"/>
        <v/>
      </c>
      <c r="L1534" s="11" t="str">
        <f t="shared" si="219"/>
        <v/>
      </c>
      <c r="M1534" s="9" t="str">
        <f>IF(G1534&lt;&gt;"",J1534/MAX(J$3:J1534)-1,"")</f>
        <v/>
      </c>
      <c r="N1534" s="9" t="str">
        <f>IF(G1534&lt;&gt;"",K1534/MAX(K$3:K1534)-1,"")</f>
        <v/>
      </c>
      <c r="O1534" s="16" t="str">
        <f t="shared" si="215"/>
        <v/>
      </c>
      <c r="P1534" s="16" t="str">
        <f t="shared" si="215"/>
        <v/>
      </c>
      <c r="Q1534" s="16" t="str">
        <f t="shared" si="215"/>
        <v/>
      </c>
      <c r="R1534" s="5" t="str">
        <f t="shared" si="224"/>
        <v/>
      </c>
      <c r="S1534" s="5" t="str">
        <f t="shared" si="218"/>
        <v/>
      </c>
      <c r="T1534" s="5" t="str">
        <f t="shared" si="223"/>
        <v/>
      </c>
      <c r="U1534" s="5" t="str">
        <f t="shared" si="223"/>
        <v/>
      </c>
    </row>
    <row r="1535" spans="7:21" x14ac:dyDescent="0.2">
      <c r="G1535" s="8"/>
      <c r="H1535" s="5"/>
      <c r="J1535" s="10" t="str">
        <f t="shared" si="216"/>
        <v/>
      </c>
      <c r="K1535" s="10" t="str">
        <f t="shared" si="217"/>
        <v/>
      </c>
      <c r="L1535" s="11" t="str">
        <f t="shared" si="219"/>
        <v/>
      </c>
      <c r="M1535" s="9" t="str">
        <f>IF(G1535&lt;&gt;"",J1535/MAX(J$3:J1535)-1,"")</f>
        <v/>
      </c>
      <c r="N1535" s="9" t="str">
        <f>IF(G1535&lt;&gt;"",K1535/MAX(K$3:K1535)-1,"")</f>
        <v/>
      </c>
      <c r="O1535" s="16" t="str">
        <f t="shared" si="215"/>
        <v/>
      </c>
      <c r="P1535" s="16" t="str">
        <f t="shared" si="215"/>
        <v/>
      </c>
      <c r="Q1535" s="16" t="str">
        <f t="shared" si="215"/>
        <v/>
      </c>
      <c r="R1535" s="5" t="str">
        <f t="shared" si="224"/>
        <v/>
      </c>
      <c r="S1535" s="5" t="str">
        <f t="shared" si="218"/>
        <v/>
      </c>
      <c r="T1535" s="5" t="str">
        <f t="shared" si="223"/>
        <v/>
      </c>
      <c r="U1535" s="5" t="str">
        <f t="shared" si="223"/>
        <v/>
      </c>
    </row>
    <row r="1536" spans="7:21" x14ac:dyDescent="0.2">
      <c r="G1536" s="8"/>
      <c r="H1536" s="5"/>
      <c r="J1536" s="10" t="str">
        <f t="shared" si="216"/>
        <v/>
      </c>
      <c r="K1536" s="10" t="str">
        <f t="shared" si="217"/>
        <v/>
      </c>
      <c r="L1536" s="11" t="str">
        <f t="shared" si="219"/>
        <v/>
      </c>
      <c r="M1536" s="9" t="str">
        <f>IF(G1536&lt;&gt;"",J1536/MAX(J$3:J1536)-1,"")</f>
        <v/>
      </c>
      <c r="N1536" s="9" t="str">
        <f>IF(G1536&lt;&gt;"",K1536/MAX(K$3:K1536)-1,"")</f>
        <v/>
      </c>
      <c r="O1536" s="16" t="str">
        <f t="shared" si="215"/>
        <v/>
      </c>
      <c r="P1536" s="16" t="str">
        <f t="shared" si="215"/>
        <v/>
      </c>
      <c r="Q1536" s="16" t="str">
        <f t="shared" si="215"/>
        <v/>
      </c>
      <c r="R1536" s="5" t="str">
        <f t="shared" si="224"/>
        <v/>
      </c>
      <c r="S1536" s="5" t="str">
        <f t="shared" si="218"/>
        <v/>
      </c>
      <c r="T1536" s="5" t="str">
        <f t="shared" si="223"/>
        <v/>
      </c>
      <c r="U1536" s="5" t="str">
        <f t="shared" si="223"/>
        <v/>
      </c>
    </row>
    <row r="1537" spans="7:21" x14ac:dyDescent="0.2">
      <c r="G1537" s="8"/>
      <c r="H1537" s="5"/>
      <c r="J1537" s="10" t="str">
        <f t="shared" si="216"/>
        <v/>
      </c>
      <c r="K1537" s="10" t="str">
        <f t="shared" si="217"/>
        <v/>
      </c>
      <c r="L1537" s="11" t="str">
        <f t="shared" si="219"/>
        <v/>
      </c>
      <c r="M1537" s="9" t="str">
        <f>IF(G1537&lt;&gt;"",J1537/MAX(J$3:J1537)-1,"")</f>
        <v/>
      </c>
      <c r="N1537" s="9" t="str">
        <f>IF(G1537&lt;&gt;"",K1537/MAX(K$3:K1537)-1,"")</f>
        <v/>
      </c>
      <c r="O1537" s="16" t="str">
        <f t="shared" si="215"/>
        <v/>
      </c>
      <c r="P1537" s="16" t="str">
        <f t="shared" si="215"/>
        <v/>
      </c>
      <c r="Q1537" s="16" t="str">
        <f t="shared" si="215"/>
        <v/>
      </c>
      <c r="R1537" s="5" t="str">
        <f t="shared" si="224"/>
        <v/>
      </c>
      <c r="S1537" s="5" t="str">
        <f t="shared" si="218"/>
        <v/>
      </c>
      <c r="T1537" s="5" t="str">
        <f t="shared" si="223"/>
        <v/>
      </c>
      <c r="U1537" s="5" t="str">
        <f t="shared" si="223"/>
        <v/>
      </c>
    </row>
    <row r="1538" spans="7:21" x14ac:dyDescent="0.2">
      <c r="G1538" s="8"/>
      <c r="H1538" s="5"/>
      <c r="J1538" s="10" t="str">
        <f t="shared" si="216"/>
        <v/>
      </c>
      <c r="K1538" s="10" t="str">
        <f t="shared" si="217"/>
        <v/>
      </c>
      <c r="L1538" s="11" t="str">
        <f t="shared" si="219"/>
        <v/>
      </c>
      <c r="M1538" s="9" t="str">
        <f>IF(G1538&lt;&gt;"",J1538/MAX(J$3:J1538)-1,"")</f>
        <v/>
      </c>
      <c r="N1538" s="9" t="str">
        <f>IF(G1538&lt;&gt;"",K1538/MAX(K$3:K1538)-1,"")</f>
        <v/>
      </c>
      <c r="O1538" s="16" t="str">
        <f t="shared" ref="O1538:Q1601" si="225">IF($G1538&lt;&gt;"",J1538/J1537-1,"")</f>
        <v/>
      </c>
      <c r="P1538" s="16" t="str">
        <f t="shared" si="225"/>
        <v/>
      </c>
      <c r="Q1538" s="16" t="str">
        <f t="shared" si="225"/>
        <v/>
      </c>
      <c r="R1538" s="5" t="str">
        <f t="shared" si="224"/>
        <v/>
      </c>
      <c r="S1538" s="5" t="str">
        <f t="shared" si="218"/>
        <v/>
      </c>
      <c r="T1538" s="5" t="str">
        <f t="shared" si="223"/>
        <v/>
      </c>
      <c r="U1538" s="5" t="str">
        <f t="shared" si="223"/>
        <v/>
      </c>
    </row>
    <row r="1539" spans="7:21" x14ac:dyDescent="0.2">
      <c r="G1539" s="8"/>
      <c r="H1539" s="5"/>
      <c r="J1539" s="10" t="str">
        <f t="shared" si="216"/>
        <v/>
      </c>
      <c r="K1539" s="10" t="str">
        <f t="shared" si="217"/>
        <v/>
      </c>
      <c r="L1539" s="11" t="str">
        <f t="shared" si="219"/>
        <v/>
      </c>
      <c r="M1539" s="9" t="str">
        <f>IF(G1539&lt;&gt;"",J1539/MAX(J$3:J1539)-1,"")</f>
        <v/>
      </c>
      <c r="N1539" s="9" t="str">
        <f>IF(G1539&lt;&gt;"",K1539/MAX(K$3:K1539)-1,"")</f>
        <v/>
      </c>
      <c r="O1539" s="16" t="str">
        <f t="shared" si="225"/>
        <v/>
      </c>
      <c r="P1539" s="16" t="str">
        <f t="shared" si="225"/>
        <v/>
      </c>
      <c r="Q1539" s="16" t="str">
        <f t="shared" si="225"/>
        <v/>
      </c>
      <c r="R1539" s="5" t="str">
        <f t="shared" si="224"/>
        <v/>
      </c>
      <c r="S1539" s="5" t="str">
        <f t="shared" si="218"/>
        <v/>
      </c>
      <c r="T1539" s="5" t="str">
        <f t="shared" si="223"/>
        <v/>
      </c>
      <c r="U1539" s="5" t="str">
        <f t="shared" si="223"/>
        <v/>
      </c>
    </row>
    <row r="1540" spans="7:21" x14ac:dyDescent="0.2">
      <c r="G1540" s="8"/>
      <c r="H1540" s="5"/>
      <c r="J1540" s="10" t="str">
        <f t="shared" ref="J1540:J1603" si="226">IF(G1540&lt;&gt;"",1+H1540,"")</f>
        <v/>
      </c>
      <c r="K1540" s="10" t="str">
        <f t="shared" ref="K1540:K1603" si="227">IF(G1540&lt;&gt;"",1+I1540,"")</f>
        <v/>
      </c>
      <c r="L1540" s="11" t="str">
        <f t="shared" si="219"/>
        <v/>
      </c>
      <c r="M1540" s="9" t="str">
        <f>IF(G1540&lt;&gt;"",J1540/MAX(J$3:J1540)-1,"")</f>
        <v/>
      </c>
      <c r="N1540" s="9" t="str">
        <f>IF(G1540&lt;&gt;"",K1540/MAX(K$3:K1540)-1,"")</f>
        <v/>
      </c>
      <c r="O1540" s="16" t="str">
        <f t="shared" si="225"/>
        <v/>
      </c>
      <c r="P1540" s="16" t="str">
        <f t="shared" si="225"/>
        <v/>
      </c>
      <c r="Q1540" s="16" t="str">
        <f t="shared" si="225"/>
        <v/>
      </c>
      <c r="R1540" s="5" t="str">
        <f t="shared" si="224"/>
        <v/>
      </c>
      <c r="S1540" s="5" t="str">
        <f t="shared" ref="S1540:S1603" si="228">IF(R1540&lt;&gt;"",B$12,"")</f>
        <v/>
      </c>
      <c r="T1540" s="5" t="str">
        <f t="shared" si="223"/>
        <v/>
      </c>
      <c r="U1540" s="5" t="str">
        <f t="shared" si="223"/>
        <v/>
      </c>
    </row>
    <row r="1541" spans="7:21" x14ac:dyDescent="0.2">
      <c r="G1541" s="8"/>
      <c r="H1541" s="5"/>
      <c r="J1541" s="10" t="str">
        <f t="shared" si="226"/>
        <v/>
      </c>
      <c r="K1541" s="10" t="str">
        <f t="shared" si="227"/>
        <v/>
      </c>
      <c r="L1541" s="11" t="str">
        <f t="shared" ref="L1541:L1604" si="229">IF(G1541&lt;&gt;"",J1541/K1541,"")</f>
        <v/>
      </c>
      <c r="M1541" s="9" t="str">
        <f>IF(G1541&lt;&gt;"",J1541/MAX(J$3:J1541)-1,"")</f>
        <v/>
      </c>
      <c r="N1541" s="9" t="str">
        <f>IF(G1541&lt;&gt;"",K1541/MAX(K$3:K1541)-1,"")</f>
        <v/>
      </c>
      <c r="O1541" s="16" t="str">
        <f t="shared" si="225"/>
        <v/>
      </c>
      <c r="P1541" s="16" t="str">
        <f t="shared" si="225"/>
        <v/>
      </c>
      <c r="Q1541" s="16" t="str">
        <f t="shared" si="225"/>
        <v/>
      </c>
      <c r="R1541" s="5" t="str">
        <f t="shared" si="224"/>
        <v/>
      </c>
      <c r="S1541" s="5" t="str">
        <f t="shared" si="228"/>
        <v/>
      </c>
      <c r="T1541" s="5" t="str">
        <f t="shared" si="223"/>
        <v/>
      </c>
      <c r="U1541" s="5" t="str">
        <f t="shared" si="223"/>
        <v/>
      </c>
    </row>
    <row r="1542" spans="7:21" x14ac:dyDescent="0.2">
      <c r="G1542" s="8"/>
      <c r="H1542" s="5"/>
      <c r="J1542" s="10" t="str">
        <f t="shared" si="226"/>
        <v/>
      </c>
      <c r="K1542" s="10" t="str">
        <f t="shared" si="227"/>
        <v/>
      </c>
      <c r="L1542" s="11" t="str">
        <f t="shared" si="229"/>
        <v/>
      </c>
      <c r="M1542" s="9" t="str">
        <f>IF(G1542&lt;&gt;"",J1542/MAX(J$3:J1542)-1,"")</f>
        <v/>
      </c>
      <c r="N1542" s="9" t="str">
        <f>IF(G1542&lt;&gt;"",K1542/MAX(K$3:K1542)-1,"")</f>
        <v/>
      </c>
      <c r="O1542" s="16" t="str">
        <f t="shared" si="225"/>
        <v/>
      </c>
      <c r="P1542" s="16" t="str">
        <f t="shared" si="225"/>
        <v/>
      </c>
      <c r="Q1542" s="16" t="str">
        <f t="shared" si="225"/>
        <v/>
      </c>
      <c r="R1542" s="5" t="str">
        <f t="shared" si="224"/>
        <v/>
      </c>
      <c r="S1542" s="5" t="str">
        <f t="shared" si="228"/>
        <v/>
      </c>
      <c r="T1542" s="5" t="str">
        <f t="shared" si="223"/>
        <v/>
      </c>
      <c r="U1542" s="5" t="str">
        <f t="shared" si="223"/>
        <v/>
      </c>
    </row>
    <row r="1543" spans="7:21" x14ac:dyDescent="0.2">
      <c r="G1543" s="8"/>
      <c r="H1543" s="5"/>
      <c r="J1543" s="10" t="str">
        <f t="shared" si="226"/>
        <v/>
      </c>
      <c r="K1543" s="10" t="str">
        <f t="shared" si="227"/>
        <v/>
      </c>
      <c r="L1543" s="11" t="str">
        <f t="shared" si="229"/>
        <v/>
      </c>
      <c r="M1543" s="9" t="str">
        <f>IF(G1543&lt;&gt;"",J1543/MAX(J$3:J1543)-1,"")</f>
        <v/>
      </c>
      <c r="N1543" s="9" t="str">
        <f>IF(G1543&lt;&gt;"",K1543/MAX(K$3:K1543)-1,"")</f>
        <v/>
      </c>
      <c r="O1543" s="16" t="str">
        <f t="shared" si="225"/>
        <v/>
      </c>
      <c r="P1543" s="16" t="str">
        <f t="shared" si="225"/>
        <v/>
      </c>
      <c r="Q1543" s="16" t="str">
        <f t="shared" si="225"/>
        <v/>
      </c>
      <c r="R1543" s="5" t="str">
        <f t="shared" si="224"/>
        <v/>
      </c>
      <c r="S1543" s="5" t="str">
        <f t="shared" si="228"/>
        <v/>
      </c>
      <c r="T1543" s="5" t="str">
        <f t="shared" si="223"/>
        <v/>
      </c>
      <c r="U1543" s="5" t="str">
        <f t="shared" si="223"/>
        <v/>
      </c>
    </row>
    <row r="1544" spans="7:21" x14ac:dyDescent="0.2">
      <c r="G1544" s="8"/>
      <c r="H1544" s="5"/>
      <c r="J1544" s="10" t="str">
        <f t="shared" si="226"/>
        <v/>
      </c>
      <c r="K1544" s="10" t="str">
        <f t="shared" si="227"/>
        <v/>
      </c>
      <c r="L1544" s="11" t="str">
        <f t="shared" si="229"/>
        <v/>
      </c>
      <c r="M1544" s="9" t="str">
        <f>IF(G1544&lt;&gt;"",J1544/MAX(J$3:J1544)-1,"")</f>
        <v/>
      </c>
      <c r="N1544" s="9" t="str">
        <f>IF(G1544&lt;&gt;"",K1544/MAX(K$3:K1544)-1,"")</f>
        <v/>
      </c>
      <c r="O1544" s="16" t="str">
        <f t="shared" si="225"/>
        <v/>
      </c>
      <c r="P1544" s="16" t="str">
        <f t="shared" si="225"/>
        <v/>
      </c>
      <c r="Q1544" s="16" t="str">
        <f t="shared" si="225"/>
        <v/>
      </c>
      <c r="R1544" s="5" t="str">
        <f t="shared" si="224"/>
        <v/>
      </c>
      <c r="S1544" s="5" t="str">
        <f t="shared" si="228"/>
        <v/>
      </c>
      <c r="T1544" s="5" t="str">
        <f t="shared" ref="T1544:U1559" si="230">IF($G1544&lt;&gt;"",_xlfn.STDEV.S(O1300:O1544),"")</f>
        <v/>
      </c>
      <c r="U1544" s="5" t="str">
        <f t="shared" si="230"/>
        <v/>
      </c>
    </row>
    <row r="1545" spans="7:21" x14ac:dyDescent="0.2">
      <c r="G1545" s="8"/>
      <c r="H1545" s="5"/>
      <c r="J1545" s="10" t="str">
        <f t="shared" si="226"/>
        <v/>
      </c>
      <c r="K1545" s="10" t="str">
        <f t="shared" si="227"/>
        <v/>
      </c>
      <c r="L1545" s="11" t="str">
        <f t="shared" si="229"/>
        <v/>
      </c>
      <c r="M1545" s="9" t="str">
        <f>IF(G1545&lt;&gt;"",J1545/MAX(J$3:J1545)-1,"")</f>
        <v/>
      </c>
      <c r="N1545" s="9" t="str">
        <f>IF(G1545&lt;&gt;"",K1545/MAX(K$3:K1545)-1,"")</f>
        <v/>
      </c>
      <c r="O1545" s="16" t="str">
        <f t="shared" si="225"/>
        <v/>
      </c>
      <c r="P1545" s="16" t="str">
        <f t="shared" si="225"/>
        <v/>
      </c>
      <c r="Q1545" s="16" t="str">
        <f t="shared" si="225"/>
        <v/>
      </c>
      <c r="R1545" s="5" t="str">
        <f t="shared" si="224"/>
        <v/>
      </c>
      <c r="S1545" s="5" t="str">
        <f t="shared" si="228"/>
        <v/>
      </c>
      <c r="T1545" s="5" t="str">
        <f t="shared" si="230"/>
        <v/>
      </c>
      <c r="U1545" s="5" t="str">
        <f t="shared" si="230"/>
        <v/>
      </c>
    </row>
    <row r="1546" spans="7:21" x14ac:dyDescent="0.2">
      <c r="G1546" s="8"/>
      <c r="H1546" s="5"/>
      <c r="J1546" s="10" t="str">
        <f t="shared" si="226"/>
        <v/>
      </c>
      <c r="K1546" s="10" t="str">
        <f t="shared" si="227"/>
        <v/>
      </c>
      <c r="L1546" s="11" t="str">
        <f t="shared" si="229"/>
        <v/>
      </c>
      <c r="M1546" s="9" t="str">
        <f>IF(G1546&lt;&gt;"",J1546/MAX(J$3:J1546)-1,"")</f>
        <v/>
      </c>
      <c r="N1546" s="9" t="str">
        <f>IF(G1546&lt;&gt;"",K1546/MAX(K$3:K1546)-1,"")</f>
        <v/>
      </c>
      <c r="O1546" s="16" t="str">
        <f t="shared" si="225"/>
        <v/>
      </c>
      <c r="P1546" s="16" t="str">
        <f t="shared" si="225"/>
        <v/>
      </c>
      <c r="Q1546" s="16" t="str">
        <f t="shared" si="225"/>
        <v/>
      </c>
      <c r="R1546" s="5" t="str">
        <f t="shared" si="224"/>
        <v/>
      </c>
      <c r="S1546" s="5" t="str">
        <f t="shared" si="228"/>
        <v/>
      </c>
      <c r="T1546" s="5" t="str">
        <f t="shared" si="230"/>
        <v/>
      </c>
      <c r="U1546" s="5" t="str">
        <f t="shared" si="230"/>
        <v/>
      </c>
    </row>
    <row r="1547" spans="7:21" x14ac:dyDescent="0.2">
      <c r="G1547" s="8"/>
      <c r="H1547" s="5"/>
      <c r="J1547" s="10" t="str">
        <f t="shared" si="226"/>
        <v/>
      </c>
      <c r="K1547" s="10" t="str">
        <f t="shared" si="227"/>
        <v/>
      </c>
      <c r="L1547" s="11" t="str">
        <f t="shared" si="229"/>
        <v/>
      </c>
      <c r="M1547" s="9" t="str">
        <f>IF(G1547&lt;&gt;"",J1547/MAX(J$3:J1547)-1,"")</f>
        <v/>
      </c>
      <c r="N1547" s="9" t="str">
        <f>IF(G1547&lt;&gt;"",K1547/MAX(K$3:K1547)-1,"")</f>
        <v/>
      </c>
      <c r="O1547" s="16" t="str">
        <f t="shared" si="225"/>
        <v/>
      </c>
      <c r="P1547" s="16" t="str">
        <f t="shared" si="225"/>
        <v/>
      </c>
      <c r="Q1547" s="16" t="str">
        <f t="shared" si="225"/>
        <v/>
      </c>
      <c r="R1547" s="5" t="str">
        <f t="shared" si="224"/>
        <v/>
      </c>
      <c r="S1547" s="5" t="str">
        <f t="shared" si="228"/>
        <v/>
      </c>
      <c r="T1547" s="5" t="str">
        <f t="shared" si="230"/>
        <v/>
      </c>
      <c r="U1547" s="5" t="str">
        <f t="shared" si="230"/>
        <v/>
      </c>
    </row>
    <row r="1548" spans="7:21" x14ac:dyDescent="0.2">
      <c r="G1548" s="8"/>
      <c r="H1548" s="5"/>
      <c r="J1548" s="10" t="str">
        <f t="shared" si="226"/>
        <v/>
      </c>
      <c r="K1548" s="10" t="str">
        <f t="shared" si="227"/>
        <v/>
      </c>
      <c r="L1548" s="11" t="str">
        <f t="shared" si="229"/>
        <v/>
      </c>
      <c r="M1548" s="9" t="str">
        <f>IF(G1548&lt;&gt;"",J1548/MAX(J$3:J1548)-1,"")</f>
        <v/>
      </c>
      <c r="N1548" s="9" t="str">
        <f>IF(G1548&lt;&gt;"",K1548/MAX(K$3:K1548)-1,"")</f>
        <v/>
      </c>
      <c r="O1548" s="16" t="str">
        <f t="shared" si="225"/>
        <v/>
      </c>
      <c r="P1548" s="16" t="str">
        <f t="shared" si="225"/>
        <v/>
      </c>
      <c r="Q1548" s="16" t="str">
        <f t="shared" si="225"/>
        <v/>
      </c>
      <c r="R1548" s="5" t="str">
        <f t="shared" si="224"/>
        <v/>
      </c>
      <c r="S1548" s="5" t="str">
        <f t="shared" si="228"/>
        <v/>
      </c>
      <c r="T1548" s="5" t="str">
        <f t="shared" si="230"/>
        <v/>
      </c>
      <c r="U1548" s="5" t="str">
        <f t="shared" si="230"/>
        <v/>
      </c>
    </row>
    <row r="1549" spans="7:21" x14ac:dyDescent="0.2">
      <c r="G1549" s="8"/>
      <c r="H1549" s="5"/>
      <c r="J1549" s="10" t="str">
        <f t="shared" si="226"/>
        <v/>
      </c>
      <c r="K1549" s="10" t="str">
        <f t="shared" si="227"/>
        <v/>
      </c>
      <c r="L1549" s="11" t="str">
        <f t="shared" si="229"/>
        <v/>
      </c>
      <c r="M1549" s="9" t="str">
        <f>IF(G1549&lt;&gt;"",J1549/MAX(J$3:J1549)-1,"")</f>
        <v/>
      </c>
      <c r="N1549" s="9" t="str">
        <f>IF(G1549&lt;&gt;"",K1549/MAX(K$3:K1549)-1,"")</f>
        <v/>
      </c>
      <c r="O1549" s="16" t="str">
        <f t="shared" si="225"/>
        <v/>
      </c>
      <c r="P1549" s="16" t="str">
        <f t="shared" si="225"/>
        <v/>
      </c>
      <c r="Q1549" s="16" t="str">
        <f t="shared" si="225"/>
        <v/>
      </c>
      <c r="R1549" s="5" t="str">
        <f t="shared" si="224"/>
        <v/>
      </c>
      <c r="S1549" s="5" t="str">
        <f t="shared" si="228"/>
        <v/>
      </c>
      <c r="T1549" s="5" t="str">
        <f t="shared" si="230"/>
        <v/>
      </c>
      <c r="U1549" s="5" t="str">
        <f t="shared" si="230"/>
        <v/>
      </c>
    </row>
    <row r="1550" spans="7:21" x14ac:dyDescent="0.2">
      <c r="G1550" s="8"/>
      <c r="H1550" s="5"/>
      <c r="J1550" s="10" t="str">
        <f t="shared" si="226"/>
        <v/>
      </c>
      <c r="K1550" s="10" t="str">
        <f t="shared" si="227"/>
        <v/>
      </c>
      <c r="L1550" s="11" t="str">
        <f t="shared" si="229"/>
        <v/>
      </c>
      <c r="M1550" s="9" t="str">
        <f>IF(G1550&lt;&gt;"",J1550/MAX(J$3:J1550)-1,"")</f>
        <v/>
      </c>
      <c r="N1550" s="9" t="str">
        <f>IF(G1550&lt;&gt;"",K1550/MAX(K$3:K1550)-1,"")</f>
        <v/>
      </c>
      <c r="O1550" s="16" t="str">
        <f t="shared" si="225"/>
        <v/>
      </c>
      <c r="P1550" s="16" t="str">
        <f t="shared" si="225"/>
        <v/>
      </c>
      <c r="Q1550" s="16" t="str">
        <f t="shared" si="225"/>
        <v/>
      </c>
      <c r="R1550" s="5" t="str">
        <f t="shared" si="224"/>
        <v/>
      </c>
      <c r="S1550" s="5" t="str">
        <f t="shared" si="228"/>
        <v/>
      </c>
      <c r="T1550" s="5" t="str">
        <f t="shared" si="230"/>
        <v/>
      </c>
      <c r="U1550" s="5" t="str">
        <f t="shared" si="230"/>
        <v/>
      </c>
    </row>
    <row r="1551" spans="7:21" x14ac:dyDescent="0.2">
      <c r="G1551" s="8"/>
      <c r="H1551" s="5"/>
      <c r="J1551" s="10" t="str">
        <f t="shared" si="226"/>
        <v/>
      </c>
      <c r="K1551" s="10" t="str">
        <f t="shared" si="227"/>
        <v/>
      </c>
      <c r="L1551" s="11" t="str">
        <f t="shared" si="229"/>
        <v/>
      </c>
      <c r="M1551" s="9" t="str">
        <f>IF(G1551&lt;&gt;"",J1551/MAX(J$3:J1551)-1,"")</f>
        <v/>
      </c>
      <c r="N1551" s="9" t="str">
        <f>IF(G1551&lt;&gt;"",K1551/MAX(K$3:K1551)-1,"")</f>
        <v/>
      </c>
      <c r="O1551" s="16" t="str">
        <f t="shared" si="225"/>
        <v/>
      </c>
      <c r="P1551" s="16" t="str">
        <f t="shared" si="225"/>
        <v/>
      </c>
      <c r="Q1551" s="16" t="str">
        <f t="shared" si="225"/>
        <v/>
      </c>
      <c r="R1551" s="5" t="str">
        <f t="shared" si="224"/>
        <v/>
      </c>
      <c r="S1551" s="5" t="str">
        <f t="shared" si="228"/>
        <v/>
      </c>
      <c r="T1551" s="5" t="str">
        <f t="shared" si="230"/>
        <v/>
      </c>
      <c r="U1551" s="5" t="str">
        <f t="shared" si="230"/>
        <v/>
      </c>
    </row>
    <row r="1552" spans="7:21" x14ac:dyDescent="0.2">
      <c r="G1552" s="8"/>
      <c r="H1552" s="5"/>
      <c r="J1552" s="10" t="str">
        <f t="shared" si="226"/>
        <v/>
      </c>
      <c r="K1552" s="10" t="str">
        <f t="shared" si="227"/>
        <v/>
      </c>
      <c r="L1552" s="11" t="str">
        <f t="shared" si="229"/>
        <v/>
      </c>
      <c r="M1552" s="9" t="str">
        <f>IF(G1552&lt;&gt;"",J1552/MAX(J$3:J1552)-1,"")</f>
        <v/>
      </c>
      <c r="N1552" s="9" t="str">
        <f>IF(G1552&lt;&gt;"",K1552/MAX(K$3:K1552)-1,"")</f>
        <v/>
      </c>
      <c r="O1552" s="16" t="str">
        <f t="shared" si="225"/>
        <v/>
      </c>
      <c r="P1552" s="16" t="str">
        <f t="shared" si="225"/>
        <v/>
      </c>
      <c r="Q1552" s="16" t="str">
        <f t="shared" si="225"/>
        <v/>
      </c>
      <c r="R1552" s="5" t="str">
        <f t="shared" si="224"/>
        <v/>
      </c>
      <c r="S1552" s="5" t="str">
        <f t="shared" si="228"/>
        <v/>
      </c>
      <c r="T1552" s="5" t="str">
        <f t="shared" si="230"/>
        <v/>
      </c>
      <c r="U1552" s="5" t="str">
        <f t="shared" si="230"/>
        <v/>
      </c>
    </row>
    <row r="1553" spans="7:21" x14ac:dyDescent="0.2">
      <c r="G1553" s="8"/>
      <c r="H1553" s="5"/>
      <c r="J1553" s="10" t="str">
        <f t="shared" si="226"/>
        <v/>
      </c>
      <c r="K1553" s="10" t="str">
        <f t="shared" si="227"/>
        <v/>
      </c>
      <c r="L1553" s="11" t="str">
        <f t="shared" si="229"/>
        <v/>
      </c>
      <c r="M1553" s="9" t="str">
        <f>IF(G1553&lt;&gt;"",J1553/MAX(J$3:J1553)-1,"")</f>
        <v/>
      </c>
      <c r="N1553" s="9" t="str">
        <f>IF(G1553&lt;&gt;"",K1553/MAX(K$3:K1553)-1,"")</f>
        <v/>
      </c>
      <c r="O1553" s="16" t="str">
        <f t="shared" si="225"/>
        <v/>
      </c>
      <c r="P1553" s="16" t="str">
        <f t="shared" si="225"/>
        <v/>
      </c>
      <c r="Q1553" s="16" t="str">
        <f t="shared" si="225"/>
        <v/>
      </c>
      <c r="R1553" s="5" t="str">
        <f t="shared" si="224"/>
        <v/>
      </c>
      <c r="S1553" s="5" t="str">
        <f t="shared" si="228"/>
        <v/>
      </c>
      <c r="T1553" s="5" t="str">
        <f t="shared" si="230"/>
        <v/>
      </c>
      <c r="U1553" s="5" t="str">
        <f t="shared" si="230"/>
        <v/>
      </c>
    </row>
    <row r="1554" spans="7:21" x14ac:dyDescent="0.2">
      <c r="G1554" s="8"/>
      <c r="H1554" s="5"/>
      <c r="J1554" s="10" t="str">
        <f t="shared" si="226"/>
        <v/>
      </c>
      <c r="K1554" s="10" t="str">
        <f t="shared" si="227"/>
        <v/>
      </c>
      <c r="L1554" s="11" t="str">
        <f t="shared" si="229"/>
        <v/>
      </c>
      <c r="M1554" s="9" t="str">
        <f>IF(G1554&lt;&gt;"",J1554/MAX(J$3:J1554)-1,"")</f>
        <v/>
      </c>
      <c r="N1554" s="9" t="str">
        <f>IF(G1554&lt;&gt;"",K1554/MAX(K$3:K1554)-1,"")</f>
        <v/>
      </c>
      <c r="O1554" s="16" t="str">
        <f t="shared" si="225"/>
        <v/>
      </c>
      <c r="P1554" s="16" t="str">
        <f t="shared" si="225"/>
        <v/>
      </c>
      <c r="Q1554" s="16" t="str">
        <f t="shared" si="225"/>
        <v/>
      </c>
      <c r="R1554" s="5" t="str">
        <f t="shared" si="224"/>
        <v/>
      </c>
      <c r="S1554" s="5" t="str">
        <f t="shared" si="228"/>
        <v/>
      </c>
      <c r="T1554" s="5" t="str">
        <f t="shared" si="230"/>
        <v/>
      </c>
      <c r="U1554" s="5" t="str">
        <f t="shared" si="230"/>
        <v/>
      </c>
    </row>
    <row r="1555" spans="7:21" x14ac:dyDescent="0.2">
      <c r="G1555" s="8"/>
      <c r="H1555" s="5"/>
      <c r="J1555" s="10" t="str">
        <f t="shared" si="226"/>
        <v/>
      </c>
      <c r="K1555" s="10" t="str">
        <f t="shared" si="227"/>
        <v/>
      </c>
      <c r="L1555" s="11" t="str">
        <f t="shared" si="229"/>
        <v/>
      </c>
      <c r="M1555" s="9" t="str">
        <f>IF(G1555&lt;&gt;"",J1555/MAX(J$3:J1555)-1,"")</f>
        <v/>
      </c>
      <c r="N1555" s="9" t="str">
        <f>IF(G1555&lt;&gt;"",K1555/MAX(K$3:K1555)-1,"")</f>
        <v/>
      </c>
      <c r="O1555" s="16" t="str">
        <f t="shared" si="225"/>
        <v/>
      </c>
      <c r="P1555" s="16" t="str">
        <f t="shared" si="225"/>
        <v/>
      </c>
      <c r="Q1555" s="16" t="str">
        <f t="shared" si="225"/>
        <v/>
      </c>
      <c r="R1555" s="5" t="str">
        <f t="shared" si="224"/>
        <v/>
      </c>
      <c r="S1555" s="5" t="str">
        <f t="shared" si="228"/>
        <v/>
      </c>
      <c r="T1555" s="5" t="str">
        <f t="shared" si="230"/>
        <v/>
      </c>
      <c r="U1555" s="5" t="str">
        <f t="shared" si="230"/>
        <v/>
      </c>
    </row>
    <row r="1556" spans="7:21" x14ac:dyDescent="0.2">
      <c r="G1556" s="8"/>
      <c r="H1556" s="5"/>
      <c r="J1556" s="10" t="str">
        <f t="shared" si="226"/>
        <v/>
      </c>
      <c r="K1556" s="10" t="str">
        <f t="shared" si="227"/>
        <v/>
      </c>
      <c r="L1556" s="11" t="str">
        <f t="shared" si="229"/>
        <v/>
      </c>
      <c r="M1556" s="9" t="str">
        <f>IF(G1556&lt;&gt;"",J1556/MAX(J$3:J1556)-1,"")</f>
        <v/>
      </c>
      <c r="N1556" s="9" t="str">
        <f>IF(G1556&lt;&gt;"",K1556/MAX(K$3:K1556)-1,"")</f>
        <v/>
      </c>
      <c r="O1556" s="16" t="str">
        <f t="shared" si="225"/>
        <v/>
      </c>
      <c r="P1556" s="16" t="str">
        <f t="shared" si="225"/>
        <v/>
      </c>
      <c r="Q1556" s="16" t="str">
        <f t="shared" si="225"/>
        <v/>
      </c>
      <c r="R1556" s="5" t="str">
        <f t="shared" si="224"/>
        <v/>
      </c>
      <c r="S1556" s="5" t="str">
        <f t="shared" si="228"/>
        <v/>
      </c>
      <c r="T1556" s="5" t="str">
        <f t="shared" si="230"/>
        <v/>
      </c>
      <c r="U1556" s="5" t="str">
        <f t="shared" si="230"/>
        <v/>
      </c>
    </row>
    <row r="1557" spans="7:21" x14ac:dyDescent="0.2">
      <c r="G1557" s="8"/>
      <c r="H1557" s="5"/>
      <c r="J1557" s="10" t="str">
        <f t="shared" si="226"/>
        <v/>
      </c>
      <c r="K1557" s="10" t="str">
        <f t="shared" si="227"/>
        <v/>
      </c>
      <c r="L1557" s="11" t="str">
        <f t="shared" si="229"/>
        <v/>
      </c>
      <c r="M1557" s="9" t="str">
        <f>IF(G1557&lt;&gt;"",J1557/MAX(J$3:J1557)-1,"")</f>
        <v/>
      </c>
      <c r="N1557" s="9" t="str">
        <f>IF(G1557&lt;&gt;"",K1557/MAX(K$3:K1557)-1,"")</f>
        <v/>
      </c>
      <c r="O1557" s="16" t="str">
        <f t="shared" si="225"/>
        <v/>
      </c>
      <c r="P1557" s="16" t="str">
        <f t="shared" si="225"/>
        <v/>
      </c>
      <c r="Q1557" s="16" t="str">
        <f t="shared" si="225"/>
        <v/>
      </c>
      <c r="R1557" s="5" t="str">
        <f t="shared" si="224"/>
        <v/>
      </c>
      <c r="S1557" s="5" t="str">
        <f t="shared" si="228"/>
        <v/>
      </c>
      <c r="T1557" s="5" t="str">
        <f t="shared" si="230"/>
        <v/>
      </c>
      <c r="U1557" s="5" t="str">
        <f t="shared" si="230"/>
        <v/>
      </c>
    </row>
    <row r="1558" spans="7:21" x14ac:dyDescent="0.2">
      <c r="G1558" s="8"/>
      <c r="H1558" s="5"/>
      <c r="J1558" s="10" t="str">
        <f t="shared" si="226"/>
        <v/>
      </c>
      <c r="K1558" s="10" t="str">
        <f t="shared" si="227"/>
        <v/>
      </c>
      <c r="L1558" s="11" t="str">
        <f t="shared" si="229"/>
        <v/>
      </c>
      <c r="M1558" s="9" t="str">
        <f>IF(G1558&lt;&gt;"",J1558/MAX(J$3:J1558)-1,"")</f>
        <v/>
      </c>
      <c r="N1558" s="9" t="str">
        <f>IF(G1558&lt;&gt;"",K1558/MAX(K$3:K1558)-1,"")</f>
        <v/>
      </c>
      <c r="O1558" s="16" t="str">
        <f t="shared" si="225"/>
        <v/>
      </c>
      <c r="P1558" s="16" t="str">
        <f t="shared" si="225"/>
        <v/>
      </c>
      <c r="Q1558" s="16" t="str">
        <f t="shared" si="225"/>
        <v/>
      </c>
      <c r="R1558" s="5" t="str">
        <f t="shared" si="224"/>
        <v/>
      </c>
      <c r="S1558" s="5" t="str">
        <f t="shared" si="228"/>
        <v/>
      </c>
      <c r="T1558" s="5" t="str">
        <f t="shared" si="230"/>
        <v/>
      </c>
      <c r="U1558" s="5" t="str">
        <f t="shared" si="230"/>
        <v/>
      </c>
    </row>
    <row r="1559" spans="7:21" x14ac:dyDescent="0.2">
      <c r="G1559" s="8"/>
      <c r="H1559" s="5"/>
      <c r="J1559" s="10" t="str">
        <f t="shared" si="226"/>
        <v/>
      </c>
      <c r="K1559" s="10" t="str">
        <f t="shared" si="227"/>
        <v/>
      </c>
      <c r="L1559" s="11" t="str">
        <f t="shared" si="229"/>
        <v/>
      </c>
      <c r="M1559" s="9" t="str">
        <f>IF(G1559&lt;&gt;"",J1559/MAX(J$3:J1559)-1,"")</f>
        <v/>
      </c>
      <c r="N1559" s="9" t="str">
        <f>IF(G1559&lt;&gt;"",K1559/MAX(K$3:K1559)-1,"")</f>
        <v/>
      </c>
      <c r="O1559" s="16" t="str">
        <f t="shared" si="225"/>
        <v/>
      </c>
      <c r="P1559" s="16" t="str">
        <f t="shared" si="225"/>
        <v/>
      </c>
      <c r="Q1559" s="16" t="str">
        <f t="shared" si="225"/>
        <v/>
      </c>
      <c r="R1559" s="5" t="str">
        <f t="shared" si="224"/>
        <v/>
      </c>
      <c r="S1559" s="5" t="str">
        <f t="shared" si="228"/>
        <v/>
      </c>
      <c r="T1559" s="5" t="str">
        <f t="shared" si="230"/>
        <v/>
      </c>
      <c r="U1559" s="5" t="str">
        <f t="shared" si="230"/>
        <v/>
      </c>
    </row>
    <row r="1560" spans="7:21" x14ac:dyDescent="0.2">
      <c r="G1560" s="8"/>
      <c r="H1560" s="5"/>
      <c r="J1560" s="10" t="str">
        <f t="shared" si="226"/>
        <v/>
      </c>
      <c r="K1560" s="10" t="str">
        <f t="shared" si="227"/>
        <v/>
      </c>
      <c r="L1560" s="11" t="str">
        <f t="shared" si="229"/>
        <v/>
      </c>
      <c r="M1560" s="9" t="str">
        <f>IF(G1560&lt;&gt;"",J1560/MAX(J$3:J1560)-1,"")</f>
        <v/>
      </c>
      <c r="N1560" s="9" t="str">
        <f>IF(G1560&lt;&gt;"",K1560/MAX(K$3:K1560)-1,"")</f>
        <v/>
      </c>
      <c r="O1560" s="16" t="str">
        <f t="shared" si="225"/>
        <v/>
      </c>
      <c r="P1560" s="16" t="str">
        <f t="shared" si="225"/>
        <v/>
      </c>
      <c r="Q1560" s="16" t="str">
        <f t="shared" si="225"/>
        <v/>
      </c>
      <c r="R1560" s="5" t="str">
        <f t="shared" si="224"/>
        <v/>
      </c>
      <c r="S1560" s="5" t="str">
        <f t="shared" si="228"/>
        <v/>
      </c>
      <c r="T1560" s="5" t="str">
        <f t="shared" ref="T1560:U1575" si="231">IF($G1560&lt;&gt;"",_xlfn.STDEV.S(O1316:O1560),"")</f>
        <v/>
      </c>
      <c r="U1560" s="5" t="str">
        <f t="shared" si="231"/>
        <v/>
      </c>
    </row>
    <row r="1561" spans="7:21" x14ac:dyDescent="0.2">
      <c r="G1561" s="8"/>
      <c r="H1561" s="5"/>
      <c r="J1561" s="10" t="str">
        <f t="shared" si="226"/>
        <v/>
      </c>
      <c r="K1561" s="10" t="str">
        <f t="shared" si="227"/>
        <v/>
      </c>
      <c r="L1561" s="11" t="str">
        <f t="shared" si="229"/>
        <v/>
      </c>
      <c r="M1561" s="9" t="str">
        <f>IF(G1561&lt;&gt;"",J1561/MAX(J$3:J1561)-1,"")</f>
        <v/>
      </c>
      <c r="N1561" s="9" t="str">
        <f>IF(G1561&lt;&gt;"",K1561/MAX(K$3:K1561)-1,"")</f>
        <v/>
      </c>
      <c r="O1561" s="16" t="str">
        <f t="shared" si="225"/>
        <v/>
      </c>
      <c r="P1561" s="16" t="str">
        <f t="shared" si="225"/>
        <v/>
      </c>
      <c r="Q1561" s="16" t="str">
        <f t="shared" si="225"/>
        <v/>
      </c>
      <c r="R1561" s="5" t="str">
        <f t="shared" si="224"/>
        <v/>
      </c>
      <c r="S1561" s="5" t="str">
        <f t="shared" si="228"/>
        <v/>
      </c>
      <c r="T1561" s="5" t="str">
        <f t="shared" si="231"/>
        <v/>
      </c>
      <c r="U1561" s="5" t="str">
        <f t="shared" si="231"/>
        <v/>
      </c>
    </row>
    <row r="1562" spans="7:21" x14ac:dyDescent="0.2">
      <c r="G1562" s="8"/>
      <c r="H1562" s="5"/>
      <c r="J1562" s="10" t="str">
        <f t="shared" si="226"/>
        <v/>
      </c>
      <c r="K1562" s="10" t="str">
        <f t="shared" si="227"/>
        <v/>
      </c>
      <c r="L1562" s="11" t="str">
        <f t="shared" si="229"/>
        <v/>
      </c>
      <c r="M1562" s="9" t="str">
        <f>IF(G1562&lt;&gt;"",J1562/MAX(J$3:J1562)-1,"")</f>
        <v/>
      </c>
      <c r="N1562" s="9" t="str">
        <f>IF(G1562&lt;&gt;"",K1562/MAX(K$3:K1562)-1,"")</f>
        <v/>
      </c>
      <c r="O1562" s="16" t="str">
        <f t="shared" si="225"/>
        <v/>
      </c>
      <c r="P1562" s="16" t="str">
        <f t="shared" si="225"/>
        <v/>
      </c>
      <c r="Q1562" s="16" t="str">
        <f t="shared" si="225"/>
        <v/>
      </c>
      <c r="R1562" s="5" t="str">
        <f t="shared" si="224"/>
        <v/>
      </c>
      <c r="S1562" s="5" t="str">
        <f t="shared" si="228"/>
        <v/>
      </c>
      <c r="T1562" s="5" t="str">
        <f t="shared" si="231"/>
        <v/>
      </c>
      <c r="U1562" s="5" t="str">
        <f t="shared" si="231"/>
        <v/>
      </c>
    </row>
    <row r="1563" spans="7:21" x14ac:dyDescent="0.2">
      <c r="G1563" s="8"/>
      <c r="H1563" s="5"/>
      <c r="J1563" s="10" t="str">
        <f t="shared" si="226"/>
        <v/>
      </c>
      <c r="K1563" s="10" t="str">
        <f t="shared" si="227"/>
        <v/>
      </c>
      <c r="L1563" s="11" t="str">
        <f t="shared" si="229"/>
        <v/>
      </c>
      <c r="M1563" s="9" t="str">
        <f>IF(G1563&lt;&gt;"",J1563/MAX(J$3:J1563)-1,"")</f>
        <v/>
      </c>
      <c r="N1563" s="9" t="str">
        <f>IF(G1563&lt;&gt;"",K1563/MAX(K$3:K1563)-1,"")</f>
        <v/>
      </c>
      <c r="O1563" s="16" t="str">
        <f t="shared" si="225"/>
        <v/>
      </c>
      <c r="P1563" s="16" t="str">
        <f t="shared" si="225"/>
        <v/>
      </c>
      <c r="Q1563" s="16" t="str">
        <f t="shared" si="225"/>
        <v/>
      </c>
      <c r="R1563" s="5" t="str">
        <f t="shared" si="224"/>
        <v/>
      </c>
      <c r="S1563" s="5" t="str">
        <f t="shared" si="228"/>
        <v/>
      </c>
      <c r="T1563" s="5" t="str">
        <f t="shared" si="231"/>
        <v/>
      </c>
      <c r="U1563" s="5" t="str">
        <f t="shared" si="231"/>
        <v/>
      </c>
    </row>
    <row r="1564" spans="7:21" x14ac:dyDescent="0.2">
      <c r="G1564" s="8"/>
      <c r="H1564" s="5"/>
      <c r="J1564" s="10" t="str">
        <f t="shared" si="226"/>
        <v/>
      </c>
      <c r="K1564" s="10" t="str">
        <f t="shared" si="227"/>
        <v/>
      </c>
      <c r="L1564" s="11" t="str">
        <f t="shared" si="229"/>
        <v/>
      </c>
      <c r="M1564" s="9" t="str">
        <f>IF(G1564&lt;&gt;"",J1564/MAX(J$3:J1564)-1,"")</f>
        <v/>
      </c>
      <c r="N1564" s="9" t="str">
        <f>IF(G1564&lt;&gt;"",K1564/MAX(K$3:K1564)-1,"")</f>
        <v/>
      </c>
      <c r="O1564" s="16" t="str">
        <f t="shared" si="225"/>
        <v/>
      </c>
      <c r="P1564" s="16" t="str">
        <f t="shared" si="225"/>
        <v/>
      </c>
      <c r="Q1564" s="16" t="str">
        <f t="shared" si="225"/>
        <v/>
      </c>
      <c r="R1564" s="5" t="str">
        <f t="shared" si="224"/>
        <v/>
      </c>
      <c r="S1564" s="5" t="str">
        <f t="shared" si="228"/>
        <v/>
      </c>
      <c r="T1564" s="5" t="str">
        <f t="shared" si="231"/>
        <v/>
      </c>
      <c r="U1564" s="5" t="str">
        <f t="shared" si="231"/>
        <v/>
      </c>
    </row>
    <row r="1565" spans="7:21" x14ac:dyDescent="0.2">
      <c r="G1565" s="8"/>
      <c r="H1565" s="5"/>
      <c r="J1565" s="10" t="str">
        <f t="shared" si="226"/>
        <v/>
      </c>
      <c r="K1565" s="10" t="str">
        <f t="shared" si="227"/>
        <v/>
      </c>
      <c r="L1565" s="11" t="str">
        <f t="shared" si="229"/>
        <v/>
      </c>
      <c r="M1565" s="9" t="str">
        <f>IF(G1565&lt;&gt;"",J1565/MAX(J$3:J1565)-1,"")</f>
        <v/>
      </c>
      <c r="N1565" s="9" t="str">
        <f>IF(G1565&lt;&gt;"",K1565/MAX(K$3:K1565)-1,"")</f>
        <v/>
      </c>
      <c r="O1565" s="16" t="str">
        <f t="shared" si="225"/>
        <v/>
      </c>
      <c r="P1565" s="16" t="str">
        <f t="shared" si="225"/>
        <v/>
      </c>
      <c r="Q1565" s="16" t="str">
        <f t="shared" si="225"/>
        <v/>
      </c>
      <c r="R1565" s="5" t="str">
        <f t="shared" si="224"/>
        <v/>
      </c>
      <c r="S1565" s="5" t="str">
        <f t="shared" si="228"/>
        <v/>
      </c>
      <c r="T1565" s="5" t="str">
        <f t="shared" si="231"/>
        <v/>
      </c>
      <c r="U1565" s="5" t="str">
        <f t="shared" si="231"/>
        <v/>
      </c>
    </row>
    <row r="1566" spans="7:21" x14ac:dyDescent="0.2">
      <c r="G1566" s="8"/>
      <c r="H1566" s="5"/>
      <c r="J1566" s="10" t="str">
        <f t="shared" si="226"/>
        <v/>
      </c>
      <c r="K1566" s="10" t="str">
        <f t="shared" si="227"/>
        <v/>
      </c>
      <c r="L1566" s="11" t="str">
        <f t="shared" si="229"/>
        <v/>
      </c>
      <c r="M1566" s="9" t="str">
        <f>IF(G1566&lt;&gt;"",J1566/MAX(J$3:J1566)-1,"")</f>
        <v/>
      </c>
      <c r="N1566" s="9" t="str">
        <f>IF(G1566&lt;&gt;"",K1566/MAX(K$3:K1566)-1,"")</f>
        <v/>
      </c>
      <c r="O1566" s="16" t="str">
        <f t="shared" si="225"/>
        <v/>
      </c>
      <c r="P1566" s="16" t="str">
        <f t="shared" si="225"/>
        <v/>
      </c>
      <c r="Q1566" s="16" t="str">
        <f t="shared" si="225"/>
        <v/>
      </c>
      <c r="R1566" s="5" t="str">
        <f t="shared" si="224"/>
        <v/>
      </c>
      <c r="S1566" s="5" t="str">
        <f t="shared" si="228"/>
        <v/>
      </c>
      <c r="T1566" s="5" t="str">
        <f t="shared" si="231"/>
        <v/>
      </c>
      <c r="U1566" s="5" t="str">
        <f t="shared" si="231"/>
        <v/>
      </c>
    </row>
    <row r="1567" spans="7:21" x14ac:dyDescent="0.2">
      <c r="G1567" s="8"/>
      <c r="H1567" s="5"/>
      <c r="J1567" s="10" t="str">
        <f t="shared" si="226"/>
        <v/>
      </c>
      <c r="K1567" s="10" t="str">
        <f t="shared" si="227"/>
        <v/>
      </c>
      <c r="L1567" s="11" t="str">
        <f t="shared" si="229"/>
        <v/>
      </c>
      <c r="M1567" s="9" t="str">
        <f>IF(G1567&lt;&gt;"",J1567/MAX(J$3:J1567)-1,"")</f>
        <v/>
      </c>
      <c r="N1567" s="9" t="str">
        <f>IF(G1567&lt;&gt;"",K1567/MAX(K$3:K1567)-1,"")</f>
        <v/>
      </c>
      <c r="O1567" s="16" t="str">
        <f t="shared" si="225"/>
        <v/>
      </c>
      <c r="P1567" s="16" t="str">
        <f t="shared" si="225"/>
        <v/>
      </c>
      <c r="Q1567" s="16" t="str">
        <f t="shared" si="225"/>
        <v/>
      </c>
      <c r="R1567" s="5" t="str">
        <f t="shared" si="224"/>
        <v/>
      </c>
      <c r="S1567" s="5" t="str">
        <f t="shared" si="228"/>
        <v/>
      </c>
      <c r="T1567" s="5" t="str">
        <f t="shared" si="231"/>
        <v/>
      </c>
      <c r="U1567" s="5" t="str">
        <f t="shared" si="231"/>
        <v/>
      </c>
    </row>
    <row r="1568" spans="7:21" x14ac:dyDescent="0.2">
      <c r="G1568" s="8"/>
      <c r="H1568" s="5"/>
      <c r="J1568" s="10" t="str">
        <f t="shared" si="226"/>
        <v/>
      </c>
      <c r="K1568" s="10" t="str">
        <f t="shared" si="227"/>
        <v/>
      </c>
      <c r="L1568" s="11" t="str">
        <f t="shared" si="229"/>
        <v/>
      </c>
      <c r="M1568" s="9" t="str">
        <f>IF(G1568&lt;&gt;"",J1568/MAX(J$3:J1568)-1,"")</f>
        <v/>
      </c>
      <c r="N1568" s="9" t="str">
        <f>IF(G1568&lt;&gt;"",K1568/MAX(K$3:K1568)-1,"")</f>
        <v/>
      </c>
      <c r="O1568" s="16" t="str">
        <f t="shared" si="225"/>
        <v/>
      </c>
      <c r="P1568" s="16" t="str">
        <f t="shared" si="225"/>
        <v/>
      </c>
      <c r="Q1568" s="16" t="str">
        <f t="shared" si="225"/>
        <v/>
      </c>
      <c r="R1568" s="5" t="str">
        <f t="shared" si="224"/>
        <v/>
      </c>
      <c r="S1568" s="5" t="str">
        <f t="shared" si="228"/>
        <v/>
      </c>
      <c r="T1568" s="5" t="str">
        <f t="shared" si="231"/>
        <v/>
      </c>
      <c r="U1568" s="5" t="str">
        <f t="shared" si="231"/>
        <v/>
      </c>
    </row>
    <row r="1569" spans="7:21" x14ac:dyDescent="0.2">
      <c r="G1569" s="8"/>
      <c r="H1569" s="5"/>
      <c r="J1569" s="10" t="str">
        <f t="shared" si="226"/>
        <v/>
      </c>
      <c r="K1569" s="10" t="str">
        <f t="shared" si="227"/>
        <v/>
      </c>
      <c r="L1569" s="11" t="str">
        <f t="shared" si="229"/>
        <v/>
      </c>
      <c r="M1569" s="9" t="str">
        <f>IF(G1569&lt;&gt;"",J1569/MAX(J$3:J1569)-1,"")</f>
        <v/>
      </c>
      <c r="N1569" s="9" t="str">
        <f>IF(G1569&lt;&gt;"",K1569/MAX(K$3:K1569)-1,"")</f>
        <v/>
      </c>
      <c r="O1569" s="16" t="str">
        <f t="shared" si="225"/>
        <v/>
      </c>
      <c r="P1569" s="16" t="str">
        <f t="shared" si="225"/>
        <v/>
      </c>
      <c r="Q1569" s="16" t="str">
        <f t="shared" si="225"/>
        <v/>
      </c>
      <c r="R1569" s="5" t="str">
        <f t="shared" si="224"/>
        <v/>
      </c>
      <c r="S1569" s="5" t="str">
        <f t="shared" si="228"/>
        <v/>
      </c>
      <c r="T1569" s="5" t="str">
        <f t="shared" si="231"/>
        <v/>
      </c>
      <c r="U1569" s="5" t="str">
        <f t="shared" si="231"/>
        <v/>
      </c>
    </row>
    <row r="1570" spans="7:21" x14ac:dyDescent="0.2">
      <c r="G1570" s="8"/>
      <c r="H1570" s="5"/>
      <c r="J1570" s="10" t="str">
        <f t="shared" si="226"/>
        <v/>
      </c>
      <c r="K1570" s="10" t="str">
        <f t="shared" si="227"/>
        <v/>
      </c>
      <c r="L1570" s="11" t="str">
        <f t="shared" si="229"/>
        <v/>
      </c>
      <c r="M1570" s="9" t="str">
        <f>IF(G1570&lt;&gt;"",J1570/MAX(J$3:J1570)-1,"")</f>
        <v/>
      </c>
      <c r="N1570" s="9" t="str">
        <f>IF(G1570&lt;&gt;"",K1570/MAX(K$3:K1570)-1,"")</f>
        <v/>
      </c>
      <c r="O1570" s="16" t="str">
        <f t="shared" si="225"/>
        <v/>
      </c>
      <c r="P1570" s="16" t="str">
        <f t="shared" si="225"/>
        <v/>
      </c>
      <c r="Q1570" s="16" t="str">
        <f t="shared" si="225"/>
        <v/>
      </c>
      <c r="R1570" s="5" t="str">
        <f t="shared" si="224"/>
        <v/>
      </c>
      <c r="S1570" s="5" t="str">
        <f t="shared" si="228"/>
        <v/>
      </c>
      <c r="T1570" s="5" t="str">
        <f t="shared" si="231"/>
        <v/>
      </c>
      <c r="U1570" s="5" t="str">
        <f t="shared" si="231"/>
        <v/>
      </c>
    </row>
    <row r="1571" spans="7:21" x14ac:dyDescent="0.2">
      <c r="G1571" s="8"/>
      <c r="H1571" s="5"/>
      <c r="J1571" s="10" t="str">
        <f t="shared" si="226"/>
        <v/>
      </c>
      <c r="K1571" s="10" t="str">
        <f t="shared" si="227"/>
        <v/>
      </c>
      <c r="L1571" s="11" t="str">
        <f t="shared" si="229"/>
        <v/>
      </c>
      <c r="M1571" s="9" t="str">
        <f>IF(G1571&lt;&gt;"",J1571/MAX(J$3:J1571)-1,"")</f>
        <v/>
      </c>
      <c r="N1571" s="9" t="str">
        <f>IF(G1571&lt;&gt;"",K1571/MAX(K$3:K1571)-1,"")</f>
        <v/>
      </c>
      <c r="O1571" s="16" t="str">
        <f t="shared" si="225"/>
        <v/>
      </c>
      <c r="P1571" s="16" t="str">
        <f t="shared" si="225"/>
        <v/>
      </c>
      <c r="Q1571" s="16" t="str">
        <f t="shared" si="225"/>
        <v/>
      </c>
      <c r="R1571" s="5" t="str">
        <f t="shared" si="224"/>
        <v/>
      </c>
      <c r="S1571" s="5" t="str">
        <f t="shared" si="228"/>
        <v/>
      </c>
      <c r="T1571" s="5" t="str">
        <f t="shared" si="231"/>
        <v/>
      </c>
      <c r="U1571" s="5" t="str">
        <f t="shared" si="231"/>
        <v/>
      </c>
    </row>
    <row r="1572" spans="7:21" x14ac:dyDescent="0.2">
      <c r="G1572" s="8"/>
      <c r="H1572" s="5"/>
      <c r="J1572" s="10" t="str">
        <f t="shared" si="226"/>
        <v/>
      </c>
      <c r="K1572" s="10" t="str">
        <f t="shared" si="227"/>
        <v/>
      </c>
      <c r="L1572" s="11" t="str">
        <f t="shared" si="229"/>
        <v/>
      </c>
      <c r="M1572" s="9" t="str">
        <f>IF(G1572&lt;&gt;"",J1572/MAX(J$3:J1572)-1,"")</f>
        <v/>
      </c>
      <c r="N1572" s="9" t="str">
        <f>IF(G1572&lt;&gt;"",K1572/MAX(K$3:K1572)-1,"")</f>
        <v/>
      </c>
      <c r="O1572" s="16" t="str">
        <f t="shared" si="225"/>
        <v/>
      </c>
      <c r="P1572" s="16" t="str">
        <f t="shared" si="225"/>
        <v/>
      </c>
      <c r="Q1572" s="16" t="str">
        <f t="shared" si="225"/>
        <v/>
      </c>
      <c r="R1572" s="5" t="str">
        <f t="shared" si="224"/>
        <v/>
      </c>
      <c r="S1572" s="5" t="str">
        <f t="shared" si="228"/>
        <v/>
      </c>
      <c r="T1572" s="5" t="str">
        <f t="shared" si="231"/>
        <v/>
      </c>
      <c r="U1572" s="5" t="str">
        <f t="shared" si="231"/>
        <v/>
      </c>
    </row>
    <row r="1573" spans="7:21" x14ac:dyDescent="0.2">
      <c r="G1573" s="8"/>
      <c r="H1573" s="5"/>
      <c r="J1573" s="10" t="str">
        <f t="shared" si="226"/>
        <v/>
      </c>
      <c r="K1573" s="10" t="str">
        <f t="shared" si="227"/>
        <v/>
      </c>
      <c r="L1573" s="11" t="str">
        <f t="shared" si="229"/>
        <v/>
      </c>
      <c r="M1573" s="9" t="str">
        <f>IF(G1573&lt;&gt;"",J1573/MAX(J$3:J1573)-1,"")</f>
        <v/>
      </c>
      <c r="N1573" s="9" t="str">
        <f>IF(G1573&lt;&gt;"",K1573/MAX(K$3:K1573)-1,"")</f>
        <v/>
      </c>
      <c r="O1573" s="16" t="str">
        <f t="shared" si="225"/>
        <v/>
      </c>
      <c r="P1573" s="16" t="str">
        <f t="shared" si="225"/>
        <v/>
      </c>
      <c r="Q1573" s="16" t="str">
        <f t="shared" si="225"/>
        <v/>
      </c>
      <c r="R1573" s="5" t="str">
        <f t="shared" si="224"/>
        <v/>
      </c>
      <c r="S1573" s="5" t="str">
        <f t="shared" si="228"/>
        <v/>
      </c>
      <c r="T1573" s="5" t="str">
        <f t="shared" si="231"/>
        <v/>
      </c>
      <c r="U1573" s="5" t="str">
        <f t="shared" si="231"/>
        <v/>
      </c>
    </row>
    <row r="1574" spans="7:21" x14ac:dyDescent="0.2">
      <c r="G1574" s="8"/>
      <c r="H1574" s="5"/>
      <c r="J1574" s="10" t="str">
        <f t="shared" si="226"/>
        <v/>
      </c>
      <c r="K1574" s="10" t="str">
        <f t="shared" si="227"/>
        <v/>
      </c>
      <c r="L1574" s="11" t="str">
        <f t="shared" si="229"/>
        <v/>
      </c>
      <c r="M1574" s="9" t="str">
        <f>IF(G1574&lt;&gt;"",J1574/MAX(J$3:J1574)-1,"")</f>
        <v/>
      </c>
      <c r="N1574" s="9" t="str">
        <f>IF(G1574&lt;&gt;"",K1574/MAX(K$3:K1574)-1,"")</f>
        <v/>
      </c>
      <c r="O1574" s="16" t="str">
        <f t="shared" si="225"/>
        <v/>
      </c>
      <c r="P1574" s="16" t="str">
        <f t="shared" si="225"/>
        <v/>
      </c>
      <c r="Q1574" s="16" t="str">
        <f t="shared" si="225"/>
        <v/>
      </c>
      <c r="R1574" s="5" t="str">
        <f t="shared" si="224"/>
        <v/>
      </c>
      <c r="S1574" s="5" t="str">
        <f t="shared" si="228"/>
        <v/>
      </c>
      <c r="T1574" s="5" t="str">
        <f t="shared" si="231"/>
        <v/>
      </c>
      <c r="U1574" s="5" t="str">
        <f t="shared" si="231"/>
        <v/>
      </c>
    </row>
    <row r="1575" spans="7:21" x14ac:dyDescent="0.2">
      <c r="G1575" s="8"/>
      <c r="H1575" s="5"/>
      <c r="J1575" s="10" t="str">
        <f t="shared" si="226"/>
        <v/>
      </c>
      <c r="K1575" s="10" t="str">
        <f t="shared" si="227"/>
        <v/>
      </c>
      <c r="L1575" s="11" t="str">
        <f t="shared" si="229"/>
        <v/>
      </c>
      <c r="M1575" s="9" t="str">
        <f>IF(G1575&lt;&gt;"",J1575/MAX(J$3:J1575)-1,"")</f>
        <v/>
      </c>
      <c r="N1575" s="9" t="str">
        <f>IF(G1575&lt;&gt;"",K1575/MAX(K$3:K1575)-1,"")</f>
        <v/>
      </c>
      <c r="O1575" s="16" t="str">
        <f t="shared" si="225"/>
        <v/>
      </c>
      <c r="P1575" s="16" t="str">
        <f t="shared" si="225"/>
        <v/>
      </c>
      <c r="Q1575" s="16" t="str">
        <f t="shared" si="225"/>
        <v/>
      </c>
      <c r="R1575" s="5" t="str">
        <f t="shared" si="224"/>
        <v/>
      </c>
      <c r="S1575" s="5" t="str">
        <f t="shared" si="228"/>
        <v/>
      </c>
      <c r="T1575" s="5" t="str">
        <f t="shared" si="231"/>
        <v/>
      </c>
      <c r="U1575" s="5" t="str">
        <f t="shared" si="231"/>
        <v/>
      </c>
    </row>
    <row r="1576" spans="7:21" x14ac:dyDescent="0.2">
      <c r="G1576" s="8"/>
      <c r="H1576" s="5"/>
      <c r="J1576" s="10" t="str">
        <f t="shared" si="226"/>
        <v/>
      </c>
      <c r="K1576" s="10" t="str">
        <f t="shared" si="227"/>
        <v/>
      </c>
      <c r="L1576" s="11" t="str">
        <f t="shared" si="229"/>
        <v/>
      </c>
      <c r="M1576" s="9" t="str">
        <f>IF(G1576&lt;&gt;"",J1576/MAX(J$3:J1576)-1,"")</f>
        <v/>
      </c>
      <c r="N1576" s="9" t="str">
        <f>IF(G1576&lt;&gt;"",K1576/MAX(K$3:K1576)-1,"")</f>
        <v/>
      </c>
      <c r="O1576" s="16" t="str">
        <f t="shared" si="225"/>
        <v/>
      </c>
      <c r="P1576" s="16" t="str">
        <f t="shared" si="225"/>
        <v/>
      </c>
      <c r="Q1576" s="16" t="str">
        <f t="shared" si="225"/>
        <v/>
      </c>
      <c r="R1576" s="5" t="str">
        <f t="shared" si="224"/>
        <v/>
      </c>
      <c r="S1576" s="5" t="str">
        <f t="shared" si="228"/>
        <v/>
      </c>
      <c r="T1576" s="5" t="str">
        <f t="shared" ref="T1576:U1591" si="232">IF($G1576&lt;&gt;"",_xlfn.STDEV.S(O1332:O1576),"")</f>
        <v/>
      </c>
      <c r="U1576" s="5" t="str">
        <f t="shared" si="232"/>
        <v/>
      </c>
    </row>
    <row r="1577" spans="7:21" x14ac:dyDescent="0.2">
      <c r="G1577" s="8"/>
      <c r="H1577" s="5"/>
      <c r="J1577" s="10" t="str">
        <f t="shared" si="226"/>
        <v/>
      </c>
      <c r="K1577" s="10" t="str">
        <f t="shared" si="227"/>
        <v/>
      </c>
      <c r="L1577" s="11" t="str">
        <f t="shared" si="229"/>
        <v/>
      </c>
      <c r="M1577" s="9" t="str">
        <f>IF(G1577&lt;&gt;"",J1577/MAX(J$3:J1577)-1,"")</f>
        <v/>
      </c>
      <c r="N1577" s="9" t="str">
        <f>IF(G1577&lt;&gt;"",K1577/MAX(K$3:K1577)-1,"")</f>
        <v/>
      </c>
      <c r="O1577" s="16" t="str">
        <f t="shared" si="225"/>
        <v/>
      </c>
      <c r="P1577" s="16" t="str">
        <f t="shared" si="225"/>
        <v/>
      </c>
      <c r="Q1577" s="16" t="str">
        <f t="shared" si="225"/>
        <v/>
      </c>
      <c r="R1577" s="5" t="str">
        <f t="shared" si="224"/>
        <v/>
      </c>
      <c r="S1577" s="5" t="str">
        <f t="shared" si="228"/>
        <v/>
      </c>
      <c r="T1577" s="5" t="str">
        <f t="shared" si="232"/>
        <v/>
      </c>
      <c r="U1577" s="5" t="str">
        <f t="shared" si="232"/>
        <v/>
      </c>
    </row>
    <row r="1578" spans="7:21" x14ac:dyDescent="0.2">
      <c r="G1578" s="8"/>
      <c r="H1578" s="5"/>
      <c r="J1578" s="10" t="str">
        <f t="shared" si="226"/>
        <v/>
      </c>
      <c r="K1578" s="10" t="str">
        <f t="shared" si="227"/>
        <v/>
      </c>
      <c r="L1578" s="11" t="str">
        <f t="shared" si="229"/>
        <v/>
      </c>
      <c r="M1578" s="9" t="str">
        <f>IF(G1578&lt;&gt;"",J1578/MAX(J$3:J1578)-1,"")</f>
        <v/>
      </c>
      <c r="N1578" s="9" t="str">
        <f>IF(G1578&lt;&gt;"",K1578/MAX(K$3:K1578)-1,"")</f>
        <v/>
      </c>
      <c r="O1578" s="16" t="str">
        <f t="shared" si="225"/>
        <v/>
      </c>
      <c r="P1578" s="16" t="str">
        <f t="shared" si="225"/>
        <v/>
      </c>
      <c r="Q1578" s="16" t="str">
        <f t="shared" si="225"/>
        <v/>
      </c>
      <c r="R1578" s="5" t="str">
        <f t="shared" si="224"/>
        <v/>
      </c>
      <c r="S1578" s="5" t="str">
        <f t="shared" si="228"/>
        <v/>
      </c>
      <c r="T1578" s="5" t="str">
        <f t="shared" si="232"/>
        <v/>
      </c>
      <c r="U1578" s="5" t="str">
        <f t="shared" si="232"/>
        <v/>
      </c>
    </row>
    <row r="1579" spans="7:21" x14ac:dyDescent="0.2">
      <c r="G1579" s="8"/>
      <c r="H1579" s="5"/>
      <c r="J1579" s="10" t="str">
        <f t="shared" si="226"/>
        <v/>
      </c>
      <c r="K1579" s="10" t="str">
        <f t="shared" si="227"/>
        <v/>
      </c>
      <c r="L1579" s="11" t="str">
        <f t="shared" si="229"/>
        <v/>
      </c>
      <c r="M1579" s="9" t="str">
        <f>IF(G1579&lt;&gt;"",J1579/MAX(J$3:J1579)-1,"")</f>
        <v/>
      </c>
      <c r="N1579" s="9" t="str">
        <f>IF(G1579&lt;&gt;"",K1579/MAX(K$3:K1579)-1,"")</f>
        <v/>
      </c>
      <c r="O1579" s="16" t="str">
        <f t="shared" si="225"/>
        <v/>
      </c>
      <c r="P1579" s="16" t="str">
        <f t="shared" si="225"/>
        <v/>
      </c>
      <c r="Q1579" s="16" t="str">
        <f t="shared" si="225"/>
        <v/>
      </c>
      <c r="R1579" s="5" t="str">
        <f t="shared" si="224"/>
        <v/>
      </c>
      <c r="S1579" s="5" t="str">
        <f t="shared" si="228"/>
        <v/>
      </c>
      <c r="T1579" s="5" t="str">
        <f t="shared" si="232"/>
        <v/>
      </c>
      <c r="U1579" s="5" t="str">
        <f t="shared" si="232"/>
        <v/>
      </c>
    </row>
    <row r="1580" spans="7:21" x14ac:dyDescent="0.2">
      <c r="G1580" s="8"/>
      <c r="H1580" s="5"/>
      <c r="J1580" s="10" t="str">
        <f t="shared" si="226"/>
        <v/>
      </c>
      <c r="K1580" s="10" t="str">
        <f t="shared" si="227"/>
        <v/>
      </c>
      <c r="L1580" s="11" t="str">
        <f t="shared" si="229"/>
        <v/>
      </c>
      <c r="M1580" s="9" t="str">
        <f>IF(G1580&lt;&gt;"",J1580/MAX(J$3:J1580)-1,"")</f>
        <v/>
      </c>
      <c r="N1580" s="9" t="str">
        <f>IF(G1580&lt;&gt;"",K1580/MAX(K$3:K1580)-1,"")</f>
        <v/>
      </c>
      <c r="O1580" s="16" t="str">
        <f t="shared" si="225"/>
        <v/>
      </c>
      <c r="P1580" s="16" t="str">
        <f t="shared" si="225"/>
        <v/>
      </c>
      <c r="Q1580" s="16" t="str">
        <f t="shared" si="225"/>
        <v/>
      </c>
      <c r="R1580" s="5" t="str">
        <f t="shared" si="224"/>
        <v/>
      </c>
      <c r="S1580" s="5" t="str">
        <f t="shared" si="228"/>
        <v/>
      </c>
      <c r="T1580" s="5" t="str">
        <f t="shared" si="232"/>
        <v/>
      </c>
      <c r="U1580" s="5" t="str">
        <f t="shared" si="232"/>
        <v/>
      </c>
    </row>
    <row r="1581" spans="7:21" x14ac:dyDescent="0.2">
      <c r="G1581" s="8"/>
      <c r="H1581" s="5"/>
      <c r="J1581" s="10" t="str">
        <f t="shared" si="226"/>
        <v/>
      </c>
      <c r="K1581" s="10" t="str">
        <f t="shared" si="227"/>
        <v/>
      </c>
      <c r="L1581" s="11" t="str">
        <f t="shared" si="229"/>
        <v/>
      </c>
      <c r="M1581" s="9" t="str">
        <f>IF(G1581&lt;&gt;"",J1581/MAX(J$3:J1581)-1,"")</f>
        <v/>
      </c>
      <c r="N1581" s="9" t="str">
        <f>IF(G1581&lt;&gt;"",K1581/MAX(K$3:K1581)-1,"")</f>
        <v/>
      </c>
      <c r="O1581" s="16" t="str">
        <f t="shared" si="225"/>
        <v/>
      </c>
      <c r="P1581" s="16" t="str">
        <f t="shared" si="225"/>
        <v/>
      </c>
      <c r="Q1581" s="16" t="str">
        <f t="shared" si="225"/>
        <v/>
      </c>
      <c r="R1581" s="5" t="str">
        <f t="shared" si="224"/>
        <v/>
      </c>
      <c r="S1581" s="5" t="str">
        <f t="shared" si="228"/>
        <v/>
      </c>
      <c r="T1581" s="5" t="str">
        <f t="shared" si="232"/>
        <v/>
      </c>
      <c r="U1581" s="5" t="str">
        <f t="shared" si="232"/>
        <v/>
      </c>
    </row>
    <row r="1582" spans="7:21" x14ac:dyDescent="0.2">
      <c r="G1582" s="8"/>
      <c r="H1582" s="5"/>
      <c r="J1582" s="10" t="str">
        <f t="shared" si="226"/>
        <v/>
      </c>
      <c r="K1582" s="10" t="str">
        <f t="shared" si="227"/>
        <v/>
      </c>
      <c r="L1582" s="11" t="str">
        <f t="shared" si="229"/>
        <v/>
      </c>
      <c r="M1582" s="9" t="str">
        <f>IF(G1582&lt;&gt;"",J1582/MAX(J$3:J1582)-1,"")</f>
        <v/>
      </c>
      <c r="N1582" s="9" t="str">
        <f>IF(G1582&lt;&gt;"",K1582/MAX(K$3:K1582)-1,"")</f>
        <v/>
      </c>
      <c r="O1582" s="16" t="str">
        <f t="shared" si="225"/>
        <v/>
      </c>
      <c r="P1582" s="16" t="str">
        <f t="shared" si="225"/>
        <v/>
      </c>
      <c r="Q1582" s="16" t="str">
        <f t="shared" si="225"/>
        <v/>
      </c>
      <c r="R1582" s="5" t="str">
        <f t="shared" si="224"/>
        <v/>
      </c>
      <c r="S1582" s="5" t="str">
        <f t="shared" si="228"/>
        <v/>
      </c>
      <c r="T1582" s="5" t="str">
        <f t="shared" si="232"/>
        <v/>
      </c>
      <c r="U1582" s="5" t="str">
        <f t="shared" si="232"/>
        <v/>
      </c>
    </row>
    <row r="1583" spans="7:21" x14ac:dyDescent="0.2">
      <c r="G1583" s="8"/>
      <c r="H1583" s="5"/>
      <c r="J1583" s="10" t="str">
        <f t="shared" si="226"/>
        <v/>
      </c>
      <c r="K1583" s="10" t="str">
        <f t="shared" si="227"/>
        <v/>
      </c>
      <c r="L1583" s="11" t="str">
        <f t="shared" si="229"/>
        <v/>
      </c>
      <c r="M1583" s="9" t="str">
        <f>IF(G1583&lt;&gt;"",J1583/MAX(J$3:J1583)-1,"")</f>
        <v/>
      </c>
      <c r="N1583" s="9" t="str">
        <f>IF(G1583&lt;&gt;"",K1583/MAX(K$3:K1583)-1,"")</f>
        <v/>
      </c>
      <c r="O1583" s="16" t="str">
        <f t="shared" si="225"/>
        <v/>
      </c>
      <c r="P1583" s="16" t="str">
        <f t="shared" si="225"/>
        <v/>
      </c>
      <c r="Q1583" s="16" t="str">
        <f t="shared" si="225"/>
        <v/>
      </c>
      <c r="R1583" s="5" t="str">
        <f t="shared" si="224"/>
        <v/>
      </c>
      <c r="S1583" s="5" t="str">
        <f t="shared" si="228"/>
        <v/>
      </c>
      <c r="T1583" s="5" t="str">
        <f t="shared" si="232"/>
        <v/>
      </c>
      <c r="U1583" s="5" t="str">
        <f t="shared" si="232"/>
        <v/>
      </c>
    </row>
    <row r="1584" spans="7:21" x14ac:dyDescent="0.2">
      <c r="G1584" s="8"/>
      <c r="H1584" s="5"/>
      <c r="J1584" s="10" t="str">
        <f t="shared" si="226"/>
        <v/>
      </c>
      <c r="K1584" s="10" t="str">
        <f t="shared" si="227"/>
        <v/>
      </c>
      <c r="L1584" s="11" t="str">
        <f t="shared" si="229"/>
        <v/>
      </c>
      <c r="M1584" s="9" t="str">
        <f>IF(G1584&lt;&gt;"",J1584/MAX(J$3:J1584)-1,"")</f>
        <v/>
      </c>
      <c r="N1584" s="9" t="str">
        <f>IF(G1584&lt;&gt;"",K1584/MAX(K$3:K1584)-1,"")</f>
        <v/>
      </c>
      <c r="O1584" s="16" t="str">
        <f t="shared" si="225"/>
        <v/>
      </c>
      <c r="P1584" s="16" t="str">
        <f t="shared" si="225"/>
        <v/>
      </c>
      <c r="Q1584" s="16" t="str">
        <f t="shared" si="225"/>
        <v/>
      </c>
      <c r="R1584" s="5" t="str">
        <f t="shared" si="224"/>
        <v/>
      </c>
      <c r="S1584" s="5" t="str">
        <f t="shared" si="228"/>
        <v/>
      </c>
      <c r="T1584" s="5" t="str">
        <f t="shared" si="232"/>
        <v/>
      </c>
      <c r="U1584" s="5" t="str">
        <f t="shared" si="232"/>
        <v/>
      </c>
    </row>
    <row r="1585" spans="7:21" x14ac:dyDescent="0.2">
      <c r="G1585" s="8"/>
      <c r="H1585" s="5"/>
      <c r="J1585" s="10" t="str">
        <f t="shared" si="226"/>
        <v/>
      </c>
      <c r="K1585" s="10" t="str">
        <f t="shared" si="227"/>
        <v/>
      </c>
      <c r="L1585" s="11" t="str">
        <f t="shared" si="229"/>
        <v/>
      </c>
      <c r="M1585" s="9" t="str">
        <f>IF(G1585&lt;&gt;"",J1585/MAX(J$3:J1585)-1,"")</f>
        <v/>
      </c>
      <c r="N1585" s="9" t="str">
        <f>IF(G1585&lt;&gt;"",K1585/MAX(K$3:K1585)-1,"")</f>
        <v/>
      </c>
      <c r="O1585" s="16" t="str">
        <f t="shared" si="225"/>
        <v/>
      </c>
      <c r="P1585" s="16" t="str">
        <f t="shared" si="225"/>
        <v/>
      </c>
      <c r="Q1585" s="16" t="str">
        <f t="shared" si="225"/>
        <v/>
      </c>
      <c r="R1585" s="5" t="str">
        <f t="shared" si="224"/>
        <v/>
      </c>
      <c r="S1585" s="5" t="str">
        <f t="shared" si="228"/>
        <v/>
      </c>
      <c r="T1585" s="5" t="str">
        <f t="shared" si="232"/>
        <v/>
      </c>
      <c r="U1585" s="5" t="str">
        <f t="shared" si="232"/>
        <v/>
      </c>
    </row>
    <row r="1586" spans="7:21" x14ac:dyDescent="0.2">
      <c r="G1586" s="8"/>
      <c r="H1586" s="5"/>
      <c r="J1586" s="10" t="str">
        <f t="shared" si="226"/>
        <v/>
      </c>
      <c r="K1586" s="10" t="str">
        <f t="shared" si="227"/>
        <v/>
      </c>
      <c r="L1586" s="11" t="str">
        <f t="shared" si="229"/>
        <v/>
      </c>
      <c r="M1586" s="9" t="str">
        <f>IF(G1586&lt;&gt;"",J1586/MAX(J$3:J1586)-1,"")</f>
        <v/>
      </c>
      <c r="N1586" s="9" t="str">
        <f>IF(G1586&lt;&gt;"",K1586/MAX(K$3:K1586)-1,"")</f>
        <v/>
      </c>
      <c r="O1586" s="16" t="str">
        <f t="shared" si="225"/>
        <v/>
      </c>
      <c r="P1586" s="16" t="str">
        <f t="shared" si="225"/>
        <v/>
      </c>
      <c r="Q1586" s="16" t="str">
        <f t="shared" si="225"/>
        <v/>
      </c>
      <c r="R1586" s="5" t="str">
        <f t="shared" si="224"/>
        <v/>
      </c>
      <c r="S1586" s="5" t="str">
        <f t="shared" si="228"/>
        <v/>
      </c>
      <c r="T1586" s="5" t="str">
        <f t="shared" si="232"/>
        <v/>
      </c>
      <c r="U1586" s="5" t="str">
        <f t="shared" si="232"/>
        <v/>
      </c>
    </row>
    <row r="1587" spans="7:21" x14ac:dyDescent="0.2">
      <c r="G1587" s="8"/>
      <c r="H1587" s="5"/>
      <c r="J1587" s="10" t="str">
        <f t="shared" si="226"/>
        <v/>
      </c>
      <c r="K1587" s="10" t="str">
        <f t="shared" si="227"/>
        <v/>
      </c>
      <c r="L1587" s="11" t="str">
        <f t="shared" si="229"/>
        <v/>
      </c>
      <c r="M1587" s="9" t="str">
        <f>IF(G1587&lt;&gt;"",J1587/MAX(J$3:J1587)-1,"")</f>
        <v/>
      </c>
      <c r="N1587" s="9" t="str">
        <f>IF(G1587&lt;&gt;"",K1587/MAX(K$3:K1587)-1,"")</f>
        <v/>
      </c>
      <c r="O1587" s="16" t="str">
        <f t="shared" si="225"/>
        <v/>
      </c>
      <c r="P1587" s="16" t="str">
        <f t="shared" si="225"/>
        <v/>
      </c>
      <c r="Q1587" s="16" t="str">
        <f t="shared" si="225"/>
        <v/>
      </c>
      <c r="R1587" s="5" t="str">
        <f t="shared" si="224"/>
        <v/>
      </c>
      <c r="S1587" s="5" t="str">
        <f t="shared" si="228"/>
        <v/>
      </c>
      <c r="T1587" s="5" t="str">
        <f t="shared" si="232"/>
        <v/>
      </c>
      <c r="U1587" s="5" t="str">
        <f t="shared" si="232"/>
        <v/>
      </c>
    </row>
    <row r="1588" spans="7:21" x14ac:dyDescent="0.2">
      <c r="G1588" s="8"/>
      <c r="H1588" s="5"/>
      <c r="J1588" s="10" t="str">
        <f t="shared" si="226"/>
        <v/>
      </c>
      <c r="K1588" s="10" t="str">
        <f t="shared" si="227"/>
        <v/>
      </c>
      <c r="L1588" s="11" t="str">
        <f t="shared" si="229"/>
        <v/>
      </c>
      <c r="M1588" s="9" t="str">
        <f>IF(G1588&lt;&gt;"",J1588/MAX(J$3:J1588)-1,"")</f>
        <v/>
      </c>
      <c r="N1588" s="9" t="str">
        <f>IF(G1588&lt;&gt;"",K1588/MAX(K$3:K1588)-1,"")</f>
        <v/>
      </c>
      <c r="O1588" s="16" t="str">
        <f t="shared" si="225"/>
        <v/>
      </c>
      <c r="P1588" s="16" t="str">
        <f t="shared" si="225"/>
        <v/>
      </c>
      <c r="Q1588" s="16" t="str">
        <f t="shared" si="225"/>
        <v/>
      </c>
      <c r="R1588" s="5" t="str">
        <f t="shared" si="224"/>
        <v/>
      </c>
      <c r="S1588" s="5" t="str">
        <f t="shared" si="228"/>
        <v/>
      </c>
      <c r="T1588" s="5" t="str">
        <f t="shared" si="232"/>
        <v/>
      </c>
      <c r="U1588" s="5" t="str">
        <f t="shared" si="232"/>
        <v/>
      </c>
    </row>
    <row r="1589" spans="7:21" x14ac:dyDescent="0.2">
      <c r="G1589" s="8"/>
      <c r="H1589" s="5"/>
      <c r="J1589" s="10" t="str">
        <f t="shared" si="226"/>
        <v/>
      </c>
      <c r="K1589" s="10" t="str">
        <f t="shared" si="227"/>
        <v/>
      </c>
      <c r="L1589" s="11" t="str">
        <f t="shared" si="229"/>
        <v/>
      </c>
      <c r="M1589" s="9" t="str">
        <f>IF(G1589&lt;&gt;"",J1589/MAX(J$3:J1589)-1,"")</f>
        <v/>
      </c>
      <c r="N1589" s="9" t="str">
        <f>IF(G1589&lt;&gt;"",K1589/MAX(K$3:K1589)-1,"")</f>
        <v/>
      </c>
      <c r="O1589" s="16" t="str">
        <f t="shared" si="225"/>
        <v/>
      </c>
      <c r="P1589" s="16" t="str">
        <f t="shared" si="225"/>
        <v/>
      </c>
      <c r="Q1589" s="16" t="str">
        <f t="shared" si="225"/>
        <v/>
      </c>
      <c r="R1589" s="5" t="str">
        <f t="shared" si="224"/>
        <v/>
      </c>
      <c r="S1589" s="5" t="str">
        <f t="shared" si="228"/>
        <v/>
      </c>
      <c r="T1589" s="5" t="str">
        <f t="shared" si="232"/>
        <v/>
      </c>
      <c r="U1589" s="5" t="str">
        <f t="shared" si="232"/>
        <v/>
      </c>
    </row>
    <row r="1590" spans="7:21" x14ac:dyDescent="0.2">
      <c r="G1590" s="8"/>
      <c r="H1590" s="5"/>
      <c r="J1590" s="10" t="str">
        <f t="shared" si="226"/>
        <v/>
      </c>
      <c r="K1590" s="10" t="str">
        <f t="shared" si="227"/>
        <v/>
      </c>
      <c r="L1590" s="11" t="str">
        <f t="shared" si="229"/>
        <v/>
      </c>
      <c r="M1590" s="9" t="str">
        <f>IF(G1590&lt;&gt;"",J1590/MAX(J$3:J1590)-1,"")</f>
        <v/>
      </c>
      <c r="N1590" s="9" t="str">
        <f>IF(G1590&lt;&gt;"",K1590/MAX(K$3:K1590)-1,"")</f>
        <v/>
      </c>
      <c r="O1590" s="16" t="str">
        <f t="shared" si="225"/>
        <v/>
      </c>
      <c r="P1590" s="16" t="str">
        <f t="shared" si="225"/>
        <v/>
      </c>
      <c r="Q1590" s="16" t="str">
        <f t="shared" si="225"/>
        <v/>
      </c>
      <c r="R1590" s="5" t="str">
        <f t="shared" si="224"/>
        <v/>
      </c>
      <c r="S1590" s="5" t="str">
        <f t="shared" si="228"/>
        <v/>
      </c>
      <c r="T1590" s="5" t="str">
        <f t="shared" si="232"/>
        <v/>
      </c>
      <c r="U1590" s="5" t="str">
        <f t="shared" si="232"/>
        <v/>
      </c>
    </row>
    <row r="1591" spans="7:21" x14ac:dyDescent="0.2">
      <c r="G1591" s="8"/>
      <c r="H1591" s="5"/>
      <c r="J1591" s="10" t="str">
        <f t="shared" si="226"/>
        <v/>
      </c>
      <c r="K1591" s="10" t="str">
        <f t="shared" si="227"/>
        <v/>
      </c>
      <c r="L1591" s="11" t="str">
        <f t="shared" si="229"/>
        <v/>
      </c>
      <c r="M1591" s="9" t="str">
        <f>IF(G1591&lt;&gt;"",J1591/MAX(J$3:J1591)-1,"")</f>
        <v/>
      </c>
      <c r="N1591" s="9" t="str">
        <f>IF(G1591&lt;&gt;"",K1591/MAX(K$3:K1591)-1,"")</f>
        <v/>
      </c>
      <c r="O1591" s="16" t="str">
        <f t="shared" si="225"/>
        <v/>
      </c>
      <c r="P1591" s="16" t="str">
        <f t="shared" si="225"/>
        <v/>
      </c>
      <c r="Q1591" s="16" t="str">
        <f t="shared" si="225"/>
        <v/>
      </c>
      <c r="R1591" s="5" t="str">
        <f t="shared" si="224"/>
        <v/>
      </c>
      <c r="S1591" s="5" t="str">
        <f t="shared" si="228"/>
        <v/>
      </c>
      <c r="T1591" s="5" t="str">
        <f t="shared" si="232"/>
        <v/>
      </c>
      <c r="U1591" s="5" t="str">
        <f t="shared" si="232"/>
        <v/>
      </c>
    </row>
    <row r="1592" spans="7:21" x14ac:dyDescent="0.2">
      <c r="G1592" s="8"/>
      <c r="H1592" s="5"/>
      <c r="J1592" s="10" t="str">
        <f t="shared" si="226"/>
        <v/>
      </c>
      <c r="K1592" s="10" t="str">
        <f t="shared" si="227"/>
        <v/>
      </c>
      <c r="L1592" s="11" t="str">
        <f t="shared" si="229"/>
        <v/>
      </c>
      <c r="M1592" s="9" t="str">
        <f>IF(G1592&lt;&gt;"",J1592/MAX(J$3:J1592)-1,"")</f>
        <v/>
      </c>
      <c r="N1592" s="9" t="str">
        <f>IF(G1592&lt;&gt;"",K1592/MAX(K$3:K1592)-1,"")</f>
        <v/>
      </c>
      <c r="O1592" s="16" t="str">
        <f t="shared" si="225"/>
        <v/>
      </c>
      <c r="P1592" s="16" t="str">
        <f t="shared" si="225"/>
        <v/>
      </c>
      <c r="Q1592" s="16" t="str">
        <f t="shared" si="225"/>
        <v/>
      </c>
      <c r="R1592" s="5" t="str">
        <f t="shared" si="224"/>
        <v/>
      </c>
      <c r="S1592" s="5" t="str">
        <f t="shared" si="228"/>
        <v/>
      </c>
      <c r="T1592" s="5" t="str">
        <f t="shared" ref="T1592:U1607" si="233">IF($G1592&lt;&gt;"",_xlfn.STDEV.S(O1348:O1592),"")</f>
        <v/>
      </c>
      <c r="U1592" s="5" t="str">
        <f t="shared" si="233"/>
        <v/>
      </c>
    </row>
    <row r="1593" spans="7:21" x14ac:dyDescent="0.2">
      <c r="G1593" s="8"/>
      <c r="H1593" s="5"/>
      <c r="J1593" s="10" t="str">
        <f t="shared" si="226"/>
        <v/>
      </c>
      <c r="K1593" s="10" t="str">
        <f t="shared" si="227"/>
        <v/>
      </c>
      <c r="L1593" s="11" t="str">
        <f t="shared" si="229"/>
        <v/>
      </c>
      <c r="M1593" s="9" t="str">
        <f>IF(G1593&lt;&gt;"",J1593/MAX(J$3:J1593)-1,"")</f>
        <v/>
      </c>
      <c r="N1593" s="9" t="str">
        <f>IF(G1593&lt;&gt;"",K1593/MAX(K$3:K1593)-1,"")</f>
        <v/>
      </c>
      <c r="O1593" s="16" t="str">
        <f t="shared" si="225"/>
        <v/>
      </c>
      <c r="P1593" s="16" t="str">
        <f t="shared" si="225"/>
        <v/>
      </c>
      <c r="Q1593" s="16" t="str">
        <f t="shared" si="225"/>
        <v/>
      </c>
      <c r="R1593" s="5" t="str">
        <f t="shared" si="224"/>
        <v/>
      </c>
      <c r="S1593" s="5" t="str">
        <f t="shared" si="228"/>
        <v/>
      </c>
      <c r="T1593" s="5" t="str">
        <f t="shared" si="233"/>
        <v/>
      </c>
      <c r="U1593" s="5" t="str">
        <f t="shared" si="233"/>
        <v/>
      </c>
    </row>
    <row r="1594" spans="7:21" x14ac:dyDescent="0.2">
      <c r="G1594" s="8"/>
      <c r="H1594" s="5"/>
      <c r="J1594" s="10" t="str">
        <f t="shared" si="226"/>
        <v/>
      </c>
      <c r="K1594" s="10" t="str">
        <f t="shared" si="227"/>
        <v/>
      </c>
      <c r="L1594" s="11" t="str">
        <f t="shared" si="229"/>
        <v/>
      </c>
      <c r="M1594" s="9" t="str">
        <f>IF(G1594&lt;&gt;"",J1594/MAX(J$3:J1594)-1,"")</f>
        <v/>
      </c>
      <c r="N1594" s="9" t="str">
        <f>IF(G1594&lt;&gt;"",K1594/MAX(K$3:K1594)-1,"")</f>
        <v/>
      </c>
      <c r="O1594" s="16" t="str">
        <f t="shared" si="225"/>
        <v/>
      </c>
      <c r="P1594" s="16" t="str">
        <f t="shared" si="225"/>
        <v/>
      </c>
      <c r="Q1594" s="16" t="str">
        <f t="shared" si="225"/>
        <v/>
      </c>
      <c r="R1594" s="5" t="str">
        <f t="shared" si="224"/>
        <v/>
      </c>
      <c r="S1594" s="5" t="str">
        <f t="shared" si="228"/>
        <v/>
      </c>
      <c r="T1594" s="5" t="str">
        <f t="shared" si="233"/>
        <v/>
      </c>
      <c r="U1594" s="5" t="str">
        <f t="shared" si="233"/>
        <v/>
      </c>
    </row>
    <row r="1595" spans="7:21" x14ac:dyDescent="0.2">
      <c r="G1595" s="8"/>
      <c r="H1595" s="5"/>
      <c r="J1595" s="10" t="str">
        <f t="shared" si="226"/>
        <v/>
      </c>
      <c r="K1595" s="10" t="str">
        <f t="shared" si="227"/>
        <v/>
      </c>
      <c r="L1595" s="11" t="str">
        <f t="shared" si="229"/>
        <v/>
      </c>
      <c r="M1595" s="9" t="str">
        <f>IF(G1595&lt;&gt;"",J1595/MAX(J$3:J1595)-1,"")</f>
        <v/>
      </c>
      <c r="N1595" s="9" t="str">
        <f>IF(G1595&lt;&gt;"",K1595/MAX(K$3:K1595)-1,"")</f>
        <v/>
      </c>
      <c r="O1595" s="16" t="str">
        <f t="shared" si="225"/>
        <v/>
      </c>
      <c r="P1595" s="16" t="str">
        <f t="shared" si="225"/>
        <v/>
      </c>
      <c r="Q1595" s="16" t="str">
        <f t="shared" si="225"/>
        <v/>
      </c>
      <c r="R1595" s="5" t="str">
        <f t="shared" si="224"/>
        <v/>
      </c>
      <c r="S1595" s="5" t="str">
        <f t="shared" si="228"/>
        <v/>
      </c>
      <c r="T1595" s="5" t="str">
        <f t="shared" si="233"/>
        <v/>
      </c>
      <c r="U1595" s="5" t="str">
        <f t="shared" si="233"/>
        <v/>
      </c>
    </row>
    <row r="1596" spans="7:21" x14ac:dyDescent="0.2">
      <c r="G1596" s="8"/>
      <c r="H1596" s="5"/>
      <c r="J1596" s="10" t="str">
        <f t="shared" si="226"/>
        <v/>
      </c>
      <c r="K1596" s="10" t="str">
        <f t="shared" si="227"/>
        <v/>
      </c>
      <c r="L1596" s="11" t="str">
        <f t="shared" si="229"/>
        <v/>
      </c>
      <c r="M1596" s="9" t="str">
        <f>IF(G1596&lt;&gt;"",J1596/MAX(J$3:J1596)-1,"")</f>
        <v/>
      </c>
      <c r="N1596" s="9" t="str">
        <f>IF(G1596&lt;&gt;"",K1596/MAX(K$3:K1596)-1,"")</f>
        <v/>
      </c>
      <c r="O1596" s="16" t="str">
        <f t="shared" si="225"/>
        <v/>
      </c>
      <c r="P1596" s="16" t="str">
        <f t="shared" si="225"/>
        <v/>
      </c>
      <c r="Q1596" s="16" t="str">
        <f t="shared" si="225"/>
        <v/>
      </c>
      <c r="R1596" s="5" t="str">
        <f t="shared" si="224"/>
        <v/>
      </c>
      <c r="S1596" s="5" t="str">
        <f t="shared" si="228"/>
        <v/>
      </c>
      <c r="T1596" s="5" t="str">
        <f t="shared" si="233"/>
        <v/>
      </c>
      <c r="U1596" s="5" t="str">
        <f t="shared" si="233"/>
        <v/>
      </c>
    </row>
    <row r="1597" spans="7:21" x14ac:dyDescent="0.2">
      <c r="G1597" s="8"/>
      <c r="H1597" s="5"/>
      <c r="J1597" s="10" t="str">
        <f t="shared" si="226"/>
        <v/>
      </c>
      <c r="K1597" s="10" t="str">
        <f t="shared" si="227"/>
        <v/>
      </c>
      <c r="L1597" s="11" t="str">
        <f t="shared" si="229"/>
        <v/>
      </c>
      <c r="M1597" s="9" t="str">
        <f>IF(G1597&lt;&gt;"",J1597/MAX(J$3:J1597)-1,"")</f>
        <v/>
      </c>
      <c r="N1597" s="9" t="str">
        <f>IF(G1597&lt;&gt;"",K1597/MAX(K$3:K1597)-1,"")</f>
        <v/>
      </c>
      <c r="O1597" s="16" t="str">
        <f t="shared" si="225"/>
        <v/>
      </c>
      <c r="P1597" s="16" t="str">
        <f t="shared" si="225"/>
        <v/>
      </c>
      <c r="Q1597" s="16" t="str">
        <f t="shared" si="225"/>
        <v/>
      </c>
      <c r="R1597" s="5" t="str">
        <f t="shared" ref="R1597:R1660" si="234">IF(G1597&lt;&gt;"",_xlfn.STDEV.S(Q1476:Q1597)*SQRT($B$5),"")</f>
        <v/>
      </c>
      <c r="S1597" s="5" t="str">
        <f t="shared" si="228"/>
        <v/>
      </c>
      <c r="T1597" s="5" t="str">
        <f t="shared" si="233"/>
        <v/>
      </c>
      <c r="U1597" s="5" t="str">
        <f t="shared" si="233"/>
        <v/>
      </c>
    </row>
    <row r="1598" spans="7:21" x14ac:dyDescent="0.2">
      <c r="G1598" s="8"/>
      <c r="H1598" s="5"/>
      <c r="J1598" s="10" t="str">
        <f t="shared" si="226"/>
        <v/>
      </c>
      <c r="K1598" s="10" t="str">
        <f t="shared" si="227"/>
        <v/>
      </c>
      <c r="L1598" s="11" t="str">
        <f t="shared" si="229"/>
        <v/>
      </c>
      <c r="M1598" s="9" t="str">
        <f>IF(G1598&lt;&gt;"",J1598/MAX(J$3:J1598)-1,"")</f>
        <v/>
      </c>
      <c r="N1598" s="9" t="str">
        <f>IF(G1598&lt;&gt;"",K1598/MAX(K$3:K1598)-1,"")</f>
        <v/>
      </c>
      <c r="O1598" s="16" t="str">
        <f t="shared" si="225"/>
        <v/>
      </c>
      <c r="P1598" s="16" t="str">
        <f t="shared" si="225"/>
        <v/>
      </c>
      <c r="Q1598" s="16" t="str">
        <f t="shared" si="225"/>
        <v/>
      </c>
      <c r="R1598" s="5" t="str">
        <f t="shared" si="234"/>
        <v/>
      </c>
      <c r="S1598" s="5" t="str">
        <f t="shared" si="228"/>
        <v/>
      </c>
      <c r="T1598" s="5" t="str">
        <f t="shared" si="233"/>
        <v/>
      </c>
      <c r="U1598" s="5" t="str">
        <f t="shared" si="233"/>
        <v/>
      </c>
    </row>
    <row r="1599" spans="7:21" x14ac:dyDescent="0.2">
      <c r="G1599" s="8"/>
      <c r="H1599" s="5"/>
      <c r="J1599" s="10" t="str">
        <f t="shared" si="226"/>
        <v/>
      </c>
      <c r="K1599" s="10" t="str">
        <f t="shared" si="227"/>
        <v/>
      </c>
      <c r="L1599" s="11" t="str">
        <f t="shared" si="229"/>
        <v/>
      </c>
      <c r="M1599" s="9" t="str">
        <f>IF(G1599&lt;&gt;"",J1599/MAX(J$3:J1599)-1,"")</f>
        <v/>
      </c>
      <c r="N1599" s="9" t="str">
        <f>IF(G1599&lt;&gt;"",K1599/MAX(K$3:K1599)-1,"")</f>
        <v/>
      </c>
      <c r="O1599" s="16" t="str">
        <f t="shared" si="225"/>
        <v/>
      </c>
      <c r="P1599" s="16" t="str">
        <f t="shared" si="225"/>
        <v/>
      </c>
      <c r="Q1599" s="16" t="str">
        <f t="shared" si="225"/>
        <v/>
      </c>
      <c r="R1599" s="5" t="str">
        <f t="shared" si="234"/>
        <v/>
      </c>
      <c r="S1599" s="5" t="str">
        <f t="shared" si="228"/>
        <v/>
      </c>
      <c r="T1599" s="5" t="str">
        <f t="shared" si="233"/>
        <v/>
      </c>
      <c r="U1599" s="5" t="str">
        <f t="shared" si="233"/>
        <v/>
      </c>
    </row>
    <row r="1600" spans="7:21" x14ac:dyDescent="0.2">
      <c r="G1600" s="8"/>
      <c r="H1600" s="5"/>
      <c r="J1600" s="10" t="str">
        <f t="shared" si="226"/>
        <v/>
      </c>
      <c r="K1600" s="10" t="str">
        <f t="shared" si="227"/>
        <v/>
      </c>
      <c r="L1600" s="11" t="str">
        <f t="shared" si="229"/>
        <v/>
      </c>
      <c r="M1600" s="9" t="str">
        <f>IF(G1600&lt;&gt;"",J1600/MAX(J$3:J1600)-1,"")</f>
        <v/>
      </c>
      <c r="N1600" s="9" t="str">
        <f>IF(G1600&lt;&gt;"",K1600/MAX(K$3:K1600)-1,"")</f>
        <v/>
      </c>
      <c r="O1600" s="16" t="str">
        <f t="shared" si="225"/>
        <v/>
      </c>
      <c r="P1600" s="16" t="str">
        <f t="shared" si="225"/>
        <v/>
      </c>
      <c r="Q1600" s="16" t="str">
        <f t="shared" si="225"/>
        <v/>
      </c>
      <c r="R1600" s="5" t="str">
        <f t="shared" si="234"/>
        <v/>
      </c>
      <c r="S1600" s="5" t="str">
        <f t="shared" si="228"/>
        <v/>
      </c>
      <c r="T1600" s="5" t="str">
        <f t="shared" si="233"/>
        <v/>
      </c>
      <c r="U1600" s="5" t="str">
        <f t="shared" si="233"/>
        <v/>
      </c>
    </row>
    <row r="1601" spans="7:21" x14ac:dyDescent="0.2">
      <c r="G1601" s="8"/>
      <c r="H1601" s="5"/>
      <c r="J1601" s="10" t="str">
        <f t="shared" si="226"/>
        <v/>
      </c>
      <c r="K1601" s="10" t="str">
        <f t="shared" si="227"/>
        <v/>
      </c>
      <c r="L1601" s="11" t="str">
        <f t="shared" si="229"/>
        <v/>
      </c>
      <c r="M1601" s="9" t="str">
        <f>IF(G1601&lt;&gt;"",J1601/MAX(J$3:J1601)-1,"")</f>
        <v/>
      </c>
      <c r="N1601" s="9" t="str">
        <f>IF(G1601&lt;&gt;"",K1601/MAX(K$3:K1601)-1,"")</f>
        <v/>
      </c>
      <c r="O1601" s="16" t="str">
        <f t="shared" si="225"/>
        <v/>
      </c>
      <c r="P1601" s="16" t="str">
        <f t="shared" si="225"/>
        <v/>
      </c>
      <c r="Q1601" s="16" t="str">
        <f t="shared" si="225"/>
        <v/>
      </c>
      <c r="R1601" s="5" t="str">
        <f t="shared" si="234"/>
        <v/>
      </c>
      <c r="S1601" s="5" t="str">
        <f t="shared" si="228"/>
        <v/>
      </c>
      <c r="T1601" s="5" t="str">
        <f t="shared" si="233"/>
        <v/>
      </c>
      <c r="U1601" s="5" t="str">
        <f t="shared" si="233"/>
        <v/>
      </c>
    </row>
    <row r="1602" spans="7:21" x14ac:dyDescent="0.2">
      <c r="G1602" s="8"/>
      <c r="H1602" s="5"/>
      <c r="J1602" s="10" t="str">
        <f t="shared" si="226"/>
        <v/>
      </c>
      <c r="K1602" s="10" t="str">
        <f t="shared" si="227"/>
        <v/>
      </c>
      <c r="L1602" s="11" t="str">
        <f t="shared" si="229"/>
        <v/>
      </c>
      <c r="M1602" s="9" t="str">
        <f>IF(G1602&lt;&gt;"",J1602/MAX(J$3:J1602)-1,"")</f>
        <v/>
      </c>
      <c r="N1602" s="9" t="str">
        <f>IF(G1602&lt;&gt;"",K1602/MAX(K$3:K1602)-1,"")</f>
        <v/>
      </c>
      <c r="O1602" s="16" t="str">
        <f t="shared" ref="O1602:Q1665" si="235">IF($G1602&lt;&gt;"",J1602/J1601-1,"")</f>
        <v/>
      </c>
      <c r="P1602" s="16" t="str">
        <f t="shared" si="235"/>
        <v/>
      </c>
      <c r="Q1602" s="16" t="str">
        <f t="shared" si="235"/>
        <v/>
      </c>
      <c r="R1602" s="5" t="str">
        <f t="shared" si="234"/>
        <v/>
      </c>
      <c r="S1602" s="5" t="str">
        <f t="shared" si="228"/>
        <v/>
      </c>
      <c r="T1602" s="5" t="str">
        <f t="shared" si="233"/>
        <v/>
      </c>
      <c r="U1602" s="5" t="str">
        <f t="shared" si="233"/>
        <v/>
      </c>
    </row>
    <row r="1603" spans="7:21" x14ac:dyDescent="0.2">
      <c r="G1603" s="8"/>
      <c r="H1603" s="5"/>
      <c r="J1603" s="10" t="str">
        <f t="shared" si="226"/>
        <v/>
      </c>
      <c r="K1603" s="10" t="str">
        <f t="shared" si="227"/>
        <v/>
      </c>
      <c r="L1603" s="11" t="str">
        <f t="shared" si="229"/>
        <v/>
      </c>
      <c r="M1603" s="9" t="str">
        <f>IF(G1603&lt;&gt;"",J1603/MAX(J$3:J1603)-1,"")</f>
        <v/>
      </c>
      <c r="N1603" s="9" t="str">
        <f>IF(G1603&lt;&gt;"",K1603/MAX(K$3:K1603)-1,"")</f>
        <v/>
      </c>
      <c r="O1603" s="16" t="str">
        <f t="shared" si="235"/>
        <v/>
      </c>
      <c r="P1603" s="16" t="str">
        <f t="shared" si="235"/>
        <v/>
      </c>
      <c r="Q1603" s="16" t="str">
        <f t="shared" si="235"/>
        <v/>
      </c>
      <c r="R1603" s="5" t="str">
        <f t="shared" si="234"/>
        <v/>
      </c>
      <c r="S1603" s="5" t="str">
        <f t="shared" si="228"/>
        <v/>
      </c>
      <c r="T1603" s="5" t="str">
        <f t="shared" si="233"/>
        <v/>
      </c>
      <c r="U1603" s="5" t="str">
        <f t="shared" si="233"/>
        <v/>
      </c>
    </row>
    <row r="1604" spans="7:21" x14ac:dyDescent="0.2">
      <c r="G1604" s="8"/>
      <c r="H1604" s="5"/>
      <c r="J1604" s="10" t="str">
        <f t="shared" ref="J1604:J1667" si="236">IF(G1604&lt;&gt;"",1+H1604,"")</f>
        <v/>
      </c>
      <c r="K1604" s="10" t="str">
        <f t="shared" ref="K1604:K1667" si="237">IF(G1604&lt;&gt;"",1+I1604,"")</f>
        <v/>
      </c>
      <c r="L1604" s="11" t="str">
        <f t="shared" si="229"/>
        <v/>
      </c>
      <c r="M1604" s="9" t="str">
        <f>IF(G1604&lt;&gt;"",J1604/MAX(J$3:J1604)-1,"")</f>
        <v/>
      </c>
      <c r="N1604" s="9" t="str">
        <f>IF(G1604&lt;&gt;"",K1604/MAX(K$3:K1604)-1,"")</f>
        <v/>
      </c>
      <c r="O1604" s="16" t="str">
        <f t="shared" si="235"/>
        <v/>
      </c>
      <c r="P1604" s="16" t="str">
        <f t="shared" si="235"/>
        <v/>
      </c>
      <c r="Q1604" s="16" t="str">
        <f t="shared" si="235"/>
        <v/>
      </c>
      <c r="R1604" s="5" t="str">
        <f t="shared" si="234"/>
        <v/>
      </c>
      <c r="S1604" s="5" t="str">
        <f t="shared" ref="S1604:S1667" si="238">IF(R1604&lt;&gt;"",B$12,"")</f>
        <v/>
      </c>
      <c r="T1604" s="5" t="str">
        <f t="shared" si="233"/>
        <v/>
      </c>
      <c r="U1604" s="5" t="str">
        <f t="shared" si="233"/>
        <v/>
      </c>
    </row>
    <row r="1605" spans="7:21" x14ac:dyDescent="0.2">
      <c r="G1605" s="8"/>
      <c r="H1605" s="5"/>
      <c r="J1605" s="10" t="str">
        <f t="shared" si="236"/>
        <v/>
      </c>
      <c r="K1605" s="10" t="str">
        <f t="shared" si="237"/>
        <v/>
      </c>
      <c r="L1605" s="11" t="str">
        <f t="shared" ref="L1605:L1668" si="239">IF(G1605&lt;&gt;"",J1605/K1605,"")</f>
        <v/>
      </c>
      <c r="M1605" s="9" t="str">
        <f>IF(G1605&lt;&gt;"",J1605/MAX(J$3:J1605)-1,"")</f>
        <v/>
      </c>
      <c r="N1605" s="9" t="str">
        <f>IF(G1605&lt;&gt;"",K1605/MAX(K$3:K1605)-1,"")</f>
        <v/>
      </c>
      <c r="O1605" s="16" t="str">
        <f t="shared" si="235"/>
        <v/>
      </c>
      <c r="P1605" s="16" t="str">
        <f t="shared" si="235"/>
        <v/>
      </c>
      <c r="Q1605" s="16" t="str">
        <f t="shared" si="235"/>
        <v/>
      </c>
      <c r="R1605" s="5" t="str">
        <f t="shared" si="234"/>
        <v/>
      </c>
      <c r="S1605" s="5" t="str">
        <f t="shared" si="238"/>
        <v/>
      </c>
      <c r="T1605" s="5" t="str">
        <f t="shared" si="233"/>
        <v/>
      </c>
      <c r="U1605" s="5" t="str">
        <f t="shared" si="233"/>
        <v/>
      </c>
    </row>
    <row r="1606" spans="7:21" x14ac:dyDescent="0.2">
      <c r="G1606" s="8"/>
      <c r="H1606" s="5"/>
      <c r="J1606" s="10" t="str">
        <f t="shared" si="236"/>
        <v/>
      </c>
      <c r="K1606" s="10" t="str">
        <f t="shared" si="237"/>
        <v/>
      </c>
      <c r="L1606" s="11" t="str">
        <f t="shared" si="239"/>
        <v/>
      </c>
      <c r="M1606" s="9" t="str">
        <f>IF(G1606&lt;&gt;"",J1606/MAX(J$3:J1606)-1,"")</f>
        <v/>
      </c>
      <c r="N1606" s="9" t="str">
        <f>IF(G1606&lt;&gt;"",K1606/MAX(K$3:K1606)-1,"")</f>
        <v/>
      </c>
      <c r="O1606" s="16" t="str">
        <f t="shared" si="235"/>
        <v/>
      </c>
      <c r="P1606" s="16" t="str">
        <f t="shared" si="235"/>
        <v/>
      </c>
      <c r="Q1606" s="16" t="str">
        <f t="shared" si="235"/>
        <v/>
      </c>
      <c r="R1606" s="5" t="str">
        <f t="shared" si="234"/>
        <v/>
      </c>
      <c r="S1606" s="5" t="str">
        <f t="shared" si="238"/>
        <v/>
      </c>
      <c r="T1606" s="5" t="str">
        <f t="shared" si="233"/>
        <v/>
      </c>
      <c r="U1606" s="5" t="str">
        <f t="shared" si="233"/>
        <v/>
      </c>
    </row>
    <row r="1607" spans="7:21" x14ac:dyDescent="0.2">
      <c r="G1607" s="8"/>
      <c r="H1607" s="5"/>
      <c r="J1607" s="10" t="str">
        <f t="shared" si="236"/>
        <v/>
      </c>
      <c r="K1607" s="10" t="str">
        <f t="shared" si="237"/>
        <v/>
      </c>
      <c r="L1607" s="11" t="str">
        <f t="shared" si="239"/>
        <v/>
      </c>
      <c r="M1607" s="9" t="str">
        <f>IF(G1607&lt;&gt;"",J1607/MAX(J$3:J1607)-1,"")</f>
        <v/>
      </c>
      <c r="N1607" s="9" t="str">
        <f>IF(G1607&lt;&gt;"",K1607/MAX(K$3:K1607)-1,"")</f>
        <v/>
      </c>
      <c r="O1607" s="16" t="str">
        <f t="shared" si="235"/>
        <v/>
      </c>
      <c r="P1607" s="16" t="str">
        <f t="shared" si="235"/>
        <v/>
      </c>
      <c r="Q1607" s="16" t="str">
        <f t="shared" si="235"/>
        <v/>
      </c>
      <c r="R1607" s="5" t="str">
        <f t="shared" si="234"/>
        <v/>
      </c>
      <c r="S1607" s="5" t="str">
        <f t="shared" si="238"/>
        <v/>
      </c>
      <c r="T1607" s="5" t="str">
        <f t="shared" si="233"/>
        <v/>
      </c>
      <c r="U1607" s="5" t="str">
        <f t="shared" si="233"/>
        <v/>
      </c>
    </row>
    <row r="1608" spans="7:21" x14ac:dyDescent="0.2">
      <c r="G1608" s="8"/>
      <c r="H1608" s="5"/>
      <c r="J1608" s="10" t="str">
        <f t="shared" si="236"/>
        <v/>
      </c>
      <c r="K1608" s="10" t="str">
        <f t="shared" si="237"/>
        <v/>
      </c>
      <c r="L1608" s="11" t="str">
        <f t="shared" si="239"/>
        <v/>
      </c>
      <c r="M1608" s="9" t="str">
        <f>IF(G1608&lt;&gt;"",J1608/MAX(J$3:J1608)-1,"")</f>
        <v/>
      </c>
      <c r="N1608" s="9" t="str">
        <f>IF(G1608&lt;&gt;"",K1608/MAX(K$3:K1608)-1,"")</f>
        <v/>
      </c>
      <c r="O1608" s="16" t="str">
        <f t="shared" si="235"/>
        <v/>
      </c>
      <c r="P1608" s="16" t="str">
        <f t="shared" si="235"/>
        <v/>
      </c>
      <c r="Q1608" s="16" t="str">
        <f t="shared" si="235"/>
        <v/>
      </c>
      <c r="R1608" s="5" t="str">
        <f t="shared" si="234"/>
        <v/>
      </c>
      <c r="S1608" s="5" t="str">
        <f t="shared" si="238"/>
        <v/>
      </c>
      <c r="T1608" s="5" t="str">
        <f t="shared" ref="T1608:U1623" si="240">IF($G1608&lt;&gt;"",_xlfn.STDEV.S(O1364:O1608),"")</f>
        <v/>
      </c>
      <c r="U1608" s="5" t="str">
        <f t="shared" si="240"/>
        <v/>
      </c>
    </row>
    <row r="1609" spans="7:21" x14ac:dyDescent="0.2">
      <c r="G1609" s="8"/>
      <c r="H1609" s="5"/>
      <c r="J1609" s="10" t="str">
        <f t="shared" si="236"/>
        <v/>
      </c>
      <c r="K1609" s="10" t="str">
        <f t="shared" si="237"/>
        <v/>
      </c>
      <c r="L1609" s="11" t="str">
        <f t="shared" si="239"/>
        <v/>
      </c>
      <c r="M1609" s="9" t="str">
        <f>IF(G1609&lt;&gt;"",J1609/MAX(J$3:J1609)-1,"")</f>
        <v/>
      </c>
      <c r="N1609" s="9" t="str">
        <f>IF(G1609&lt;&gt;"",K1609/MAX(K$3:K1609)-1,"")</f>
        <v/>
      </c>
      <c r="O1609" s="16" t="str">
        <f t="shared" si="235"/>
        <v/>
      </c>
      <c r="P1609" s="16" t="str">
        <f t="shared" si="235"/>
        <v/>
      </c>
      <c r="Q1609" s="16" t="str">
        <f t="shared" si="235"/>
        <v/>
      </c>
      <c r="R1609" s="5" t="str">
        <f t="shared" si="234"/>
        <v/>
      </c>
      <c r="S1609" s="5" t="str">
        <f t="shared" si="238"/>
        <v/>
      </c>
      <c r="T1609" s="5" t="str">
        <f t="shared" si="240"/>
        <v/>
      </c>
      <c r="U1609" s="5" t="str">
        <f t="shared" si="240"/>
        <v/>
      </c>
    </row>
    <row r="1610" spans="7:21" x14ac:dyDescent="0.2">
      <c r="G1610" s="8"/>
      <c r="H1610" s="5"/>
      <c r="J1610" s="10" t="str">
        <f t="shared" si="236"/>
        <v/>
      </c>
      <c r="K1610" s="10" t="str">
        <f t="shared" si="237"/>
        <v/>
      </c>
      <c r="L1610" s="11" t="str">
        <f t="shared" si="239"/>
        <v/>
      </c>
      <c r="M1610" s="9" t="str">
        <f>IF(G1610&lt;&gt;"",J1610/MAX(J$3:J1610)-1,"")</f>
        <v/>
      </c>
      <c r="N1610" s="9" t="str">
        <f>IF(G1610&lt;&gt;"",K1610/MAX(K$3:K1610)-1,"")</f>
        <v/>
      </c>
      <c r="O1610" s="16" t="str">
        <f t="shared" si="235"/>
        <v/>
      </c>
      <c r="P1610" s="16" t="str">
        <f t="shared" si="235"/>
        <v/>
      </c>
      <c r="Q1610" s="16" t="str">
        <f t="shared" si="235"/>
        <v/>
      </c>
      <c r="R1610" s="5" t="str">
        <f t="shared" si="234"/>
        <v/>
      </c>
      <c r="S1610" s="5" t="str">
        <f t="shared" si="238"/>
        <v/>
      </c>
      <c r="T1610" s="5" t="str">
        <f t="shared" si="240"/>
        <v/>
      </c>
      <c r="U1610" s="5" t="str">
        <f t="shared" si="240"/>
        <v/>
      </c>
    </row>
    <row r="1611" spans="7:21" x14ac:dyDescent="0.2">
      <c r="G1611" s="8"/>
      <c r="H1611" s="5"/>
      <c r="J1611" s="10" t="str">
        <f t="shared" si="236"/>
        <v/>
      </c>
      <c r="K1611" s="10" t="str">
        <f t="shared" si="237"/>
        <v/>
      </c>
      <c r="L1611" s="11" t="str">
        <f t="shared" si="239"/>
        <v/>
      </c>
      <c r="M1611" s="9" t="str">
        <f>IF(G1611&lt;&gt;"",J1611/MAX(J$3:J1611)-1,"")</f>
        <v/>
      </c>
      <c r="N1611" s="9" t="str">
        <f>IF(G1611&lt;&gt;"",K1611/MAX(K$3:K1611)-1,"")</f>
        <v/>
      </c>
      <c r="O1611" s="16" t="str">
        <f t="shared" si="235"/>
        <v/>
      </c>
      <c r="P1611" s="16" t="str">
        <f t="shared" si="235"/>
        <v/>
      </c>
      <c r="Q1611" s="16" t="str">
        <f t="shared" si="235"/>
        <v/>
      </c>
      <c r="R1611" s="5" t="str">
        <f t="shared" si="234"/>
        <v/>
      </c>
      <c r="S1611" s="5" t="str">
        <f t="shared" si="238"/>
        <v/>
      </c>
      <c r="T1611" s="5" t="str">
        <f t="shared" si="240"/>
        <v/>
      </c>
      <c r="U1611" s="5" t="str">
        <f t="shared" si="240"/>
        <v/>
      </c>
    </row>
    <row r="1612" spans="7:21" x14ac:dyDescent="0.2">
      <c r="G1612" s="8"/>
      <c r="H1612" s="5"/>
      <c r="J1612" s="10" t="str">
        <f t="shared" si="236"/>
        <v/>
      </c>
      <c r="K1612" s="10" t="str">
        <f t="shared" si="237"/>
        <v/>
      </c>
      <c r="L1612" s="11" t="str">
        <f t="shared" si="239"/>
        <v/>
      </c>
      <c r="M1612" s="9" t="str">
        <f>IF(G1612&lt;&gt;"",J1612/MAX(J$3:J1612)-1,"")</f>
        <v/>
      </c>
      <c r="N1612" s="9" t="str">
        <f>IF(G1612&lt;&gt;"",K1612/MAX(K$3:K1612)-1,"")</f>
        <v/>
      </c>
      <c r="O1612" s="16" t="str">
        <f t="shared" si="235"/>
        <v/>
      </c>
      <c r="P1612" s="16" t="str">
        <f t="shared" si="235"/>
        <v/>
      </c>
      <c r="Q1612" s="16" t="str">
        <f t="shared" si="235"/>
        <v/>
      </c>
      <c r="R1612" s="5" t="str">
        <f t="shared" si="234"/>
        <v/>
      </c>
      <c r="S1612" s="5" t="str">
        <f t="shared" si="238"/>
        <v/>
      </c>
      <c r="T1612" s="5" t="str">
        <f t="shared" si="240"/>
        <v/>
      </c>
      <c r="U1612" s="5" t="str">
        <f t="shared" si="240"/>
        <v/>
      </c>
    </row>
    <row r="1613" spans="7:21" x14ac:dyDescent="0.2">
      <c r="G1613" s="8"/>
      <c r="H1613" s="5"/>
      <c r="J1613" s="10" t="str">
        <f t="shared" si="236"/>
        <v/>
      </c>
      <c r="K1613" s="10" t="str">
        <f t="shared" si="237"/>
        <v/>
      </c>
      <c r="L1613" s="11" t="str">
        <f t="shared" si="239"/>
        <v/>
      </c>
      <c r="M1613" s="9" t="str">
        <f>IF(G1613&lt;&gt;"",J1613/MAX(J$3:J1613)-1,"")</f>
        <v/>
      </c>
      <c r="N1613" s="9" t="str">
        <f>IF(G1613&lt;&gt;"",K1613/MAX(K$3:K1613)-1,"")</f>
        <v/>
      </c>
      <c r="O1613" s="16" t="str">
        <f t="shared" si="235"/>
        <v/>
      </c>
      <c r="P1613" s="16" t="str">
        <f t="shared" si="235"/>
        <v/>
      </c>
      <c r="Q1613" s="16" t="str">
        <f t="shared" si="235"/>
        <v/>
      </c>
      <c r="R1613" s="5" t="str">
        <f t="shared" si="234"/>
        <v/>
      </c>
      <c r="S1613" s="5" t="str">
        <f t="shared" si="238"/>
        <v/>
      </c>
      <c r="T1613" s="5" t="str">
        <f t="shared" si="240"/>
        <v/>
      </c>
      <c r="U1613" s="5" t="str">
        <f t="shared" si="240"/>
        <v/>
      </c>
    </row>
    <row r="1614" spans="7:21" x14ac:dyDescent="0.2">
      <c r="G1614" s="8"/>
      <c r="H1614" s="5"/>
      <c r="J1614" s="10" t="str">
        <f t="shared" si="236"/>
        <v/>
      </c>
      <c r="K1614" s="10" t="str">
        <f t="shared" si="237"/>
        <v/>
      </c>
      <c r="L1614" s="11" t="str">
        <f t="shared" si="239"/>
        <v/>
      </c>
      <c r="M1614" s="9" t="str">
        <f>IF(G1614&lt;&gt;"",J1614/MAX(J$3:J1614)-1,"")</f>
        <v/>
      </c>
      <c r="N1614" s="9" t="str">
        <f>IF(G1614&lt;&gt;"",K1614/MAX(K$3:K1614)-1,"")</f>
        <v/>
      </c>
      <c r="O1614" s="16" t="str">
        <f t="shared" si="235"/>
        <v/>
      </c>
      <c r="P1614" s="16" t="str">
        <f t="shared" si="235"/>
        <v/>
      </c>
      <c r="Q1614" s="16" t="str">
        <f t="shared" si="235"/>
        <v/>
      </c>
      <c r="R1614" s="5" t="str">
        <f t="shared" si="234"/>
        <v/>
      </c>
      <c r="S1614" s="5" t="str">
        <f t="shared" si="238"/>
        <v/>
      </c>
      <c r="T1614" s="5" t="str">
        <f t="shared" si="240"/>
        <v/>
      </c>
      <c r="U1614" s="5" t="str">
        <f t="shared" si="240"/>
        <v/>
      </c>
    </row>
    <row r="1615" spans="7:21" x14ac:dyDescent="0.2">
      <c r="G1615" s="8"/>
      <c r="H1615" s="5"/>
      <c r="J1615" s="10" t="str">
        <f t="shared" si="236"/>
        <v/>
      </c>
      <c r="K1615" s="10" t="str">
        <f t="shared" si="237"/>
        <v/>
      </c>
      <c r="L1615" s="11" t="str">
        <f t="shared" si="239"/>
        <v/>
      </c>
      <c r="M1615" s="9" t="str">
        <f>IF(G1615&lt;&gt;"",J1615/MAX(J$3:J1615)-1,"")</f>
        <v/>
      </c>
      <c r="N1615" s="9" t="str">
        <f>IF(G1615&lt;&gt;"",K1615/MAX(K$3:K1615)-1,"")</f>
        <v/>
      </c>
      <c r="O1615" s="16" t="str">
        <f t="shared" si="235"/>
        <v/>
      </c>
      <c r="P1615" s="16" t="str">
        <f t="shared" si="235"/>
        <v/>
      </c>
      <c r="Q1615" s="16" t="str">
        <f t="shared" si="235"/>
        <v/>
      </c>
      <c r="R1615" s="5" t="str">
        <f t="shared" si="234"/>
        <v/>
      </c>
      <c r="S1615" s="5" t="str">
        <f t="shared" si="238"/>
        <v/>
      </c>
      <c r="T1615" s="5" t="str">
        <f t="shared" si="240"/>
        <v/>
      </c>
      <c r="U1615" s="5" t="str">
        <f t="shared" si="240"/>
        <v/>
      </c>
    </row>
    <row r="1616" spans="7:21" x14ac:dyDescent="0.2">
      <c r="G1616" s="8"/>
      <c r="H1616" s="5"/>
      <c r="J1616" s="10" t="str">
        <f t="shared" si="236"/>
        <v/>
      </c>
      <c r="K1616" s="10" t="str">
        <f t="shared" si="237"/>
        <v/>
      </c>
      <c r="L1616" s="11" t="str">
        <f t="shared" si="239"/>
        <v/>
      </c>
      <c r="M1616" s="9" t="str">
        <f>IF(G1616&lt;&gt;"",J1616/MAX(J$3:J1616)-1,"")</f>
        <v/>
      </c>
      <c r="N1616" s="9" t="str">
        <f>IF(G1616&lt;&gt;"",K1616/MAX(K$3:K1616)-1,"")</f>
        <v/>
      </c>
      <c r="O1616" s="16" t="str">
        <f t="shared" si="235"/>
        <v/>
      </c>
      <c r="P1616" s="16" t="str">
        <f t="shared" si="235"/>
        <v/>
      </c>
      <c r="Q1616" s="16" t="str">
        <f t="shared" si="235"/>
        <v/>
      </c>
      <c r="R1616" s="5" t="str">
        <f t="shared" si="234"/>
        <v/>
      </c>
      <c r="S1616" s="5" t="str">
        <f t="shared" si="238"/>
        <v/>
      </c>
      <c r="T1616" s="5" t="str">
        <f t="shared" si="240"/>
        <v/>
      </c>
      <c r="U1616" s="5" t="str">
        <f t="shared" si="240"/>
        <v/>
      </c>
    </row>
    <row r="1617" spans="7:21" x14ac:dyDescent="0.2">
      <c r="G1617" s="8"/>
      <c r="H1617" s="5"/>
      <c r="J1617" s="10" t="str">
        <f t="shared" si="236"/>
        <v/>
      </c>
      <c r="K1617" s="10" t="str">
        <f t="shared" si="237"/>
        <v/>
      </c>
      <c r="L1617" s="11" t="str">
        <f t="shared" si="239"/>
        <v/>
      </c>
      <c r="M1617" s="9" t="str">
        <f>IF(G1617&lt;&gt;"",J1617/MAX(J$3:J1617)-1,"")</f>
        <v/>
      </c>
      <c r="N1617" s="9" t="str">
        <f>IF(G1617&lt;&gt;"",K1617/MAX(K$3:K1617)-1,"")</f>
        <v/>
      </c>
      <c r="O1617" s="16" t="str">
        <f t="shared" si="235"/>
        <v/>
      </c>
      <c r="P1617" s="16" t="str">
        <f t="shared" si="235"/>
        <v/>
      </c>
      <c r="Q1617" s="16" t="str">
        <f t="shared" si="235"/>
        <v/>
      </c>
      <c r="R1617" s="5" t="str">
        <f t="shared" si="234"/>
        <v/>
      </c>
      <c r="S1617" s="5" t="str">
        <f t="shared" si="238"/>
        <v/>
      </c>
      <c r="T1617" s="5" t="str">
        <f t="shared" si="240"/>
        <v/>
      </c>
      <c r="U1617" s="5" t="str">
        <f t="shared" si="240"/>
        <v/>
      </c>
    </row>
    <row r="1618" spans="7:21" x14ac:dyDescent="0.2">
      <c r="G1618" s="8"/>
      <c r="H1618" s="5"/>
      <c r="J1618" s="10" t="str">
        <f t="shared" si="236"/>
        <v/>
      </c>
      <c r="K1618" s="10" t="str">
        <f t="shared" si="237"/>
        <v/>
      </c>
      <c r="L1618" s="11" t="str">
        <f t="shared" si="239"/>
        <v/>
      </c>
      <c r="M1618" s="9" t="str">
        <f>IF(G1618&lt;&gt;"",J1618/MAX(J$3:J1618)-1,"")</f>
        <v/>
      </c>
      <c r="N1618" s="9" t="str">
        <f>IF(G1618&lt;&gt;"",K1618/MAX(K$3:K1618)-1,"")</f>
        <v/>
      </c>
      <c r="O1618" s="16" t="str">
        <f t="shared" si="235"/>
        <v/>
      </c>
      <c r="P1618" s="16" t="str">
        <f t="shared" si="235"/>
        <v/>
      </c>
      <c r="Q1618" s="16" t="str">
        <f t="shared" si="235"/>
        <v/>
      </c>
      <c r="R1618" s="5" t="str">
        <f t="shared" si="234"/>
        <v/>
      </c>
      <c r="S1618" s="5" t="str">
        <f t="shared" si="238"/>
        <v/>
      </c>
      <c r="T1618" s="5" t="str">
        <f t="shared" si="240"/>
        <v/>
      </c>
      <c r="U1618" s="5" t="str">
        <f t="shared" si="240"/>
        <v/>
      </c>
    </row>
    <row r="1619" spans="7:21" x14ac:dyDescent="0.2">
      <c r="G1619" s="8"/>
      <c r="H1619" s="5"/>
      <c r="J1619" s="10" t="str">
        <f t="shared" si="236"/>
        <v/>
      </c>
      <c r="K1619" s="10" t="str">
        <f t="shared" si="237"/>
        <v/>
      </c>
      <c r="L1619" s="11" t="str">
        <f t="shared" si="239"/>
        <v/>
      </c>
      <c r="M1619" s="9" t="str">
        <f>IF(G1619&lt;&gt;"",J1619/MAX(J$3:J1619)-1,"")</f>
        <v/>
      </c>
      <c r="N1619" s="9" t="str">
        <f>IF(G1619&lt;&gt;"",K1619/MAX(K$3:K1619)-1,"")</f>
        <v/>
      </c>
      <c r="O1619" s="16" t="str">
        <f t="shared" si="235"/>
        <v/>
      </c>
      <c r="P1619" s="16" t="str">
        <f t="shared" si="235"/>
        <v/>
      </c>
      <c r="Q1619" s="16" t="str">
        <f t="shared" si="235"/>
        <v/>
      </c>
      <c r="R1619" s="5" t="str">
        <f t="shared" si="234"/>
        <v/>
      </c>
      <c r="S1619" s="5" t="str">
        <f t="shared" si="238"/>
        <v/>
      </c>
      <c r="T1619" s="5" t="str">
        <f t="shared" si="240"/>
        <v/>
      </c>
      <c r="U1619" s="5" t="str">
        <f t="shared" si="240"/>
        <v/>
      </c>
    </row>
    <row r="1620" spans="7:21" x14ac:dyDescent="0.2">
      <c r="G1620" s="8"/>
      <c r="H1620" s="5"/>
      <c r="J1620" s="10" t="str">
        <f t="shared" si="236"/>
        <v/>
      </c>
      <c r="K1620" s="10" t="str">
        <f t="shared" si="237"/>
        <v/>
      </c>
      <c r="L1620" s="11" t="str">
        <f t="shared" si="239"/>
        <v/>
      </c>
      <c r="M1620" s="9" t="str">
        <f>IF(G1620&lt;&gt;"",J1620/MAX(J$3:J1620)-1,"")</f>
        <v/>
      </c>
      <c r="N1620" s="9" t="str">
        <f>IF(G1620&lt;&gt;"",K1620/MAX(K$3:K1620)-1,"")</f>
        <v/>
      </c>
      <c r="O1620" s="16" t="str">
        <f t="shared" si="235"/>
        <v/>
      </c>
      <c r="P1620" s="16" t="str">
        <f t="shared" si="235"/>
        <v/>
      </c>
      <c r="Q1620" s="16" t="str">
        <f t="shared" si="235"/>
        <v/>
      </c>
      <c r="R1620" s="5" t="str">
        <f t="shared" si="234"/>
        <v/>
      </c>
      <c r="S1620" s="5" t="str">
        <f t="shared" si="238"/>
        <v/>
      </c>
      <c r="T1620" s="5" t="str">
        <f t="shared" si="240"/>
        <v/>
      </c>
      <c r="U1620" s="5" t="str">
        <f t="shared" si="240"/>
        <v/>
      </c>
    </row>
    <row r="1621" spans="7:21" x14ac:dyDescent="0.2">
      <c r="G1621" s="8"/>
      <c r="H1621" s="5"/>
      <c r="J1621" s="10" t="str">
        <f t="shared" si="236"/>
        <v/>
      </c>
      <c r="K1621" s="10" t="str">
        <f t="shared" si="237"/>
        <v/>
      </c>
      <c r="L1621" s="11" t="str">
        <f t="shared" si="239"/>
        <v/>
      </c>
      <c r="M1621" s="9" t="str">
        <f>IF(G1621&lt;&gt;"",J1621/MAX(J$3:J1621)-1,"")</f>
        <v/>
      </c>
      <c r="N1621" s="9" t="str">
        <f>IF(G1621&lt;&gt;"",K1621/MAX(K$3:K1621)-1,"")</f>
        <v/>
      </c>
      <c r="O1621" s="16" t="str">
        <f t="shared" si="235"/>
        <v/>
      </c>
      <c r="P1621" s="16" t="str">
        <f t="shared" si="235"/>
        <v/>
      </c>
      <c r="Q1621" s="16" t="str">
        <f t="shared" si="235"/>
        <v/>
      </c>
      <c r="R1621" s="5" t="str">
        <f t="shared" si="234"/>
        <v/>
      </c>
      <c r="S1621" s="5" t="str">
        <f t="shared" si="238"/>
        <v/>
      </c>
      <c r="T1621" s="5" t="str">
        <f t="shared" si="240"/>
        <v/>
      </c>
      <c r="U1621" s="5" t="str">
        <f t="shared" si="240"/>
        <v/>
      </c>
    </row>
    <row r="1622" spans="7:21" x14ac:dyDescent="0.2">
      <c r="G1622" s="8"/>
      <c r="H1622" s="5"/>
      <c r="J1622" s="10" t="str">
        <f t="shared" si="236"/>
        <v/>
      </c>
      <c r="K1622" s="10" t="str">
        <f t="shared" si="237"/>
        <v/>
      </c>
      <c r="L1622" s="11" t="str">
        <f t="shared" si="239"/>
        <v/>
      </c>
      <c r="M1622" s="9" t="str">
        <f>IF(G1622&lt;&gt;"",J1622/MAX(J$3:J1622)-1,"")</f>
        <v/>
      </c>
      <c r="N1622" s="9" t="str">
        <f>IF(G1622&lt;&gt;"",K1622/MAX(K$3:K1622)-1,"")</f>
        <v/>
      </c>
      <c r="O1622" s="16" t="str">
        <f t="shared" si="235"/>
        <v/>
      </c>
      <c r="P1622" s="16" t="str">
        <f t="shared" si="235"/>
        <v/>
      </c>
      <c r="Q1622" s="16" t="str">
        <f t="shared" si="235"/>
        <v/>
      </c>
      <c r="R1622" s="5" t="str">
        <f t="shared" si="234"/>
        <v/>
      </c>
      <c r="S1622" s="5" t="str">
        <f t="shared" si="238"/>
        <v/>
      </c>
      <c r="T1622" s="5" t="str">
        <f t="shared" si="240"/>
        <v/>
      </c>
      <c r="U1622" s="5" t="str">
        <f t="shared" si="240"/>
        <v/>
      </c>
    </row>
    <row r="1623" spans="7:21" x14ac:dyDescent="0.2">
      <c r="G1623" s="8"/>
      <c r="H1623" s="5"/>
      <c r="J1623" s="10" t="str">
        <f t="shared" si="236"/>
        <v/>
      </c>
      <c r="K1623" s="10" t="str">
        <f t="shared" si="237"/>
        <v/>
      </c>
      <c r="L1623" s="11" t="str">
        <f t="shared" si="239"/>
        <v/>
      </c>
      <c r="M1623" s="9" t="str">
        <f>IF(G1623&lt;&gt;"",J1623/MAX(J$3:J1623)-1,"")</f>
        <v/>
      </c>
      <c r="N1623" s="9" t="str">
        <f>IF(G1623&lt;&gt;"",K1623/MAX(K$3:K1623)-1,"")</f>
        <v/>
      </c>
      <c r="O1623" s="16" t="str">
        <f t="shared" si="235"/>
        <v/>
      </c>
      <c r="P1623" s="16" t="str">
        <f t="shared" si="235"/>
        <v/>
      </c>
      <c r="Q1623" s="16" t="str">
        <f t="shared" si="235"/>
        <v/>
      </c>
      <c r="R1623" s="5" t="str">
        <f t="shared" si="234"/>
        <v/>
      </c>
      <c r="S1623" s="5" t="str">
        <f t="shared" si="238"/>
        <v/>
      </c>
      <c r="T1623" s="5" t="str">
        <f t="shared" si="240"/>
        <v/>
      </c>
      <c r="U1623" s="5" t="str">
        <f t="shared" si="240"/>
        <v/>
      </c>
    </row>
    <row r="1624" spans="7:21" x14ac:dyDescent="0.2">
      <c r="G1624" s="8"/>
      <c r="H1624" s="5"/>
      <c r="J1624" s="10" t="str">
        <f t="shared" si="236"/>
        <v/>
      </c>
      <c r="K1624" s="10" t="str">
        <f t="shared" si="237"/>
        <v/>
      </c>
      <c r="L1624" s="11" t="str">
        <f t="shared" si="239"/>
        <v/>
      </c>
      <c r="M1624" s="9" t="str">
        <f>IF(G1624&lt;&gt;"",J1624/MAX(J$3:J1624)-1,"")</f>
        <v/>
      </c>
      <c r="N1624" s="9" t="str">
        <f>IF(G1624&lt;&gt;"",K1624/MAX(K$3:K1624)-1,"")</f>
        <v/>
      </c>
      <c r="O1624" s="16" t="str">
        <f t="shared" si="235"/>
        <v/>
      </c>
      <c r="P1624" s="16" t="str">
        <f t="shared" si="235"/>
        <v/>
      </c>
      <c r="Q1624" s="16" t="str">
        <f t="shared" si="235"/>
        <v/>
      </c>
      <c r="R1624" s="5" t="str">
        <f t="shared" si="234"/>
        <v/>
      </c>
      <c r="S1624" s="5" t="str">
        <f t="shared" si="238"/>
        <v/>
      </c>
      <c r="T1624" s="5" t="str">
        <f t="shared" ref="T1624:U1639" si="241">IF($G1624&lt;&gt;"",_xlfn.STDEV.S(O1380:O1624),"")</f>
        <v/>
      </c>
      <c r="U1624" s="5" t="str">
        <f t="shared" si="241"/>
        <v/>
      </c>
    </row>
    <row r="1625" spans="7:21" x14ac:dyDescent="0.2">
      <c r="G1625" s="8"/>
      <c r="H1625" s="5"/>
      <c r="J1625" s="10" t="str">
        <f t="shared" si="236"/>
        <v/>
      </c>
      <c r="K1625" s="10" t="str">
        <f t="shared" si="237"/>
        <v/>
      </c>
      <c r="L1625" s="11" t="str">
        <f t="shared" si="239"/>
        <v/>
      </c>
      <c r="M1625" s="9" t="str">
        <f>IF(G1625&lt;&gt;"",J1625/MAX(J$3:J1625)-1,"")</f>
        <v/>
      </c>
      <c r="N1625" s="9" t="str">
        <f>IF(G1625&lt;&gt;"",K1625/MAX(K$3:K1625)-1,"")</f>
        <v/>
      </c>
      <c r="O1625" s="16" t="str">
        <f t="shared" si="235"/>
        <v/>
      </c>
      <c r="P1625" s="16" t="str">
        <f t="shared" si="235"/>
        <v/>
      </c>
      <c r="Q1625" s="16" t="str">
        <f t="shared" si="235"/>
        <v/>
      </c>
      <c r="R1625" s="5" t="str">
        <f t="shared" si="234"/>
        <v/>
      </c>
      <c r="S1625" s="5" t="str">
        <f t="shared" si="238"/>
        <v/>
      </c>
      <c r="T1625" s="5" t="str">
        <f t="shared" si="241"/>
        <v/>
      </c>
      <c r="U1625" s="5" t="str">
        <f t="shared" si="241"/>
        <v/>
      </c>
    </row>
    <row r="1626" spans="7:21" x14ac:dyDescent="0.2">
      <c r="G1626" s="8"/>
      <c r="H1626" s="5"/>
      <c r="J1626" s="10" t="str">
        <f t="shared" si="236"/>
        <v/>
      </c>
      <c r="K1626" s="10" t="str">
        <f t="shared" si="237"/>
        <v/>
      </c>
      <c r="L1626" s="11" t="str">
        <f t="shared" si="239"/>
        <v/>
      </c>
      <c r="M1626" s="9" t="str">
        <f>IF(G1626&lt;&gt;"",J1626/MAX(J$3:J1626)-1,"")</f>
        <v/>
      </c>
      <c r="N1626" s="9" t="str">
        <f>IF(G1626&lt;&gt;"",K1626/MAX(K$3:K1626)-1,"")</f>
        <v/>
      </c>
      <c r="O1626" s="16" t="str">
        <f t="shared" si="235"/>
        <v/>
      </c>
      <c r="P1626" s="16" t="str">
        <f t="shared" si="235"/>
        <v/>
      </c>
      <c r="Q1626" s="16" t="str">
        <f t="shared" si="235"/>
        <v/>
      </c>
      <c r="R1626" s="5" t="str">
        <f t="shared" si="234"/>
        <v/>
      </c>
      <c r="S1626" s="5" t="str">
        <f t="shared" si="238"/>
        <v/>
      </c>
      <c r="T1626" s="5" t="str">
        <f t="shared" si="241"/>
        <v/>
      </c>
      <c r="U1626" s="5" t="str">
        <f t="shared" si="241"/>
        <v/>
      </c>
    </row>
    <row r="1627" spans="7:21" x14ac:dyDescent="0.2">
      <c r="G1627" s="8"/>
      <c r="H1627" s="5"/>
      <c r="J1627" s="10" t="str">
        <f t="shared" si="236"/>
        <v/>
      </c>
      <c r="K1627" s="10" t="str">
        <f t="shared" si="237"/>
        <v/>
      </c>
      <c r="L1627" s="11" t="str">
        <f t="shared" si="239"/>
        <v/>
      </c>
      <c r="M1627" s="9" t="str">
        <f>IF(G1627&lt;&gt;"",J1627/MAX(J$3:J1627)-1,"")</f>
        <v/>
      </c>
      <c r="N1627" s="9" t="str">
        <f>IF(G1627&lt;&gt;"",K1627/MAX(K$3:K1627)-1,"")</f>
        <v/>
      </c>
      <c r="O1627" s="16" t="str">
        <f t="shared" si="235"/>
        <v/>
      </c>
      <c r="P1627" s="16" t="str">
        <f t="shared" si="235"/>
        <v/>
      </c>
      <c r="Q1627" s="16" t="str">
        <f t="shared" si="235"/>
        <v/>
      </c>
      <c r="R1627" s="5" t="str">
        <f t="shared" si="234"/>
        <v/>
      </c>
      <c r="S1627" s="5" t="str">
        <f t="shared" si="238"/>
        <v/>
      </c>
      <c r="T1627" s="5" t="str">
        <f t="shared" si="241"/>
        <v/>
      </c>
      <c r="U1627" s="5" t="str">
        <f t="shared" si="241"/>
        <v/>
      </c>
    </row>
    <row r="1628" spans="7:21" x14ac:dyDescent="0.2">
      <c r="G1628" s="8"/>
      <c r="H1628" s="5"/>
      <c r="J1628" s="10" t="str">
        <f t="shared" si="236"/>
        <v/>
      </c>
      <c r="K1628" s="10" t="str">
        <f t="shared" si="237"/>
        <v/>
      </c>
      <c r="L1628" s="11" t="str">
        <f t="shared" si="239"/>
        <v/>
      </c>
      <c r="M1628" s="9" t="str">
        <f>IF(G1628&lt;&gt;"",J1628/MAX(J$3:J1628)-1,"")</f>
        <v/>
      </c>
      <c r="N1628" s="9" t="str">
        <f>IF(G1628&lt;&gt;"",K1628/MAX(K$3:K1628)-1,"")</f>
        <v/>
      </c>
      <c r="O1628" s="16" t="str">
        <f t="shared" si="235"/>
        <v/>
      </c>
      <c r="P1628" s="16" t="str">
        <f t="shared" si="235"/>
        <v/>
      </c>
      <c r="Q1628" s="16" t="str">
        <f t="shared" si="235"/>
        <v/>
      </c>
      <c r="R1628" s="5" t="str">
        <f t="shared" si="234"/>
        <v/>
      </c>
      <c r="S1628" s="5" t="str">
        <f t="shared" si="238"/>
        <v/>
      </c>
      <c r="T1628" s="5" t="str">
        <f t="shared" si="241"/>
        <v/>
      </c>
      <c r="U1628" s="5" t="str">
        <f t="shared" si="241"/>
        <v/>
      </c>
    </row>
    <row r="1629" spans="7:21" x14ac:dyDescent="0.2">
      <c r="G1629" s="8"/>
      <c r="H1629" s="5"/>
      <c r="J1629" s="10" t="str">
        <f t="shared" si="236"/>
        <v/>
      </c>
      <c r="K1629" s="10" t="str">
        <f t="shared" si="237"/>
        <v/>
      </c>
      <c r="L1629" s="11" t="str">
        <f t="shared" si="239"/>
        <v/>
      </c>
      <c r="M1629" s="9" t="str">
        <f>IF(G1629&lt;&gt;"",J1629/MAX(J$3:J1629)-1,"")</f>
        <v/>
      </c>
      <c r="N1629" s="9" t="str">
        <f>IF(G1629&lt;&gt;"",K1629/MAX(K$3:K1629)-1,"")</f>
        <v/>
      </c>
      <c r="O1629" s="16" t="str">
        <f t="shared" si="235"/>
        <v/>
      </c>
      <c r="P1629" s="16" t="str">
        <f t="shared" si="235"/>
        <v/>
      </c>
      <c r="Q1629" s="16" t="str">
        <f t="shared" si="235"/>
        <v/>
      </c>
      <c r="R1629" s="5" t="str">
        <f t="shared" si="234"/>
        <v/>
      </c>
      <c r="S1629" s="5" t="str">
        <f t="shared" si="238"/>
        <v/>
      </c>
      <c r="T1629" s="5" t="str">
        <f t="shared" si="241"/>
        <v/>
      </c>
      <c r="U1629" s="5" t="str">
        <f t="shared" si="241"/>
        <v/>
      </c>
    </row>
    <row r="1630" spans="7:21" x14ac:dyDescent="0.2">
      <c r="G1630" s="8"/>
      <c r="H1630" s="5"/>
      <c r="J1630" s="10" t="str">
        <f t="shared" si="236"/>
        <v/>
      </c>
      <c r="K1630" s="10" t="str">
        <f t="shared" si="237"/>
        <v/>
      </c>
      <c r="L1630" s="11" t="str">
        <f t="shared" si="239"/>
        <v/>
      </c>
      <c r="M1630" s="9" t="str">
        <f>IF(G1630&lt;&gt;"",J1630/MAX(J$3:J1630)-1,"")</f>
        <v/>
      </c>
      <c r="N1630" s="9" t="str">
        <f>IF(G1630&lt;&gt;"",K1630/MAX(K$3:K1630)-1,"")</f>
        <v/>
      </c>
      <c r="O1630" s="16" t="str">
        <f t="shared" si="235"/>
        <v/>
      </c>
      <c r="P1630" s="16" t="str">
        <f t="shared" si="235"/>
        <v/>
      </c>
      <c r="Q1630" s="16" t="str">
        <f t="shared" si="235"/>
        <v/>
      </c>
      <c r="R1630" s="5" t="str">
        <f t="shared" si="234"/>
        <v/>
      </c>
      <c r="S1630" s="5" t="str">
        <f t="shared" si="238"/>
        <v/>
      </c>
      <c r="T1630" s="5" t="str">
        <f t="shared" si="241"/>
        <v/>
      </c>
      <c r="U1630" s="5" t="str">
        <f t="shared" si="241"/>
        <v/>
      </c>
    </row>
    <row r="1631" spans="7:21" x14ac:dyDescent="0.2">
      <c r="G1631" s="8"/>
      <c r="H1631" s="5"/>
      <c r="J1631" s="10" t="str">
        <f t="shared" si="236"/>
        <v/>
      </c>
      <c r="K1631" s="10" t="str">
        <f t="shared" si="237"/>
        <v/>
      </c>
      <c r="L1631" s="11" t="str">
        <f t="shared" si="239"/>
        <v/>
      </c>
      <c r="M1631" s="9" t="str">
        <f>IF(G1631&lt;&gt;"",J1631/MAX(J$3:J1631)-1,"")</f>
        <v/>
      </c>
      <c r="N1631" s="9" t="str">
        <f>IF(G1631&lt;&gt;"",K1631/MAX(K$3:K1631)-1,"")</f>
        <v/>
      </c>
      <c r="O1631" s="16" t="str">
        <f t="shared" si="235"/>
        <v/>
      </c>
      <c r="P1631" s="16" t="str">
        <f t="shared" si="235"/>
        <v/>
      </c>
      <c r="Q1631" s="16" t="str">
        <f t="shared" si="235"/>
        <v/>
      </c>
      <c r="R1631" s="5" t="str">
        <f t="shared" si="234"/>
        <v/>
      </c>
      <c r="S1631" s="5" t="str">
        <f t="shared" si="238"/>
        <v/>
      </c>
      <c r="T1631" s="5" t="str">
        <f t="shared" si="241"/>
        <v/>
      </c>
      <c r="U1631" s="5" t="str">
        <f t="shared" si="241"/>
        <v/>
      </c>
    </row>
    <row r="1632" spans="7:21" x14ac:dyDescent="0.2">
      <c r="G1632" s="8"/>
      <c r="H1632" s="5"/>
      <c r="J1632" s="10" t="str">
        <f t="shared" si="236"/>
        <v/>
      </c>
      <c r="K1632" s="10" t="str">
        <f t="shared" si="237"/>
        <v/>
      </c>
      <c r="L1632" s="11" t="str">
        <f t="shared" si="239"/>
        <v/>
      </c>
      <c r="M1632" s="9" t="str">
        <f>IF(G1632&lt;&gt;"",J1632/MAX(J$3:J1632)-1,"")</f>
        <v/>
      </c>
      <c r="N1632" s="9" t="str">
        <f>IF(G1632&lt;&gt;"",K1632/MAX(K$3:K1632)-1,"")</f>
        <v/>
      </c>
      <c r="O1632" s="16" t="str">
        <f t="shared" si="235"/>
        <v/>
      </c>
      <c r="P1632" s="16" t="str">
        <f t="shared" si="235"/>
        <v/>
      </c>
      <c r="Q1632" s="16" t="str">
        <f t="shared" si="235"/>
        <v/>
      </c>
      <c r="R1632" s="5" t="str">
        <f t="shared" si="234"/>
        <v/>
      </c>
      <c r="S1632" s="5" t="str">
        <f t="shared" si="238"/>
        <v/>
      </c>
      <c r="T1632" s="5" t="str">
        <f t="shared" si="241"/>
        <v/>
      </c>
      <c r="U1632" s="5" t="str">
        <f t="shared" si="241"/>
        <v/>
      </c>
    </row>
    <row r="1633" spans="7:21" x14ac:dyDescent="0.2">
      <c r="G1633" s="8"/>
      <c r="H1633" s="5"/>
      <c r="J1633" s="10" t="str">
        <f t="shared" si="236"/>
        <v/>
      </c>
      <c r="K1633" s="10" t="str">
        <f t="shared" si="237"/>
        <v/>
      </c>
      <c r="L1633" s="11" t="str">
        <f t="shared" si="239"/>
        <v/>
      </c>
      <c r="M1633" s="9" t="str">
        <f>IF(G1633&lt;&gt;"",J1633/MAX(J$3:J1633)-1,"")</f>
        <v/>
      </c>
      <c r="N1633" s="9" t="str">
        <f>IF(G1633&lt;&gt;"",K1633/MAX(K$3:K1633)-1,"")</f>
        <v/>
      </c>
      <c r="O1633" s="16" t="str">
        <f t="shared" si="235"/>
        <v/>
      </c>
      <c r="P1633" s="16" t="str">
        <f t="shared" si="235"/>
        <v/>
      </c>
      <c r="Q1633" s="16" t="str">
        <f t="shared" si="235"/>
        <v/>
      </c>
      <c r="R1633" s="5" t="str">
        <f t="shared" si="234"/>
        <v/>
      </c>
      <c r="S1633" s="5" t="str">
        <f t="shared" si="238"/>
        <v/>
      </c>
      <c r="T1633" s="5" t="str">
        <f t="shared" si="241"/>
        <v/>
      </c>
      <c r="U1633" s="5" t="str">
        <f t="shared" si="241"/>
        <v/>
      </c>
    </row>
    <row r="1634" spans="7:21" x14ac:dyDescent="0.2">
      <c r="G1634" s="8"/>
      <c r="H1634" s="5"/>
      <c r="J1634" s="10" t="str">
        <f t="shared" si="236"/>
        <v/>
      </c>
      <c r="K1634" s="10" t="str">
        <f t="shared" si="237"/>
        <v/>
      </c>
      <c r="L1634" s="11" t="str">
        <f t="shared" si="239"/>
        <v/>
      </c>
      <c r="M1634" s="9" t="str">
        <f>IF(G1634&lt;&gt;"",J1634/MAX(J$3:J1634)-1,"")</f>
        <v/>
      </c>
      <c r="N1634" s="9" t="str">
        <f>IF(G1634&lt;&gt;"",K1634/MAX(K$3:K1634)-1,"")</f>
        <v/>
      </c>
      <c r="O1634" s="16" t="str">
        <f t="shared" si="235"/>
        <v/>
      </c>
      <c r="P1634" s="16" t="str">
        <f t="shared" si="235"/>
        <v/>
      </c>
      <c r="Q1634" s="16" t="str">
        <f t="shared" si="235"/>
        <v/>
      </c>
      <c r="R1634" s="5" t="str">
        <f t="shared" si="234"/>
        <v/>
      </c>
      <c r="S1634" s="5" t="str">
        <f t="shared" si="238"/>
        <v/>
      </c>
      <c r="T1634" s="5" t="str">
        <f t="shared" si="241"/>
        <v/>
      </c>
      <c r="U1634" s="5" t="str">
        <f t="shared" si="241"/>
        <v/>
      </c>
    </row>
    <row r="1635" spans="7:21" x14ac:dyDescent="0.2">
      <c r="G1635" s="8"/>
      <c r="H1635" s="5"/>
      <c r="J1635" s="10" t="str">
        <f t="shared" si="236"/>
        <v/>
      </c>
      <c r="K1635" s="10" t="str">
        <f t="shared" si="237"/>
        <v/>
      </c>
      <c r="L1635" s="11" t="str">
        <f t="shared" si="239"/>
        <v/>
      </c>
      <c r="M1635" s="9" t="str">
        <f>IF(G1635&lt;&gt;"",J1635/MAX(J$3:J1635)-1,"")</f>
        <v/>
      </c>
      <c r="N1635" s="9" t="str">
        <f>IF(G1635&lt;&gt;"",K1635/MAX(K$3:K1635)-1,"")</f>
        <v/>
      </c>
      <c r="O1635" s="16" t="str">
        <f t="shared" si="235"/>
        <v/>
      </c>
      <c r="P1635" s="16" t="str">
        <f t="shared" si="235"/>
        <v/>
      </c>
      <c r="Q1635" s="16" t="str">
        <f t="shared" si="235"/>
        <v/>
      </c>
      <c r="R1635" s="5" t="str">
        <f t="shared" si="234"/>
        <v/>
      </c>
      <c r="S1635" s="5" t="str">
        <f t="shared" si="238"/>
        <v/>
      </c>
      <c r="T1635" s="5" t="str">
        <f t="shared" si="241"/>
        <v/>
      </c>
      <c r="U1635" s="5" t="str">
        <f t="shared" si="241"/>
        <v/>
      </c>
    </row>
    <row r="1636" spans="7:21" x14ac:dyDescent="0.2">
      <c r="G1636" s="8"/>
      <c r="H1636" s="5"/>
      <c r="J1636" s="10" t="str">
        <f t="shared" si="236"/>
        <v/>
      </c>
      <c r="K1636" s="10" t="str">
        <f t="shared" si="237"/>
        <v/>
      </c>
      <c r="L1636" s="11" t="str">
        <f t="shared" si="239"/>
        <v/>
      </c>
      <c r="M1636" s="9" t="str">
        <f>IF(G1636&lt;&gt;"",J1636/MAX(J$3:J1636)-1,"")</f>
        <v/>
      </c>
      <c r="N1636" s="9" t="str">
        <f>IF(G1636&lt;&gt;"",K1636/MAX(K$3:K1636)-1,"")</f>
        <v/>
      </c>
      <c r="O1636" s="16" t="str">
        <f t="shared" si="235"/>
        <v/>
      </c>
      <c r="P1636" s="16" t="str">
        <f t="shared" si="235"/>
        <v/>
      </c>
      <c r="Q1636" s="16" t="str">
        <f t="shared" si="235"/>
        <v/>
      </c>
      <c r="R1636" s="5" t="str">
        <f t="shared" si="234"/>
        <v/>
      </c>
      <c r="S1636" s="5" t="str">
        <f t="shared" si="238"/>
        <v/>
      </c>
      <c r="T1636" s="5" t="str">
        <f t="shared" si="241"/>
        <v/>
      </c>
      <c r="U1636" s="5" t="str">
        <f t="shared" si="241"/>
        <v/>
      </c>
    </row>
    <row r="1637" spans="7:21" x14ac:dyDescent="0.2">
      <c r="G1637" s="8"/>
      <c r="H1637" s="5"/>
      <c r="J1637" s="10" t="str">
        <f t="shared" si="236"/>
        <v/>
      </c>
      <c r="K1637" s="10" t="str">
        <f t="shared" si="237"/>
        <v/>
      </c>
      <c r="L1637" s="11" t="str">
        <f t="shared" si="239"/>
        <v/>
      </c>
      <c r="M1637" s="9" t="str">
        <f>IF(G1637&lt;&gt;"",J1637/MAX(J$3:J1637)-1,"")</f>
        <v/>
      </c>
      <c r="N1637" s="9" t="str">
        <f>IF(G1637&lt;&gt;"",K1637/MAX(K$3:K1637)-1,"")</f>
        <v/>
      </c>
      <c r="O1637" s="16" t="str">
        <f t="shared" si="235"/>
        <v/>
      </c>
      <c r="P1637" s="16" t="str">
        <f t="shared" si="235"/>
        <v/>
      </c>
      <c r="Q1637" s="16" t="str">
        <f t="shared" si="235"/>
        <v/>
      </c>
      <c r="R1637" s="5" t="str">
        <f t="shared" si="234"/>
        <v/>
      </c>
      <c r="S1637" s="5" t="str">
        <f t="shared" si="238"/>
        <v/>
      </c>
      <c r="T1637" s="5" t="str">
        <f t="shared" si="241"/>
        <v/>
      </c>
      <c r="U1637" s="5" t="str">
        <f t="shared" si="241"/>
        <v/>
      </c>
    </row>
    <row r="1638" spans="7:21" x14ac:dyDescent="0.2">
      <c r="G1638" s="8"/>
      <c r="H1638" s="5"/>
      <c r="J1638" s="10" t="str">
        <f t="shared" si="236"/>
        <v/>
      </c>
      <c r="K1638" s="10" t="str">
        <f t="shared" si="237"/>
        <v/>
      </c>
      <c r="L1638" s="11" t="str">
        <f t="shared" si="239"/>
        <v/>
      </c>
      <c r="M1638" s="9" t="str">
        <f>IF(G1638&lt;&gt;"",J1638/MAX(J$3:J1638)-1,"")</f>
        <v/>
      </c>
      <c r="N1638" s="9" t="str">
        <f>IF(G1638&lt;&gt;"",K1638/MAX(K$3:K1638)-1,"")</f>
        <v/>
      </c>
      <c r="O1638" s="16" t="str">
        <f t="shared" si="235"/>
        <v/>
      </c>
      <c r="P1638" s="16" t="str">
        <f t="shared" si="235"/>
        <v/>
      </c>
      <c r="Q1638" s="16" t="str">
        <f t="shared" si="235"/>
        <v/>
      </c>
      <c r="R1638" s="5" t="str">
        <f t="shared" si="234"/>
        <v/>
      </c>
      <c r="S1638" s="5" t="str">
        <f t="shared" si="238"/>
        <v/>
      </c>
      <c r="T1638" s="5" t="str">
        <f t="shared" si="241"/>
        <v/>
      </c>
      <c r="U1638" s="5" t="str">
        <f t="shared" si="241"/>
        <v/>
      </c>
    </row>
    <row r="1639" spans="7:21" x14ac:dyDescent="0.2">
      <c r="G1639" s="8"/>
      <c r="H1639" s="5"/>
      <c r="J1639" s="10" t="str">
        <f t="shared" si="236"/>
        <v/>
      </c>
      <c r="K1639" s="10" t="str">
        <f t="shared" si="237"/>
        <v/>
      </c>
      <c r="L1639" s="11" t="str">
        <f t="shared" si="239"/>
        <v/>
      </c>
      <c r="M1639" s="9" t="str">
        <f>IF(G1639&lt;&gt;"",J1639/MAX(J$3:J1639)-1,"")</f>
        <v/>
      </c>
      <c r="N1639" s="9" t="str">
        <f>IF(G1639&lt;&gt;"",K1639/MAX(K$3:K1639)-1,"")</f>
        <v/>
      </c>
      <c r="O1639" s="16" t="str">
        <f t="shared" si="235"/>
        <v/>
      </c>
      <c r="P1639" s="16" t="str">
        <f t="shared" si="235"/>
        <v/>
      </c>
      <c r="Q1639" s="16" t="str">
        <f t="shared" si="235"/>
        <v/>
      </c>
      <c r="R1639" s="5" t="str">
        <f t="shared" si="234"/>
        <v/>
      </c>
      <c r="S1639" s="5" t="str">
        <f t="shared" si="238"/>
        <v/>
      </c>
      <c r="T1639" s="5" t="str">
        <f t="shared" si="241"/>
        <v/>
      </c>
      <c r="U1639" s="5" t="str">
        <f t="shared" si="241"/>
        <v/>
      </c>
    </row>
    <row r="1640" spans="7:21" x14ac:dyDescent="0.2">
      <c r="G1640" s="8"/>
      <c r="H1640" s="5"/>
      <c r="J1640" s="10" t="str">
        <f t="shared" si="236"/>
        <v/>
      </c>
      <c r="K1640" s="10" t="str">
        <f t="shared" si="237"/>
        <v/>
      </c>
      <c r="L1640" s="11" t="str">
        <f t="shared" si="239"/>
        <v/>
      </c>
      <c r="M1640" s="9" t="str">
        <f>IF(G1640&lt;&gt;"",J1640/MAX(J$3:J1640)-1,"")</f>
        <v/>
      </c>
      <c r="N1640" s="9" t="str">
        <f>IF(G1640&lt;&gt;"",K1640/MAX(K$3:K1640)-1,"")</f>
        <v/>
      </c>
      <c r="O1640" s="16" t="str">
        <f t="shared" si="235"/>
        <v/>
      </c>
      <c r="P1640" s="16" t="str">
        <f t="shared" si="235"/>
        <v/>
      </c>
      <c r="Q1640" s="16" t="str">
        <f t="shared" si="235"/>
        <v/>
      </c>
      <c r="R1640" s="5" t="str">
        <f t="shared" si="234"/>
        <v/>
      </c>
      <c r="S1640" s="5" t="str">
        <f t="shared" si="238"/>
        <v/>
      </c>
      <c r="T1640" s="5" t="str">
        <f t="shared" ref="T1640:U1655" si="242">IF($G1640&lt;&gt;"",_xlfn.STDEV.S(O1396:O1640),"")</f>
        <v/>
      </c>
      <c r="U1640" s="5" t="str">
        <f t="shared" si="242"/>
        <v/>
      </c>
    </row>
    <row r="1641" spans="7:21" x14ac:dyDescent="0.2">
      <c r="G1641" s="8"/>
      <c r="H1641" s="5"/>
      <c r="J1641" s="10" t="str">
        <f t="shared" si="236"/>
        <v/>
      </c>
      <c r="K1641" s="10" t="str">
        <f t="shared" si="237"/>
        <v/>
      </c>
      <c r="L1641" s="11" t="str">
        <f t="shared" si="239"/>
        <v/>
      </c>
      <c r="M1641" s="9" t="str">
        <f>IF(G1641&lt;&gt;"",J1641/MAX(J$3:J1641)-1,"")</f>
        <v/>
      </c>
      <c r="N1641" s="9" t="str">
        <f>IF(G1641&lt;&gt;"",K1641/MAX(K$3:K1641)-1,"")</f>
        <v/>
      </c>
      <c r="O1641" s="16" t="str">
        <f t="shared" si="235"/>
        <v/>
      </c>
      <c r="P1641" s="16" t="str">
        <f t="shared" si="235"/>
        <v/>
      </c>
      <c r="Q1641" s="16" t="str">
        <f t="shared" si="235"/>
        <v/>
      </c>
      <c r="R1641" s="5" t="str">
        <f t="shared" si="234"/>
        <v/>
      </c>
      <c r="S1641" s="5" t="str">
        <f t="shared" si="238"/>
        <v/>
      </c>
      <c r="T1641" s="5" t="str">
        <f t="shared" si="242"/>
        <v/>
      </c>
      <c r="U1641" s="5" t="str">
        <f t="shared" si="242"/>
        <v/>
      </c>
    </row>
    <row r="1642" spans="7:21" x14ac:dyDescent="0.2">
      <c r="G1642" s="8"/>
      <c r="H1642" s="5"/>
      <c r="J1642" s="10" t="str">
        <f t="shared" si="236"/>
        <v/>
      </c>
      <c r="K1642" s="10" t="str">
        <f t="shared" si="237"/>
        <v/>
      </c>
      <c r="L1642" s="11" t="str">
        <f t="shared" si="239"/>
        <v/>
      </c>
      <c r="M1642" s="9" t="str">
        <f>IF(G1642&lt;&gt;"",J1642/MAX(J$3:J1642)-1,"")</f>
        <v/>
      </c>
      <c r="N1642" s="9" t="str">
        <f>IF(G1642&lt;&gt;"",K1642/MAX(K$3:K1642)-1,"")</f>
        <v/>
      </c>
      <c r="O1642" s="16" t="str">
        <f t="shared" si="235"/>
        <v/>
      </c>
      <c r="P1642" s="16" t="str">
        <f t="shared" si="235"/>
        <v/>
      </c>
      <c r="Q1642" s="16" t="str">
        <f t="shared" si="235"/>
        <v/>
      </c>
      <c r="R1642" s="5" t="str">
        <f t="shared" si="234"/>
        <v/>
      </c>
      <c r="S1642" s="5" t="str">
        <f t="shared" si="238"/>
        <v/>
      </c>
      <c r="T1642" s="5" t="str">
        <f t="shared" si="242"/>
        <v/>
      </c>
      <c r="U1642" s="5" t="str">
        <f t="shared" si="242"/>
        <v/>
      </c>
    </row>
    <row r="1643" spans="7:21" x14ac:dyDescent="0.2">
      <c r="G1643" s="8"/>
      <c r="H1643" s="5"/>
      <c r="J1643" s="10" t="str">
        <f t="shared" si="236"/>
        <v/>
      </c>
      <c r="K1643" s="10" t="str">
        <f t="shared" si="237"/>
        <v/>
      </c>
      <c r="L1643" s="11" t="str">
        <f t="shared" si="239"/>
        <v/>
      </c>
      <c r="M1643" s="9" t="str">
        <f>IF(G1643&lt;&gt;"",J1643/MAX(J$3:J1643)-1,"")</f>
        <v/>
      </c>
      <c r="N1643" s="9" t="str">
        <f>IF(G1643&lt;&gt;"",K1643/MAX(K$3:K1643)-1,"")</f>
        <v/>
      </c>
      <c r="O1643" s="16" t="str">
        <f t="shared" si="235"/>
        <v/>
      </c>
      <c r="P1643" s="16" t="str">
        <f t="shared" si="235"/>
        <v/>
      </c>
      <c r="Q1643" s="16" t="str">
        <f t="shared" si="235"/>
        <v/>
      </c>
      <c r="R1643" s="5" t="str">
        <f t="shared" si="234"/>
        <v/>
      </c>
      <c r="S1643" s="5" t="str">
        <f t="shared" si="238"/>
        <v/>
      </c>
      <c r="T1643" s="5" t="str">
        <f t="shared" si="242"/>
        <v/>
      </c>
      <c r="U1643" s="5" t="str">
        <f t="shared" si="242"/>
        <v/>
      </c>
    </row>
    <row r="1644" spans="7:21" x14ac:dyDescent="0.2">
      <c r="G1644" s="8"/>
      <c r="H1644" s="5"/>
      <c r="J1644" s="10" t="str">
        <f t="shared" si="236"/>
        <v/>
      </c>
      <c r="K1644" s="10" t="str">
        <f t="shared" si="237"/>
        <v/>
      </c>
      <c r="L1644" s="11" t="str">
        <f t="shared" si="239"/>
        <v/>
      </c>
      <c r="M1644" s="9" t="str">
        <f>IF(G1644&lt;&gt;"",J1644/MAX(J$3:J1644)-1,"")</f>
        <v/>
      </c>
      <c r="N1644" s="9" t="str">
        <f>IF(G1644&lt;&gt;"",K1644/MAX(K$3:K1644)-1,"")</f>
        <v/>
      </c>
      <c r="O1644" s="16" t="str">
        <f t="shared" si="235"/>
        <v/>
      </c>
      <c r="P1644" s="16" t="str">
        <f t="shared" si="235"/>
        <v/>
      </c>
      <c r="Q1644" s="16" t="str">
        <f t="shared" si="235"/>
        <v/>
      </c>
      <c r="R1644" s="5" t="str">
        <f t="shared" si="234"/>
        <v/>
      </c>
      <c r="S1644" s="5" t="str">
        <f t="shared" si="238"/>
        <v/>
      </c>
      <c r="T1644" s="5" t="str">
        <f t="shared" si="242"/>
        <v/>
      </c>
      <c r="U1644" s="5" t="str">
        <f t="shared" si="242"/>
        <v/>
      </c>
    </row>
    <row r="1645" spans="7:21" x14ac:dyDescent="0.2">
      <c r="G1645" s="8"/>
      <c r="H1645" s="5"/>
      <c r="J1645" s="10" t="str">
        <f t="shared" si="236"/>
        <v/>
      </c>
      <c r="K1645" s="10" t="str">
        <f t="shared" si="237"/>
        <v/>
      </c>
      <c r="L1645" s="11" t="str">
        <f t="shared" si="239"/>
        <v/>
      </c>
      <c r="M1645" s="9" t="str">
        <f>IF(G1645&lt;&gt;"",J1645/MAX(J$3:J1645)-1,"")</f>
        <v/>
      </c>
      <c r="N1645" s="9" t="str">
        <f>IF(G1645&lt;&gt;"",K1645/MAX(K$3:K1645)-1,"")</f>
        <v/>
      </c>
      <c r="O1645" s="16" t="str">
        <f t="shared" si="235"/>
        <v/>
      </c>
      <c r="P1645" s="16" t="str">
        <f t="shared" si="235"/>
        <v/>
      </c>
      <c r="Q1645" s="16" t="str">
        <f t="shared" si="235"/>
        <v/>
      </c>
      <c r="R1645" s="5" t="str">
        <f t="shared" si="234"/>
        <v/>
      </c>
      <c r="S1645" s="5" t="str">
        <f t="shared" si="238"/>
        <v/>
      </c>
      <c r="T1645" s="5" t="str">
        <f t="shared" si="242"/>
        <v/>
      </c>
      <c r="U1645" s="5" t="str">
        <f t="shared" si="242"/>
        <v/>
      </c>
    </row>
    <row r="1646" spans="7:21" x14ac:dyDescent="0.2">
      <c r="G1646" s="8"/>
      <c r="H1646" s="5"/>
      <c r="J1646" s="10" t="str">
        <f t="shared" si="236"/>
        <v/>
      </c>
      <c r="K1646" s="10" t="str">
        <f t="shared" si="237"/>
        <v/>
      </c>
      <c r="L1646" s="11" t="str">
        <f t="shared" si="239"/>
        <v/>
      </c>
      <c r="M1646" s="9" t="str">
        <f>IF(G1646&lt;&gt;"",J1646/MAX(J$3:J1646)-1,"")</f>
        <v/>
      </c>
      <c r="N1646" s="9" t="str">
        <f>IF(G1646&lt;&gt;"",K1646/MAX(K$3:K1646)-1,"")</f>
        <v/>
      </c>
      <c r="O1646" s="16" t="str">
        <f t="shared" si="235"/>
        <v/>
      </c>
      <c r="P1646" s="16" t="str">
        <f t="shared" si="235"/>
        <v/>
      </c>
      <c r="Q1646" s="16" t="str">
        <f t="shared" si="235"/>
        <v/>
      </c>
      <c r="R1646" s="5" t="str">
        <f t="shared" si="234"/>
        <v/>
      </c>
      <c r="S1646" s="5" t="str">
        <f t="shared" si="238"/>
        <v/>
      </c>
      <c r="T1646" s="5" t="str">
        <f t="shared" si="242"/>
        <v/>
      </c>
      <c r="U1646" s="5" t="str">
        <f t="shared" si="242"/>
        <v/>
      </c>
    </row>
    <row r="1647" spans="7:21" x14ac:dyDescent="0.2">
      <c r="G1647" s="8"/>
      <c r="H1647" s="5"/>
      <c r="J1647" s="10" t="str">
        <f t="shared" si="236"/>
        <v/>
      </c>
      <c r="K1647" s="10" t="str">
        <f t="shared" si="237"/>
        <v/>
      </c>
      <c r="L1647" s="11" t="str">
        <f t="shared" si="239"/>
        <v/>
      </c>
      <c r="M1647" s="9" t="str">
        <f>IF(G1647&lt;&gt;"",J1647/MAX(J$3:J1647)-1,"")</f>
        <v/>
      </c>
      <c r="N1647" s="9" t="str">
        <f>IF(G1647&lt;&gt;"",K1647/MAX(K$3:K1647)-1,"")</f>
        <v/>
      </c>
      <c r="O1647" s="16" t="str">
        <f t="shared" si="235"/>
        <v/>
      </c>
      <c r="P1647" s="16" t="str">
        <f t="shared" si="235"/>
        <v/>
      </c>
      <c r="Q1647" s="16" t="str">
        <f t="shared" si="235"/>
        <v/>
      </c>
      <c r="R1647" s="5" t="str">
        <f t="shared" si="234"/>
        <v/>
      </c>
      <c r="S1647" s="5" t="str">
        <f t="shared" si="238"/>
        <v/>
      </c>
      <c r="T1647" s="5" t="str">
        <f t="shared" si="242"/>
        <v/>
      </c>
      <c r="U1647" s="5" t="str">
        <f t="shared" si="242"/>
        <v/>
      </c>
    </row>
    <row r="1648" spans="7:21" x14ac:dyDescent="0.2">
      <c r="G1648" s="8"/>
      <c r="H1648" s="5"/>
      <c r="J1648" s="10" t="str">
        <f t="shared" si="236"/>
        <v/>
      </c>
      <c r="K1648" s="10" t="str">
        <f t="shared" si="237"/>
        <v/>
      </c>
      <c r="L1648" s="11" t="str">
        <f t="shared" si="239"/>
        <v/>
      </c>
      <c r="M1648" s="9" t="str">
        <f>IF(G1648&lt;&gt;"",J1648/MAX(J$3:J1648)-1,"")</f>
        <v/>
      </c>
      <c r="N1648" s="9" t="str">
        <f>IF(G1648&lt;&gt;"",K1648/MAX(K$3:K1648)-1,"")</f>
        <v/>
      </c>
      <c r="O1648" s="16" t="str">
        <f t="shared" si="235"/>
        <v/>
      </c>
      <c r="P1648" s="16" t="str">
        <f t="shared" si="235"/>
        <v/>
      </c>
      <c r="Q1648" s="16" t="str">
        <f t="shared" si="235"/>
        <v/>
      </c>
      <c r="R1648" s="5" t="str">
        <f t="shared" si="234"/>
        <v/>
      </c>
      <c r="S1648" s="5" t="str">
        <f t="shared" si="238"/>
        <v/>
      </c>
      <c r="T1648" s="5" t="str">
        <f t="shared" si="242"/>
        <v/>
      </c>
      <c r="U1648" s="5" t="str">
        <f t="shared" si="242"/>
        <v/>
      </c>
    </row>
    <row r="1649" spans="7:21" x14ac:dyDescent="0.2">
      <c r="G1649" s="8"/>
      <c r="H1649" s="5"/>
      <c r="J1649" s="10" t="str">
        <f t="shared" si="236"/>
        <v/>
      </c>
      <c r="K1649" s="10" t="str">
        <f t="shared" si="237"/>
        <v/>
      </c>
      <c r="L1649" s="11" t="str">
        <f t="shared" si="239"/>
        <v/>
      </c>
      <c r="M1649" s="9" t="str">
        <f>IF(G1649&lt;&gt;"",J1649/MAX(J$3:J1649)-1,"")</f>
        <v/>
      </c>
      <c r="N1649" s="9" t="str">
        <f>IF(G1649&lt;&gt;"",K1649/MAX(K$3:K1649)-1,"")</f>
        <v/>
      </c>
      <c r="O1649" s="16" t="str">
        <f t="shared" si="235"/>
        <v/>
      </c>
      <c r="P1649" s="16" t="str">
        <f t="shared" si="235"/>
        <v/>
      </c>
      <c r="Q1649" s="16" t="str">
        <f t="shared" si="235"/>
        <v/>
      </c>
      <c r="R1649" s="5" t="str">
        <f t="shared" si="234"/>
        <v/>
      </c>
      <c r="S1649" s="5" t="str">
        <f t="shared" si="238"/>
        <v/>
      </c>
      <c r="T1649" s="5" t="str">
        <f t="shared" si="242"/>
        <v/>
      </c>
      <c r="U1649" s="5" t="str">
        <f t="shared" si="242"/>
        <v/>
      </c>
    </row>
    <row r="1650" spans="7:21" x14ac:dyDescent="0.2">
      <c r="G1650" s="8"/>
      <c r="H1650" s="5"/>
      <c r="J1650" s="10" t="str">
        <f t="shared" si="236"/>
        <v/>
      </c>
      <c r="K1650" s="10" t="str">
        <f t="shared" si="237"/>
        <v/>
      </c>
      <c r="L1650" s="11" t="str">
        <f t="shared" si="239"/>
        <v/>
      </c>
      <c r="M1650" s="9" t="str">
        <f>IF(G1650&lt;&gt;"",J1650/MAX(J$3:J1650)-1,"")</f>
        <v/>
      </c>
      <c r="N1650" s="9" t="str">
        <f>IF(G1650&lt;&gt;"",K1650/MAX(K$3:K1650)-1,"")</f>
        <v/>
      </c>
      <c r="O1650" s="16" t="str">
        <f t="shared" si="235"/>
        <v/>
      </c>
      <c r="P1650" s="16" t="str">
        <f t="shared" si="235"/>
        <v/>
      </c>
      <c r="Q1650" s="16" t="str">
        <f t="shared" si="235"/>
        <v/>
      </c>
      <c r="R1650" s="5" t="str">
        <f t="shared" si="234"/>
        <v/>
      </c>
      <c r="S1650" s="5" t="str">
        <f t="shared" si="238"/>
        <v/>
      </c>
      <c r="T1650" s="5" t="str">
        <f t="shared" si="242"/>
        <v/>
      </c>
      <c r="U1650" s="5" t="str">
        <f t="shared" si="242"/>
        <v/>
      </c>
    </row>
    <row r="1651" spans="7:21" x14ac:dyDescent="0.2">
      <c r="G1651" s="8"/>
      <c r="H1651" s="5"/>
      <c r="J1651" s="10" t="str">
        <f t="shared" si="236"/>
        <v/>
      </c>
      <c r="K1651" s="10" t="str">
        <f t="shared" si="237"/>
        <v/>
      </c>
      <c r="L1651" s="11" t="str">
        <f t="shared" si="239"/>
        <v/>
      </c>
      <c r="M1651" s="9" t="str">
        <f>IF(G1651&lt;&gt;"",J1651/MAX(J$3:J1651)-1,"")</f>
        <v/>
      </c>
      <c r="N1651" s="9" t="str">
        <f>IF(G1651&lt;&gt;"",K1651/MAX(K$3:K1651)-1,"")</f>
        <v/>
      </c>
      <c r="O1651" s="16" t="str">
        <f t="shared" si="235"/>
        <v/>
      </c>
      <c r="P1651" s="16" t="str">
        <f t="shared" si="235"/>
        <v/>
      </c>
      <c r="Q1651" s="16" t="str">
        <f t="shared" si="235"/>
        <v/>
      </c>
      <c r="R1651" s="5" t="str">
        <f t="shared" si="234"/>
        <v/>
      </c>
      <c r="S1651" s="5" t="str">
        <f t="shared" si="238"/>
        <v/>
      </c>
      <c r="T1651" s="5" t="str">
        <f t="shared" si="242"/>
        <v/>
      </c>
      <c r="U1651" s="5" t="str">
        <f t="shared" si="242"/>
        <v/>
      </c>
    </row>
    <row r="1652" spans="7:21" x14ac:dyDescent="0.2">
      <c r="G1652" s="8"/>
      <c r="H1652" s="5"/>
      <c r="J1652" s="10" t="str">
        <f t="shared" si="236"/>
        <v/>
      </c>
      <c r="K1652" s="10" t="str">
        <f t="shared" si="237"/>
        <v/>
      </c>
      <c r="L1652" s="11" t="str">
        <f t="shared" si="239"/>
        <v/>
      </c>
      <c r="M1652" s="9" t="str">
        <f>IF(G1652&lt;&gt;"",J1652/MAX(J$3:J1652)-1,"")</f>
        <v/>
      </c>
      <c r="N1652" s="9" t="str">
        <f>IF(G1652&lt;&gt;"",K1652/MAX(K$3:K1652)-1,"")</f>
        <v/>
      </c>
      <c r="O1652" s="16" t="str">
        <f t="shared" si="235"/>
        <v/>
      </c>
      <c r="P1652" s="16" t="str">
        <f t="shared" si="235"/>
        <v/>
      </c>
      <c r="Q1652" s="16" t="str">
        <f t="shared" si="235"/>
        <v/>
      </c>
      <c r="R1652" s="5" t="str">
        <f t="shared" si="234"/>
        <v/>
      </c>
      <c r="S1652" s="5" t="str">
        <f t="shared" si="238"/>
        <v/>
      </c>
      <c r="T1652" s="5" t="str">
        <f t="shared" si="242"/>
        <v/>
      </c>
      <c r="U1652" s="5" t="str">
        <f t="shared" si="242"/>
        <v/>
      </c>
    </row>
    <row r="1653" spans="7:21" x14ac:dyDescent="0.2">
      <c r="G1653" s="8"/>
      <c r="H1653" s="5"/>
      <c r="J1653" s="10" t="str">
        <f t="shared" si="236"/>
        <v/>
      </c>
      <c r="K1653" s="10" t="str">
        <f t="shared" si="237"/>
        <v/>
      </c>
      <c r="L1653" s="11" t="str">
        <f t="shared" si="239"/>
        <v/>
      </c>
      <c r="M1653" s="9" t="str">
        <f>IF(G1653&lt;&gt;"",J1653/MAX(J$3:J1653)-1,"")</f>
        <v/>
      </c>
      <c r="N1653" s="9" t="str">
        <f>IF(G1653&lt;&gt;"",K1653/MAX(K$3:K1653)-1,"")</f>
        <v/>
      </c>
      <c r="O1653" s="16" t="str">
        <f t="shared" si="235"/>
        <v/>
      </c>
      <c r="P1653" s="16" t="str">
        <f t="shared" si="235"/>
        <v/>
      </c>
      <c r="Q1653" s="16" t="str">
        <f t="shared" si="235"/>
        <v/>
      </c>
      <c r="R1653" s="5" t="str">
        <f t="shared" si="234"/>
        <v/>
      </c>
      <c r="S1653" s="5" t="str">
        <f t="shared" si="238"/>
        <v/>
      </c>
      <c r="T1653" s="5" t="str">
        <f t="shared" si="242"/>
        <v/>
      </c>
      <c r="U1653" s="5" t="str">
        <f t="shared" si="242"/>
        <v/>
      </c>
    </row>
    <row r="1654" spans="7:21" x14ac:dyDescent="0.2">
      <c r="G1654" s="8"/>
      <c r="H1654" s="5"/>
      <c r="J1654" s="10" t="str">
        <f t="shared" si="236"/>
        <v/>
      </c>
      <c r="K1654" s="10" t="str">
        <f t="shared" si="237"/>
        <v/>
      </c>
      <c r="L1654" s="11" t="str">
        <f t="shared" si="239"/>
        <v/>
      </c>
      <c r="M1654" s="9" t="str">
        <f>IF(G1654&lt;&gt;"",J1654/MAX(J$3:J1654)-1,"")</f>
        <v/>
      </c>
      <c r="N1654" s="9" t="str">
        <f>IF(G1654&lt;&gt;"",K1654/MAX(K$3:K1654)-1,"")</f>
        <v/>
      </c>
      <c r="O1654" s="16" t="str">
        <f t="shared" si="235"/>
        <v/>
      </c>
      <c r="P1654" s="16" t="str">
        <f t="shared" si="235"/>
        <v/>
      </c>
      <c r="Q1654" s="16" t="str">
        <f t="shared" si="235"/>
        <v/>
      </c>
      <c r="R1654" s="5" t="str">
        <f t="shared" si="234"/>
        <v/>
      </c>
      <c r="S1654" s="5" t="str">
        <f t="shared" si="238"/>
        <v/>
      </c>
      <c r="T1654" s="5" t="str">
        <f t="shared" si="242"/>
        <v/>
      </c>
      <c r="U1654" s="5" t="str">
        <f t="shared" si="242"/>
        <v/>
      </c>
    </row>
    <row r="1655" spans="7:21" x14ac:dyDescent="0.2">
      <c r="G1655" s="8"/>
      <c r="H1655" s="5"/>
      <c r="J1655" s="10" t="str">
        <f t="shared" si="236"/>
        <v/>
      </c>
      <c r="K1655" s="10" t="str">
        <f t="shared" si="237"/>
        <v/>
      </c>
      <c r="L1655" s="11" t="str">
        <f t="shared" si="239"/>
        <v/>
      </c>
      <c r="M1655" s="9" t="str">
        <f>IF(G1655&lt;&gt;"",J1655/MAX(J$3:J1655)-1,"")</f>
        <v/>
      </c>
      <c r="N1655" s="9" t="str">
        <f>IF(G1655&lt;&gt;"",K1655/MAX(K$3:K1655)-1,"")</f>
        <v/>
      </c>
      <c r="O1655" s="16" t="str">
        <f t="shared" si="235"/>
        <v/>
      </c>
      <c r="P1655" s="16" t="str">
        <f t="shared" si="235"/>
        <v/>
      </c>
      <c r="Q1655" s="16" t="str">
        <f t="shared" si="235"/>
        <v/>
      </c>
      <c r="R1655" s="5" t="str">
        <f t="shared" si="234"/>
        <v/>
      </c>
      <c r="S1655" s="5" t="str">
        <f t="shared" si="238"/>
        <v/>
      </c>
      <c r="T1655" s="5" t="str">
        <f t="shared" si="242"/>
        <v/>
      </c>
      <c r="U1655" s="5" t="str">
        <f t="shared" si="242"/>
        <v/>
      </c>
    </row>
    <row r="1656" spans="7:21" x14ac:dyDescent="0.2">
      <c r="G1656" s="8"/>
      <c r="H1656" s="5"/>
      <c r="J1656" s="10" t="str">
        <f t="shared" si="236"/>
        <v/>
      </c>
      <c r="K1656" s="10" t="str">
        <f t="shared" si="237"/>
        <v/>
      </c>
      <c r="L1656" s="11" t="str">
        <f t="shared" si="239"/>
        <v/>
      </c>
      <c r="M1656" s="9" t="str">
        <f>IF(G1656&lt;&gt;"",J1656/MAX(J$3:J1656)-1,"")</f>
        <v/>
      </c>
      <c r="N1656" s="9" t="str">
        <f>IF(G1656&lt;&gt;"",K1656/MAX(K$3:K1656)-1,"")</f>
        <v/>
      </c>
      <c r="O1656" s="16" t="str">
        <f t="shared" si="235"/>
        <v/>
      </c>
      <c r="P1656" s="16" t="str">
        <f t="shared" si="235"/>
        <v/>
      </c>
      <c r="Q1656" s="16" t="str">
        <f t="shared" si="235"/>
        <v/>
      </c>
      <c r="R1656" s="5" t="str">
        <f t="shared" si="234"/>
        <v/>
      </c>
      <c r="S1656" s="5" t="str">
        <f t="shared" si="238"/>
        <v/>
      </c>
      <c r="T1656" s="5" t="str">
        <f t="shared" ref="T1656:U1671" si="243">IF($G1656&lt;&gt;"",_xlfn.STDEV.S(O1412:O1656),"")</f>
        <v/>
      </c>
      <c r="U1656" s="5" t="str">
        <f t="shared" si="243"/>
        <v/>
      </c>
    </row>
    <row r="1657" spans="7:21" x14ac:dyDescent="0.2">
      <c r="G1657" s="8"/>
      <c r="H1657" s="5"/>
      <c r="J1657" s="10" t="str">
        <f t="shared" si="236"/>
        <v/>
      </c>
      <c r="K1657" s="10" t="str">
        <f t="shared" si="237"/>
        <v/>
      </c>
      <c r="L1657" s="11" t="str">
        <f t="shared" si="239"/>
        <v/>
      </c>
      <c r="M1657" s="9" t="str">
        <f>IF(G1657&lt;&gt;"",J1657/MAX(J$3:J1657)-1,"")</f>
        <v/>
      </c>
      <c r="N1657" s="9" t="str">
        <f>IF(G1657&lt;&gt;"",K1657/MAX(K$3:K1657)-1,"")</f>
        <v/>
      </c>
      <c r="O1657" s="16" t="str">
        <f t="shared" si="235"/>
        <v/>
      </c>
      <c r="P1657" s="16" t="str">
        <f t="shared" si="235"/>
        <v/>
      </c>
      <c r="Q1657" s="16" t="str">
        <f t="shared" si="235"/>
        <v/>
      </c>
      <c r="R1657" s="5" t="str">
        <f t="shared" si="234"/>
        <v/>
      </c>
      <c r="S1657" s="5" t="str">
        <f t="shared" si="238"/>
        <v/>
      </c>
      <c r="T1657" s="5" t="str">
        <f t="shared" si="243"/>
        <v/>
      </c>
      <c r="U1657" s="5" t="str">
        <f t="shared" si="243"/>
        <v/>
      </c>
    </row>
    <row r="1658" spans="7:21" x14ac:dyDescent="0.2">
      <c r="G1658" s="8"/>
      <c r="H1658" s="5"/>
      <c r="J1658" s="10" t="str">
        <f t="shared" si="236"/>
        <v/>
      </c>
      <c r="K1658" s="10" t="str">
        <f t="shared" si="237"/>
        <v/>
      </c>
      <c r="L1658" s="11" t="str">
        <f t="shared" si="239"/>
        <v/>
      </c>
      <c r="M1658" s="9" t="str">
        <f>IF(G1658&lt;&gt;"",J1658/MAX(J$3:J1658)-1,"")</f>
        <v/>
      </c>
      <c r="N1658" s="9" t="str">
        <f>IF(G1658&lt;&gt;"",K1658/MAX(K$3:K1658)-1,"")</f>
        <v/>
      </c>
      <c r="O1658" s="16" t="str">
        <f t="shared" si="235"/>
        <v/>
      </c>
      <c r="P1658" s="16" t="str">
        <f t="shared" si="235"/>
        <v/>
      </c>
      <c r="Q1658" s="16" t="str">
        <f t="shared" si="235"/>
        <v/>
      </c>
      <c r="R1658" s="5" t="str">
        <f t="shared" si="234"/>
        <v/>
      </c>
      <c r="S1658" s="5" t="str">
        <f t="shared" si="238"/>
        <v/>
      </c>
      <c r="T1658" s="5" t="str">
        <f t="shared" si="243"/>
        <v/>
      </c>
      <c r="U1658" s="5" t="str">
        <f t="shared" si="243"/>
        <v/>
      </c>
    </row>
    <row r="1659" spans="7:21" x14ac:dyDescent="0.2">
      <c r="G1659" s="8"/>
      <c r="H1659" s="5"/>
      <c r="J1659" s="10" t="str">
        <f t="shared" si="236"/>
        <v/>
      </c>
      <c r="K1659" s="10" t="str">
        <f t="shared" si="237"/>
        <v/>
      </c>
      <c r="L1659" s="11" t="str">
        <f t="shared" si="239"/>
        <v/>
      </c>
      <c r="M1659" s="9" t="str">
        <f>IF(G1659&lt;&gt;"",J1659/MAX(J$3:J1659)-1,"")</f>
        <v/>
      </c>
      <c r="N1659" s="9" t="str">
        <f>IF(G1659&lt;&gt;"",K1659/MAX(K$3:K1659)-1,"")</f>
        <v/>
      </c>
      <c r="O1659" s="16" t="str">
        <f t="shared" si="235"/>
        <v/>
      </c>
      <c r="P1659" s="16" t="str">
        <f t="shared" si="235"/>
        <v/>
      </c>
      <c r="Q1659" s="16" t="str">
        <f t="shared" si="235"/>
        <v/>
      </c>
      <c r="R1659" s="5" t="str">
        <f t="shared" si="234"/>
        <v/>
      </c>
      <c r="S1659" s="5" t="str">
        <f t="shared" si="238"/>
        <v/>
      </c>
      <c r="T1659" s="5" t="str">
        <f t="shared" si="243"/>
        <v/>
      </c>
      <c r="U1659" s="5" t="str">
        <f t="shared" si="243"/>
        <v/>
      </c>
    </row>
    <row r="1660" spans="7:21" x14ac:dyDescent="0.2">
      <c r="G1660" s="8"/>
      <c r="H1660" s="5"/>
      <c r="J1660" s="10" t="str">
        <f t="shared" si="236"/>
        <v/>
      </c>
      <c r="K1660" s="10" t="str">
        <f t="shared" si="237"/>
        <v/>
      </c>
      <c r="L1660" s="11" t="str">
        <f t="shared" si="239"/>
        <v/>
      </c>
      <c r="M1660" s="9" t="str">
        <f>IF(G1660&lt;&gt;"",J1660/MAX(J$3:J1660)-1,"")</f>
        <v/>
      </c>
      <c r="N1660" s="9" t="str">
        <f>IF(G1660&lt;&gt;"",K1660/MAX(K$3:K1660)-1,"")</f>
        <v/>
      </c>
      <c r="O1660" s="16" t="str">
        <f t="shared" si="235"/>
        <v/>
      </c>
      <c r="P1660" s="16" t="str">
        <f t="shared" si="235"/>
        <v/>
      </c>
      <c r="Q1660" s="16" t="str">
        <f t="shared" si="235"/>
        <v/>
      </c>
      <c r="R1660" s="5" t="str">
        <f t="shared" si="234"/>
        <v/>
      </c>
      <c r="S1660" s="5" t="str">
        <f t="shared" si="238"/>
        <v/>
      </c>
      <c r="T1660" s="5" t="str">
        <f t="shared" si="243"/>
        <v/>
      </c>
      <c r="U1660" s="5" t="str">
        <f t="shared" si="243"/>
        <v/>
      </c>
    </row>
    <row r="1661" spans="7:21" x14ac:dyDescent="0.2">
      <c r="G1661" s="8"/>
      <c r="H1661" s="5"/>
      <c r="J1661" s="10" t="str">
        <f t="shared" si="236"/>
        <v/>
      </c>
      <c r="K1661" s="10" t="str">
        <f t="shared" si="237"/>
        <v/>
      </c>
      <c r="L1661" s="11" t="str">
        <f t="shared" si="239"/>
        <v/>
      </c>
      <c r="M1661" s="9" t="str">
        <f>IF(G1661&lt;&gt;"",J1661/MAX(J$3:J1661)-1,"")</f>
        <v/>
      </c>
      <c r="N1661" s="9" t="str">
        <f>IF(G1661&lt;&gt;"",K1661/MAX(K$3:K1661)-1,"")</f>
        <v/>
      </c>
      <c r="O1661" s="16" t="str">
        <f t="shared" si="235"/>
        <v/>
      </c>
      <c r="P1661" s="16" t="str">
        <f t="shared" si="235"/>
        <v/>
      </c>
      <c r="Q1661" s="16" t="str">
        <f t="shared" si="235"/>
        <v/>
      </c>
      <c r="R1661" s="5" t="str">
        <f t="shared" ref="R1661:R1724" si="244">IF(G1661&lt;&gt;"",_xlfn.STDEV.S(Q1540:Q1661)*SQRT($B$5),"")</f>
        <v/>
      </c>
      <c r="S1661" s="5" t="str">
        <f t="shared" si="238"/>
        <v/>
      </c>
      <c r="T1661" s="5" t="str">
        <f t="shared" si="243"/>
        <v/>
      </c>
      <c r="U1661" s="5" t="str">
        <f t="shared" si="243"/>
        <v/>
      </c>
    </row>
    <row r="1662" spans="7:21" x14ac:dyDescent="0.2">
      <c r="G1662" s="8"/>
      <c r="H1662" s="5"/>
      <c r="J1662" s="10" t="str">
        <f t="shared" si="236"/>
        <v/>
      </c>
      <c r="K1662" s="10" t="str">
        <f t="shared" si="237"/>
        <v/>
      </c>
      <c r="L1662" s="11" t="str">
        <f t="shared" si="239"/>
        <v/>
      </c>
      <c r="M1662" s="9" t="str">
        <f>IF(G1662&lt;&gt;"",J1662/MAX(J$3:J1662)-1,"")</f>
        <v/>
      </c>
      <c r="N1662" s="9" t="str">
        <f>IF(G1662&lt;&gt;"",K1662/MAX(K$3:K1662)-1,"")</f>
        <v/>
      </c>
      <c r="O1662" s="16" t="str">
        <f t="shared" si="235"/>
        <v/>
      </c>
      <c r="P1662" s="16" t="str">
        <f t="shared" si="235"/>
        <v/>
      </c>
      <c r="Q1662" s="16" t="str">
        <f t="shared" si="235"/>
        <v/>
      </c>
      <c r="R1662" s="5" t="str">
        <f t="shared" si="244"/>
        <v/>
      </c>
      <c r="S1662" s="5" t="str">
        <f t="shared" si="238"/>
        <v/>
      </c>
      <c r="T1662" s="5" t="str">
        <f t="shared" si="243"/>
        <v/>
      </c>
      <c r="U1662" s="5" t="str">
        <f t="shared" si="243"/>
        <v/>
      </c>
    </row>
    <row r="1663" spans="7:21" x14ac:dyDescent="0.2">
      <c r="G1663" s="8"/>
      <c r="H1663" s="5"/>
      <c r="J1663" s="10" t="str">
        <f t="shared" si="236"/>
        <v/>
      </c>
      <c r="K1663" s="10" t="str">
        <f t="shared" si="237"/>
        <v/>
      </c>
      <c r="L1663" s="11" t="str">
        <f t="shared" si="239"/>
        <v/>
      </c>
      <c r="M1663" s="9" t="str">
        <f>IF(G1663&lt;&gt;"",J1663/MAX(J$3:J1663)-1,"")</f>
        <v/>
      </c>
      <c r="N1663" s="9" t="str">
        <f>IF(G1663&lt;&gt;"",K1663/MAX(K$3:K1663)-1,"")</f>
        <v/>
      </c>
      <c r="O1663" s="16" t="str">
        <f t="shared" si="235"/>
        <v/>
      </c>
      <c r="P1663" s="16" t="str">
        <f t="shared" si="235"/>
        <v/>
      </c>
      <c r="Q1663" s="16" t="str">
        <f t="shared" si="235"/>
        <v/>
      </c>
      <c r="R1663" s="5" t="str">
        <f t="shared" si="244"/>
        <v/>
      </c>
      <c r="S1663" s="5" t="str">
        <f t="shared" si="238"/>
        <v/>
      </c>
      <c r="T1663" s="5" t="str">
        <f t="shared" si="243"/>
        <v/>
      </c>
      <c r="U1663" s="5" t="str">
        <f t="shared" si="243"/>
        <v/>
      </c>
    </row>
    <row r="1664" spans="7:21" x14ac:dyDescent="0.2">
      <c r="G1664" s="8"/>
      <c r="H1664" s="5"/>
      <c r="J1664" s="10" t="str">
        <f t="shared" si="236"/>
        <v/>
      </c>
      <c r="K1664" s="10" t="str">
        <f t="shared" si="237"/>
        <v/>
      </c>
      <c r="L1664" s="11" t="str">
        <f t="shared" si="239"/>
        <v/>
      </c>
      <c r="M1664" s="9" t="str">
        <f>IF(G1664&lt;&gt;"",J1664/MAX(J$3:J1664)-1,"")</f>
        <v/>
      </c>
      <c r="N1664" s="9" t="str">
        <f>IF(G1664&lt;&gt;"",K1664/MAX(K$3:K1664)-1,"")</f>
        <v/>
      </c>
      <c r="O1664" s="16" t="str">
        <f t="shared" si="235"/>
        <v/>
      </c>
      <c r="P1664" s="16" t="str">
        <f t="shared" si="235"/>
        <v/>
      </c>
      <c r="Q1664" s="16" t="str">
        <f t="shared" si="235"/>
        <v/>
      </c>
      <c r="R1664" s="5" t="str">
        <f t="shared" si="244"/>
        <v/>
      </c>
      <c r="S1664" s="5" t="str">
        <f t="shared" si="238"/>
        <v/>
      </c>
      <c r="T1664" s="5" t="str">
        <f t="shared" si="243"/>
        <v/>
      </c>
      <c r="U1664" s="5" t="str">
        <f t="shared" si="243"/>
        <v/>
      </c>
    </row>
    <row r="1665" spans="7:21" x14ac:dyDescent="0.2">
      <c r="G1665" s="8"/>
      <c r="H1665" s="5"/>
      <c r="J1665" s="10" t="str">
        <f t="shared" si="236"/>
        <v/>
      </c>
      <c r="K1665" s="10" t="str">
        <f t="shared" si="237"/>
        <v/>
      </c>
      <c r="L1665" s="11" t="str">
        <f t="shared" si="239"/>
        <v/>
      </c>
      <c r="M1665" s="9" t="str">
        <f>IF(G1665&lt;&gt;"",J1665/MAX(J$3:J1665)-1,"")</f>
        <v/>
      </c>
      <c r="N1665" s="9" t="str">
        <f>IF(G1665&lt;&gt;"",K1665/MAX(K$3:K1665)-1,"")</f>
        <v/>
      </c>
      <c r="O1665" s="16" t="str">
        <f t="shared" si="235"/>
        <v/>
      </c>
      <c r="P1665" s="16" t="str">
        <f t="shared" si="235"/>
        <v/>
      </c>
      <c r="Q1665" s="16" t="str">
        <f t="shared" si="235"/>
        <v/>
      </c>
      <c r="R1665" s="5" t="str">
        <f t="shared" si="244"/>
        <v/>
      </c>
      <c r="S1665" s="5" t="str">
        <f t="shared" si="238"/>
        <v/>
      </c>
      <c r="T1665" s="5" t="str">
        <f t="shared" si="243"/>
        <v/>
      </c>
      <c r="U1665" s="5" t="str">
        <f t="shared" si="243"/>
        <v/>
      </c>
    </row>
    <row r="1666" spans="7:21" x14ac:dyDescent="0.2">
      <c r="G1666" s="8"/>
      <c r="H1666" s="5"/>
      <c r="J1666" s="10" t="str">
        <f t="shared" si="236"/>
        <v/>
      </c>
      <c r="K1666" s="10" t="str">
        <f t="shared" si="237"/>
        <v/>
      </c>
      <c r="L1666" s="11" t="str">
        <f t="shared" si="239"/>
        <v/>
      </c>
      <c r="M1666" s="9" t="str">
        <f>IF(G1666&lt;&gt;"",J1666/MAX(J$3:J1666)-1,"")</f>
        <v/>
      </c>
      <c r="N1666" s="9" t="str">
        <f>IF(G1666&lt;&gt;"",K1666/MAX(K$3:K1666)-1,"")</f>
        <v/>
      </c>
      <c r="O1666" s="16" t="str">
        <f t="shared" ref="O1666:Q1729" si="245">IF($G1666&lt;&gt;"",J1666/J1665-1,"")</f>
        <v/>
      </c>
      <c r="P1666" s="16" t="str">
        <f t="shared" si="245"/>
        <v/>
      </c>
      <c r="Q1666" s="16" t="str">
        <f t="shared" si="245"/>
        <v/>
      </c>
      <c r="R1666" s="5" t="str">
        <f t="shared" si="244"/>
        <v/>
      </c>
      <c r="S1666" s="5" t="str">
        <f t="shared" si="238"/>
        <v/>
      </c>
      <c r="T1666" s="5" t="str">
        <f t="shared" si="243"/>
        <v/>
      </c>
      <c r="U1666" s="5" t="str">
        <f t="shared" si="243"/>
        <v/>
      </c>
    </row>
    <row r="1667" spans="7:21" x14ac:dyDescent="0.2">
      <c r="G1667" s="8"/>
      <c r="H1667" s="5"/>
      <c r="J1667" s="10" t="str">
        <f t="shared" si="236"/>
        <v/>
      </c>
      <c r="K1667" s="10" t="str">
        <f t="shared" si="237"/>
        <v/>
      </c>
      <c r="L1667" s="11" t="str">
        <f t="shared" si="239"/>
        <v/>
      </c>
      <c r="M1667" s="9" t="str">
        <f>IF(G1667&lt;&gt;"",J1667/MAX(J$3:J1667)-1,"")</f>
        <v/>
      </c>
      <c r="N1667" s="9" t="str">
        <f>IF(G1667&lt;&gt;"",K1667/MAX(K$3:K1667)-1,"")</f>
        <v/>
      </c>
      <c r="O1667" s="16" t="str">
        <f t="shared" si="245"/>
        <v/>
      </c>
      <c r="P1667" s="16" t="str">
        <f t="shared" si="245"/>
        <v/>
      </c>
      <c r="Q1667" s="16" t="str">
        <f t="shared" si="245"/>
        <v/>
      </c>
      <c r="R1667" s="5" t="str">
        <f t="shared" si="244"/>
        <v/>
      </c>
      <c r="S1667" s="5" t="str">
        <f t="shared" si="238"/>
        <v/>
      </c>
      <c r="T1667" s="5" t="str">
        <f t="shared" si="243"/>
        <v/>
      </c>
      <c r="U1667" s="5" t="str">
        <f t="shared" si="243"/>
        <v/>
      </c>
    </row>
    <row r="1668" spans="7:21" x14ac:dyDescent="0.2">
      <c r="G1668" s="8"/>
      <c r="H1668" s="5"/>
      <c r="J1668" s="10" t="str">
        <f t="shared" ref="J1668:J1731" si="246">IF(G1668&lt;&gt;"",1+H1668,"")</f>
        <v/>
      </c>
      <c r="K1668" s="10" t="str">
        <f t="shared" ref="K1668:K1731" si="247">IF(G1668&lt;&gt;"",1+I1668,"")</f>
        <v/>
      </c>
      <c r="L1668" s="11" t="str">
        <f t="shared" si="239"/>
        <v/>
      </c>
      <c r="M1668" s="9" t="str">
        <f>IF(G1668&lt;&gt;"",J1668/MAX(J$3:J1668)-1,"")</f>
        <v/>
      </c>
      <c r="N1668" s="9" t="str">
        <f>IF(G1668&lt;&gt;"",K1668/MAX(K$3:K1668)-1,"")</f>
        <v/>
      </c>
      <c r="O1668" s="16" t="str">
        <f t="shared" si="245"/>
        <v/>
      </c>
      <c r="P1668" s="16" t="str">
        <f t="shared" si="245"/>
        <v/>
      </c>
      <c r="Q1668" s="16" t="str">
        <f t="shared" si="245"/>
        <v/>
      </c>
      <c r="R1668" s="5" t="str">
        <f t="shared" si="244"/>
        <v/>
      </c>
      <c r="S1668" s="5" t="str">
        <f t="shared" ref="S1668:S1731" si="248">IF(R1668&lt;&gt;"",B$12,"")</f>
        <v/>
      </c>
      <c r="T1668" s="5" t="str">
        <f t="shared" si="243"/>
        <v/>
      </c>
      <c r="U1668" s="5" t="str">
        <f t="shared" si="243"/>
        <v/>
      </c>
    </row>
    <row r="1669" spans="7:21" x14ac:dyDescent="0.2">
      <c r="G1669" s="8"/>
      <c r="H1669" s="5"/>
      <c r="J1669" s="10" t="str">
        <f t="shared" si="246"/>
        <v/>
      </c>
      <c r="K1669" s="10" t="str">
        <f t="shared" si="247"/>
        <v/>
      </c>
      <c r="L1669" s="11" t="str">
        <f t="shared" ref="L1669:L1732" si="249">IF(G1669&lt;&gt;"",J1669/K1669,"")</f>
        <v/>
      </c>
      <c r="M1669" s="9" t="str">
        <f>IF(G1669&lt;&gt;"",J1669/MAX(J$3:J1669)-1,"")</f>
        <v/>
      </c>
      <c r="N1669" s="9" t="str">
        <f>IF(G1669&lt;&gt;"",K1669/MAX(K$3:K1669)-1,"")</f>
        <v/>
      </c>
      <c r="O1669" s="16" t="str">
        <f t="shared" si="245"/>
        <v/>
      </c>
      <c r="P1669" s="16" t="str">
        <f t="shared" si="245"/>
        <v/>
      </c>
      <c r="Q1669" s="16" t="str">
        <f t="shared" si="245"/>
        <v/>
      </c>
      <c r="R1669" s="5" t="str">
        <f t="shared" si="244"/>
        <v/>
      </c>
      <c r="S1669" s="5" t="str">
        <f t="shared" si="248"/>
        <v/>
      </c>
      <c r="T1669" s="5" t="str">
        <f t="shared" si="243"/>
        <v/>
      </c>
      <c r="U1669" s="5" t="str">
        <f t="shared" si="243"/>
        <v/>
      </c>
    </row>
    <row r="1670" spans="7:21" x14ac:dyDescent="0.2">
      <c r="G1670" s="8"/>
      <c r="H1670" s="5"/>
      <c r="J1670" s="10" t="str">
        <f t="shared" si="246"/>
        <v/>
      </c>
      <c r="K1670" s="10" t="str">
        <f t="shared" si="247"/>
        <v/>
      </c>
      <c r="L1670" s="11" t="str">
        <f t="shared" si="249"/>
        <v/>
      </c>
      <c r="M1670" s="9" t="str">
        <f>IF(G1670&lt;&gt;"",J1670/MAX(J$3:J1670)-1,"")</f>
        <v/>
      </c>
      <c r="N1670" s="9" t="str">
        <f>IF(G1670&lt;&gt;"",K1670/MAX(K$3:K1670)-1,"")</f>
        <v/>
      </c>
      <c r="O1670" s="16" t="str">
        <f t="shared" si="245"/>
        <v/>
      </c>
      <c r="P1670" s="16" t="str">
        <f t="shared" si="245"/>
        <v/>
      </c>
      <c r="Q1670" s="16" t="str">
        <f t="shared" si="245"/>
        <v/>
      </c>
      <c r="R1670" s="5" t="str">
        <f t="shared" si="244"/>
        <v/>
      </c>
      <c r="S1670" s="5" t="str">
        <f t="shared" si="248"/>
        <v/>
      </c>
      <c r="T1670" s="5" t="str">
        <f t="shared" si="243"/>
        <v/>
      </c>
      <c r="U1670" s="5" t="str">
        <f t="shared" si="243"/>
        <v/>
      </c>
    </row>
    <row r="1671" spans="7:21" x14ac:dyDescent="0.2">
      <c r="G1671" s="8"/>
      <c r="H1671" s="5"/>
      <c r="J1671" s="10" t="str">
        <f t="shared" si="246"/>
        <v/>
      </c>
      <c r="K1671" s="10" t="str">
        <f t="shared" si="247"/>
        <v/>
      </c>
      <c r="L1671" s="11" t="str">
        <f t="shared" si="249"/>
        <v/>
      </c>
      <c r="M1671" s="9" t="str">
        <f>IF(G1671&lt;&gt;"",J1671/MAX(J$3:J1671)-1,"")</f>
        <v/>
      </c>
      <c r="N1671" s="9" t="str">
        <f>IF(G1671&lt;&gt;"",K1671/MAX(K$3:K1671)-1,"")</f>
        <v/>
      </c>
      <c r="O1671" s="16" t="str">
        <f t="shared" si="245"/>
        <v/>
      </c>
      <c r="P1671" s="16" t="str">
        <f t="shared" si="245"/>
        <v/>
      </c>
      <c r="Q1671" s="16" t="str">
        <f t="shared" si="245"/>
        <v/>
      </c>
      <c r="R1671" s="5" t="str">
        <f t="shared" si="244"/>
        <v/>
      </c>
      <c r="S1671" s="5" t="str">
        <f t="shared" si="248"/>
        <v/>
      </c>
      <c r="T1671" s="5" t="str">
        <f t="shared" si="243"/>
        <v/>
      </c>
      <c r="U1671" s="5" t="str">
        <f t="shared" si="243"/>
        <v/>
      </c>
    </row>
    <row r="1672" spans="7:21" x14ac:dyDescent="0.2">
      <c r="G1672" s="8"/>
      <c r="H1672" s="5"/>
      <c r="J1672" s="10" t="str">
        <f t="shared" si="246"/>
        <v/>
      </c>
      <c r="K1672" s="10" t="str">
        <f t="shared" si="247"/>
        <v/>
      </c>
      <c r="L1672" s="11" t="str">
        <f t="shared" si="249"/>
        <v/>
      </c>
      <c r="M1672" s="9" t="str">
        <f>IF(G1672&lt;&gt;"",J1672/MAX(J$3:J1672)-1,"")</f>
        <v/>
      </c>
      <c r="N1672" s="9" t="str">
        <f>IF(G1672&lt;&gt;"",K1672/MAX(K$3:K1672)-1,"")</f>
        <v/>
      </c>
      <c r="O1672" s="16" t="str">
        <f t="shared" si="245"/>
        <v/>
      </c>
      <c r="P1672" s="16" t="str">
        <f t="shared" si="245"/>
        <v/>
      </c>
      <c r="Q1672" s="16" t="str">
        <f t="shared" si="245"/>
        <v/>
      </c>
      <c r="R1672" s="5" t="str">
        <f t="shared" si="244"/>
        <v/>
      </c>
      <c r="S1672" s="5" t="str">
        <f t="shared" si="248"/>
        <v/>
      </c>
      <c r="T1672" s="5" t="str">
        <f t="shared" ref="T1672:U1687" si="250">IF($G1672&lt;&gt;"",_xlfn.STDEV.S(O1428:O1672),"")</f>
        <v/>
      </c>
      <c r="U1672" s="5" t="str">
        <f t="shared" si="250"/>
        <v/>
      </c>
    </row>
    <row r="1673" spans="7:21" x14ac:dyDescent="0.2">
      <c r="G1673" s="8"/>
      <c r="H1673" s="5"/>
      <c r="J1673" s="10" t="str">
        <f t="shared" si="246"/>
        <v/>
      </c>
      <c r="K1673" s="10" t="str">
        <f t="shared" si="247"/>
        <v/>
      </c>
      <c r="L1673" s="11" t="str">
        <f t="shared" si="249"/>
        <v/>
      </c>
      <c r="M1673" s="9" t="str">
        <f>IF(G1673&lt;&gt;"",J1673/MAX(J$3:J1673)-1,"")</f>
        <v/>
      </c>
      <c r="N1673" s="9" t="str">
        <f>IF(G1673&lt;&gt;"",K1673/MAX(K$3:K1673)-1,"")</f>
        <v/>
      </c>
      <c r="O1673" s="16" t="str">
        <f t="shared" si="245"/>
        <v/>
      </c>
      <c r="P1673" s="16" t="str">
        <f t="shared" si="245"/>
        <v/>
      </c>
      <c r="Q1673" s="16" t="str">
        <f t="shared" si="245"/>
        <v/>
      </c>
      <c r="R1673" s="5" t="str">
        <f t="shared" si="244"/>
        <v/>
      </c>
      <c r="S1673" s="5" t="str">
        <f t="shared" si="248"/>
        <v/>
      </c>
      <c r="T1673" s="5" t="str">
        <f t="shared" si="250"/>
        <v/>
      </c>
      <c r="U1673" s="5" t="str">
        <f t="shared" si="250"/>
        <v/>
      </c>
    </row>
    <row r="1674" spans="7:21" x14ac:dyDescent="0.2">
      <c r="G1674" s="8"/>
      <c r="H1674" s="5"/>
      <c r="J1674" s="10" t="str">
        <f t="shared" si="246"/>
        <v/>
      </c>
      <c r="K1674" s="10" t="str">
        <f t="shared" si="247"/>
        <v/>
      </c>
      <c r="L1674" s="11" t="str">
        <f t="shared" si="249"/>
        <v/>
      </c>
      <c r="M1674" s="9" t="str">
        <f>IF(G1674&lt;&gt;"",J1674/MAX(J$3:J1674)-1,"")</f>
        <v/>
      </c>
      <c r="N1674" s="9" t="str">
        <f>IF(G1674&lt;&gt;"",K1674/MAX(K$3:K1674)-1,"")</f>
        <v/>
      </c>
      <c r="O1674" s="16" t="str">
        <f t="shared" si="245"/>
        <v/>
      </c>
      <c r="P1674" s="16" t="str">
        <f t="shared" si="245"/>
        <v/>
      </c>
      <c r="Q1674" s="16" t="str">
        <f t="shared" si="245"/>
        <v/>
      </c>
      <c r="R1674" s="5" t="str">
        <f t="shared" si="244"/>
        <v/>
      </c>
      <c r="S1674" s="5" t="str">
        <f t="shared" si="248"/>
        <v/>
      </c>
      <c r="T1674" s="5" t="str">
        <f t="shared" si="250"/>
        <v/>
      </c>
      <c r="U1674" s="5" t="str">
        <f t="shared" si="250"/>
        <v/>
      </c>
    </row>
    <row r="1675" spans="7:21" x14ac:dyDescent="0.2">
      <c r="G1675" s="8"/>
      <c r="H1675" s="5"/>
      <c r="J1675" s="10" t="str">
        <f t="shared" si="246"/>
        <v/>
      </c>
      <c r="K1675" s="10" t="str">
        <f t="shared" si="247"/>
        <v/>
      </c>
      <c r="L1675" s="11" t="str">
        <f t="shared" si="249"/>
        <v/>
      </c>
      <c r="M1675" s="9" t="str">
        <f>IF(G1675&lt;&gt;"",J1675/MAX(J$3:J1675)-1,"")</f>
        <v/>
      </c>
      <c r="N1675" s="9" t="str">
        <f>IF(G1675&lt;&gt;"",K1675/MAX(K$3:K1675)-1,"")</f>
        <v/>
      </c>
      <c r="O1675" s="16" t="str">
        <f t="shared" si="245"/>
        <v/>
      </c>
      <c r="P1675" s="16" t="str">
        <f t="shared" si="245"/>
        <v/>
      </c>
      <c r="Q1675" s="16" t="str">
        <f t="shared" si="245"/>
        <v/>
      </c>
      <c r="R1675" s="5" t="str">
        <f t="shared" si="244"/>
        <v/>
      </c>
      <c r="S1675" s="5" t="str">
        <f t="shared" si="248"/>
        <v/>
      </c>
      <c r="T1675" s="5" t="str">
        <f t="shared" si="250"/>
        <v/>
      </c>
      <c r="U1675" s="5" t="str">
        <f t="shared" si="250"/>
        <v/>
      </c>
    </row>
    <row r="1676" spans="7:21" x14ac:dyDescent="0.2">
      <c r="G1676" s="8"/>
      <c r="H1676" s="5"/>
      <c r="J1676" s="10" t="str">
        <f t="shared" si="246"/>
        <v/>
      </c>
      <c r="K1676" s="10" t="str">
        <f t="shared" si="247"/>
        <v/>
      </c>
      <c r="L1676" s="11" t="str">
        <f t="shared" si="249"/>
        <v/>
      </c>
      <c r="M1676" s="9" t="str">
        <f>IF(G1676&lt;&gt;"",J1676/MAX(J$3:J1676)-1,"")</f>
        <v/>
      </c>
      <c r="N1676" s="9" t="str">
        <f>IF(G1676&lt;&gt;"",K1676/MAX(K$3:K1676)-1,"")</f>
        <v/>
      </c>
      <c r="O1676" s="16" t="str">
        <f t="shared" si="245"/>
        <v/>
      </c>
      <c r="P1676" s="16" t="str">
        <f t="shared" si="245"/>
        <v/>
      </c>
      <c r="Q1676" s="16" t="str">
        <f t="shared" si="245"/>
        <v/>
      </c>
      <c r="R1676" s="5" t="str">
        <f t="shared" si="244"/>
        <v/>
      </c>
      <c r="S1676" s="5" t="str">
        <f t="shared" si="248"/>
        <v/>
      </c>
      <c r="T1676" s="5" t="str">
        <f t="shared" si="250"/>
        <v/>
      </c>
      <c r="U1676" s="5" t="str">
        <f t="shared" si="250"/>
        <v/>
      </c>
    </row>
    <row r="1677" spans="7:21" x14ac:dyDescent="0.2">
      <c r="G1677" s="8"/>
      <c r="H1677" s="5"/>
      <c r="J1677" s="10" t="str">
        <f t="shared" si="246"/>
        <v/>
      </c>
      <c r="K1677" s="10" t="str">
        <f t="shared" si="247"/>
        <v/>
      </c>
      <c r="L1677" s="11" t="str">
        <f t="shared" si="249"/>
        <v/>
      </c>
      <c r="M1677" s="9" t="str">
        <f>IF(G1677&lt;&gt;"",J1677/MAX(J$3:J1677)-1,"")</f>
        <v/>
      </c>
      <c r="N1677" s="9" t="str">
        <f>IF(G1677&lt;&gt;"",K1677/MAX(K$3:K1677)-1,"")</f>
        <v/>
      </c>
      <c r="O1677" s="16" t="str">
        <f t="shared" si="245"/>
        <v/>
      </c>
      <c r="P1677" s="16" t="str">
        <f t="shared" si="245"/>
        <v/>
      </c>
      <c r="Q1677" s="16" t="str">
        <f t="shared" si="245"/>
        <v/>
      </c>
      <c r="R1677" s="5" t="str">
        <f t="shared" si="244"/>
        <v/>
      </c>
      <c r="S1677" s="5" t="str">
        <f t="shared" si="248"/>
        <v/>
      </c>
      <c r="T1677" s="5" t="str">
        <f t="shared" si="250"/>
        <v/>
      </c>
      <c r="U1677" s="5" t="str">
        <f t="shared" si="250"/>
        <v/>
      </c>
    </row>
    <row r="1678" spans="7:21" x14ac:dyDescent="0.2">
      <c r="G1678" s="8"/>
      <c r="H1678" s="5"/>
      <c r="J1678" s="10" t="str">
        <f t="shared" si="246"/>
        <v/>
      </c>
      <c r="K1678" s="10" t="str">
        <f t="shared" si="247"/>
        <v/>
      </c>
      <c r="L1678" s="11" t="str">
        <f t="shared" si="249"/>
        <v/>
      </c>
      <c r="M1678" s="9" t="str">
        <f>IF(G1678&lt;&gt;"",J1678/MAX(J$3:J1678)-1,"")</f>
        <v/>
      </c>
      <c r="N1678" s="9" t="str">
        <f>IF(G1678&lt;&gt;"",K1678/MAX(K$3:K1678)-1,"")</f>
        <v/>
      </c>
      <c r="O1678" s="16" t="str">
        <f t="shared" si="245"/>
        <v/>
      </c>
      <c r="P1678" s="16" t="str">
        <f t="shared" si="245"/>
        <v/>
      </c>
      <c r="Q1678" s="16" t="str">
        <f t="shared" si="245"/>
        <v/>
      </c>
      <c r="R1678" s="5" t="str">
        <f t="shared" si="244"/>
        <v/>
      </c>
      <c r="S1678" s="5" t="str">
        <f t="shared" si="248"/>
        <v/>
      </c>
      <c r="T1678" s="5" t="str">
        <f t="shared" si="250"/>
        <v/>
      </c>
      <c r="U1678" s="5" t="str">
        <f t="shared" si="250"/>
        <v/>
      </c>
    </row>
    <row r="1679" spans="7:21" x14ac:dyDescent="0.2">
      <c r="G1679" s="8"/>
      <c r="H1679" s="5"/>
      <c r="J1679" s="10" t="str">
        <f t="shared" si="246"/>
        <v/>
      </c>
      <c r="K1679" s="10" t="str">
        <f t="shared" si="247"/>
        <v/>
      </c>
      <c r="L1679" s="11" t="str">
        <f t="shared" si="249"/>
        <v/>
      </c>
      <c r="M1679" s="9" t="str">
        <f>IF(G1679&lt;&gt;"",J1679/MAX(J$3:J1679)-1,"")</f>
        <v/>
      </c>
      <c r="N1679" s="9" t="str">
        <f>IF(G1679&lt;&gt;"",K1679/MAX(K$3:K1679)-1,"")</f>
        <v/>
      </c>
      <c r="O1679" s="16" t="str">
        <f t="shared" si="245"/>
        <v/>
      </c>
      <c r="P1679" s="16" t="str">
        <f t="shared" si="245"/>
        <v/>
      </c>
      <c r="Q1679" s="16" t="str">
        <f t="shared" si="245"/>
        <v/>
      </c>
      <c r="R1679" s="5" t="str">
        <f t="shared" si="244"/>
        <v/>
      </c>
      <c r="S1679" s="5" t="str">
        <f t="shared" si="248"/>
        <v/>
      </c>
      <c r="T1679" s="5" t="str">
        <f t="shared" si="250"/>
        <v/>
      </c>
      <c r="U1679" s="5" t="str">
        <f t="shared" si="250"/>
        <v/>
      </c>
    </row>
    <row r="1680" spans="7:21" x14ac:dyDescent="0.2">
      <c r="G1680" s="8"/>
      <c r="H1680" s="5"/>
      <c r="J1680" s="10" t="str">
        <f t="shared" si="246"/>
        <v/>
      </c>
      <c r="K1680" s="10" t="str">
        <f t="shared" si="247"/>
        <v/>
      </c>
      <c r="L1680" s="11" t="str">
        <f t="shared" si="249"/>
        <v/>
      </c>
      <c r="M1680" s="9" t="str">
        <f>IF(G1680&lt;&gt;"",J1680/MAX(J$3:J1680)-1,"")</f>
        <v/>
      </c>
      <c r="N1680" s="9" t="str">
        <f>IF(G1680&lt;&gt;"",K1680/MAX(K$3:K1680)-1,"")</f>
        <v/>
      </c>
      <c r="O1680" s="16" t="str">
        <f t="shared" si="245"/>
        <v/>
      </c>
      <c r="P1680" s="16" t="str">
        <f t="shared" si="245"/>
        <v/>
      </c>
      <c r="Q1680" s="16" t="str">
        <f t="shared" si="245"/>
        <v/>
      </c>
      <c r="R1680" s="5" t="str">
        <f t="shared" si="244"/>
        <v/>
      </c>
      <c r="S1680" s="5" t="str">
        <f t="shared" si="248"/>
        <v/>
      </c>
      <c r="T1680" s="5" t="str">
        <f t="shared" si="250"/>
        <v/>
      </c>
      <c r="U1680" s="5" t="str">
        <f t="shared" si="250"/>
        <v/>
      </c>
    </row>
    <row r="1681" spans="7:21" x14ac:dyDescent="0.2">
      <c r="G1681" s="8"/>
      <c r="H1681" s="5"/>
      <c r="J1681" s="10" t="str">
        <f t="shared" si="246"/>
        <v/>
      </c>
      <c r="K1681" s="10" t="str">
        <f t="shared" si="247"/>
        <v/>
      </c>
      <c r="L1681" s="11" t="str">
        <f t="shared" si="249"/>
        <v/>
      </c>
      <c r="M1681" s="9" t="str">
        <f>IF(G1681&lt;&gt;"",J1681/MAX(J$3:J1681)-1,"")</f>
        <v/>
      </c>
      <c r="N1681" s="9" t="str">
        <f>IF(G1681&lt;&gt;"",K1681/MAX(K$3:K1681)-1,"")</f>
        <v/>
      </c>
      <c r="O1681" s="16" t="str">
        <f t="shared" si="245"/>
        <v/>
      </c>
      <c r="P1681" s="16" t="str">
        <f t="shared" si="245"/>
        <v/>
      </c>
      <c r="Q1681" s="16" t="str">
        <f t="shared" si="245"/>
        <v/>
      </c>
      <c r="R1681" s="5" t="str">
        <f t="shared" si="244"/>
        <v/>
      </c>
      <c r="S1681" s="5" t="str">
        <f t="shared" si="248"/>
        <v/>
      </c>
      <c r="T1681" s="5" t="str">
        <f t="shared" si="250"/>
        <v/>
      </c>
      <c r="U1681" s="5" t="str">
        <f t="shared" si="250"/>
        <v/>
      </c>
    </row>
    <row r="1682" spans="7:21" x14ac:dyDescent="0.2">
      <c r="G1682" s="8"/>
      <c r="H1682" s="5"/>
      <c r="J1682" s="10" t="str">
        <f t="shared" si="246"/>
        <v/>
      </c>
      <c r="K1682" s="10" t="str">
        <f t="shared" si="247"/>
        <v/>
      </c>
      <c r="L1682" s="11" t="str">
        <f t="shared" si="249"/>
        <v/>
      </c>
      <c r="M1682" s="9" t="str">
        <f>IF(G1682&lt;&gt;"",J1682/MAX(J$3:J1682)-1,"")</f>
        <v/>
      </c>
      <c r="N1682" s="9" t="str">
        <f>IF(G1682&lt;&gt;"",K1682/MAX(K$3:K1682)-1,"")</f>
        <v/>
      </c>
      <c r="O1682" s="16" t="str">
        <f t="shared" si="245"/>
        <v/>
      </c>
      <c r="P1682" s="16" t="str">
        <f t="shared" si="245"/>
        <v/>
      </c>
      <c r="Q1682" s="16" t="str">
        <f t="shared" si="245"/>
        <v/>
      </c>
      <c r="R1682" s="5" t="str">
        <f t="shared" si="244"/>
        <v/>
      </c>
      <c r="S1682" s="5" t="str">
        <f t="shared" si="248"/>
        <v/>
      </c>
      <c r="T1682" s="5" t="str">
        <f t="shared" si="250"/>
        <v/>
      </c>
      <c r="U1682" s="5" t="str">
        <f t="shared" si="250"/>
        <v/>
      </c>
    </row>
    <row r="1683" spans="7:21" x14ac:dyDescent="0.2">
      <c r="G1683" s="8"/>
      <c r="H1683" s="5"/>
      <c r="J1683" s="10" t="str">
        <f t="shared" si="246"/>
        <v/>
      </c>
      <c r="K1683" s="10" t="str">
        <f t="shared" si="247"/>
        <v/>
      </c>
      <c r="L1683" s="11" t="str">
        <f t="shared" si="249"/>
        <v/>
      </c>
      <c r="M1683" s="9" t="str">
        <f>IF(G1683&lt;&gt;"",J1683/MAX(J$3:J1683)-1,"")</f>
        <v/>
      </c>
      <c r="N1683" s="9" t="str">
        <f>IF(G1683&lt;&gt;"",K1683/MAX(K$3:K1683)-1,"")</f>
        <v/>
      </c>
      <c r="O1683" s="16" t="str">
        <f t="shared" si="245"/>
        <v/>
      </c>
      <c r="P1683" s="16" t="str">
        <f t="shared" si="245"/>
        <v/>
      </c>
      <c r="Q1683" s="16" t="str">
        <f t="shared" si="245"/>
        <v/>
      </c>
      <c r="R1683" s="5" t="str">
        <f t="shared" si="244"/>
        <v/>
      </c>
      <c r="S1683" s="5" t="str">
        <f t="shared" si="248"/>
        <v/>
      </c>
      <c r="T1683" s="5" t="str">
        <f t="shared" si="250"/>
        <v/>
      </c>
      <c r="U1683" s="5" t="str">
        <f t="shared" si="250"/>
        <v/>
      </c>
    </row>
    <row r="1684" spans="7:21" x14ac:dyDescent="0.2">
      <c r="G1684" s="8"/>
      <c r="H1684" s="5"/>
      <c r="J1684" s="10" t="str">
        <f t="shared" si="246"/>
        <v/>
      </c>
      <c r="K1684" s="10" t="str">
        <f t="shared" si="247"/>
        <v/>
      </c>
      <c r="L1684" s="11" t="str">
        <f t="shared" si="249"/>
        <v/>
      </c>
      <c r="M1684" s="9" t="str">
        <f>IF(G1684&lt;&gt;"",J1684/MAX(J$3:J1684)-1,"")</f>
        <v/>
      </c>
      <c r="N1684" s="9" t="str">
        <f>IF(G1684&lt;&gt;"",K1684/MAX(K$3:K1684)-1,"")</f>
        <v/>
      </c>
      <c r="O1684" s="16" t="str">
        <f t="shared" si="245"/>
        <v/>
      </c>
      <c r="P1684" s="16" t="str">
        <f t="shared" si="245"/>
        <v/>
      </c>
      <c r="Q1684" s="16" t="str">
        <f t="shared" si="245"/>
        <v/>
      </c>
      <c r="R1684" s="5" t="str">
        <f t="shared" si="244"/>
        <v/>
      </c>
      <c r="S1684" s="5" t="str">
        <f t="shared" si="248"/>
        <v/>
      </c>
      <c r="T1684" s="5" t="str">
        <f t="shared" si="250"/>
        <v/>
      </c>
      <c r="U1684" s="5" t="str">
        <f t="shared" si="250"/>
        <v/>
      </c>
    </row>
    <row r="1685" spans="7:21" x14ac:dyDescent="0.2">
      <c r="G1685" s="8"/>
      <c r="H1685" s="5"/>
      <c r="J1685" s="10" t="str">
        <f t="shared" si="246"/>
        <v/>
      </c>
      <c r="K1685" s="10" t="str">
        <f t="shared" si="247"/>
        <v/>
      </c>
      <c r="L1685" s="11" t="str">
        <f t="shared" si="249"/>
        <v/>
      </c>
      <c r="M1685" s="9" t="str">
        <f>IF(G1685&lt;&gt;"",J1685/MAX(J$3:J1685)-1,"")</f>
        <v/>
      </c>
      <c r="N1685" s="9" t="str">
        <f>IF(G1685&lt;&gt;"",K1685/MAX(K$3:K1685)-1,"")</f>
        <v/>
      </c>
      <c r="O1685" s="16" t="str">
        <f t="shared" si="245"/>
        <v/>
      </c>
      <c r="P1685" s="16" t="str">
        <f t="shared" si="245"/>
        <v/>
      </c>
      <c r="Q1685" s="16" t="str">
        <f t="shared" si="245"/>
        <v/>
      </c>
      <c r="R1685" s="5" t="str">
        <f t="shared" si="244"/>
        <v/>
      </c>
      <c r="S1685" s="5" t="str">
        <f t="shared" si="248"/>
        <v/>
      </c>
      <c r="T1685" s="5" t="str">
        <f t="shared" si="250"/>
        <v/>
      </c>
      <c r="U1685" s="5" t="str">
        <f t="shared" si="250"/>
        <v/>
      </c>
    </row>
    <row r="1686" spans="7:21" x14ac:dyDescent="0.2">
      <c r="G1686" s="8"/>
      <c r="H1686" s="5"/>
      <c r="J1686" s="10" t="str">
        <f t="shared" si="246"/>
        <v/>
      </c>
      <c r="K1686" s="10" t="str">
        <f t="shared" si="247"/>
        <v/>
      </c>
      <c r="L1686" s="11" t="str">
        <f t="shared" si="249"/>
        <v/>
      </c>
      <c r="M1686" s="9" t="str">
        <f>IF(G1686&lt;&gt;"",J1686/MAX(J$3:J1686)-1,"")</f>
        <v/>
      </c>
      <c r="N1686" s="9" t="str">
        <f>IF(G1686&lt;&gt;"",K1686/MAX(K$3:K1686)-1,"")</f>
        <v/>
      </c>
      <c r="O1686" s="16" t="str">
        <f t="shared" si="245"/>
        <v/>
      </c>
      <c r="P1686" s="16" t="str">
        <f t="shared" si="245"/>
        <v/>
      </c>
      <c r="Q1686" s="16" t="str">
        <f t="shared" si="245"/>
        <v/>
      </c>
      <c r="R1686" s="5" t="str">
        <f t="shared" si="244"/>
        <v/>
      </c>
      <c r="S1686" s="5" t="str">
        <f t="shared" si="248"/>
        <v/>
      </c>
      <c r="T1686" s="5" t="str">
        <f t="shared" si="250"/>
        <v/>
      </c>
      <c r="U1686" s="5" t="str">
        <f t="shared" si="250"/>
        <v/>
      </c>
    </row>
    <row r="1687" spans="7:21" x14ac:dyDescent="0.2">
      <c r="G1687" s="8"/>
      <c r="H1687" s="5"/>
      <c r="J1687" s="10" t="str">
        <f t="shared" si="246"/>
        <v/>
      </c>
      <c r="K1687" s="10" t="str">
        <f t="shared" si="247"/>
        <v/>
      </c>
      <c r="L1687" s="11" t="str">
        <f t="shared" si="249"/>
        <v/>
      </c>
      <c r="M1687" s="9" t="str">
        <f>IF(G1687&lt;&gt;"",J1687/MAX(J$3:J1687)-1,"")</f>
        <v/>
      </c>
      <c r="N1687" s="9" t="str">
        <f>IF(G1687&lt;&gt;"",K1687/MAX(K$3:K1687)-1,"")</f>
        <v/>
      </c>
      <c r="O1687" s="16" t="str">
        <f t="shared" si="245"/>
        <v/>
      </c>
      <c r="P1687" s="16" t="str">
        <f t="shared" si="245"/>
        <v/>
      </c>
      <c r="Q1687" s="16" t="str">
        <f t="shared" si="245"/>
        <v/>
      </c>
      <c r="R1687" s="5" t="str">
        <f t="shared" si="244"/>
        <v/>
      </c>
      <c r="S1687" s="5" t="str">
        <f t="shared" si="248"/>
        <v/>
      </c>
      <c r="T1687" s="5" t="str">
        <f t="shared" si="250"/>
        <v/>
      </c>
      <c r="U1687" s="5" t="str">
        <f t="shared" si="250"/>
        <v/>
      </c>
    </row>
    <row r="1688" spans="7:21" x14ac:dyDescent="0.2">
      <c r="G1688" s="8"/>
      <c r="H1688" s="5"/>
      <c r="J1688" s="10" t="str">
        <f t="shared" si="246"/>
        <v/>
      </c>
      <c r="K1688" s="10" t="str">
        <f t="shared" si="247"/>
        <v/>
      </c>
      <c r="L1688" s="11" t="str">
        <f t="shared" si="249"/>
        <v/>
      </c>
      <c r="M1688" s="9" t="str">
        <f>IF(G1688&lt;&gt;"",J1688/MAX(J$3:J1688)-1,"")</f>
        <v/>
      </c>
      <c r="N1688" s="9" t="str">
        <f>IF(G1688&lt;&gt;"",K1688/MAX(K$3:K1688)-1,"")</f>
        <v/>
      </c>
      <c r="O1688" s="16" t="str">
        <f t="shared" si="245"/>
        <v/>
      </c>
      <c r="P1688" s="16" t="str">
        <f t="shared" si="245"/>
        <v/>
      </c>
      <c r="Q1688" s="16" t="str">
        <f t="shared" si="245"/>
        <v/>
      </c>
      <c r="R1688" s="5" t="str">
        <f t="shared" si="244"/>
        <v/>
      </c>
      <c r="S1688" s="5" t="str">
        <f t="shared" si="248"/>
        <v/>
      </c>
      <c r="T1688" s="5" t="str">
        <f t="shared" ref="T1688:U1703" si="251">IF($G1688&lt;&gt;"",_xlfn.STDEV.S(O1444:O1688),"")</f>
        <v/>
      </c>
      <c r="U1688" s="5" t="str">
        <f t="shared" si="251"/>
        <v/>
      </c>
    </row>
    <row r="1689" spans="7:21" x14ac:dyDescent="0.2">
      <c r="G1689" s="8"/>
      <c r="H1689" s="5"/>
      <c r="J1689" s="10" t="str">
        <f t="shared" si="246"/>
        <v/>
      </c>
      <c r="K1689" s="10" t="str">
        <f t="shared" si="247"/>
        <v/>
      </c>
      <c r="L1689" s="11" t="str">
        <f t="shared" si="249"/>
        <v/>
      </c>
      <c r="M1689" s="9" t="str">
        <f>IF(G1689&lt;&gt;"",J1689/MAX(J$3:J1689)-1,"")</f>
        <v/>
      </c>
      <c r="N1689" s="9" t="str">
        <f>IF(G1689&lt;&gt;"",K1689/MAX(K$3:K1689)-1,"")</f>
        <v/>
      </c>
      <c r="O1689" s="16" t="str">
        <f t="shared" si="245"/>
        <v/>
      </c>
      <c r="P1689" s="16" t="str">
        <f t="shared" si="245"/>
        <v/>
      </c>
      <c r="Q1689" s="16" t="str">
        <f t="shared" si="245"/>
        <v/>
      </c>
      <c r="R1689" s="5" t="str">
        <f t="shared" si="244"/>
        <v/>
      </c>
      <c r="S1689" s="5" t="str">
        <f t="shared" si="248"/>
        <v/>
      </c>
      <c r="T1689" s="5" t="str">
        <f t="shared" si="251"/>
        <v/>
      </c>
      <c r="U1689" s="5" t="str">
        <f t="shared" si="251"/>
        <v/>
      </c>
    </row>
    <row r="1690" spans="7:21" x14ac:dyDescent="0.2">
      <c r="G1690" s="8"/>
      <c r="H1690" s="5"/>
      <c r="J1690" s="10" t="str">
        <f t="shared" si="246"/>
        <v/>
      </c>
      <c r="K1690" s="10" t="str">
        <f t="shared" si="247"/>
        <v/>
      </c>
      <c r="L1690" s="11" t="str">
        <f t="shared" si="249"/>
        <v/>
      </c>
      <c r="M1690" s="9" t="str">
        <f>IF(G1690&lt;&gt;"",J1690/MAX(J$3:J1690)-1,"")</f>
        <v/>
      </c>
      <c r="N1690" s="9" t="str">
        <f>IF(G1690&lt;&gt;"",K1690/MAX(K$3:K1690)-1,"")</f>
        <v/>
      </c>
      <c r="O1690" s="16" t="str">
        <f t="shared" si="245"/>
        <v/>
      </c>
      <c r="P1690" s="16" t="str">
        <f t="shared" si="245"/>
        <v/>
      </c>
      <c r="Q1690" s="16" t="str">
        <f t="shared" si="245"/>
        <v/>
      </c>
      <c r="R1690" s="5" t="str">
        <f t="shared" si="244"/>
        <v/>
      </c>
      <c r="S1690" s="5" t="str">
        <f t="shared" si="248"/>
        <v/>
      </c>
      <c r="T1690" s="5" t="str">
        <f t="shared" si="251"/>
        <v/>
      </c>
      <c r="U1690" s="5" t="str">
        <f t="shared" si="251"/>
        <v/>
      </c>
    </row>
    <row r="1691" spans="7:21" x14ac:dyDescent="0.2">
      <c r="G1691" s="8"/>
      <c r="H1691" s="5"/>
      <c r="J1691" s="10" t="str">
        <f t="shared" si="246"/>
        <v/>
      </c>
      <c r="K1691" s="10" t="str">
        <f t="shared" si="247"/>
        <v/>
      </c>
      <c r="L1691" s="11" t="str">
        <f t="shared" si="249"/>
        <v/>
      </c>
      <c r="M1691" s="9" t="str">
        <f>IF(G1691&lt;&gt;"",J1691/MAX(J$3:J1691)-1,"")</f>
        <v/>
      </c>
      <c r="N1691" s="9" t="str">
        <f>IF(G1691&lt;&gt;"",K1691/MAX(K$3:K1691)-1,"")</f>
        <v/>
      </c>
      <c r="O1691" s="16" t="str">
        <f t="shared" si="245"/>
        <v/>
      </c>
      <c r="P1691" s="16" t="str">
        <f t="shared" si="245"/>
        <v/>
      </c>
      <c r="Q1691" s="16" t="str">
        <f t="shared" si="245"/>
        <v/>
      </c>
      <c r="R1691" s="5" t="str">
        <f t="shared" si="244"/>
        <v/>
      </c>
      <c r="S1691" s="5" t="str">
        <f t="shared" si="248"/>
        <v/>
      </c>
      <c r="T1691" s="5" t="str">
        <f t="shared" si="251"/>
        <v/>
      </c>
      <c r="U1691" s="5" t="str">
        <f t="shared" si="251"/>
        <v/>
      </c>
    </row>
    <row r="1692" spans="7:21" x14ac:dyDescent="0.2">
      <c r="G1692" s="8"/>
      <c r="H1692" s="5"/>
      <c r="J1692" s="10" t="str">
        <f t="shared" si="246"/>
        <v/>
      </c>
      <c r="K1692" s="10" t="str">
        <f t="shared" si="247"/>
        <v/>
      </c>
      <c r="L1692" s="11" t="str">
        <f t="shared" si="249"/>
        <v/>
      </c>
      <c r="M1692" s="9" t="str">
        <f>IF(G1692&lt;&gt;"",J1692/MAX(J$3:J1692)-1,"")</f>
        <v/>
      </c>
      <c r="N1692" s="9" t="str">
        <f>IF(G1692&lt;&gt;"",K1692/MAX(K$3:K1692)-1,"")</f>
        <v/>
      </c>
      <c r="O1692" s="16" t="str">
        <f t="shared" si="245"/>
        <v/>
      </c>
      <c r="P1692" s="16" t="str">
        <f t="shared" si="245"/>
        <v/>
      </c>
      <c r="Q1692" s="16" t="str">
        <f t="shared" si="245"/>
        <v/>
      </c>
      <c r="R1692" s="5" t="str">
        <f t="shared" si="244"/>
        <v/>
      </c>
      <c r="S1692" s="5" t="str">
        <f t="shared" si="248"/>
        <v/>
      </c>
      <c r="T1692" s="5" t="str">
        <f t="shared" si="251"/>
        <v/>
      </c>
      <c r="U1692" s="5" t="str">
        <f t="shared" si="251"/>
        <v/>
      </c>
    </row>
    <row r="1693" spans="7:21" x14ac:dyDescent="0.2">
      <c r="G1693" s="8"/>
      <c r="H1693" s="5"/>
      <c r="J1693" s="10" t="str">
        <f t="shared" si="246"/>
        <v/>
      </c>
      <c r="K1693" s="10" t="str">
        <f t="shared" si="247"/>
        <v/>
      </c>
      <c r="L1693" s="11" t="str">
        <f t="shared" si="249"/>
        <v/>
      </c>
      <c r="M1693" s="9" t="str">
        <f>IF(G1693&lt;&gt;"",J1693/MAX(J$3:J1693)-1,"")</f>
        <v/>
      </c>
      <c r="N1693" s="9" t="str">
        <f>IF(G1693&lt;&gt;"",K1693/MAX(K$3:K1693)-1,"")</f>
        <v/>
      </c>
      <c r="O1693" s="16" t="str">
        <f t="shared" si="245"/>
        <v/>
      </c>
      <c r="P1693" s="16" t="str">
        <f t="shared" si="245"/>
        <v/>
      </c>
      <c r="Q1693" s="16" t="str">
        <f t="shared" si="245"/>
        <v/>
      </c>
      <c r="R1693" s="5" t="str">
        <f t="shared" si="244"/>
        <v/>
      </c>
      <c r="S1693" s="5" t="str">
        <f t="shared" si="248"/>
        <v/>
      </c>
      <c r="T1693" s="5" t="str">
        <f t="shared" si="251"/>
        <v/>
      </c>
      <c r="U1693" s="5" t="str">
        <f t="shared" si="251"/>
        <v/>
      </c>
    </row>
    <row r="1694" spans="7:21" x14ac:dyDescent="0.2">
      <c r="G1694" s="8"/>
      <c r="H1694" s="5"/>
      <c r="J1694" s="10" t="str">
        <f t="shared" si="246"/>
        <v/>
      </c>
      <c r="K1694" s="10" t="str">
        <f t="shared" si="247"/>
        <v/>
      </c>
      <c r="L1694" s="11" t="str">
        <f t="shared" si="249"/>
        <v/>
      </c>
      <c r="M1694" s="9" t="str">
        <f>IF(G1694&lt;&gt;"",J1694/MAX(J$3:J1694)-1,"")</f>
        <v/>
      </c>
      <c r="N1694" s="9" t="str">
        <f>IF(G1694&lt;&gt;"",K1694/MAX(K$3:K1694)-1,"")</f>
        <v/>
      </c>
      <c r="O1694" s="16" t="str">
        <f t="shared" si="245"/>
        <v/>
      </c>
      <c r="P1694" s="16" t="str">
        <f t="shared" si="245"/>
        <v/>
      </c>
      <c r="Q1694" s="16" t="str">
        <f t="shared" si="245"/>
        <v/>
      </c>
      <c r="R1694" s="5" t="str">
        <f t="shared" si="244"/>
        <v/>
      </c>
      <c r="S1694" s="5" t="str">
        <f t="shared" si="248"/>
        <v/>
      </c>
      <c r="T1694" s="5" t="str">
        <f t="shared" si="251"/>
        <v/>
      </c>
      <c r="U1694" s="5" t="str">
        <f t="shared" si="251"/>
        <v/>
      </c>
    </row>
    <row r="1695" spans="7:21" x14ac:dyDescent="0.2">
      <c r="G1695" s="8"/>
      <c r="H1695" s="5"/>
      <c r="J1695" s="10" t="str">
        <f t="shared" si="246"/>
        <v/>
      </c>
      <c r="K1695" s="10" t="str">
        <f t="shared" si="247"/>
        <v/>
      </c>
      <c r="L1695" s="11" t="str">
        <f t="shared" si="249"/>
        <v/>
      </c>
      <c r="M1695" s="9" t="str">
        <f>IF(G1695&lt;&gt;"",J1695/MAX(J$3:J1695)-1,"")</f>
        <v/>
      </c>
      <c r="N1695" s="9" t="str">
        <f>IF(G1695&lt;&gt;"",K1695/MAX(K$3:K1695)-1,"")</f>
        <v/>
      </c>
      <c r="O1695" s="16" t="str">
        <f t="shared" si="245"/>
        <v/>
      </c>
      <c r="P1695" s="16" t="str">
        <f t="shared" si="245"/>
        <v/>
      </c>
      <c r="Q1695" s="16" t="str">
        <f t="shared" si="245"/>
        <v/>
      </c>
      <c r="R1695" s="5" t="str">
        <f t="shared" si="244"/>
        <v/>
      </c>
      <c r="S1695" s="5" t="str">
        <f t="shared" si="248"/>
        <v/>
      </c>
      <c r="T1695" s="5" t="str">
        <f t="shared" si="251"/>
        <v/>
      </c>
      <c r="U1695" s="5" t="str">
        <f t="shared" si="251"/>
        <v/>
      </c>
    </row>
    <row r="1696" spans="7:21" x14ac:dyDescent="0.2">
      <c r="G1696" s="8"/>
      <c r="H1696" s="5"/>
      <c r="J1696" s="10" t="str">
        <f t="shared" si="246"/>
        <v/>
      </c>
      <c r="K1696" s="10" t="str">
        <f t="shared" si="247"/>
        <v/>
      </c>
      <c r="L1696" s="11" t="str">
        <f t="shared" si="249"/>
        <v/>
      </c>
      <c r="M1696" s="9" t="str">
        <f>IF(G1696&lt;&gt;"",J1696/MAX(J$3:J1696)-1,"")</f>
        <v/>
      </c>
      <c r="N1696" s="9" t="str">
        <f>IF(G1696&lt;&gt;"",K1696/MAX(K$3:K1696)-1,"")</f>
        <v/>
      </c>
      <c r="O1696" s="16" t="str">
        <f t="shared" si="245"/>
        <v/>
      </c>
      <c r="P1696" s="16" t="str">
        <f t="shared" si="245"/>
        <v/>
      </c>
      <c r="Q1696" s="16" t="str">
        <f t="shared" si="245"/>
        <v/>
      </c>
      <c r="R1696" s="5" t="str">
        <f t="shared" si="244"/>
        <v/>
      </c>
      <c r="S1696" s="5" t="str">
        <f t="shared" si="248"/>
        <v/>
      </c>
      <c r="T1696" s="5" t="str">
        <f t="shared" si="251"/>
        <v/>
      </c>
      <c r="U1696" s="5" t="str">
        <f t="shared" si="251"/>
        <v/>
      </c>
    </row>
    <row r="1697" spans="7:21" x14ac:dyDescent="0.2">
      <c r="G1697" s="8"/>
      <c r="H1697" s="5"/>
      <c r="J1697" s="10" t="str">
        <f t="shared" si="246"/>
        <v/>
      </c>
      <c r="K1697" s="10" t="str">
        <f t="shared" si="247"/>
        <v/>
      </c>
      <c r="L1697" s="11" t="str">
        <f t="shared" si="249"/>
        <v/>
      </c>
      <c r="M1697" s="9" t="str">
        <f>IF(G1697&lt;&gt;"",J1697/MAX(J$3:J1697)-1,"")</f>
        <v/>
      </c>
      <c r="N1697" s="9" t="str">
        <f>IF(G1697&lt;&gt;"",K1697/MAX(K$3:K1697)-1,"")</f>
        <v/>
      </c>
      <c r="O1697" s="16" t="str">
        <f t="shared" si="245"/>
        <v/>
      </c>
      <c r="P1697" s="16" t="str">
        <f t="shared" si="245"/>
        <v/>
      </c>
      <c r="Q1697" s="16" t="str">
        <f t="shared" si="245"/>
        <v/>
      </c>
      <c r="R1697" s="5" t="str">
        <f t="shared" si="244"/>
        <v/>
      </c>
      <c r="S1697" s="5" t="str">
        <f t="shared" si="248"/>
        <v/>
      </c>
      <c r="T1697" s="5" t="str">
        <f t="shared" si="251"/>
        <v/>
      </c>
      <c r="U1697" s="5" t="str">
        <f t="shared" si="251"/>
        <v/>
      </c>
    </row>
    <row r="1698" spans="7:21" x14ac:dyDescent="0.2">
      <c r="G1698" s="8"/>
      <c r="H1698" s="5"/>
      <c r="J1698" s="10" t="str">
        <f t="shared" si="246"/>
        <v/>
      </c>
      <c r="K1698" s="10" t="str">
        <f t="shared" si="247"/>
        <v/>
      </c>
      <c r="L1698" s="11" t="str">
        <f t="shared" si="249"/>
        <v/>
      </c>
      <c r="M1698" s="9" t="str">
        <f>IF(G1698&lt;&gt;"",J1698/MAX(J$3:J1698)-1,"")</f>
        <v/>
      </c>
      <c r="N1698" s="9" t="str">
        <f>IF(G1698&lt;&gt;"",K1698/MAX(K$3:K1698)-1,"")</f>
        <v/>
      </c>
      <c r="O1698" s="16" t="str">
        <f t="shared" si="245"/>
        <v/>
      </c>
      <c r="P1698" s="16" t="str">
        <f t="shared" si="245"/>
        <v/>
      </c>
      <c r="Q1698" s="16" t="str">
        <f t="shared" si="245"/>
        <v/>
      </c>
      <c r="R1698" s="5" t="str">
        <f t="shared" si="244"/>
        <v/>
      </c>
      <c r="S1698" s="5" t="str">
        <f t="shared" si="248"/>
        <v/>
      </c>
      <c r="T1698" s="5" t="str">
        <f t="shared" si="251"/>
        <v/>
      </c>
      <c r="U1698" s="5" t="str">
        <f t="shared" si="251"/>
        <v/>
      </c>
    </row>
    <row r="1699" spans="7:21" x14ac:dyDescent="0.2">
      <c r="G1699" s="8"/>
      <c r="H1699" s="5"/>
      <c r="J1699" s="10" t="str">
        <f t="shared" si="246"/>
        <v/>
      </c>
      <c r="K1699" s="10" t="str">
        <f t="shared" si="247"/>
        <v/>
      </c>
      <c r="L1699" s="11" t="str">
        <f t="shared" si="249"/>
        <v/>
      </c>
      <c r="M1699" s="9" t="str">
        <f>IF(G1699&lt;&gt;"",J1699/MAX(J$3:J1699)-1,"")</f>
        <v/>
      </c>
      <c r="N1699" s="9" t="str">
        <f>IF(G1699&lt;&gt;"",K1699/MAX(K$3:K1699)-1,"")</f>
        <v/>
      </c>
      <c r="O1699" s="16" t="str">
        <f t="shared" si="245"/>
        <v/>
      </c>
      <c r="P1699" s="16" t="str">
        <f t="shared" si="245"/>
        <v/>
      </c>
      <c r="Q1699" s="16" t="str">
        <f t="shared" si="245"/>
        <v/>
      </c>
      <c r="R1699" s="5" t="str">
        <f t="shared" si="244"/>
        <v/>
      </c>
      <c r="S1699" s="5" t="str">
        <f t="shared" si="248"/>
        <v/>
      </c>
      <c r="T1699" s="5" t="str">
        <f t="shared" si="251"/>
        <v/>
      </c>
      <c r="U1699" s="5" t="str">
        <f t="shared" si="251"/>
        <v/>
      </c>
    </row>
    <row r="1700" spans="7:21" x14ac:dyDescent="0.2">
      <c r="G1700" s="8"/>
      <c r="H1700" s="5"/>
      <c r="J1700" s="10" t="str">
        <f t="shared" si="246"/>
        <v/>
      </c>
      <c r="K1700" s="10" t="str">
        <f t="shared" si="247"/>
        <v/>
      </c>
      <c r="L1700" s="11" t="str">
        <f t="shared" si="249"/>
        <v/>
      </c>
      <c r="M1700" s="9" t="str">
        <f>IF(G1700&lt;&gt;"",J1700/MAX(J$3:J1700)-1,"")</f>
        <v/>
      </c>
      <c r="N1700" s="9" t="str">
        <f>IF(G1700&lt;&gt;"",K1700/MAX(K$3:K1700)-1,"")</f>
        <v/>
      </c>
      <c r="O1700" s="16" t="str">
        <f t="shared" si="245"/>
        <v/>
      </c>
      <c r="P1700" s="16" t="str">
        <f t="shared" si="245"/>
        <v/>
      </c>
      <c r="Q1700" s="16" t="str">
        <f t="shared" si="245"/>
        <v/>
      </c>
      <c r="R1700" s="5" t="str">
        <f t="shared" si="244"/>
        <v/>
      </c>
      <c r="S1700" s="5" t="str">
        <f t="shared" si="248"/>
        <v/>
      </c>
      <c r="T1700" s="5" t="str">
        <f t="shared" si="251"/>
        <v/>
      </c>
      <c r="U1700" s="5" t="str">
        <f t="shared" si="251"/>
        <v/>
      </c>
    </row>
    <row r="1701" spans="7:21" x14ac:dyDescent="0.2">
      <c r="G1701" s="8"/>
      <c r="H1701" s="5"/>
      <c r="J1701" s="10" t="str">
        <f t="shared" si="246"/>
        <v/>
      </c>
      <c r="K1701" s="10" t="str">
        <f t="shared" si="247"/>
        <v/>
      </c>
      <c r="L1701" s="11" t="str">
        <f t="shared" si="249"/>
        <v/>
      </c>
      <c r="M1701" s="9" t="str">
        <f>IF(G1701&lt;&gt;"",J1701/MAX(J$3:J1701)-1,"")</f>
        <v/>
      </c>
      <c r="N1701" s="9" t="str">
        <f>IF(G1701&lt;&gt;"",K1701/MAX(K$3:K1701)-1,"")</f>
        <v/>
      </c>
      <c r="O1701" s="16" t="str">
        <f t="shared" si="245"/>
        <v/>
      </c>
      <c r="P1701" s="16" t="str">
        <f t="shared" si="245"/>
        <v/>
      </c>
      <c r="Q1701" s="16" t="str">
        <f t="shared" si="245"/>
        <v/>
      </c>
      <c r="R1701" s="5" t="str">
        <f t="shared" si="244"/>
        <v/>
      </c>
      <c r="S1701" s="5" t="str">
        <f t="shared" si="248"/>
        <v/>
      </c>
      <c r="T1701" s="5" t="str">
        <f t="shared" si="251"/>
        <v/>
      </c>
      <c r="U1701" s="5" t="str">
        <f t="shared" si="251"/>
        <v/>
      </c>
    </row>
    <row r="1702" spans="7:21" x14ac:dyDescent="0.2">
      <c r="G1702" s="8"/>
      <c r="H1702" s="5"/>
      <c r="J1702" s="10" t="str">
        <f t="shared" si="246"/>
        <v/>
      </c>
      <c r="K1702" s="10" t="str">
        <f t="shared" si="247"/>
        <v/>
      </c>
      <c r="L1702" s="11" t="str">
        <f t="shared" si="249"/>
        <v/>
      </c>
      <c r="M1702" s="9" t="str">
        <f>IF(G1702&lt;&gt;"",J1702/MAX(J$3:J1702)-1,"")</f>
        <v/>
      </c>
      <c r="N1702" s="9" t="str">
        <f>IF(G1702&lt;&gt;"",K1702/MAX(K$3:K1702)-1,"")</f>
        <v/>
      </c>
      <c r="O1702" s="16" t="str">
        <f t="shared" si="245"/>
        <v/>
      </c>
      <c r="P1702" s="16" t="str">
        <f t="shared" si="245"/>
        <v/>
      </c>
      <c r="Q1702" s="16" t="str">
        <f t="shared" si="245"/>
        <v/>
      </c>
      <c r="R1702" s="5" t="str">
        <f t="shared" si="244"/>
        <v/>
      </c>
      <c r="S1702" s="5" t="str">
        <f t="shared" si="248"/>
        <v/>
      </c>
      <c r="T1702" s="5" t="str">
        <f t="shared" si="251"/>
        <v/>
      </c>
      <c r="U1702" s="5" t="str">
        <f t="shared" si="251"/>
        <v/>
      </c>
    </row>
    <row r="1703" spans="7:21" x14ac:dyDescent="0.2">
      <c r="G1703" s="8"/>
      <c r="H1703" s="5"/>
      <c r="J1703" s="10" t="str">
        <f t="shared" si="246"/>
        <v/>
      </c>
      <c r="K1703" s="10" t="str">
        <f t="shared" si="247"/>
        <v/>
      </c>
      <c r="L1703" s="11" t="str">
        <f t="shared" si="249"/>
        <v/>
      </c>
      <c r="M1703" s="9" t="str">
        <f>IF(G1703&lt;&gt;"",J1703/MAX(J$3:J1703)-1,"")</f>
        <v/>
      </c>
      <c r="N1703" s="9" t="str">
        <f>IF(G1703&lt;&gt;"",K1703/MAX(K$3:K1703)-1,"")</f>
        <v/>
      </c>
      <c r="O1703" s="16" t="str">
        <f t="shared" si="245"/>
        <v/>
      </c>
      <c r="P1703" s="16" t="str">
        <f t="shared" si="245"/>
        <v/>
      </c>
      <c r="Q1703" s="16" t="str">
        <f t="shared" si="245"/>
        <v/>
      </c>
      <c r="R1703" s="5" t="str">
        <f t="shared" si="244"/>
        <v/>
      </c>
      <c r="S1703" s="5" t="str">
        <f t="shared" si="248"/>
        <v/>
      </c>
      <c r="T1703" s="5" t="str">
        <f t="shared" si="251"/>
        <v/>
      </c>
      <c r="U1703" s="5" t="str">
        <f t="shared" si="251"/>
        <v/>
      </c>
    </row>
    <row r="1704" spans="7:21" x14ac:dyDescent="0.2">
      <c r="G1704" s="8"/>
      <c r="H1704" s="5"/>
      <c r="J1704" s="10" t="str">
        <f t="shared" si="246"/>
        <v/>
      </c>
      <c r="K1704" s="10" t="str">
        <f t="shared" si="247"/>
        <v/>
      </c>
      <c r="L1704" s="11" t="str">
        <f t="shared" si="249"/>
        <v/>
      </c>
      <c r="M1704" s="9" t="str">
        <f>IF(G1704&lt;&gt;"",J1704/MAX(J$3:J1704)-1,"")</f>
        <v/>
      </c>
      <c r="N1704" s="9" t="str">
        <f>IF(G1704&lt;&gt;"",K1704/MAX(K$3:K1704)-1,"")</f>
        <v/>
      </c>
      <c r="O1704" s="16" t="str">
        <f t="shared" si="245"/>
        <v/>
      </c>
      <c r="P1704" s="16" t="str">
        <f t="shared" si="245"/>
        <v/>
      </c>
      <c r="Q1704" s="16" t="str">
        <f t="shared" si="245"/>
        <v/>
      </c>
      <c r="R1704" s="5" t="str">
        <f t="shared" si="244"/>
        <v/>
      </c>
      <c r="S1704" s="5" t="str">
        <f t="shared" si="248"/>
        <v/>
      </c>
      <c r="T1704" s="5" t="str">
        <f t="shared" ref="T1704:U1719" si="252">IF($G1704&lt;&gt;"",_xlfn.STDEV.S(O1460:O1704),"")</f>
        <v/>
      </c>
      <c r="U1704" s="5" t="str">
        <f t="shared" si="252"/>
        <v/>
      </c>
    </row>
    <row r="1705" spans="7:21" x14ac:dyDescent="0.2">
      <c r="G1705" s="8"/>
      <c r="H1705" s="5"/>
      <c r="J1705" s="10" t="str">
        <f t="shared" si="246"/>
        <v/>
      </c>
      <c r="K1705" s="10" t="str">
        <f t="shared" si="247"/>
        <v/>
      </c>
      <c r="L1705" s="11" t="str">
        <f t="shared" si="249"/>
        <v/>
      </c>
      <c r="M1705" s="9" t="str">
        <f>IF(G1705&lt;&gt;"",J1705/MAX(J$3:J1705)-1,"")</f>
        <v/>
      </c>
      <c r="N1705" s="9" t="str">
        <f>IF(G1705&lt;&gt;"",K1705/MAX(K$3:K1705)-1,"")</f>
        <v/>
      </c>
      <c r="O1705" s="16" t="str">
        <f t="shared" si="245"/>
        <v/>
      </c>
      <c r="P1705" s="16" t="str">
        <f t="shared" si="245"/>
        <v/>
      </c>
      <c r="Q1705" s="16" t="str">
        <f t="shared" si="245"/>
        <v/>
      </c>
      <c r="R1705" s="5" t="str">
        <f t="shared" si="244"/>
        <v/>
      </c>
      <c r="S1705" s="5" t="str">
        <f t="shared" si="248"/>
        <v/>
      </c>
      <c r="T1705" s="5" t="str">
        <f t="shared" si="252"/>
        <v/>
      </c>
      <c r="U1705" s="5" t="str">
        <f t="shared" si="252"/>
        <v/>
      </c>
    </row>
    <row r="1706" spans="7:21" x14ac:dyDescent="0.2">
      <c r="G1706" s="8"/>
      <c r="H1706" s="5"/>
      <c r="J1706" s="10" t="str">
        <f t="shared" si="246"/>
        <v/>
      </c>
      <c r="K1706" s="10" t="str">
        <f t="shared" si="247"/>
        <v/>
      </c>
      <c r="L1706" s="11" t="str">
        <f t="shared" si="249"/>
        <v/>
      </c>
      <c r="M1706" s="9" t="str">
        <f>IF(G1706&lt;&gt;"",J1706/MAX(J$3:J1706)-1,"")</f>
        <v/>
      </c>
      <c r="N1706" s="9" t="str">
        <f>IF(G1706&lt;&gt;"",K1706/MAX(K$3:K1706)-1,"")</f>
        <v/>
      </c>
      <c r="O1706" s="16" t="str">
        <f t="shared" si="245"/>
        <v/>
      </c>
      <c r="P1706" s="16" t="str">
        <f t="shared" si="245"/>
        <v/>
      </c>
      <c r="Q1706" s="16" t="str">
        <f t="shared" si="245"/>
        <v/>
      </c>
      <c r="R1706" s="5" t="str">
        <f t="shared" si="244"/>
        <v/>
      </c>
      <c r="S1706" s="5" t="str">
        <f t="shared" si="248"/>
        <v/>
      </c>
      <c r="T1706" s="5" t="str">
        <f t="shared" si="252"/>
        <v/>
      </c>
      <c r="U1706" s="5" t="str">
        <f t="shared" si="252"/>
        <v/>
      </c>
    </row>
    <row r="1707" spans="7:21" x14ac:dyDescent="0.2">
      <c r="G1707" s="8"/>
      <c r="H1707" s="5"/>
      <c r="J1707" s="10" t="str">
        <f t="shared" si="246"/>
        <v/>
      </c>
      <c r="K1707" s="10" t="str">
        <f t="shared" si="247"/>
        <v/>
      </c>
      <c r="L1707" s="11" t="str">
        <f t="shared" si="249"/>
        <v/>
      </c>
      <c r="M1707" s="9" t="str">
        <f>IF(G1707&lt;&gt;"",J1707/MAX(J$3:J1707)-1,"")</f>
        <v/>
      </c>
      <c r="N1707" s="9" t="str">
        <f>IF(G1707&lt;&gt;"",K1707/MAX(K$3:K1707)-1,"")</f>
        <v/>
      </c>
      <c r="O1707" s="16" t="str">
        <f t="shared" si="245"/>
        <v/>
      </c>
      <c r="P1707" s="16" t="str">
        <f t="shared" si="245"/>
        <v/>
      </c>
      <c r="Q1707" s="16" t="str">
        <f t="shared" si="245"/>
        <v/>
      </c>
      <c r="R1707" s="5" t="str">
        <f t="shared" si="244"/>
        <v/>
      </c>
      <c r="S1707" s="5" t="str">
        <f t="shared" si="248"/>
        <v/>
      </c>
      <c r="T1707" s="5" t="str">
        <f t="shared" si="252"/>
        <v/>
      </c>
      <c r="U1707" s="5" t="str">
        <f t="shared" si="252"/>
        <v/>
      </c>
    </row>
    <row r="1708" spans="7:21" x14ac:dyDescent="0.2">
      <c r="G1708" s="8"/>
      <c r="H1708" s="5"/>
      <c r="J1708" s="10" t="str">
        <f t="shared" si="246"/>
        <v/>
      </c>
      <c r="K1708" s="10" t="str">
        <f t="shared" si="247"/>
        <v/>
      </c>
      <c r="L1708" s="11" t="str">
        <f t="shared" si="249"/>
        <v/>
      </c>
      <c r="M1708" s="9" t="str">
        <f>IF(G1708&lt;&gt;"",J1708/MAX(J$3:J1708)-1,"")</f>
        <v/>
      </c>
      <c r="N1708" s="9" t="str">
        <f>IF(G1708&lt;&gt;"",K1708/MAX(K$3:K1708)-1,"")</f>
        <v/>
      </c>
      <c r="O1708" s="16" t="str">
        <f t="shared" si="245"/>
        <v/>
      </c>
      <c r="P1708" s="16" t="str">
        <f t="shared" si="245"/>
        <v/>
      </c>
      <c r="Q1708" s="16" t="str">
        <f t="shared" si="245"/>
        <v/>
      </c>
      <c r="R1708" s="5" t="str">
        <f t="shared" si="244"/>
        <v/>
      </c>
      <c r="S1708" s="5" t="str">
        <f t="shared" si="248"/>
        <v/>
      </c>
      <c r="T1708" s="5" t="str">
        <f t="shared" si="252"/>
        <v/>
      </c>
      <c r="U1708" s="5" t="str">
        <f t="shared" si="252"/>
        <v/>
      </c>
    </row>
    <row r="1709" spans="7:21" x14ac:dyDescent="0.2">
      <c r="G1709" s="8"/>
      <c r="H1709" s="5"/>
      <c r="J1709" s="10" t="str">
        <f t="shared" si="246"/>
        <v/>
      </c>
      <c r="K1709" s="10" t="str">
        <f t="shared" si="247"/>
        <v/>
      </c>
      <c r="L1709" s="11" t="str">
        <f t="shared" si="249"/>
        <v/>
      </c>
      <c r="M1709" s="9" t="str">
        <f>IF(G1709&lt;&gt;"",J1709/MAX(J$3:J1709)-1,"")</f>
        <v/>
      </c>
      <c r="N1709" s="9" t="str">
        <f>IF(G1709&lt;&gt;"",K1709/MAX(K$3:K1709)-1,"")</f>
        <v/>
      </c>
      <c r="O1709" s="16" t="str">
        <f t="shared" si="245"/>
        <v/>
      </c>
      <c r="P1709" s="16" t="str">
        <f t="shared" si="245"/>
        <v/>
      </c>
      <c r="Q1709" s="16" t="str">
        <f t="shared" si="245"/>
        <v/>
      </c>
      <c r="R1709" s="5" t="str">
        <f t="shared" si="244"/>
        <v/>
      </c>
      <c r="S1709" s="5" t="str">
        <f t="shared" si="248"/>
        <v/>
      </c>
      <c r="T1709" s="5" t="str">
        <f t="shared" si="252"/>
        <v/>
      </c>
      <c r="U1709" s="5" t="str">
        <f t="shared" si="252"/>
        <v/>
      </c>
    </row>
    <row r="1710" spans="7:21" x14ac:dyDescent="0.2">
      <c r="G1710" s="8"/>
      <c r="H1710" s="5"/>
      <c r="J1710" s="10" t="str">
        <f t="shared" si="246"/>
        <v/>
      </c>
      <c r="K1710" s="10" t="str">
        <f t="shared" si="247"/>
        <v/>
      </c>
      <c r="L1710" s="11" t="str">
        <f t="shared" si="249"/>
        <v/>
      </c>
      <c r="M1710" s="9" t="str">
        <f>IF(G1710&lt;&gt;"",J1710/MAX(J$3:J1710)-1,"")</f>
        <v/>
      </c>
      <c r="N1710" s="9" t="str">
        <f>IF(G1710&lt;&gt;"",K1710/MAX(K$3:K1710)-1,"")</f>
        <v/>
      </c>
      <c r="O1710" s="16" t="str">
        <f t="shared" si="245"/>
        <v/>
      </c>
      <c r="P1710" s="16" t="str">
        <f t="shared" si="245"/>
        <v/>
      </c>
      <c r="Q1710" s="16" t="str">
        <f t="shared" si="245"/>
        <v/>
      </c>
      <c r="R1710" s="5" t="str">
        <f t="shared" si="244"/>
        <v/>
      </c>
      <c r="S1710" s="5" t="str">
        <f t="shared" si="248"/>
        <v/>
      </c>
      <c r="T1710" s="5" t="str">
        <f t="shared" si="252"/>
        <v/>
      </c>
      <c r="U1710" s="5" t="str">
        <f t="shared" si="252"/>
        <v/>
      </c>
    </row>
    <row r="1711" spans="7:21" x14ac:dyDescent="0.2">
      <c r="G1711" s="8"/>
      <c r="H1711" s="5"/>
      <c r="J1711" s="10" t="str">
        <f t="shared" si="246"/>
        <v/>
      </c>
      <c r="K1711" s="10" t="str">
        <f t="shared" si="247"/>
        <v/>
      </c>
      <c r="L1711" s="11" t="str">
        <f t="shared" si="249"/>
        <v/>
      </c>
      <c r="M1711" s="9" t="str">
        <f>IF(G1711&lt;&gt;"",J1711/MAX(J$3:J1711)-1,"")</f>
        <v/>
      </c>
      <c r="N1711" s="9" t="str">
        <f>IF(G1711&lt;&gt;"",K1711/MAX(K$3:K1711)-1,"")</f>
        <v/>
      </c>
      <c r="O1711" s="16" t="str">
        <f t="shared" si="245"/>
        <v/>
      </c>
      <c r="P1711" s="16" t="str">
        <f t="shared" si="245"/>
        <v/>
      </c>
      <c r="Q1711" s="16" t="str">
        <f t="shared" si="245"/>
        <v/>
      </c>
      <c r="R1711" s="5" t="str">
        <f t="shared" si="244"/>
        <v/>
      </c>
      <c r="S1711" s="5" t="str">
        <f t="shared" si="248"/>
        <v/>
      </c>
      <c r="T1711" s="5" t="str">
        <f t="shared" si="252"/>
        <v/>
      </c>
      <c r="U1711" s="5" t="str">
        <f t="shared" si="252"/>
        <v/>
      </c>
    </row>
    <row r="1712" spans="7:21" x14ac:dyDescent="0.2">
      <c r="G1712" s="8"/>
      <c r="H1712" s="5"/>
      <c r="J1712" s="10" t="str">
        <f t="shared" si="246"/>
        <v/>
      </c>
      <c r="K1712" s="10" t="str">
        <f t="shared" si="247"/>
        <v/>
      </c>
      <c r="L1712" s="11" t="str">
        <f t="shared" si="249"/>
        <v/>
      </c>
      <c r="M1712" s="9" t="str">
        <f>IF(G1712&lt;&gt;"",J1712/MAX(J$3:J1712)-1,"")</f>
        <v/>
      </c>
      <c r="N1712" s="9" t="str">
        <f>IF(G1712&lt;&gt;"",K1712/MAX(K$3:K1712)-1,"")</f>
        <v/>
      </c>
      <c r="O1712" s="16" t="str">
        <f t="shared" si="245"/>
        <v/>
      </c>
      <c r="P1712" s="16" t="str">
        <f t="shared" si="245"/>
        <v/>
      </c>
      <c r="Q1712" s="16" t="str">
        <f t="shared" si="245"/>
        <v/>
      </c>
      <c r="R1712" s="5" t="str">
        <f t="shared" si="244"/>
        <v/>
      </c>
      <c r="S1712" s="5" t="str">
        <f t="shared" si="248"/>
        <v/>
      </c>
      <c r="T1712" s="5" t="str">
        <f t="shared" si="252"/>
        <v/>
      </c>
      <c r="U1712" s="5" t="str">
        <f t="shared" si="252"/>
        <v/>
      </c>
    </row>
    <row r="1713" spans="7:21" x14ac:dyDescent="0.2">
      <c r="G1713" s="8"/>
      <c r="H1713" s="5"/>
      <c r="J1713" s="10" t="str">
        <f t="shared" si="246"/>
        <v/>
      </c>
      <c r="K1713" s="10" t="str">
        <f t="shared" si="247"/>
        <v/>
      </c>
      <c r="L1713" s="11" t="str">
        <f t="shared" si="249"/>
        <v/>
      </c>
      <c r="M1713" s="9" t="str">
        <f>IF(G1713&lt;&gt;"",J1713/MAX(J$3:J1713)-1,"")</f>
        <v/>
      </c>
      <c r="N1713" s="9" t="str">
        <f>IF(G1713&lt;&gt;"",K1713/MAX(K$3:K1713)-1,"")</f>
        <v/>
      </c>
      <c r="O1713" s="16" t="str">
        <f t="shared" si="245"/>
        <v/>
      </c>
      <c r="P1713" s="16" t="str">
        <f t="shared" si="245"/>
        <v/>
      </c>
      <c r="Q1713" s="16" t="str">
        <f t="shared" si="245"/>
        <v/>
      </c>
      <c r="R1713" s="5" t="str">
        <f t="shared" si="244"/>
        <v/>
      </c>
      <c r="S1713" s="5" t="str">
        <f t="shared" si="248"/>
        <v/>
      </c>
      <c r="T1713" s="5" t="str">
        <f t="shared" si="252"/>
        <v/>
      </c>
      <c r="U1713" s="5" t="str">
        <f t="shared" si="252"/>
        <v/>
      </c>
    </row>
    <row r="1714" spans="7:21" x14ac:dyDescent="0.2">
      <c r="G1714" s="8"/>
      <c r="H1714" s="5"/>
      <c r="J1714" s="10" t="str">
        <f t="shared" si="246"/>
        <v/>
      </c>
      <c r="K1714" s="10" t="str">
        <f t="shared" si="247"/>
        <v/>
      </c>
      <c r="L1714" s="11" t="str">
        <f t="shared" si="249"/>
        <v/>
      </c>
      <c r="M1714" s="9" t="str">
        <f>IF(G1714&lt;&gt;"",J1714/MAX(J$3:J1714)-1,"")</f>
        <v/>
      </c>
      <c r="N1714" s="9" t="str">
        <f>IF(G1714&lt;&gt;"",K1714/MAX(K$3:K1714)-1,"")</f>
        <v/>
      </c>
      <c r="O1714" s="16" t="str">
        <f t="shared" si="245"/>
        <v/>
      </c>
      <c r="P1714" s="16" t="str">
        <f t="shared" si="245"/>
        <v/>
      </c>
      <c r="Q1714" s="16" t="str">
        <f t="shared" si="245"/>
        <v/>
      </c>
      <c r="R1714" s="5" t="str">
        <f t="shared" si="244"/>
        <v/>
      </c>
      <c r="S1714" s="5" t="str">
        <f t="shared" si="248"/>
        <v/>
      </c>
      <c r="T1714" s="5" t="str">
        <f t="shared" si="252"/>
        <v/>
      </c>
      <c r="U1714" s="5" t="str">
        <f t="shared" si="252"/>
        <v/>
      </c>
    </row>
    <row r="1715" spans="7:21" x14ac:dyDescent="0.2">
      <c r="G1715" s="8"/>
      <c r="H1715" s="5"/>
      <c r="J1715" s="10" t="str">
        <f t="shared" si="246"/>
        <v/>
      </c>
      <c r="K1715" s="10" t="str">
        <f t="shared" si="247"/>
        <v/>
      </c>
      <c r="L1715" s="11" t="str">
        <f t="shared" si="249"/>
        <v/>
      </c>
      <c r="M1715" s="9" t="str">
        <f>IF(G1715&lt;&gt;"",J1715/MAX(J$3:J1715)-1,"")</f>
        <v/>
      </c>
      <c r="N1715" s="9" t="str">
        <f>IF(G1715&lt;&gt;"",K1715/MAX(K$3:K1715)-1,"")</f>
        <v/>
      </c>
      <c r="O1715" s="16" t="str">
        <f t="shared" si="245"/>
        <v/>
      </c>
      <c r="P1715" s="16" t="str">
        <f t="shared" si="245"/>
        <v/>
      </c>
      <c r="Q1715" s="16" t="str">
        <f t="shared" si="245"/>
        <v/>
      </c>
      <c r="R1715" s="5" t="str">
        <f t="shared" si="244"/>
        <v/>
      </c>
      <c r="S1715" s="5" t="str">
        <f t="shared" si="248"/>
        <v/>
      </c>
      <c r="T1715" s="5" t="str">
        <f t="shared" si="252"/>
        <v/>
      </c>
      <c r="U1715" s="5" t="str">
        <f t="shared" si="252"/>
        <v/>
      </c>
    </row>
    <row r="1716" spans="7:21" x14ac:dyDescent="0.2">
      <c r="G1716" s="8"/>
      <c r="H1716" s="5"/>
      <c r="J1716" s="10" t="str">
        <f t="shared" si="246"/>
        <v/>
      </c>
      <c r="K1716" s="10" t="str">
        <f t="shared" si="247"/>
        <v/>
      </c>
      <c r="L1716" s="11" t="str">
        <f t="shared" si="249"/>
        <v/>
      </c>
      <c r="M1716" s="9" t="str">
        <f>IF(G1716&lt;&gt;"",J1716/MAX(J$3:J1716)-1,"")</f>
        <v/>
      </c>
      <c r="N1716" s="9" t="str">
        <f>IF(G1716&lt;&gt;"",K1716/MAX(K$3:K1716)-1,"")</f>
        <v/>
      </c>
      <c r="O1716" s="16" t="str">
        <f t="shared" si="245"/>
        <v/>
      </c>
      <c r="P1716" s="16" t="str">
        <f t="shared" si="245"/>
        <v/>
      </c>
      <c r="Q1716" s="16" t="str">
        <f t="shared" si="245"/>
        <v/>
      </c>
      <c r="R1716" s="5" t="str">
        <f t="shared" si="244"/>
        <v/>
      </c>
      <c r="S1716" s="5" t="str">
        <f t="shared" si="248"/>
        <v/>
      </c>
      <c r="T1716" s="5" t="str">
        <f t="shared" si="252"/>
        <v/>
      </c>
      <c r="U1716" s="5" t="str">
        <f t="shared" si="252"/>
        <v/>
      </c>
    </row>
    <row r="1717" spans="7:21" x14ac:dyDescent="0.2">
      <c r="G1717" s="8"/>
      <c r="H1717" s="5"/>
      <c r="J1717" s="10" t="str">
        <f t="shared" si="246"/>
        <v/>
      </c>
      <c r="K1717" s="10" t="str">
        <f t="shared" si="247"/>
        <v/>
      </c>
      <c r="L1717" s="11" t="str">
        <f t="shared" si="249"/>
        <v/>
      </c>
      <c r="M1717" s="9" t="str">
        <f>IF(G1717&lt;&gt;"",J1717/MAX(J$3:J1717)-1,"")</f>
        <v/>
      </c>
      <c r="N1717" s="9" t="str">
        <f>IF(G1717&lt;&gt;"",K1717/MAX(K$3:K1717)-1,"")</f>
        <v/>
      </c>
      <c r="O1717" s="16" t="str">
        <f t="shared" si="245"/>
        <v/>
      </c>
      <c r="P1717" s="16" t="str">
        <f t="shared" si="245"/>
        <v/>
      </c>
      <c r="Q1717" s="16" t="str">
        <f t="shared" si="245"/>
        <v/>
      </c>
      <c r="R1717" s="5" t="str">
        <f t="shared" si="244"/>
        <v/>
      </c>
      <c r="S1717" s="5" t="str">
        <f t="shared" si="248"/>
        <v/>
      </c>
      <c r="T1717" s="5" t="str">
        <f t="shared" si="252"/>
        <v/>
      </c>
      <c r="U1717" s="5" t="str">
        <f t="shared" si="252"/>
        <v/>
      </c>
    </row>
    <row r="1718" spans="7:21" x14ac:dyDescent="0.2">
      <c r="G1718" s="8"/>
      <c r="H1718" s="5"/>
      <c r="J1718" s="10" t="str">
        <f t="shared" si="246"/>
        <v/>
      </c>
      <c r="K1718" s="10" t="str">
        <f t="shared" si="247"/>
        <v/>
      </c>
      <c r="L1718" s="11" t="str">
        <f t="shared" si="249"/>
        <v/>
      </c>
      <c r="M1718" s="9" t="str">
        <f>IF(G1718&lt;&gt;"",J1718/MAX(J$3:J1718)-1,"")</f>
        <v/>
      </c>
      <c r="N1718" s="9" t="str">
        <f>IF(G1718&lt;&gt;"",K1718/MAX(K$3:K1718)-1,"")</f>
        <v/>
      </c>
      <c r="O1718" s="16" t="str">
        <f t="shared" si="245"/>
        <v/>
      </c>
      <c r="P1718" s="16" t="str">
        <f t="shared" si="245"/>
        <v/>
      </c>
      <c r="Q1718" s="16" t="str">
        <f t="shared" si="245"/>
        <v/>
      </c>
      <c r="R1718" s="5" t="str">
        <f t="shared" si="244"/>
        <v/>
      </c>
      <c r="S1718" s="5" t="str">
        <f t="shared" si="248"/>
        <v/>
      </c>
      <c r="T1718" s="5" t="str">
        <f t="shared" si="252"/>
        <v/>
      </c>
      <c r="U1718" s="5" t="str">
        <f t="shared" si="252"/>
        <v/>
      </c>
    </row>
    <row r="1719" spans="7:21" x14ac:dyDescent="0.2">
      <c r="G1719" s="8"/>
      <c r="H1719" s="5"/>
      <c r="J1719" s="10" t="str">
        <f t="shared" si="246"/>
        <v/>
      </c>
      <c r="K1719" s="10" t="str">
        <f t="shared" si="247"/>
        <v/>
      </c>
      <c r="L1719" s="11" t="str">
        <f t="shared" si="249"/>
        <v/>
      </c>
      <c r="M1719" s="9" t="str">
        <f>IF(G1719&lt;&gt;"",J1719/MAX(J$3:J1719)-1,"")</f>
        <v/>
      </c>
      <c r="N1719" s="9" t="str">
        <f>IF(G1719&lt;&gt;"",K1719/MAX(K$3:K1719)-1,"")</f>
        <v/>
      </c>
      <c r="O1719" s="16" t="str">
        <f t="shared" si="245"/>
        <v/>
      </c>
      <c r="P1719" s="16" t="str">
        <f t="shared" si="245"/>
        <v/>
      </c>
      <c r="Q1719" s="16" t="str">
        <f t="shared" si="245"/>
        <v/>
      </c>
      <c r="R1719" s="5" t="str">
        <f t="shared" si="244"/>
        <v/>
      </c>
      <c r="S1719" s="5" t="str">
        <f t="shared" si="248"/>
        <v/>
      </c>
      <c r="T1719" s="5" t="str">
        <f t="shared" si="252"/>
        <v/>
      </c>
      <c r="U1719" s="5" t="str">
        <f t="shared" si="252"/>
        <v/>
      </c>
    </row>
    <row r="1720" spans="7:21" x14ac:dyDescent="0.2">
      <c r="G1720" s="8"/>
      <c r="H1720" s="5"/>
      <c r="J1720" s="10" t="str">
        <f t="shared" si="246"/>
        <v/>
      </c>
      <c r="K1720" s="10" t="str">
        <f t="shared" si="247"/>
        <v/>
      </c>
      <c r="L1720" s="11" t="str">
        <f t="shared" si="249"/>
        <v/>
      </c>
      <c r="M1720" s="9" t="str">
        <f>IF(G1720&lt;&gt;"",J1720/MAX(J$3:J1720)-1,"")</f>
        <v/>
      </c>
      <c r="N1720" s="9" t="str">
        <f>IF(G1720&lt;&gt;"",K1720/MAX(K$3:K1720)-1,"")</f>
        <v/>
      </c>
      <c r="O1720" s="16" t="str">
        <f t="shared" si="245"/>
        <v/>
      </c>
      <c r="P1720" s="16" t="str">
        <f t="shared" si="245"/>
        <v/>
      </c>
      <c r="Q1720" s="16" t="str">
        <f t="shared" si="245"/>
        <v/>
      </c>
      <c r="R1720" s="5" t="str">
        <f t="shared" si="244"/>
        <v/>
      </c>
      <c r="S1720" s="5" t="str">
        <f t="shared" si="248"/>
        <v/>
      </c>
      <c r="T1720" s="5" t="str">
        <f t="shared" ref="T1720:U1735" si="253">IF($G1720&lt;&gt;"",_xlfn.STDEV.S(O1476:O1720),"")</f>
        <v/>
      </c>
      <c r="U1720" s="5" t="str">
        <f t="shared" si="253"/>
        <v/>
      </c>
    </row>
    <row r="1721" spans="7:21" x14ac:dyDescent="0.2">
      <c r="G1721" s="8"/>
      <c r="H1721" s="5"/>
      <c r="J1721" s="10" t="str">
        <f t="shared" si="246"/>
        <v/>
      </c>
      <c r="K1721" s="10" t="str">
        <f t="shared" si="247"/>
        <v/>
      </c>
      <c r="L1721" s="11" t="str">
        <f t="shared" si="249"/>
        <v/>
      </c>
      <c r="M1721" s="9" t="str">
        <f>IF(G1721&lt;&gt;"",J1721/MAX(J$3:J1721)-1,"")</f>
        <v/>
      </c>
      <c r="N1721" s="9" t="str">
        <f>IF(G1721&lt;&gt;"",K1721/MAX(K$3:K1721)-1,"")</f>
        <v/>
      </c>
      <c r="O1721" s="16" t="str">
        <f t="shared" si="245"/>
        <v/>
      </c>
      <c r="P1721" s="16" t="str">
        <f t="shared" si="245"/>
        <v/>
      </c>
      <c r="Q1721" s="16" t="str">
        <f t="shared" si="245"/>
        <v/>
      </c>
      <c r="R1721" s="5" t="str">
        <f t="shared" si="244"/>
        <v/>
      </c>
      <c r="S1721" s="5" t="str">
        <f t="shared" si="248"/>
        <v/>
      </c>
      <c r="T1721" s="5" t="str">
        <f t="shared" si="253"/>
        <v/>
      </c>
      <c r="U1721" s="5" t="str">
        <f t="shared" si="253"/>
        <v/>
      </c>
    </row>
    <row r="1722" spans="7:21" x14ac:dyDescent="0.2">
      <c r="G1722" s="8"/>
      <c r="H1722" s="5"/>
      <c r="J1722" s="10" t="str">
        <f t="shared" si="246"/>
        <v/>
      </c>
      <c r="K1722" s="10" t="str">
        <f t="shared" si="247"/>
        <v/>
      </c>
      <c r="L1722" s="11" t="str">
        <f t="shared" si="249"/>
        <v/>
      </c>
      <c r="M1722" s="9" t="str">
        <f>IF(G1722&lt;&gt;"",J1722/MAX(J$3:J1722)-1,"")</f>
        <v/>
      </c>
      <c r="N1722" s="9" t="str">
        <f>IF(G1722&lt;&gt;"",K1722/MAX(K$3:K1722)-1,"")</f>
        <v/>
      </c>
      <c r="O1722" s="16" t="str">
        <f t="shared" si="245"/>
        <v/>
      </c>
      <c r="P1722" s="16" t="str">
        <f t="shared" si="245"/>
        <v/>
      </c>
      <c r="Q1722" s="16" t="str">
        <f t="shared" si="245"/>
        <v/>
      </c>
      <c r="R1722" s="5" t="str">
        <f t="shared" si="244"/>
        <v/>
      </c>
      <c r="S1722" s="5" t="str">
        <f t="shared" si="248"/>
        <v/>
      </c>
      <c r="T1722" s="5" t="str">
        <f t="shared" si="253"/>
        <v/>
      </c>
      <c r="U1722" s="5" t="str">
        <f t="shared" si="253"/>
        <v/>
      </c>
    </row>
    <row r="1723" spans="7:21" x14ac:dyDescent="0.2">
      <c r="G1723" s="8"/>
      <c r="H1723" s="5"/>
      <c r="J1723" s="10" t="str">
        <f t="shared" si="246"/>
        <v/>
      </c>
      <c r="K1723" s="10" t="str">
        <f t="shared" si="247"/>
        <v/>
      </c>
      <c r="L1723" s="11" t="str">
        <f t="shared" si="249"/>
        <v/>
      </c>
      <c r="M1723" s="9" t="str">
        <f>IF(G1723&lt;&gt;"",J1723/MAX(J$3:J1723)-1,"")</f>
        <v/>
      </c>
      <c r="N1723" s="9" t="str">
        <f>IF(G1723&lt;&gt;"",K1723/MAX(K$3:K1723)-1,"")</f>
        <v/>
      </c>
      <c r="O1723" s="16" t="str">
        <f t="shared" si="245"/>
        <v/>
      </c>
      <c r="P1723" s="16" t="str">
        <f t="shared" si="245"/>
        <v/>
      </c>
      <c r="Q1723" s="16" t="str">
        <f t="shared" si="245"/>
        <v/>
      </c>
      <c r="R1723" s="5" t="str">
        <f t="shared" si="244"/>
        <v/>
      </c>
      <c r="S1723" s="5" t="str">
        <f t="shared" si="248"/>
        <v/>
      </c>
      <c r="T1723" s="5" t="str">
        <f t="shared" si="253"/>
        <v/>
      </c>
      <c r="U1723" s="5" t="str">
        <f t="shared" si="253"/>
        <v/>
      </c>
    </row>
    <row r="1724" spans="7:21" x14ac:dyDescent="0.2">
      <c r="G1724" s="8"/>
      <c r="H1724" s="5"/>
      <c r="J1724" s="10" t="str">
        <f t="shared" si="246"/>
        <v/>
      </c>
      <c r="K1724" s="10" t="str">
        <f t="shared" si="247"/>
        <v/>
      </c>
      <c r="L1724" s="11" t="str">
        <f t="shared" si="249"/>
        <v/>
      </c>
      <c r="M1724" s="9" t="str">
        <f>IF(G1724&lt;&gt;"",J1724/MAX(J$3:J1724)-1,"")</f>
        <v/>
      </c>
      <c r="N1724" s="9" t="str">
        <f>IF(G1724&lt;&gt;"",K1724/MAX(K$3:K1724)-1,"")</f>
        <v/>
      </c>
      <c r="O1724" s="16" t="str">
        <f t="shared" si="245"/>
        <v/>
      </c>
      <c r="P1724" s="16" t="str">
        <f t="shared" si="245"/>
        <v/>
      </c>
      <c r="Q1724" s="16" t="str">
        <f t="shared" si="245"/>
        <v/>
      </c>
      <c r="R1724" s="5" t="str">
        <f t="shared" si="244"/>
        <v/>
      </c>
      <c r="S1724" s="5" t="str">
        <f t="shared" si="248"/>
        <v/>
      </c>
      <c r="T1724" s="5" t="str">
        <f t="shared" si="253"/>
        <v/>
      </c>
      <c r="U1724" s="5" t="str">
        <f t="shared" si="253"/>
        <v/>
      </c>
    </row>
    <row r="1725" spans="7:21" x14ac:dyDescent="0.2">
      <c r="G1725" s="8"/>
      <c r="H1725" s="5"/>
      <c r="J1725" s="10" t="str">
        <f t="shared" si="246"/>
        <v/>
      </c>
      <c r="K1725" s="10" t="str">
        <f t="shared" si="247"/>
        <v/>
      </c>
      <c r="L1725" s="11" t="str">
        <f t="shared" si="249"/>
        <v/>
      </c>
      <c r="M1725" s="9" t="str">
        <f>IF(G1725&lt;&gt;"",J1725/MAX(J$3:J1725)-1,"")</f>
        <v/>
      </c>
      <c r="N1725" s="9" t="str">
        <f>IF(G1725&lt;&gt;"",K1725/MAX(K$3:K1725)-1,"")</f>
        <v/>
      </c>
      <c r="O1725" s="16" t="str">
        <f t="shared" si="245"/>
        <v/>
      </c>
      <c r="P1725" s="16" t="str">
        <f t="shared" si="245"/>
        <v/>
      </c>
      <c r="Q1725" s="16" t="str">
        <f t="shared" si="245"/>
        <v/>
      </c>
      <c r="R1725" s="5" t="str">
        <f t="shared" ref="R1725:R1788" si="254">IF(G1725&lt;&gt;"",_xlfn.STDEV.S(Q1604:Q1725)*SQRT($B$5),"")</f>
        <v/>
      </c>
      <c r="S1725" s="5" t="str">
        <f t="shared" si="248"/>
        <v/>
      </c>
      <c r="T1725" s="5" t="str">
        <f t="shared" si="253"/>
        <v/>
      </c>
      <c r="U1725" s="5" t="str">
        <f t="shared" si="253"/>
        <v/>
      </c>
    </row>
    <row r="1726" spans="7:21" x14ac:dyDescent="0.2">
      <c r="G1726" s="8"/>
      <c r="H1726" s="5"/>
      <c r="J1726" s="10" t="str">
        <f t="shared" si="246"/>
        <v/>
      </c>
      <c r="K1726" s="10" t="str">
        <f t="shared" si="247"/>
        <v/>
      </c>
      <c r="L1726" s="11" t="str">
        <f t="shared" si="249"/>
        <v/>
      </c>
      <c r="M1726" s="9" t="str">
        <f>IF(G1726&lt;&gt;"",J1726/MAX(J$3:J1726)-1,"")</f>
        <v/>
      </c>
      <c r="N1726" s="9" t="str">
        <f>IF(G1726&lt;&gt;"",K1726/MAX(K$3:K1726)-1,"")</f>
        <v/>
      </c>
      <c r="O1726" s="16" t="str">
        <f t="shared" si="245"/>
        <v/>
      </c>
      <c r="P1726" s="16" t="str">
        <f t="shared" si="245"/>
        <v/>
      </c>
      <c r="Q1726" s="16" t="str">
        <f t="shared" si="245"/>
        <v/>
      </c>
      <c r="R1726" s="5" t="str">
        <f t="shared" si="254"/>
        <v/>
      </c>
      <c r="S1726" s="5" t="str">
        <f t="shared" si="248"/>
        <v/>
      </c>
      <c r="T1726" s="5" t="str">
        <f t="shared" si="253"/>
        <v/>
      </c>
      <c r="U1726" s="5" t="str">
        <f t="shared" si="253"/>
        <v/>
      </c>
    </row>
    <row r="1727" spans="7:21" x14ac:dyDescent="0.2">
      <c r="G1727" s="8"/>
      <c r="H1727" s="5"/>
      <c r="J1727" s="10" t="str">
        <f t="shared" si="246"/>
        <v/>
      </c>
      <c r="K1727" s="10" t="str">
        <f t="shared" si="247"/>
        <v/>
      </c>
      <c r="L1727" s="11" t="str">
        <f t="shared" si="249"/>
        <v/>
      </c>
      <c r="M1727" s="9" t="str">
        <f>IF(G1727&lt;&gt;"",J1727/MAX(J$3:J1727)-1,"")</f>
        <v/>
      </c>
      <c r="N1727" s="9" t="str">
        <f>IF(G1727&lt;&gt;"",K1727/MAX(K$3:K1727)-1,"")</f>
        <v/>
      </c>
      <c r="O1727" s="16" t="str">
        <f t="shared" si="245"/>
        <v/>
      </c>
      <c r="P1727" s="16" t="str">
        <f t="shared" si="245"/>
        <v/>
      </c>
      <c r="Q1727" s="16" t="str">
        <f t="shared" si="245"/>
        <v/>
      </c>
      <c r="R1727" s="5" t="str">
        <f t="shared" si="254"/>
        <v/>
      </c>
      <c r="S1727" s="5" t="str">
        <f t="shared" si="248"/>
        <v/>
      </c>
      <c r="T1727" s="5" t="str">
        <f t="shared" si="253"/>
        <v/>
      </c>
      <c r="U1727" s="5" t="str">
        <f t="shared" si="253"/>
        <v/>
      </c>
    </row>
    <row r="1728" spans="7:21" x14ac:dyDescent="0.2">
      <c r="G1728" s="8"/>
      <c r="H1728" s="5"/>
      <c r="J1728" s="10" t="str">
        <f t="shared" si="246"/>
        <v/>
      </c>
      <c r="K1728" s="10" t="str">
        <f t="shared" si="247"/>
        <v/>
      </c>
      <c r="L1728" s="11" t="str">
        <f t="shared" si="249"/>
        <v/>
      </c>
      <c r="M1728" s="9" t="str">
        <f>IF(G1728&lt;&gt;"",J1728/MAX(J$3:J1728)-1,"")</f>
        <v/>
      </c>
      <c r="N1728" s="9" t="str">
        <f>IF(G1728&lt;&gt;"",K1728/MAX(K$3:K1728)-1,"")</f>
        <v/>
      </c>
      <c r="O1728" s="16" t="str">
        <f t="shared" si="245"/>
        <v/>
      </c>
      <c r="P1728" s="16" t="str">
        <f t="shared" si="245"/>
        <v/>
      </c>
      <c r="Q1728" s="16" t="str">
        <f t="shared" si="245"/>
        <v/>
      </c>
      <c r="R1728" s="5" t="str">
        <f t="shared" si="254"/>
        <v/>
      </c>
      <c r="S1728" s="5" t="str">
        <f t="shared" si="248"/>
        <v/>
      </c>
      <c r="T1728" s="5" t="str">
        <f t="shared" si="253"/>
        <v/>
      </c>
      <c r="U1728" s="5" t="str">
        <f t="shared" si="253"/>
        <v/>
      </c>
    </row>
    <row r="1729" spans="7:21" x14ac:dyDescent="0.2">
      <c r="G1729" s="8"/>
      <c r="H1729" s="5"/>
      <c r="J1729" s="10" t="str">
        <f t="shared" si="246"/>
        <v/>
      </c>
      <c r="K1729" s="10" t="str">
        <f t="shared" si="247"/>
        <v/>
      </c>
      <c r="L1729" s="11" t="str">
        <f t="shared" si="249"/>
        <v/>
      </c>
      <c r="M1729" s="9" t="str">
        <f>IF(G1729&lt;&gt;"",J1729/MAX(J$3:J1729)-1,"")</f>
        <v/>
      </c>
      <c r="N1729" s="9" t="str">
        <f>IF(G1729&lt;&gt;"",K1729/MAX(K$3:K1729)-1,"")</f>
        <v/>
      </c>
      <c r="O1729" s="16" t="str">
        <f t="shared" si="245"/>
        <v/>
      </c>
      <c r="P1729" s="16" t="str">
        <f t="shared" si="245"/>
        <v/>
      </c>
      <c r="Q1729" s="16" t="str">
        <f t="shared" si="245"/>
        <v/>
      </c>
      <c r="R1729" s="5" t="str">
        <f t="shared" si="254"/>
        <v/>
      </c>
      <c r="S1729" s="5" t="str">
        <f t="shared" si="248"/>
        <v/>
      </c>
      <c r="T1729" s="5" t="str">
        <f t="shared" si="253"/>
        <v/>
      </c>
      <c r="U1729" s="5" t="str">
        <f t="shared" si="253"/>
        <v/>
      </c>
    </row>
    <row r="1730" spans="7:21" x14ac:dyDescent="0.2">
      <c r="G1730" s="8"/>
      <c r="H1730" s="5"/>
      <c r="J1730" s="10" t="str">
        <f t="shared" si="246"/>
        <v/>
      </c>
      <c r="K1730" s="10" t="str">
        <f t="shared" si="247"/>
        <v/>
      </c>
      <c r="L1730" s="11" t="str">
        <f t="shared" si="249"/>
        <v/>
      </c>
      <c r="M1730" s="9" t="str">
        <f>IF(G1730&lt;&gt;"",J1730/MAX(J$3:J1730)-1,"")</f>
        <v/>
      </c>
      <c r="N1730" s="9" t="str">
        <f>IF(G1730&lt;&gt;"",K1730/MAX(K$3:K1730)-1,"")</f>
        <v/>
      </c>
      <c r="O1730" s="16" t="str">
        <f t="shared" ref="O1730:Q1793" si="255">IF($G1730&lt;&gt;"",J1730/J1729-1,"")</f>
        <v/>
      </c>
      <c r="P1730" s="16" t="str">
        <f t="shared" si="255"/>
        <v/>
      </c>
      <c r="Q1730" s="16" t="str">
        <f t="shared" si="255"/>
        <v/>
      </c>
      <c r="R1730" s="5" t="str">
        <f t="shared" si="254"/>
        <v/>
      </c>
      <c r="S1730" s="5" t="str">
        <f t="shared" si="248"/>
        <v/>
      </c>
      <c r="T1730" s="5" t="str">
        <f t="shared" si="253"/>
        <v/>
      </c>
      <c r="U1730" s="5" t="str">
        <f t="shared" si="253"/>
        <v/>
      </c>
    </row>
    <row r="1731" spans="7:21" x14ac:dyDescent="0.2">
      <c r="G1731" s="8"/>
      <c r="H1731" s="5"/>
      <c r="J1731" s="10" t="str">
        <f t="shared" si="246"/>
        <v/>
      </c>
      <c r="K1731" s="10" t="str">
        <f t="shared" si="247"/>
        <v/>
      </c>
      <c r="L1731" s="11" t="str">
        <f t="shared" si="249"/>
        <v/>
      </c>
      <c r="M1731" s="9" t="str">
        <f>IF(G1731&lt;&gt;"",J1731/MAX(J$3:J1731)-1,"")</f>
        <v/>
      </c>
      <c r="N1731" s="9" t="str">
        <f>IF(G1731&lt;&gt;"",K1731/MAX(K$3:K1731)-1,"")</f>
        <v/>
      </c>
      <c r="O1731" s="16" t="str">
        <f t="shared" si="255"/>
        <v/>
      </c>
      <c r="P1731" s="16" t="str">
        <f t="shared" si="255"/>
        <v/>
      </c>
      <c r="Q1731" s="16" t="str">
        <f t="shared" si="255"/>
        <v/>
      </c>
      <c r="R1731" s="5" t="str">
        <f t="shared" si="254"/>
        <v/>
      </c>
      <c r="S1731" s="5" t="str">
        <f t="shared" si="248"/>
        <v/>
      </c>
      <c r="T1731" s="5" t="str">
        <f t="shared" si="253"/>
        <v/>
      </c>
      <c r="U1731" s="5" t="str">
        <f t="shared" si="253"/>
        <v/>
      </c>
    </row>
    <row r="1732" spans="7:21" x14ac:dyDescent="0.2">
      <c r="G1732" s="8"/>
      <c r="H1732" s="5"/>
      <c r="J1732" s="10" t="str">
        <f t="shared" ref="J1732:J1795" si="256">IF(G1732&lt;&gt;"",1+H1732,"")</f>
        <v/>
      </c>
      <c r="K1732" s="10" t="str">
        <f t="shared" ref="K1732:K1795" si="257">IF(G1732&lt;&gt;"",1+I1732,"")</f>
        <v/>
      </c>
      <c r="L1732" s="11" t="str">
        <f t="shared" si="249"/>
        <v/>
      </c>
      <c r="M1732" s="9" t="str">
        <f>IF(G1732&lt;&gt;"",J1732/MAX(J$3:J1732)-1,"")</f>
        <v/>
      </c>
      <c r="N1732" s="9" t="str">
        <f>IF(G1732&lt;&gt;"",K1732/MAX(K$3:K1732)-1,"")</f>
        <v/>
      </c>
      <c r="O1732" s="16" t="str">
        <f t="shared" si="255"/>
        <v/>
      </c>
      <c r="P1732" s="16" t="str">
        <f t="shared" si="255"/>
        <v/>
      </c>
      <c r="Q1732" s="16" t="str">
        <f t="shared" si="255"/>
        <v/>
      </c>
      <c r="R1732" s="5" t="str">
        <f t="shared" si="254"/>
        <v/>
      </c>
      <c r="S1732" s="5" t="str">
        <f t="shared" ref="S1732:S1795" si="258">IF(R1732&lt;&gt;"",B$12,"")</f>
        <v/>
      </c>
      <c r="T1732" s="5" t="str">
        <f t="shared" si="253"/>
        <v/>
      </c>
      <c r="U1732" s="5" t="str">
        <f t="shared" si="253"/>
        <v/>
      </c>
    </row>
    <row r="1733" spans="7:21" x14ac:dyDescent="0.2">
      <c r="G1733" s="8"/>
      <c r="H1733" s="5"/>
      <c r="J1733" s="10" t="str">
        <f t="shared" si="256"/>
        <v/>
      </c>
      <c r="K1733" s="10" t="str">
        <f t="shared" si="257"/>
        <v/>
      </c>
      <c r="L1733" s="11" t="str">
        <f t="shared" ref="L1733:L1796" si="259">IF(G1733&lt;&gt;"",J1733/K1733,"")</f>
        <v/>
      </c>
      <c r="M1733" s="9" t="str">
        <f>IF(G1733&lt;&gt;"",J1733/MAX(J$3:J1733)-1,"")</f>
        <v/>
      </c>
      <c r="N1733" s="9" t="str">
        <f>IF(G1733&lt;&gt;"",K1733/MAX(K$3:K1733)-1,"")</f>
        <v/>
      </c>
      <c r="O1733" s="16" t="str">
        <f t="shared" si="255"/>
        <v/>
      </c>
      <c r="P1733" s="16" t="str">
        <f t="shared" si="255"/>
        <v/>
      </c>
      <c r="Q1733" s="16" t="str">
        <f t="shared" si="255"/>
        <v/>
      </c>
      <c r="R1733" s="5" t="str">
        <f t="shared" si="254"/>
        <v/>
      </c>
      <c r="S1733" s="5" t="str">
        <f t="shared" si="258"/>
        <v/>
      </c>
      <c r="T1733" s="5" t="str">
        <f t="shared" si="253"/>
        <v/>
      </c>
      <c r="U1733" s="5" t="str">
        <f t="shared" si="253"/>
        <v/>
      </c>
    </row>
    <row r="1734" spans="7:21" x14ac:dyDescent="0.2">
      <c r="G1734" s="8"/>
      <c r="H1734" s="5"/>
      <c r="J1734" s="10" t="str">
        <f t="shared" si="256"/>
        <v/>
      </c>
      <c r="K1734" s="10" t="str">
        <f t="shared" si="257"/>
        <v/>
      </c>
      <c r="L1734" s="11" t="str">
        <f t="shared" si="259"/>
        <v/>
      </c>
      <c r="M1734" s="9" t="str">
        <f>IF(G1734&lt;&gt;"",J1734/MAX(J$3:J1734)-1,"")</f>
        <v/>
      </c>
      <c r="N1734" s="9" t="str">
        <f>IF(G1734&lt;&gt;"",K1734/MAX(K$3:K1734)-1,"")</f>
        <v/>
      </c>
      <c r="O1734" s="16" t="str">
        <f t="shared" si="255"/>
        <v/>
      </c>
      <c r="P1734" s="16" t="str">
        <f t="shared" si="255"/>
        <v/>
      </c>
      <c r="Q1734" s="16" t="str">
        <f t="shared" si="255"/>
        <v/>
      </c>
      <c r="R1734" s="5" t="str">
        <f t="shared" si="254"/>
        <v/>
      </c>
      <c r="S1734" s="5" t="str">
        <f t="shared" si="258"/>
        <v/>
      </c>
      <c r="T1734" s="5" t="str">
        <f t="shared" si="253"/>
        <v/>
      </c>
      <c r="U1734" s="5" t="str">
        <f t="shared" si="253"/>
        <v/>
      </c>
    </row>
    <row r="1735" spans="7:21" x14ac:dyDescent="0.2">
      <c r="G1735" s="8"/>
      <c r="H1735" s="5"/>
      <c r="J1735" s="10" t="str">
        <f t="shared" si="256"/>
        <v/>
      </c>
      <c r="K1735" s="10" t="str">
        <f t="shared" si="257"/>
        <v/>
      </c>
      <c r="L1735" s="11" t="str">
        <f t="shared" si="259"/>
        <v/>
      </c>
      <c r="M1735" s="9" t="str">
        <f>IF(G1735&lt;&gt;"",J1735/MAX(J$3:J1735)-1,"")</f>
        <v/>
      </c>
      <c r="N1735" s="9" t="str">
        <f>IF(G1735&lt;&gt;"",K1735/MAX(K$3:K1735)-1,"")</f>
        <v/>
      </c>
      <c r="O1735" s="16" t="str">
        <f t="shared" si="255"/>
        <v/>
      </c>
      <c r="P1735" s="16" t="str">
        <f t="shared" si="255"/>
        <v/>
      </c>
      <c r="Q1735" s="16" t="str">
        <f t="shared" si="255"/>
        <v/>
      </c>
      <c r="R1735" s="5" t="str">
        <f t="shared" si="254"/>
        <v/>
      </c>
      <c r="S1735" s="5" t="str">
        <f t="shared" si="258"/>
        <v/>
      </c>
      <c r="T1735" s="5" t="str">
        <f t="shared" si="253"/>
        <v/>
      </c>
      <c r="U1735" s="5" t="str">
        <f t="shared" si="253"/>
        <v/>
      </c>
    </row>
    <row r="1736" spans="7:21" x14ac:dyDescent="0.2">
      <c r="G1736" s="8"/>
      <c r="H1736" s="5"/>
      <c r="J1736" s="10" t="str">
        <f t="shared" si="256"/>
        <v/>
      </c>
      <c r="K1736" s="10" t="str">
        <f t="shared" si="257"/>
        <v/>
      </c>
      <c r="L1736" s="11" t="str">
        <f t="shared" si="259"/>
        <v/>
      </c>
      <c r="M1736" s="9" t="str">
        <f>IF(G1736&lt;&gt;"",J1736/MAX(J$3:J1736)-1,"")</f>
        <v/>
      </c>
      <c r="N1736" s="9" t="str">
        <f>IF(G1736&lt;&gt;"",K1736/MAX(K$3:K1736)-1,"")</f>
        <v/>
      </c>
      <c r="O1736" s="16" t="str">
        <f t="shared" si="255"/>
        <v/>
      </c>
      <c r="P1736" s="16" t="str">
        <f t="shared" si="255"/>
        <v/>
      </c>
      <c r="Q1736" s="16" t="str">
        <f t="shared" si="255"/>
        <v/>
      </c>
      <c r="R1736" s="5" t="str">
        <f t="shared" si="254"/>
        <v/>
      </c>
      <c r="S1736" s="5" t="str">
        <f t="shared" si="258"/>
        <v/>
      </c>
      <c r="T1736" s="5" t="str">
        <f t="shared" ref="T1736:U1751" si="260">IF($G1736&lt;&gt;"",_xlfn.STDEV.S(O1492:O1736),"")</f>
        <v/>
      </c>
      <c r="U1736" s="5" t="str">
        <f t="shared" si="260"/>
        <v/>
      </c>
    </row>
    <row r="1737" spans="7:21" x14ac:dyDescent="0.2">
      <c r="G1737" s="8"/>
      <c r="H1737" s="5"/>
      <c r="J1737" s="10" t="str">
        <f t="shared" si="256"/>
        <v/>
      </c>
      <c r="K1737" s="10" t="str">
        <f t="shared" si="257"/>
        <v/>
      </c>
      <c r="L1737" s="11" t="str">
        <f t="shared" si="259"/>
        <v/>
      </c>
      <c r="M1737" s="9" t="str">
        <f>IF(G1737&lt;&gt;"",J1737/MAX(J$3:J1737)-1,"")</f>
        <v/>
      </c>
      <c r="N1737" s="9" t="str">
        <f>IF(G1737&lt;&gt;"",K1737/MAX(K$3:K1737)-1,"")</f>
        <v/>
      </c>
      <c r="O1737" s="16" t="str">
        <f t="shared" si="255"/>
        <v/>
      </c>
      <c r="P1737" s="16" t="str">
        <f t="shared" si="255"/>
        <v/>
      </c>
      <c r="Q1737" s="16" t="str">
        <f t="shared" si="255"/>
        <v/>
      </c>
      <c r="R1737" s="5" t="str">
        <f t="shared" si="254"/>
        <v/>
      </c>
      <c r="S1737" s="5" t="str">
        <f t="shared" si="258"/>
        <v/>
      </c>
      <c r="T1737" s="5" t="str">
        <f t="shared" si="260"/>
        <v/>
      </c>
      <c r="U1737" s="5" t="str">
        <f t="shared" si="260"/>
        <v/>
      </c>
    </row>
    <row r="1738" spans="7:21" x14ac:dyDescent="0.2">
      <c r="G1738" s="8"/>
      <c r="H1738" s="5"/>
      <c r="J1738" s="10" t="str">
        <f t="shared" si="256"/>
        <v/>
      </c>
      <c r="K1738" s="10" t="str">
        <f t="shared" si="257"/>
        <v/>
      </c>
      <c r="L1738" s="11" t="str">
        <f t="shared" si="259"/>
        <v/>
      </c>
      <c r="M1738" s="9" t="str">
        <f>IF(G1738&lt;&gt;"",J1738/MAX(J$3:J1738)-1,"")</f>
        <v/>
      </c>
      <c r="N1738" s="9" t="str">
        <f>IF(G1738&lt;&gt;"",K1738/MAX(K$3:K1738)-1,"")</f>
        <v/>
      </c>
      <c r="O1738" s="16" t="str">
        <f t="shared" si="255"/>
        <v/>
      </c>
      <c r="P1738" s="16" t="str">
        <f t="shared" si="255"/>
        <v/>
      </c>
      <c r="Q1738" s="16" t="str">
        <f t="shared" si="255"/>
        <v/>
      </c>
      <c r="R1738" s="5" t="str">
        <f t="shared" si="254"/>
        <v/>
      </c>
      <c r="S1738" s="5" t="str">
        <f t="shared" si="258"/>
        <v/>
      </c>
      <c r="T1738" s="5" t="str">
        <f t="shared" si="260"/>
        <v/>
      </c>
      <c r="U1738" s="5" t="str">
        <f t="shared" si="260"/>
        <v/>
      </c>
    </row>
    <row r="1739" spans="7:21" x14ac:dyDescent="0.2">
      <c r="G1739" s="8"/>
      <c r="H1739" s="5"/>
      <c r="J1739" s="10" t="str">
        <f t="shared" si="256"/>
        <v/>
      </c>
      <c r="K1739" s="10" t="str">
        <f t="shared" si="257"/>
        <v/>
      </c>
      <c r="L1739" s="11" t="str">
        <f t="shared" si="259"/>
        <v/>
      </c>
      <c r="M1739" s="9" t="str">
        <f>IF(G1739&lt;&gt;"",J1739/MAX(J$3:J1739)-1,"")</f>
        <v/>
      </c>
      <c r="N1739" s="9" t="str">
        <f>IF(G1739&lt;&gt;"",K1739/MAX(K$3:K1739)-1,"")</f>
        <v/>
      </c>
      <c r="O1739" s="16" t="str">
        <f t="shared" si="255"/>
        <v/>
      </c>
      <c r="P1739" s="16" t="str">
        <f t="shared" si="255"/>
        <v/>
      </c>
      <c r="Q1739" s="16" t="str">
        <f t="shared" si="255"/>
        <v/>
      </c>
      <c r="R1739" s="5" t="str">
        <f t="shared" si="254"/>
        <v/>
      </c>
      <c r="S1739" s="5" t="str">
        <f t="shared" si="258"/>
        <v/>
      </c>
      <c r="T1739" s="5" t="str">
        <f t="shared" si="260"/>
        <v/>
      </c>
      <c r="U1739" s="5" t="str">
        <f t="shared" si="260"/>
        <v/>
      </c>
    </row>
    <row r="1740" spans="7:21" x14ac:dyDescent="0.2">
      <c r="G1740" s="8"/>
      <c r="H1740" s="5"/>
      <c r="J1740" s="10" t="str">
        <f t="shared" si="256"/>
        <v/>
      </c>
      <c r="K1740" s="10" t="str">
        <f t="shared" si="257"/>
        <v/>
      </c>
      <c r="L1740" s="11" t="str">
        <f t="shared" si="259"/>
        <v/>
      </c>
      <c r="M1740" s="9" t="str">
        <f>IF(G1740&lt;&gt;"",J1740/MAX(J$3:J1740)-1,"")</f>
        <v/>
      </c>
      <c r="N1740" s="9" t="str">
        <f>IF(G1740&lt;&gt;"",K1740/MAX(K$3:K1740)-1,"")</f>
        <v/>
      </c>
      <c r="O1740" s="16" t="str">
        <f t="shared" si="255"/>
        <v/>
      </c>
      <c r="P1740" s="16" t="str">
        <f t="shared" si="255"/>
        <v/>
      </c>
      <c r="Q1740" s="16" t="str">
        <f t="shared" si="255"/>
        <v/>
      </c>
      <c r="R1740" s="5" t="str">
        <f t="shared" si="254"/>
        <v/>
      </c>
      <c r="S1740" s="5" t="str">
        <f t="shared" si="258"/>
        <v/>
      </c>
      <c r="T1740" s="5" t="str">
        <f t="shared" si="260"/>
        <v/>
      </c>
      <c r="U1740" s="5" t="str">
        <f t="shared" si="260"/>
        <v/>
      </c>
    </row>
    <row r="1741" spans="7:21" x14ac:dyDescent="0.2">
      <c r="G1741" s="8"/>
      <c r="H1741" s="5"/>
      <c r="J1741" s="10" t="str">
        <f t="shared" si="256"/>
        <v/>
      </c>
      <c r="K1741" s="10" t="str">
        <f t="shared" si="257"/>
        <v/>
      </c>
      <c r="L1741" s="11" t="str">
        <f t="shared" si="259"/>
        <v/>
      </c>
      <c r="M1741" s="9" t="str">
        <f>IF(G1741&lt;&gt;"",J1741/MAX(J$3:J1741)-1,"")</f>
        <v/>
      </c>
      <c r="N1741" s="9" t="str">
        <f>IF(G1741&lt;&gt;"",K1741/MAX(K$3:K1741)-1,"")</f>
        <v/>
      </c>
      <c r="O1741" s="16" t="str">
        <f t="shared" si="255"/>
        <v/>
      </c>
      <c r="P1741" s="16" t="str">
        <f t="shared" si="255"/>
        <v/>
      </c>
      <c r="Q1741" s="16" t="str">
        <f t="shared" si="255"/>
        <v/>
      </c>
      <c r="R1741" s="5" t="str">
        <f t="shared" si="254"/>
        <v/>
      </c>
      <c r="S1741" s="5" t="str">
        <f t="shared" si="258"/>
        <v/>
      </c>
      <c r="T1741" s="5" t="str">
        <f t="shared" si="260"/>
        <v/>
      </c>
      <c r="U1741" s="5" t="str">
        <f t="shared" si="260"/>
        <v/>
      </c>
    </row>
    <row r="1742" spans="7:21" x14ac:dyDescent="0.2">
      <c r="G1742" s="8"/>
      <c r="H1742" s="5"/>
      <c r="J1742" s="10" t="str">
        <f t="shared" si="256"/>
        <v/>
      </c>
      <c r="K1742" s="10" t="str">
        <f t="shared" si="257"/>
        <v/>
      </c>
      <c r="L1742" s="11" t="str">
        <f t="shared" si="259"/>
        <v/>
      </c>
      <c r="M1742" s="9" t="str">
        <f>IF(G1742&lt;&gt;"",J1742/MAX(J$3:J1742)-1,"")</f>
        <v/>
      </c>
      <c r="N1742" s="9" t="str">
        <f>IF(G1742&lt;&gt;"",K1742/MAX(K$3:K1742)-1,"")</f>
        <v/>
      </c>
      <c r="O1742" s="16" t="str">
        <f t="shared" si="255"/>
        <v/>
      </c>
      <c r="P1742" s="16" t="str">
        <f t="shared" si="255"/>
        <v/>
      </c>
      <c r="Q1742" s="16" t="str">
        <f t="shared" si="255"/>
        <v/>
      </c>
      <c r="R1742" s="5" t="str">
        <f t="shared" si="254"/>
        <v/>
      </c>
      <c r="S1742" s="5" t="str">
        <f t="shared" si="258"/>
        <v/>
      </c>
      <c r="T1742" s="5" t="str">
        <f t="shared" si="260"/>
        <v/>
      </c>
      <c r="U1742" s="5" t="str">
        <f t="shared" si="260"/>
        <v/>
      </c>
    </row>
    <row r="1743" spans="7:21" x14ac:dyDescent="0.2">
      <c r="G1743" s="8"/>
      <c r="H1743" s="5"/>
      <c r="J1743" s="10" t="str">
        <f t="shared" si="256"/>
        <v/>
      </c>
      <c r="K1743" s="10" t="str">
        <f t="shared" si="257"/>
        <v/>
      </c>
      <c r="L1743" s="11" t="str">
        <f t="shared" si="259"/>
        <v/>
      </c>
      <c r="M1743" s="9" t="str">
        <f>IF(G1743&lt;&gt;"",J1743/MAX(J$3:J1743)-1,"")</f>
        <v/>
      </c>
      <c r="N1743" s="9" t="str">
        <f>IF(G1743&lt;&gt;"",K1743/MAX(K$3:K1743)-1,"")</f>
        <v/>
      </c>
      <c r="O1743" s="16" t="str">
        <f t="shared" si="255"/>
        <v/>
      </c>
      <c r="P1743" s="16" t="str">
        <f t="shared" si="255"/>
        <v/>
      </c>
      <c r="Q1743" s="16" t="str">
        <f t="shared" si="255"/>
        <v/>
      </c>
      <c r="R1743" s="5" t="str">
        <f t="shared" si="254"/>
        <v/>
      </c>
      <c r="S1743" s="5" t="str">
        <f t="shared" si="258"/>
        <v/>
      </c>
      <c r="T1743" s="5" t="str">
        <f t="shared" si="260"/>
        <v/>
      </c>
      <c r="U1743" s="5" t="str">
        <f t="shared" si="260"/>
        <v/>
      </c>
    </row>
    <row r="1744" spans="7:21" x14ac:dyDescent="0.2">
      <c r="G1744" s="8"/>
      <c r="H1744" s="5"/>
      <c r="J1744" s="10" t="str">
        <f t="shared" si="256"/>
        <v/>
      </c>
      <c r="K1744" s="10" t="str">
        <f t="shared" si="257"/>
        <v/>
      </c>
      <c r="L1744" s="11" t="str">
        <f t="shared" si="259"/>
        <v/>
      </c>
      <c r="M1744" s="9" t="str">
        <f>IF(G1744&lt;&gt;"",J1744/MAX(J$3:J1744)-1,"")</f>
        <v/>
      </c>
      <c r="N1744" s="9" t="str">
        <f>IF(G1744&lt;&gt;"",K1744/MAX(K$3:K1744)-1,"")</f>
        <v/>
      </c>
      <c r="O1744" s="16" t="str">
        <f t="shared" si="255"/>
        <v/>
      </c>
      <c r="P1744" s="16" t="str">
        <f t="shared" si="255"/>
        <v/>
      </c>
      <c r="Q1744" s="16" t="str">
        <f t="shared" si="255"/>
        <v/>
      </c>
      <c r="R1744" s="5" t="str">
        <f t="shared" si="254"/>
        <v/>
      </c>
      <c r="S1744" s="5" t="str">
        <f t="shared" si="258"/>
        <v/>
      </c>
      <c r="T1744" s="5" t="str">
        <f t="shared" si="260"/>
        <v/>
      </c>
      <c r="U1744" s="5" t="str">
        <f t="shared" si="260"/>
        <v/>
      </c>
    </row>
    <row r="1745" spans="7:21" x14ac:dyDescent="0.2">
      <c r="G1745" s="8"/>
      <c r="H1745" s="5"/>
      <c r="J1745" s="10" t="str">
        <f t="shared" si="256"/>
        <v/>
      </c>
      <c r="K1745" s="10" t="str">
        <f t="shared" si="257"/>
        <v/>
      </c>
      <c r="L1745" s="11" t="str">
        <f t="shared" si="259"/>
        <v/>
      </c>
      <c r="M1745" s="9" t="str">
        <f>IF(G1745&lt;&gt;"",J1745/MAX(J$3:J1745)-1,"")</f>
        <v/>
      </c>
      <c r="N1745" s="9" t="str">
        <f>IF(G1745&lt;&gt;"",K1745/MAX(K$3:K1745)-1,"")</f>
        <v/>
      </c>
      <c r="O1745" s="16" t="str">
        <f t="shared" si="255"/>
        <v/>
      </c>
      <c r="P1745" s="16" t="str">
        <f t="shared" si="255"/>
        <v/>
      </c>
      <c r="Q1745" s="16" t="str">
        <f t="shared" si="255"/>
        <v/>
      </c>
      <c r="R1745" s="5" t="str">
        <f t="shared" si="254"/>
        <v/>
      </c>
      <c r="S1745" s="5" t="str">
        <f t="shared" si="258"/>
        <v/>
      </c>
      <c r="T1745" s="5" t="str">
        <f t="shared" si="260"/>
        <v/>
      </c>
      <c r="U1745" s="5" t="str">
        <f t="shared" si="260"/>
        <v/>
      </c>
    </row>
    <row r="1746" spans="7:21" x14ac:dyDescent="0.2">
      <c r="G1746" s="8"/>
      <c r="H1746" s="5"/>
      <c r="J1746" s="10" t="str">
        <f t="shared" si="256"/>
        <v/>
      </c>
      <c r="K1746" s="10" t="str">
        <f t="shared" si="257"/>
        <v/>
      </c>
      <c r="L1746" s="11" t="str">
        <f t="shared" si="259"/>
        <v/>
      </c>
      <c r="M1746" s="9" t="str">
        <f>IF(G1746&lt;&gt;"",J1746/MAX(J$3:J1746)-1,"")</f>
        <v/>
      </c>
      <c r="N1746" s="9" t="str">
        <f>IF(G1746&lt;&gt;"",K1746/MAX(K$3:K1746)-1,"")</f>
        <v/>
      </c>
      <c r="O1746" s="16" t="str">
        <f t="shared" si="255"/>
        <v/>
      </c>
      <c r="P1746" s="16" t="str">
        <f t="shared" si="255"/>
        <v/>
      </c>
      <c r="Q1746" s="16" t="str">
        <f t="shared" si="255"/>
        <v/>
      </c>
      <c r="R1746" s="5" t="str">
        <f t="shared" si="254"/>
        <v/>
      </c>
      <c r="S1746" s="5" t="str">
        <f t="shared" si="258"/>
        <v/>
      </c>
      <c r="T1746" s="5" t="str">
        <f t="shared" si="260"/>
        <v/>
      </c>
      <c r="U1746" s="5" t="str">
        <f t="shared" si="260"/>
        <v/>
      </c>
    </row>
    <row r="1747" spans="7:21" x14ac:dyDescent="0.2">
      <c r="G1747" s="8"/>
      <c r="H1747" s="5"/>
      <c r="J1747" s="10" t="str">
        <f t="shared" si="256"/>
        <v/>
      </c>
      <c r="K1747" s="10" t="str">
        <f t="shared" si="257"/>
        <v/>
      </c>
      <c r="L1747" s="11" t="str">
        <f t="shared" si="259"/>
        <v/>
      </c>
      <c r="M1747" s="9" t="str">
        <f>IF(G1747&lt;&gt;"",J1747/MAX(J$3:J1747)-1,"")</f>
        <v/>
      </c>
      <c r="N1747" s="9" t="str">
        <f>IF(G1747&lt;&gt;"",K1747/MAX(K$3:K1747)-1,"")</f>
        <v/>
      </c>
      <c r="O1747" s="16" t="str">
        <f t="shared" si="255"/>
        <v/>
      </c>
      <c r="P1747" s="16" t="str">
        <f t="shared" si="255"/>
        <v/>
      </c>
      <c r="Q1747" s="16" t="str">
        <f t="shared" si="255"/>
        <v/>
      </c>
      <c r="R1747" s="5" t="str">
        <f t="shared" si="254"/>
        <v/>
      </c>
      <c r="S1747" s="5" t="str">
        <f t="shared" si="258"/>
        <v/>
      </c>
      <c r="T1747" s="5" t="str">
        <f t="shared" si="260"/>
        <v/>
      </c>
      <c r="U1747" s="5" t="str">
        <f t="shared" si="260"/>
        <v/>
      </c>
    </row>
    <row r="1748" spans="7:21" x14ac:dyDescent="0.2">
      <c r="G1748" s="8"/>
      <c r="H1748" s="5"/>
      <c r="J1748" s="10" t="str">
        <f t="shared" si="256"/>
        <v/>
      </c>
      <c r="K1748" s="10" t="str">
        <f t="shared" si="257"/>
        <v/>
      </c>
      <c r="L1748" s="11" t="str">
        <f t="shared" si="259"/>
        <v/>
      </c>
      <c r="M1748" s="9" t="str">
        <f>IF(G1748&lt;&gt;"",J1748/MAX(J$3:J1748)-1,"")</f>
        <v/>
      </c>
      <c r="N1748" s="9" t="str">
        <f>IF(G1748&lt;&gt;"",K1748/MAX(K$3:K1748)-1,"")</f>
        <v/>
      </c>
      <c r="O1748" s="16" t="str">
        <f t="shared" si="255"/>
        <v/>
      </c>
      <c r="P1748" s="16" t="str">
        <f t="shared" si="255"/>
        <v/>
      </c>
      <c r="Q1748" s="16" t="str">
        <f t="shared" si="255"/>
        <v/>
      </c>
      <c r="R1748" s="5" t="str">
        <f t="shared" si="254"/>
        <v/>
      </c>
      <c r="S1748" s="5" t="str">
        <f t="shared" si="258"/>
        <v/>
      </c>
      <c r="T1748" s="5" t="str">
        <f t="shared" si="260"/>
        <v/>
      </c>
      <c r="U1748" s="5" t="str">
        <f t="shared" si="260"/>
        <v/>
      </c>
    </row>
    <row r="1749" spans="7:21" x14ac:dyDescent="0.2">
      <c r="G1749" s="8"/>
      <c r="H1749" s="5"/>
      <c r="J1749" s="10" t="str">
        <f t="shared" si="256"/>
        <v/>
      </c>
      <c r="K1749" s="10" t="str">
        <f t="shared" si="257"/>
        <v/>
      </c>
      <c r="L1749" s="11" t="str">
        <f t="shared" si="259"/>
        <v/>
      </c>
      <c r="M1749" s="9" t="str">
        <f>IF(G1749&lt;&gt;"",J1749/MAX(J$3:J1749)-1,"")</f>
        <v/>
      </c>
      <c r="N1749" s="9" t="str">
        <f>IF(G1749&lt;&gt;"",K1749/MAX(K$3:K1749)-1,"")</f>
        <v/>
      </c>
      <c r="O1749" s="16" t="str">
        <f t="shared" si="255"/>
        <v/>
      </c>
      <c r="P1749" s="16" t="str">
        <f t="shared" si="255"/>
        <v/>
      </c>
      <c r="Q1749" s="16" t="str">
        <f t="shared" si="255"/>
        <v/>
      </c>
      <c r="R1749" s="5" t="str">
        <f t="shared" si="254"/>
        <v/>
      </c>
      <c r="S1749" s="5" t="str">
        <f t="shared" si="258"/>
        <v/>
      </c>
      <c r="T1749" s="5" t="str">
        <f t="shared" si="260"/>
        <v/>
      </c>
      <c r="U1749" s="5" t="str">
        <f t="shared" si="260"/>
        <v/>
      </c>
    </row>
    <row r="1750" spans="7:21" x14ac:dyDescent="0.2">
      <c r="G1750" s="8"/>
      <c r="H1750" s="5"/>
      <c r="J1750" s="10" t="str">
        <f t="shared" si="256"/>
        <v/>
      </c>
      <c r="K1750" s="10" t="str">
        <f t="shared" si="257"/>
        <v/>
      </c>
      <c r="L1750" s="11" t="str">
        <f t="shared" si="259"/>
        <v/>
      </c>
      <c r="M1750" s="9" t="str">
        <f>IF(G1750&lt;&gt;"",J1750/MAX(J$3:J1750)-1,"")</f>
        <v/>
      </c>
      <c r="N1750" s="9" t="str">
        <f>IF(G1750&lt;&gt;"",K1750/MAX(K$3:K1750)-1,"")</f>
        <v/>
      </c>
      <c r="O1750" s="16" t="str">
        <f t="shared" si="255"/>
        <v/>
      </c>
      <c r="P1750" s="16" t="str">
        <f t="shared" si="255"/>
        <v/>
      </c>
      <c r="Q1750" s="16" t="str">
        <f t="shared" si="255"/>
        <v/>
      </c>
      <c r="R1750" s="5" t="str">
        <f t="shared" si="254"/>
        <v/>
      </c>
      <c r="S1750" s="5" t="str">
        <f t="shared" si="258"/>
        <v/>
      </c>
      <c r="T1750" s="5" t="str">
        <f t="shared" si="260"/>
        <v/>
      </c>
      <c r="U1750" s="5" t="str">
        <f t="shared" si="260"/>
        <v/>
      </c>
    </row>
    <row r="1751" spans="7:21" x14ac:dyDescent="0.2">
      <c r="G1751" s="8"/>
      <c r="H1751" s="5"/>
      <c r="J1751" s="10" t="str">
        <f t="shared" si="256"/>
        <v/>
      </c>
      <c r="K1751" s="10" t="str">
        <f t="shared" si="257"/>
        <v/>
      </c>
      <c r="L1751" s="11" t="str">
        <f t="shared" si="259"/>
        <v/>
      </c>
      <c r="M1751" s="9" t="str">
        <f>IF(G1751&lt;&gt;"",J1751/MAX(J$3:J1751)-1,"")</f>
        <v/>
      </c>
      <c r="N1751" s="9" t="str">
        <f>IF(G1751&lt;&gt;"",K1751/MAX(K$3:K1751)-1,"")</f>
        <v/>
      </c>
      <c r="O1751" s="16" t="str">
        <f t="shared" si="255"/>
        <v/>
      </c>
      <c r="P1751" s="16" t="str">
        <f t="shared" si="255"/>
        <v/>
      </c>
      <c r="Q1751" s="16" t="str">
        <f t="shared" si="255"/>
        <v/>
      </c>
      <c r="R1751" s="5" t="str">
        <f t="shared" si="254"/>
        <v/>
      </c>
      <c r="S1751" s="5" t="str">
        <f t="shared" si="258"/>
        <v/>
      </c>
      <c r="T1751" s="5" t="str">
        <f t="shared" si="260"/>
        <v/>
      </c>
      <c r="U1751" s="5" t="str">
        <f t="shared" si="260"/>
        <v/>
      </c>
    </row>
    <row r="1752" spans="7:21" x14ac:dyDescent="0.2">
      <c r="G1752" s="8"/>
      <c r="H1752" s="5"/>
      <c r="J1752" s="10" t="str">
        <f t="shared" si="256"/>
        <v/>
      </c>
      <c r="K1752" s="10" t="str">
        <f t="shared" si="257"/>
        <v/>
      </c>
      <c r="L1752" s="11" t="str">
        <f t="shared" si="259"/>
        <v/>
      </c>
      <c r="M1752" s="9" t="str">
        <f>IF(G1752&lt;&gt;"",J1752/MAX(J$3:J1752)-1,"")</f>
        <v/>
      </c>
      <c r="N1752" s="9" t="str">
        <f>IF(G1752&lt;&gt;"",K1752/MAX(K$3:K1752)-1,"")</f>
        <v/>
      </c>
      <c r="O1752" s="16" t="str">
        <f t="shared" si="255"/>
        <v/>
      </c>
      <c r="P1752" s="16" t="str">
        <f t="shared" si="255"/>
        <v/>
      </c>
      <c r="Q1752" s="16" t="str">
        <f t="shared" si="255"/>
        <v/>
      </c>
      <c r="R1752" s="5" t="str">
        <f t="shared" si="254"/>
        <v/>
      </c>
      <c r="S1752" s="5" t="str">
        <f t="shared" si="258"/>
        <v/>
      </c>
      <c r="T1752" s="5" t="str">
        <f t="shared" ref="T1752:U1767" si="261">IF($G1752&lt;&gt;"",_xlfn.STDEV.S(O1508:O1752),"")</f>
        <v/>
      </c>
      <c r="U1752" s="5" t="str">
        <f t="shared" si="261"/>
        <v/>
      </c>
    </row>
    <row r="1753" spans="7:21" x14ac:dyDescent="0.2">
      <c r="G1753" s="8"/>
      <c r="H1753" s="5"/>
      <c r="J1753" s="10" t="str">
        <f t="shared" si="256"/>
        <v/>
      </c>
      <c r="K1753" s="10" t="str">
        <f t="shared" si="257"/>
        <v/>
      </c>
      <c r="L1753" s="11" t="str">
        <f t="shared" si="259"/>
        <v/>
      </c>
      <c r="M1753" s="9" t="str">
        <f>IF(G1753&lt;&gt;"",J1753/MAX(J$3:J1753)-1,"")</f>
        <v/>
      </c>
      <c r="N1753" s="9" t="str">
        <f>IF(G1753&lt;&gt;"",K1753/MAX(K$3:K1753)-1,"")</f>
        <v/>
      </c>
      <c r="O1753" s="16" t="str">
        <f t="shared" si="255"/>
        <v/>
      </c>
      <c r="P1753" s="16" t="str">
        <f t="shared" si="255"/>
        <v/>
      </c>
      <c r="Q1753" s="16" t="str">
        <f t="shared" si="255"/>
        <v/>
      </c>
      <c r="R1753" s="5" t="str">
        <f t="shared" si="254"/>
        <v/>
      </c>
      <c r="S1753" s="5" t="str">
        <f t="shared" si="258"/>
        <v/>
      </c>
      <c r="T1753" s="5" t="str">
        <f t="shared" si="261"/>
        <v/>
      </c>
      <c r="U1753" s="5" t="str">
        <f t="shared" si="261"/>
        <v/>
      </c>
    </row>
    <row r="1754" spans="7:21" x14ac:dyDescent="0.2">
      <c r="G1754" s="8"/>
      <c r="H1754" s="5"/>
      <c r="J1754" s="10" t="str">
        <f t="shared" si="256"/>
        <v/>
      </c>
      <c r="K1754" s="10" t="str">
        <f t="shared" si="257"/>
        <v/>
      </c>
      <c r="L1754" s="11" t="str">
        <f t="shared" si="259"/>
        <v/>
      </c>
      <c r="M1754" s="9" t="str">
        <f>IF(G1754&lt;&gt;"",J1754/MAX(J$3:J1754)-1,"")</f>
        <v/>
      </c>
      <c r="N1754" s="9" t="str">
        <f>IF(G1754&lt;&gt;"",K1754/MAX(K$3:K1754)-1,"")</f>
        <v/>
      </c>
      <c r="O1754" s="16" t="str">
        <f t="shared" si="255"/>
        <v/>
      </c>
      <c r="P1754" s="16" t="str">
        <f t="shared" si="255"/>
        <v/>
      </c>
      <c r="Q1754" s="16" t="str">
        <f t="shared" si="255"/>
        <v/>
      </c>
      <c r="R1754" s="5" t="str">
        <f t="shared" si="254"/>
        <v/>
      </c>
      <c r="S1754" s="5" t="str">
        <f t="shared" si="258"/>
        <v/>
      </c>
      <c r="T1754" s="5" t="str">
        <f t="shared" si="261"/>
        <v/>
      </c>
      <c r="U1754" s="5" t="str">
        <f t="shared" si="261"/>
        <v/>
      </c>
    </row>
    <row r="1755" spans="7:21" x14ac:dyDescent="0.2">
      <c r="G1755" s="8"/>
      <c r="H1755" s="5"/>
      <c r="J1755" s="10" t="str">
        <f t="shared" si="256"/>
        <v/>
      </c>
      <c r="K1755" s="10" t="str">
        <f t="shared" si="257"/>
        <v/>
      </c>
      <c r="L1755" s="11" t="str">
        <f t="shared" si="259"/>
        <v/>
      </c>
      <c r="M1755" s="9" t="str">
        <f>IF(G1755&lt;&gt;"",J1755/MAX(J$3:J1755)-1,"")</f>
        <v/>
      </c>
      <c r="N1755" s="9" t="str">
        <f>IF(G1755&lt;&gt;"",K1755/MAX(K$3:K1755)-1,"")</f>
        <v/>
      </c>
      <c r="O1755" s="16" t="str">
        <f t="shared" si="255"/>
        <v/>
      </c>
      <c r="P1755" s="16" t="str">
        <f t="shared" si="255"/>
        <v/>
      </c>
      <c r="Q1755" s="16" t="str">
        <f t="shared" si="255"/>
        <v/>
      </c>
      <c r="R1755" s="5" t="str">
        <f t="shared" si="254"/>
        <v/>
      </c>
      <c r="S1755" s="5" t="str">
        <f t="shared" si="258"/>
        <v/>
      </c>
      <c r="T1755" s="5" t="str">
        <f t="shared" si="261"/>
        <v/>
      </c>
      <c r="U1755" s="5" t="str">
        <f t="shared" si="261"/>
        <v/>
      </c>
    </row>
    <row r="1756" spans="7:21" x14ac:dyDescent="0.2">
      <c r="G1756" s="8"/>
      <c r="H1756" s="5"/>
      <c r="J1756" s="10" t="str">
        <f t="shared" si="256"/>
        <v/>
      </c>
      <c r="K1756" s="10" t="str">
        <f t="shared" si="257"/>
        <v/>
      </c>
      <c r="L1756" s="11" t="str">
        <f t="shared" si="259"/>
        <v/>
      </c>
      <c r="M1756" s="9" t="str">
        <f>IF(G1756&lt;&gt;"",J1756/MAX(J$3:J1756)-1,"")</f>
        <v/>
      </c>
      <c r="N1756" s="9" t="str">
        <f>IF(G1756&lt;&gt;"",K1756/MAX(K$3:K1756)-1,"")</f>
        <v/>
      </c>
      <c r="O1756" s="16" t="str">
        <f t="shared" si="255"/>
        <v/>
      </c>
      <c r="P1756" s="16" t="str">
        <f t="shared" si="255"/>
        <v/>
      </c>
      <c r="Q1756" s="16" t="str">
        <f t="shared" si="255"/>
        <v/>
      </c>
      <c r="R1756" s="5" t="str">
        <f t="shared" si="254"/>
        <v/>
      </c>
      <c r="S1756" s="5" t="str">
        <f t="shared" si="258"/>
        <v/>
      </c>
      <c r="T1756" s="5" t="str">
        <f t="shared" si="261"/>
        <v/>
      </c>
      <c r="U1756" s="5" t="str">
        <f t="shared" si="261"/>
        <v/>
      </c>
    </row>
    <row r="1757" spans="7:21" x14ac:dyDescent="0.2">
      <c r="G1757" s="8"/>
      <c r="H1757" s="5"/>
      <c r="J1757" s="10" t="str">
        <f t="shared" si="256"/>
        <v/>
      </c>
      <c r="K1757" s="10" t="str">
        <f t="shared" si="257"/>
        <v/>
      </c>
      <c r="L1757" s="11" t="str">
        <f t="shared" si="259"/>
        <v/>
      </c>
      <c r="M1757" s="9" t="str">
        <f>IF(G1757&lt;&gt;"",J1757/MAX(J$3:J1757)-1,"")</f>
        <v/>
      </c>
      <c r="N1757" s="9" t="str">
        <f>IF(G1757&lt;&gt;"",K1757/MAX(K$3:K1757)-1,"")</f>
        <v/>
      </c>
      <c r="O1757" s="16" t="str">
        <f t="shared" si="255"/>
        <v/>
      </c>
      <c r="P1757" s="16" t="str">
        <f t="shared" si="255"/>
        <v/>
      </c>
      <c r="Q1757" s="16" t="str">
        <f t="shared" si="255"/>
        <v/>
      </c>
      <c r="R1757" s="5" t="str">
        <f t="shared" si="254"/>
        <v/>
      </c>
      <c r="S1757" s="5" t="str">
        <f t="shared" si="258"/>
        <v/>
      </c>
      <c r="T1757" s="5" t="str">
        <f t="shared" si="261"/>
        <v/>
      </c>
      <c r="U1757" s="5" t="str">
        <f t="shared" si="261"/>
        <v/>
      </c>
    </row>
    <row r="1758" spans="7:21" x14ac:dyDescent="0.2">
      <c r="G1758" s="8"/>
      <c r="H1758" s="5"/>
      <c r="J1758" s="10" t="str">
        <f t="shared" si="256"/>
        <v/>
      </c>
      <c r="K1758" s="10" t="str">
        <f t="shared" si="257"/>
        <v/>
      </c>
      <c r="L1758" s="11" t="str">
        <f t="shared" si="259"/>
        <v/>
      </c>
      <c r="M1758" s="9" t="str">
        <f>IF(G1758&lt;&gt;"",J1758/MAX(J$3:J1758)-1,"")</f>
        <v/>
      </c>
      <c r="N1758" s="9" t="str">
        <f>IF(G1758&lt;&gt;"",K1758/MAX(K$3:K1758)-1,"")</f>
        <v/>
      </c>
      <c r="O1758" s="16" t="str">
        <f t="shared" si="255"/>
        <v/>
      </c>
      <c r="P1758" s="16" t="str">
        <f t="shared" si="255"/>
        <v/>
      </c>
      <c r="Q1758" s="16" t="str">
        <f t="shared" si="255"/>
        <v/>
      </c>
      <c r="R1758" s="5" t="str">
        <f t="shared" si="254"/>
        <v/>
      </c>
      <c r="S1758" s="5" t="str">
        <f t="shared" si="258"/>
        <v/>
      </c>
      <c r="T1758" s="5" t="str">
        <f t="shared" si="261"/>
        <v/>
      </c>
      <c r="U1758" s="5" t="str">
        <f t="shared" si="261"/>
        <v/>
      </c>
    </row>
    <row r="1759" spans="7:21" x14ac:dyDescent="0.2">
      <c r="G1759" s="8"/>
      <c r="H1759" s="5"/>
      <c r="J1759" s="10" t="str">
        <f t="shared" si="256"/>
        <v/>
      </c>
      <c r="K1759" s="10" t="str">
        <f t="shared" si="257"/>
        <v/>
      </c>
      <c r="L1759" s="11" t="str">
        <f t="shared" si="259"/>
        <v/>
      </c>
      <c r="M1759" s="9" t="str">
        <f>IF(G1759&lt;&gt;"",J1759/MAX(J$3:J1759)-1,"")</f>
        <v/>
      </c>
      <c r="N1759" s="9" t="str">
        <f>IF(G1759&lt;&gt;"",K1759/MAX(K$3:K1759)-1,"")</f>
        <v/>
      </c>
      <c r="O1759" s="16" t="str">
        <f t="shared" si="255"/>
        <v/>
      </c>
      <c r="P1759" s="16" t="str">
        <f t="shared" si="255"/>
        <v/>
      </c>
      <c r="Q1759" s="16" t="str">
        <f t="shared" si="255"/>
        <v/>
      </c>
      <c r="R1759" s="5" t="str">
        <f t="shared" si="254"/>
        <v/>
      </c>
      <c r="S1759" s="5" t="str">
        <f t="shared" si="258"/>
        <v/>
      </c>
      <c r="T1759" s="5" t="str">
        <f t="shared" si="261"/>
        <v/>
      </c>
      <c r="U1759" s="5" t="str">
        <f t="shared" si="261"/>
        <v/>
      </c>
    </row>
    <row r="1760" spans="7:21" x14ac:dyDescent="0.2">
      <c r="G1760" s="8"/>
      <c r="H1760" s="5"/>
      <c r="J1760" s="10" t="str">
        <f t="shared" si="256"/>
        <v/>
      </c>
      <c r="K1760" s="10" t="str">
        <f t="shared" si="257"/>
        <v/>
      </c>
      <c r="L1760" s="11" t="str">
        <f t="shared" si="259"/>
        <v/>
      </c>
      <c r="M1760" s="9" t="str">
        <f>IF(G1760&lt;&gt;"",J1760/MAX(J$3:J1760)-1,"")</f>
        <v/>
      </c>
      <c r="N1760" s="9" t="str">
        <f>IF(G1760&lt;&gt;"",K1760/MAX(K$3:K1760)-1,"")</f>
        <v/>
      </c>
      <c r="O1760" s="16" t="str">
        <f t="shared" si="255"/>
        <v/>
      </c>
      <c r="P1760" s="16" t="str">
        <f t="shared" si="255"/>
        <v/>
      </c>
      <c r="Q1760" s="16" t="str">
        <f t="shared" si="255"/>
        <v/>
      </c>
      <c r="R1760" s="5" t="str">
        <f t="shared" si="254"/>
        <v/>
      </c>
      <c r="S1760" s="5" t="str">
        <f t="shared" si="258"/>
        <v/>
      </c>
      <c r="T1760" s="5" t="str">
        <f t="shared" si="261"/>
        <v/>
      </c>
      <c r="U1760" s="5" t="str">
        <f t="shared" si="261"/>
        <v/>
      </c>
    </row>
    <row r="1761" spans="7:21" x14ac:dyDescent="0.2">
      <c r="G1761" s="8"/>
      <c r="H1761" s="5"/>
      <c r="J1761" s="10" t="str">
        <f t="shared" si="256"/>
        <v/>
      </c>
      <c r="K1761" s="10" t="str">
        <f t="shared" si="257"/>
        <v/>
      </c>
      <c r="L1761" s="11" t="str">
        <f t="shared" si="259"/>
        <v/>
      </c>
      <c r="M1761" s="9" t="str">
        <f>IF(G1761&lt;&gt;"",J1761/MAX(J$3:J1761)-1,"")</f>
        <v/>
      </c>
      <c r="N1761" s="9" t="str">
        <f>IF(G1761&lt;&gt;"",K1761/MAX(K$3:K1761)-1,"")</f>
        <v/>
      </c>
      <c r="O1761" s="16" t="str">
        <f t="shared" si="255"/>
        <v/>
      </c>
      <c r="P1761" s="16" t="str">
        <f t="shared" si="255"/>
        <v/>
      </c>
      <c r="Q1761" s="16" t="str">
        <f t="shared" si="255"/>
        <v/>
      </c>
      <c r="R1761" s="5" t="str">
        <f t="shared" si="254"/>
        <v/>
      </c>
      <c r="S1761" s="5" t="str">
        <f t="shared" si="258"/>
        <v/>
      </c>
      <c r="T1761" s="5" t="str">
        <f t="shared" si="261"/>
        <v/>
      </c>
      <c r="U1761" s="5" t="str">
        <f t="shared" si="261"/>
        <v/>
      </c>
    </row>
    <row r="1762" spans="7:21" x14ac:dyDescent="0.2">
      <c r="G1762" s="8"/>
      <c r="H1762" s="5"/>
      <c r="J1762" s="10" t="str">
        <f t="shared" si="256"/>
        <v/>
      </c>
      <c r="K1762" s="10" t="str">
        <f t="shared" si="257"/>
        <v/>
      </c>
      <c r="L1762" s="11" t="str">
        <f t="shared" si="259"/>
        <v/>
      </c>
      <c r="M1762" s="9" t="str">
        <f>IF(G1762&lt;&gt;"",J1762/MAX(J$3:J1762)-1,"")</f>
        <v/>
      </c>
      <c r="N1762" s="9" t="str">
        <f>IF(G1762&lt;&gt;"",K1762/MAX(K$3:K1762)-1,"")</f>
        <v/>
      </c>
      <c r="O1762" s="16" t="str">
        <f t="shared" si="255"/>
        <v/>
      </c>
      <c r="P1762" s="16" t="str">
        <f t="shared" si="255"/>
        <v/>
      </c>
      <c r="Q1762" s="16" t="str">
        <f t="shared" si="255"/>
        <v/>
      </c>
      <c r="R1762" s="5" t="str">
        <f t="shared" si="254"/>
        <v/>
      </c>
      <c r="S1762" s="5" t="str">
        <f t="shared" si="258"/>
        <v/>
      </c>
      <c r="T1762" s="5" t="str">
        <f t="shared" si="261"/>
        <v/>
      </c>
      <c r="U1762" s="5" t="str">
        <f t="shared" si="261"/>
        <v/>
      </c>
    </row>
    <row r="1763" spans="7:21" x14ac:dyDescent="0.2">
      <c r="G1763" s="8"/>
      <c r="H1763" s="5"/>
      <c r="J1763" s="10" t="str">
        <f t="shared" si="256"/>
        <v/>
      </c>
      <c r="K1763" s="10" t="str">
        <f t="shared" si="257"/>
        <v/>
      </c>
      <c r="L1763" s="11" t="str">
        <f t="shared" si="259"/>
        <v/>
      </c>
      <c r="M1763" s="9" t="str">
        <f>IF(G1763&lt;&gt;"",J1763/MAX(J$3:J1763)-1,"")</f>
        <v/>
      </c>
      <c r="N1763" s="9" t="str">
        <f>IF(G1763&lt;&gt;"",K1763/MAX(K$3:K1763)-1,"")</f>
        <v/>
      </c>
      <c r="O1763" s="16" t="str">
        <f t="shared" si="255"/>
        <v/>
      </c>
      <c r="P1763" s="16" t="str">
        <f t="shared" si="255"/>
        <v/>
      </c>
      <c r="Q1763" s="16" t="str">
        <f t="shared" si="255"/>
        <v/>
      </c>
      <c r="R1763" s="5" t="str">
        <f t="shared" si="254"/>
        <v/>
      </c>
      <c r="S1763" s="5" t="str">
        <f t="shared" si="258"/>
        <v/>
      </c>
      <c r="T1763" s="5" t="str">
        <f t="shared" si="261"/>
        <v/>
      </c>
      <c r="U1763" s="5" t="str">
        <f t="shared" si="261"/>
        <v/>
      </c>
    </row>
    <row r="1764" spans="7:21" x14ac:dyDescent="0.2">
      <c r="G1764" s="8"/>
      <c r="H1764" s="5"/>
      <c r="J1764" s="10" t="str">
        <f t="shared" si="256"/>
        <v/>
      </c>
      <c r="K1764" s="10" t="str">
        <f t="shared" si="257"/>
        <v/>
      </c>
      <c r="L1764" s="11" t="str">
        <f t="shared" si="259"/>
        <v/>
      </c>
      <c r="M1764" s="9" t="str">
        <f>IF(G1764&lt;&gt;"",J1764/MAX(J$3:J1764)-1,"")</f>
        <v/>
      </c>
      <c r="N1764" s="9" t="str">
        <f>IF(G1764&lt;&gt;"",K1764/MAX(K$3:K1764)-1,"")</f>
        <v/>
      </c>
      <c r="O1764" s="16" t="str">
        <f t="shared" si="255"/>
        <v/>
      </c>
      <c r="P1764" s="16" t="str">
        <f t="shared" si="255"/>
        <v/>
      </c>
      <c r="Q1764" s="16" t="str">
        <f t="shared" si="255"/>
        <v/>
      </c>
      <c r="R1764" s="5" t="str">
        <f t="shared" si="254"/>
        <v/>
      </c>
      <c r="S1764" s="5" t="str">
        <f t="shared" si="258"/>
        <v/>
      </c>
      <c r="T1764" s="5" t="str">
        <f t="shared" si="261"/>
        <v/>
      </c>
      <c r="U1764" s="5" t="str">
        <f t="shared" si="261"/>
        <v/>
      </c>
    </row>
    <row r="1765" spans="7:21" x14ac:dyDescent="0.2">
      <c r="G1765" s="8"/>
      <c r="H1765" s="5"/>
      <c r="J1765" s="10" t="str">
        <f t="shared" si="256"/>
        <v/>
      </c>
      <c r="K1765" s="10" t="str">
        <f t="shared" si="257"/>
        <v/>
      </c>
      <c r="L1765" s="11" t="str">
        <f t="shared" si="259"/>
        <v/>
      </c>
      <c r="M1765" s="9" t="str">
        <f>IF(G1765&lt;&gt;"",J1765/MAX(J$3:J1765)-1,"")</f>
        <v/>
      </c>
      <c r="N1765" s="9" t="str">
        <f>IF(G1765&lt;&gt;"",K1765/MAX(K$3:K1765)-1,"")</f>
        <v/>
      </c>
      <c r="O1765" s="16" t="str">
        <f t="shared" si="255"/>
        <v/>
      </c>
      <c r="P1765" s="16" t="str">
        <f t="shared" si="255"/>
        <v/>
      </c>
      <c r="Q1765" s="16" t="str">
        <f t="shared" si="255"/>
        <v/>
      </c>
      <c r="R1765" s="5" t="str">
        <f t="shared" si="254"/>
        <v/>
      </c>
      <c r="S1765" s="5" t="str">
        <f t="shared" si="258"/>
        <v/>
      </c>
      <c r="T1765" s="5" t="str">
        <f t="shared" si="261"/>
        <v/>
      </c>
      <c r="U1765" s="5" t="str">
        <f t="shared" si="261"/>
        <v/>
      </c>
    </row>
    <row r="1766" spans="7:21" x14ac:dyDescent="0.2">
      <c r="G1766" s="8"/>
      <c r="H1766" s="5"/>
      <c r="J1766" s="10" t="str">
        <f t="shared" si="256"/>
        <v/>
      </c>
      <c r="K1766" s="10" t="str">
        <f t="shared" si="257"/>
        <v/>
      </c>
      <c r="L1766" s="11" t="str">
        <f t="shared" si="259"/>
        <v/>
      </c>
      <c r="M1766" s="9" t="str">
        <f>IF(G1766&lt;&gt;"",J1766/MAX(J$3:J1766)-1,"")</f>
        <v/>
      </c>
      <c r="N1766" s="9" t="str">
        <f>IF(G1766&lt;&gt;"",K1766/MAX(K$3:K1766)-1,"")</f>
        <v/>
      </c>
      <c r="O1766" s="16" t="str">
        <f t="shared" si="255"/>
        <v/>
      </c>
      <c r="P1766" s="16" t="str">
        <f t="shared" si="255"/>
        <v/>
      </c>
      <c r="Q1766" s="16" t="str">
        <f t="shared" si="255"/>
        <v/>
      </c>
      <c r="R1766" s="5" t="str">
        <f t="shared" si="254"/>
        <v/>
      </c>
      <c r="S1766" s="5" t="str">
        <f t="shared" si="258"/>
        <v/>
      </c>
      <c r="T1766" s="5" t="str">
        <f t="shared" si="261"/>
        <v/>
      </c>
      <c r="U1766" s="5" t="str">
        <f t="shared" si="261"/>
        <v/>
      </c>
    </row>
    <row r="1767" spans="7:21" x14ac:dyDescent="0.2">
      <c r="G1767" s="8"/>
      <c r="H1767" s="5"/>
      <c r="J1767" s="10" t="str">
        <f t="shared" si="256"/>
        <v/>
      </c>
      <c r="K1767" s="10" t="str">
        <f t="shared" si="257"/>
        <v/>
      </c>
      <c r="L1767" s="11" t="str">
        <f t="shared" si="259"/>
        <v/>
      </c>
      <c r="M1767" s="9" t="str">
        <f>IF(G1767&lt;&gt;"",J1767/MAX(J$3:J1767)-1,"")</f>
        <v/>
      </c>
      <c r="N1767" s="9" t="str">
        <f>IF(G1767&lt;&gt;"",K1767/MAX(K$3:K1767)-1,"")</f>
        <v/>
      </c>
      <c r="O1767" s="16" t="str">
        <f t="shared" si="255"/>
        <v/>
      </c>
      <c r="P1767" s="16" t="str">
        <f t="shared" si="255"/>
        <v/>
      </c>
      <c r="Q1767" s="16" t="str">
        <f t="shared" si="255"/>
        <v/>
      </c>
      <c r="R1767" s="5" t="str">
        <f t="shared" si="254"/>
        <v/>
      </c>
      <c r="S1767" s="5" t="str">
        <f t="shared" si="258"/>
        <v/>
      </c>
      <c r="T1767" s="5" t="str">
        <f t="shared" si="261"/>
        <v/>
      </c>
      <c r="U1767" s="5" t="str">
        <f t="shared" si="261"/>
        <v/>
      </c>
    </row>
    <row r="1768" spans="7:21" x14ac:dyDescent="0.2">
      <c r="G1768" s="8"/>
      <c r="H1768" s="5"/>
      <c r="J1768" s="10" t="str">
        <f t="shared" si="256"/>
        <v/>
      </c>
      <c r="K1768" s="10" t="str">
        <f t="shared" si="257"/>
        <v/>
      </c>
      <c r="L1768" s="11" t="str">
        <f t="shared" si="259"/>
        <v/>
      </c>
      <c r="M1768" s="9" t="str">
        <f>IF(G1768&lt;&gt;"",J1768/MAX(J$3:J1768)-1,"")</f>
        <v/>
      </c>
      <c r="N1768" s="9" t="str">
        <f>IF(G1768&lt;&gt;"",K1768/MAX(K$3:K1768)-1,"")</f>
        <v/>
      </c>
      <c r="O1768" s="16" t="str">
        <f t="shared" si="255"/>
        <v/>
      </c>
      <c r="P1768" s="16" t="str">
        <f t="shared" si="255"/>
        <v/>
      </c>
      <c r="Q1768" s="16" t="str">
        <f t="shared" si="255"/>
        <v/>
      </c>
      <c r="R1768" s="5" t="str">
        <f t="shared" si="254"/>
        <v/>
      </c>
      <c r="S1768" s="5" t="str">
        <f t="shared" si="258"/>
        <v/>
      </c>
      <c r="T1768" s="5" t="str">
        <f t="shared" ref="T1768:U1783" si="262">IF($G1768&lt;&gt;"",_xlfn.STDEV.S(O1524:O1768),"")</f>
        <v/>
      </c>
      <c r="U1768" s="5" t="str">
        <f t="shared" si="262"/>
        <v/>
      </c>
    </row>
    <row r="1769" spans="7:21" x14ac:dyDescent="0.2">
      <c r="G1769" s="8"/>
      <c r="H1769" s="5"/>
      <c r="J1769" s="10" t="str">
        <f t="shared" si="256"/>
        <v/>
      </c>
      <c r="K1769" s="10" t="str">
        <f t="shared" si="257"/>
        <v/>
      </c>
      <c r="L1769" s="11" t="str">
        <f t="shared" si="259"/>
        <v/>
      </c>
      <c r="M1769" s="9" t="str">
        <f>IF(G1769&lt;&gt;"",J1769/MAX(J$3:J1769)-1,"")</f>
        <v/>
      </c>
      <c r="N1769" s="9" t="str">
        <f>IF(G1769&lt;&gt;"",K1769/MAX(K$3:K1769)-1,"")</f>
        <v/>
      </c>
      <c r="O1769" s="16" t="str">
        <f t="shared" si="255"/>
        <v/>
      </c>
      <c r="P1769" s="16" t="str">
        <f t="shared" si="255"/>
        <v/>
      </c>
      <c r="Q1769" s="16" t="str">
        <f t="shared" si="255"/>
        <v/>
      </c>
      <c r="R1769" s="5" t="str">
        <f t="shared" si="254"/>
        <v/>
      </c>
      <c r="S1769" s="5" t="str">
        <f t="shared" si="258"/>
        <v/>
      </c>
      <c r="T1769" s="5" t="str">
        <f t="shared" si="262"/>
        <v/>
      </c>
      <c r="U1769" s="5" t="str">
        <f t="shared" si="262"/>
        <v/>
      </c>
    </row>
    <row r="1770" spans="7:21" x14ac:dyDescent="0.2">
      <c r="G1770" s="8"/>
      <c r="H1770" s="5"/>
      <c r="J1770" s="10" t="str">
        <f t="shared" si="256"/>
        <v/>
      </c>
      <c r="K1770" s="10" t="str">
        <f t="shared" si="257"/>
        <v/>
      </c>
      <c r="L1770" s="11" t="str">
        <f t="shared" si="259"/>
        <v/>
      </c>
      <c r="M1770" s="9" t="str">
        <f>IF(G1770&lt;&gt;"",J1770/MAX(J$3:J1770)-1,"")</f>
        <v/>
      </c>
      <c r="N1770" s="9" t="str">
        <f>IF(G1770&lt;&gt;"",K1770/MAX(K$3:K1770)-1,"")</f>
        <v/>
      </c>
      <c r="O1770" s="16" t="str">
        <f t="shared" si="255"/>
        <v/>
      </c>
      <c r="P1770" s="16" t="str">
        <f t="shared" si="255"/>
        <v/>
      </c>
      <c r="Q1770" s="16" t="str">
        <f t="shared" si="255"/>
        <v/>
      </c>
      <c r="R1770" s="5" t="str">
        <f t="shared" si="254"/>
        <v/>
      </c>
      <c r="S1770" s="5" t="str">
        <f t="shared" si="258"/>
        <v/>
      </c>
      <c r="T1770" s="5" t="str">
        <f t="shared" si="262"/>
        <v/>
      </c>
      <c r="U1770" s="5" t="str">
        <f t="shared" si="262"/>
        <v/>
      </c>
    </row>
    <row r="1771" spans="7:21" x14ac:dyDescent="0.2">
      <c r="G1771" s="8"/>
      <c r="H1771" s="5"/>
      <c r="J1771" s="10" t="str">
        <f t="shared" si="256"/>
        <v/>
      </c>
      <c r="K1771" s="10" t="str">
        <f t="shared" si="257"/>
        <v/>
      </c>
      <c r="L1771" s="11" t="str">
        <f t="shared" si="259"/>
        <v/>
      </c>
      <c r="M1771" s="9" t="str">
        <f>IF(G1771&lt;&gt;"",J1771/MAX(J$3:J1771)-1,"")</f>
        <v/>
      </c>
      <c r="N1771" s="9" t="str">
        <f>IF(G1771&lt;&gt;"",K1771/MAX(K$3:K1771)-1,"")</f>
        <v/>
      </c>
      <c r="O1771" s="16" t="str">
        <f t="shared" si="255"/>
        <v/>
      </c>
      <c r="P1771" s="16" t="str">
        <f t="shared" si="255"/>
        <v/>
      </c>
      <c r="Q1771" s="16" t="str">
        <f t="shared" si="255"/>
        <v/>
      </c>
      <c r="R1771" s="5" t="str">
        <f t="shared" si="254"/>
        <v/>
      </c>
      <c r="S1771" s="5" t="str">
        <f t="shared" si="258"/>
        <v/>
      </c>
      <c r="T1771" s="5" t="str">
        <f t="shared" si="262"/>
        <v/>
      </c>
      <c r="U1771" s="5" t="str">
        <f t="shared" si="262"/>
        <v/>
      </c>
    </row>
    <row r="1772" spans="7:21" x14ac:dyDescent="0.2">
      <c r="G1772" s="8"/>
      <c r="H1772" s="5"/>
      <c r="J1772" s="10" t="str">
        <f t="shared" si="256"/>
        <v/>
      </c>
      <c r="K1772" s="10" t="str">
        <f t="shared" si="257"/>
        <v/>
      </c>
      <c r="L1772" s="11" t="str">
        <f t="shared" si="259"/>
        <v/>
      </c>
      <c r="M1772" s="9" t="str">
        <f>IF(G1772&lt;&gt;"",J1772/MAX(J$3:J1772)-1,"")</f>
        <v/>
      </c>
      <c r="N1772" s="9" t="str">
        <f>IF(G1772&lt;&gt;"",K1772/MAX(K$3:K1772)-1,"")</f>
        <v/>
      </c>
      <c r="O1772" s="16" t="str">
        <f t="shared" si="255"/>
        <v/>
      </c>
      <c r="P1772" s="16" t="str">
        <f t="shared" si="255"/>
        <v/>
      </c>
      <c r="Q1772" s="16" t="str">
        <f t="shared" si="255"/>
        <v/>
      </c>
      <c r="R1772" s="5" t="str">
        <f t="shared" si="254"/>
        <v/>
      </c>
      <c r="S1772" s="5" t="str">
        <f t="shared" si="258"/>
        <v/>
      </c>
      <c r="T1772" s="5" t="str">
        <f t="shared" si="262"/>
        <v/>
      </c>
      <c r="U1772" s="5" t="str">
        <f t="shared" si="262"/>
        <v/>
      </c>
    </row>
    <row r="1773" spans="7:21" x14ac:dyDescent="0.2">
      <c r="G1773" s="8"/>
      <c r="H1773" s="5"/>
      <c r="J1773" s="10" t="str">
        <f t="shared" si="256"/>
        <v/>
      </c>
      <c r="K1773" s="10" t="str">
        <f t="shared" si="257"/>
        <v/>
      </c>
      <c r="L1773" s="11" t="str">
        <f t="shared" si="259"/>
        <v/>
      </c>
      <c r="M1773" s="9" t="str">
        <f>IF(G1773&lt;&gt;"",J1773/MAX(J$3:J1773)-1,"")</f>
        <v/>
      </c>
      <c r="N1773" s="9" t="str">
        <f>IF(G1773&lt;&gt;"",K1773/MAX(K$3:K1773)-1,"")</f>
        <v/>
      </c>
      <c r="O1773" s="16" t="str">
        <f t="shared" si="255"/>
        <v/>
      </c>
      <c r="P1773" s="16" t="str">
        <f t="shared" si="255"/>
        <v/>
      </c>
      <c r="Q1773" s="16" t="str">
        <f t="shared" si="255"/>
        <v/>
      </c>
      <c r="R1773" s="5" t="str">
        <f t="shared" si="254"/>
        <v/>
      </c>
      <c r="S1773" s="5" t="str">
        <f t="shared" si="258"/>
        <v/>
      </c>
      <c r="T1773" s="5" t="str">
        <f t="shared" si="262"/>
        <v/>
      </c>
      <c r="U1773" s="5" t="str">
        <f t="shared" si="262"/>
        <v/>
      </c>
    </row>
    <row r="1774" spans="7:21" x14ac:dyDescent="0.2">
      <c r="G1774" s="8"/>
      <c r="H1774" s="5"/>
      <c r="J1774" s="10" t="str">
        <f t="shared" si="256"/>
        <v/>
      </c>
      <c r="K1774" s="10" t="str">
        <f t="shared" si="257"/>
        <v/>
      </c>
      <c r="L1774" s="11" t="str">
        <f t="shared" si="259"/>
        <v/>
      </c>
      <c r="M1774" s="9" t="str">
        <f>IF(G1774&lt;&gt;"",J1774/MAX(J$3:J1774)-1,"")</f>
        <v/>
      </c>
      <c r="N1774" s="9" t="str">
        <f>IF(G1774&lt;&gt;"",K1774/MAX(K$3:K1774)-1,"")</f>
        <v/>
      </c>
      <c r="O1774" s="16" t="str">
        <f t="shared" si="255"/>
        <v/>
      </c>
      <c r="P1774" s="16" t="str">
        <f t="shared" si="255"/>
        <v/>
      </c>
      <c r="Q1774" s="16" t="str">
        <f t="shared" si="255"/>
        <v/>
      </c>
      <c r="R1774" s="5" t="str">
        <f t="shared" si="254"/>
        <v/>
      </c>
      <c r="S1774" s="5" t="str">
        <f t="shared" si="258"/>
        <v/>
      </c>
      <c r="T1774" s="5" t="str">
        <f t="shared" si="262"/>
        <v/>
      </c>
      <c r="U1774" s="5" t="str">
        <f t="shared" si="262"/>
        <v/>
      </c>
    </row>
    <row r="1775" spans="7:21" x14ac:dyDescent="0.2">
      <c r="G1775" s="8"/>
      <c r="H1775" s="5"/>
      <c r="J1775" s="10" t="str">
        <f t="shared" si="256"/>
        <v/>
      </c>
      <c r="K1775" s="10" t="str">
        <f t="shared" si="257"/>
        <v/>
      </c>
      <c r="L1775" s="11" t="str">
        <f t="shared" si="259"/>
        <v/>
      </c>
      <c r="M1775" s="9" t="str">
        <f>IF(G1775&lt;&gt;"",J1775/MAX(J$3:J1775)-1,"")</f>
        <v/>
      </c>
      <c r="N1775" s="9" t="str">
        <f>IF(G1775&lt;&gt;"",K1775/MAX(K$3:K1775)-1,"")</f>
        <v/>
      </c>
      <c r="O1775" s="16" t="str">
        <f t="shared" si="255"/>
        <v/>
      </c>
      <c r="P1775" s="16" t="str">
        <f t="shared" si="255"/>
        <v/>
      </c>
      <c r="Q1775" s="16" t="str">
        <f t="shared" si="255"/>
        <v/>
      </c>
      <c r="R1775" s="5" t="str">
        <f t="shared" si="254"/>
        <v/>
      </c>
      <c r="S1775" s="5" t="str">
        <f t="shared" si="258"/>
        <v/>
      </c>
      <c r="T1775" s="5" t="str">
        <f t="shared" si="262"/>
        <v/>
      </c>
      <c r="U1775" s="5" t="str">
        <f t="shared" si="262"/>
        <v/>
      </c>
    </row>
    <row r="1776" spans="7:21" x14ac:dyDescent="0.2">
      <c r="G1776" s="8"/>
      <c r="H1776" s="5"/>
      <c r="J1776" s="10" t="str">
        <f t="shared" si="256"/>
        <v/>
      </c>
      <c r="K1776" s="10" t="str">
        <f t="shared" si="257"/>
        <v/>
      </c>
      <c r="L1776" s="11" t="str">
        <f t="shared" si="259"/>
        <v/>
      </c>
      <c r="M1776" s="9" t="str">
        <f>IF(G1776&lt;&gt;"",J1776/MAX(J$3:J1776)-1,"")</f>
        <v/>
      </c>
      <c r="N1776" s="9" t="str">
        <f>IF(G1776&lt;&gt;"",K1776/MAX(K$3:K1776)-1,"")</f>
        <v/>
      </c>
      <c r="O1776" s="16" t="str">
        <f t="shared" si="255"/>
        <v/>
      </c>
      <c r="P1776" s="16" t="str">
        <f t="shared" si="255"/>
        <v/>
      </c>
      <c r="Q1776" s="16" t="str">
        <f t="shared" si="255"/>
        <v/>
      </c>
      <c r="R1776" s="5" t="str">
        <f t="shared" si="254"/>
        <v/>
      </c>
      <c r="S1776" s="5" t="str">
        <f t="shared" si="258"/>
        <v/>
      </c>
      <c r="T1776" s="5" t="str">
        <f t="shared" si="262"/>
        <v/>
      </c>
      <c r="U1776" s="5" t="str">
        <f t="shared" si="262"/>
        <v/>
      </c>
    </row>
    <row r="1777" spans="7:21" x14ac:dyDescent="0.2">
      <c r="G1777" s="8"/>
      <c r="H1777" s="5"/>
      <c r="J1777" s="10" t="str">
        <f t="shared" si="256"/>
        <v/>
      </c>
      <c r="K1777" s="10" t="str">
        <f t="shared" si="257"/>
        <v/>
      </c>
      <c r="L1777" s="11" t="str">
        <f t="shared" si="259"/>
        <v/>
      </c>
      <c r="M1777" s="9" t="str">
        <f>IF(G1777&lt;&gt;"",J1777/MAX(J$3:J1777)-1,"")</f>
        <v/>
      </c>
      <c r="N1777" s="9" t="str">
        <f>IF(G1777&lt;&gt;"",K1777/MAX(K$3:K1777)-1,"")</f>
        <v/>
      </c>
      <c r="O1777" s="16" t="str">
        <f t="shared" si="255"/>
        <v/>
      </c>
      <c r="P1777" s="16" t="str">
        <f t="shared" si="255"/>
        <v/>
      </c>
      <c r="Q1777" s="16" t="str">
        <f t="shared" si="255"/>
        <v/>
      </c>
      <c r="R1777" s="5" t="str">
        <f t="shared" si="254"/>
        <v/>
      </c>
      <c r="S1777" s="5" t="str">
        <f t="shared" si="258"/>
        <v/>
      </c>
      <c r="T1777" s="5" t="str">
        <f t="shared" si="262"/>
        <v/>
      </c>
      <c r="U1777" s="5" t="str">
        <f t="shared" si="262"/>
        <v/>
      </c>
    </row>
    <row r="1778" spans="7:21" x14ac:dyDescent="0.2">
      <c r="G1778" s="8"/>
      <c r="H1778" s="5"/>
      <c r="J1778" s="10" t="str">
        <f t="shared" si="256"/>
        <v/>
      </c>
      <c r="K1778" s="10" t="str">
        <f t="shared" si="257"/>
        <v/>
      </c>
      <c r="L1778" s="11" t="str">
        <f t="shared" si="259"/>
        <v/>
      </c>
      <c r="M1778" s="9" t="str">
        <f>IF(G1778&lt;&gt;"",J1778/MAX(J$3:J1778)-1,"")</f>
        <v/>
      </c>
      <c r="N1778" s="9" t="str">
        <f>IF(G1778&lt;&gt;"",K1778/MAX(K$3:K1778)-1,"")</f>
        <v/>
      </c>
      <c r="O1778" s="16" t="str">
        <f t="shared" si="255"/>
        <v/>
      </c>
      <c r="P1778" s="16" t="str">
        <f t="shared" si="255"/>
        <v/>
      </c>
      <c r="Q1778" s="16" t="str">
        <f t="shared" si="255"/>
        <v/>
      </c>
      <c r="R1778" s="5" t="str">
        <f t="shared" si="254"/>
        <v/>
      </c>
      <c r="S1778" s="5" t="str">
        <f t="shared" si="258"/>
        <v/>
      </c>
      <c r="T1778" s="5" t="str">
        <f t="shared" si="262"/>
        <v/>
      </c>
      <c r="U1778" s="5" t="str">
        <f t="shared" si="262"/>
        <v/>
      </c>
    </row>
    <row r="1779" spans="7:21" x14ac:dyDescent="0.2">
      <c r="G1779" s="8"/>
      <c r="H1779" s="5"/>
      <c r="J1779" s="10" t="str">
        <f t="shared" si="256"/>
        <v/>
      </c>
      <c r="K1779" s="10" t="str">
        <f t="shared" si="257"/>
        <v/>
      </c>
      <c r="L1779" s="11" t="str">
        <f t="shared" si="259"/>
        <v/>
      </c>
      <c r="M1779" s="9" t="str">
        <f>IF(G1779&lt;&gt;"",J1779/MAX(J$3:J1779)-1,"")</f>
        <v/>
      </c>
      <c r="N1779" s="9" t="str">
        <f>IF(G1779&lt;&gt;"",K1779/MAX(K$3:K1779)-1,"")</f>
        <v/>
      </c>
      <c r="O1779" s="16" t="str">
        <f t="shared" si="255"/>
        <v/>
      </c>
      <c r="P1779" s="16" t="str">
        <f t="shared" si="255"/>
        <v/>
      </c>
      <c r="Q1779" s="16" t="str">
        <f t="shared" si="255"/>
        <v/>
      </c>
      <c r="R1779" s="5" t="str">
        <f t="shared" si="254"/>
        <v/>
      </c>
      <c r="S1779" s="5" t="str">
        <f t="shared" si="258"/>
        <v/>
      </c>
      <c r="T1779" s="5" t="str">
        <f t="shared" si="262"/>
        <v/>
      </c>
      <c r="U1779" s="5" t="str">
        <f t="shared" si="262"/>
        <v/>
      </c>
    </row>
    <row r="1780" spans="7:21" x14ac:dyDescent="0.2">
      <c r="G1780" s="8"/>
      <c r="H1780" s="5"/>
      <c r="J1780" s="10" t="str">
        <f t="shared" si="256"/>
        <v/>
      </c>
      <c r="K1780" s="10" t="str">
        <f t="shared" si="257"/>
        <v/>
      </c>
      <c r="L1780" s="11" t="str">
        <f t="shared" si="259"/>
        <v/>
      </c>
      <c r="M1780" s="9" t="str">
        <f>IF(G1780&lt;&gt;"",J1780/MAX(J$3:J1780)-1,"")</f>
        <v/>
      </c>
      <c r="N1780" s="9" t="str">
        <f>IF(G1780&lt;&gt;"",K1780/MAX(K$3:K1780)-1,"")</f>
        <v/>
      </c>
      <c r="O1780" s="16" t="str">
        <f t="shared" si="255"/>
        <v/>
      </c>
      <c r="P1780" s="16" t="str">
        <f t="shared" si="255"/>
        <v/>
      </c>
      <c r="Q1780" s="16" t="str">
        <f t="shared" si="255"/>
        <v/>
      </c>
      <c r="R1780" s="5" t="str">
        <f t="shared" si="254"/>
        <v/>
      </c>
      <c r="S1780" s="5" t="str">
        <f t="shared" si="258"/>
        <v/>
      </c>
      <c r="T1780" s="5" t="str">
        <f t="shared" si="262"/>
        <v/>
      </c>
      <c r="U1780" s="5" t="str">
        <f t="shared" si="262"/>
        <v/>
      </c>
    </row>
    <row r="1781" spans="7:21" x14ac:dyDescent="0.2">
      <c r="G1781" s="8"/>
      <c r="H1781" s="5"/>
      <c r="J1781" s="10" t="str">
        <f t="shared" si="256"/>
        <v/>
      </c>
      <c r="K1781" s="10" t="str">
        <f t="shared" si="257"/>
        <v/>
      </c>
      <c r="L1781" s="11" t="str">
        <f t="shared" si="259"/>
        <v/>
      </c>
      <c r="M1781" s="9" t="str">
        <f>IF(G1781&lt;&gt;"",J1781/MAX(J$3:J1781)-1,"")</f>
        <v/>
      </c>
      <c r="N1781" s="9" t="str">
        <f>IF(G1781&lt;&gt;"",K1781/MAX(K$3:K1781)-1,"")</f>
        <v/>
      </c>
      <c r="O1781" s="16" t="str">
        <f t="shared" si="255"/>
        <v/>
      </c>
      <c r="P1781" s="16" t="str">
        <f t="shared" si="255"/>
        <v/>
      </c>
      <c r="Q1781" s="16" t="str">
        <f t="shared" si="255"/>
        <v/>
      </c>
      <c r="R1781" s="5" t="str">
        <f t="shared" si="254"/>
        <v/>
      </c>
      <c r="S1781" s="5" t="str">
        <f t="shared" si="258"/>
        <v/>
      </c>
      <c r="T1781" s="5" t="str">
        <f t="shared" si="262"/>
        <v/>
      </c>
      <c r="U1781" s="5" t="str">
        <f t="shared" si="262"/>
        <v/>
      </c>
    </row>
    <row r="1782" spans="7:21" x14ac:dyDescent="0.2">
      <c r="G1782" s="8"/>
      <c r="H1782" s="5"/>
      <c r="J1782" s="10" t="str">
        <f t="shared" si="256"/>
        <v/>
      </c>
      <c r="K1782" s="10" t="str">
        <f t="shared" si="257"/>
        <v/>
      </c>
      <c r="L1782" s="11" t="str">
        <f t="shared" si="259"/>
        <v/>
      </c>
      <c r="M1782" s="9" t="str">
        <f>IF(G1782&lt;&gt;"",J1782/MAX(J$3:J1782)-1,"")</f>
        <v/>
      </c>
      <c r="N1782" s="9" t="str">
        <f>IF(G1782&lt;&gt;"",K1782/MAX(K$3:K1782)-1,"")</f>
        <v/>
      </c>
      <c r="O1782" s="16" t="str">
        <f t="shared" si="255"/>
        <v/>
      </c>
      <c r="P1782" s="16" t="str">
        <f t="shared" si="255"/>
        <v/>
      </c>
      <c r="Q1782" s="16" t="str">
        <f t="shared" si="255"/>
        <v/>
      </c>
      <c r="R1782" s="5" t="str">
        <f t="shared" si="254"/>
        <v/>
      </c>
      <c r="S1782" s="5" t="str">
        <f t="shared" si="258"/>
        <v/>
      </c>
      <c r="T1782" s="5" t="str">
        <f t="shared" si="262"/>
        <v/>
      </c>
      <c r="U1782" s="5" t="str">
        <f t="shared" si="262"/>
        <v/>
      </c>
    </row>
    <row r="1783" spans="7:21" x14ac:dyDescent="0.2">
      <c r="G1783" s="8"/>
      <c r="H1783" s="5"/>
      <c r="J1783" s="10" t="str">
        <f t="shared" si="256"/>
        <v/>
      </c>
      <c r="K1783" s="10" t="str">
        <f t="shared" si="257"/>
        <v/>
      </c>
      <c r="L1783" s="11" t="str">
        <f t="shared" si="259"/>
        <v/>
      </c>
      <c r="M1783" s="9" t="str">
        <f>IF(G1783&lt;&gt;"",J1783/MAX(J$3:J1783)-1,"")</f>
        <v/>
      </c>
      <c r="N1783" s="9" t="str">
        <f>IF(G1783&lt;&gt;"",K1783/MAX(K$3:K1783)-1,"")</f>
        <v/>
      </c>
      <c r="O1783" s="16" t="str">
        <f t="shared" si="255"/>
        <v/>
      </c>
      <c r="P1783" s="16" t="str">
        <f t="shared" si="255"/>
        <v/>
      </c>
      <c r="Q1783" s="16" t="str">
        <f t="shared" si="255"/>
        <v/>
      </c>
      <c r="R1783" s="5" t="str">
        <f t="shared" si="254"/>
        <v/>
      </c>
      <c r="S1783" s="5" t="str">
        <f t="shared" si="258"/>
        <v/>
      </c>
      <c r="T1783" s="5" t="str">
        <f t="shared" si="262"/>
        <v/>
      </c>
      <c r="U1783" s="5" t="str">
        <f t="shared" si="262"/>
        <v/>
      </c>
    </row>
    <row r="1784" spans="7:21" x14ac:dyDescent="0.2">
      <c r="G1784" s="8"/>
      <c r="H1784" s="5"/>
      <c r="J1784" s="10" t="str">
        <f t="shared" si="256"/>
        <v/>
      </c>
      <c r="K1784" s="10" t="str">
        <f t="shared" si="257"/>
        <v/>
      </c>
      <c r="L1784" s="11" t="str">
        <f t="shared" si="259"/>
        <v/>
      </c>
      <c r="M1784" s="9" t="str">
        <f>IF(G1784&lt;&gt;"",J1784/MAX(J$3:J1784)-1,"")</f>
        <v/>
      </c>
      <c r="N1784" s="9" t="str">
        <f>IF(G1784&lt;&gt;"",K1784/MAX(K$3:K1784)-1,"")</f>
        <v/>
      </c>
      <c r="O1784" s="16" t="str">
        <f t="shared" si="255"/>
        <v/>
      </c>
      <c r="P1784" s="16" t="str">
        <f t="shared" si="255"/>
        <v/>
      </c>
      <c r="Q1784" s="16" t="str">
        <f t="shared" si="255"/>
        <v/>
      </c>
      <c r="R1784" s="5" t="str">
        <f t="shared" si="254"/>
        <v/>
      </c>
      <c r="S1784" s="5" t="str">
        <f t="shared" si="258"/>
        <v/>
      </c>
      <c r="T1784" s="5" t="str">
        <f t="shared" ref="T1784:U1799" si="263">IF($G1784&lt;&gt;"",_xlfn.STDEV.S(O1540:O1784),"")</f>
        <v/>
      </c>
      <c r="U1784" s="5" t="str">
        <f t="shared" si="263"/>
        <v/>
      </c>
    </row>
    <row r="1785" spans="7:21" x14ac:dyDescent="0.2">
      <c r="G1785" s="8"/>
      <c r="H1785" s="5"/>
      <c r="J1785" s="10" t="str">
        <f t="shared" si="256"/>
        <v/>
      </c>
      <c r="K1785" s="10" t="str">
        <f t="shared" si="257"/>
        <v/>
      </c>
      <c r="L1785" s="11" t="str">
        <f t="shared" si="259"/>
        <v/>
      </c>
      <c r="M1785" s="9" t="str">
        <f>IF(G1785&lt;&gt;"",J1785/MAX(J$3:J1785)-1,"")</f>
        <v/>
      </c>
      <c r="N1785" s="9" t="str">
        <f>IF(G1785&lt;&gt;"",K1785/MAX(K$3:K1785)-1,"")</f>
        <v/>
      </c>
      <c r="O1785" s="16" t="str">
        <f t="shared" si="255"/>
        <v/>
      </c>
      <c r="P1785" s="16" t="str">
        <f t="shared" si="255"/>
        <v/>
      </c>
      <c r="Q1785" s="16" t="str">
        <f t="shared" si="255"/>
        <v/>
      </c>
      <c r="R1785" s="5" t="str">
        <f t="shared" si="254"/>
        <v/>
      </c>
      <c r="S1785" s="5" t="str">
        <f t="shared" si="258"/>
        <v/>
      </c>
      <c r="T1785" s="5" t="str">
        <f t="shared" si="263"/>
        <v/>
      </c>
      <c r="U1785" s="5" t="str">
        <f t="shared" si="263"/>
        <v/>
      </c>
    </row>
    <row r="1786" spans="7:21" x14ac:dyDescent="0.2">
      <c r="G1786" s="8"/>
      <c r="H1786" s="5"/>
      <c r="J1786" s="10" t="str">
        <f t="shared" si="256"/>
        <v/>
      </c>
      <c r="K1786" s="10" t="str">
        <f t="shared" si="257"/>
        <v/>
      </c>
      <c r="L1786" s="11" t="str">
        <f t="shared" si="259"/>
        <v/>
      </c>
      <c r="M1786" s="9" t="str">
        <f>IF(G1786&lt;&gt;"",J1786/MAX(J$3:J1786)-1,"")</f>
        <v/>
      </c>
      <c r="N1786" s="9" t="str">
        <f>IF(G1786&lt;&gt;"",K1786/MAX(K$3:K1786)-1,"")</f>
        <v/>
      </c>
      <c r="O1786" s="16" t="str">
        <f t="shared" si="255"/>
        <v/>
      </c>
      <c r="P1786" s="16" t="str">
        <f t="shared" si="255"/>
        <v/>
      </c>
      <c r="Q1786" s="16" t="str">
        <f t="shared" si="255"/>
        <v/>
      </c>
      <c r="R1786" s="5" t="str">
        <f t="shared" si="254"/>
        <v/>
      </c>
      <c r="S1786" s="5" t="str">
        <f t="shared" si="258"/>
        <v/>
      </c>
      <c r="T1786" s="5" t="str">
        <f t="shared" si="263"/>
        <v/>
      </c>
      <c r="U1786" s="5" t="str">
        <f t="shared" si="263"/>
        <v/>
      </c>
    </row>
    <row r="1787" spans="7:21" x14ac:dyDescent="0.2">
      <c r="G1787" s="8"/>
      <c r="H1787" s="5"/>
      <c r="J1787" s="10" t="str">
        <f t="shared" si="256"/>
        <v/>
      </c>
      <c r="K1787" s="10" t="str">
        <f t="shared" si="257"/>
        <v/>
      </c>
      <c r="L1787" s="11" t="str">
        <f t="shared" si="259"/>
        <v/>
      </c>
      <c r="M1787" s="9" t="str">
        <f>IF(G1787&lt;&gt;"",J1787/MAX(J$3:J1787)-1,"")</f>
        <v/>
      </c>
      <c r="N1787" s="9" t="str">
        <f>IF(G1787&lt;&gt;"",K1787/MAX(K$3:K1787)-1,"")</f>
        <v/>
      </c>
      <c r="O1787" s="16" t="str">
        <f t="shared" si="255"/>
        <v/>
      </c>
      <c r="P1787" s="16" t="str">
        <f t="shared" si="255"/>
        <v/>
      </c>
      <c r="Q1787" s="16" t="str">
        <f t="shared" si="255"/>
        <v/>
      </c>
      <c r="R1787" s="5" t="str">
        <f t="shared" si="254"/>
        <v/>
      </c>
      <c r="S1787" s="5" t="str">
        <f t="shared" si="258"/>
        <v/>
      </c>
      <c r="T1787" s="5" t="str">
        <f t="shared" si="263"/>
        <v/>
      </c>
      <c r="U1787" s="5" t="str">
        <f t="shared" si="263"/>
        <v/>
      </c>
    </row>
    <row r="1788" spans="7:21" x14ac:dyDescent="0.2">
      <c r="G1788" s="8"/>
      <c r="H1788" s="5"/>
      <c r="J1788" s="10" t="str">
        <f t="shared" si="256"/>
        <v/>
      </c>
      <c r="K1788" s="10" t="str">
        <f t="shared" si="257"/>
        <v/>
      </c>
      <c r="L1788" s="11" t="str">
        <f t="shared" si="259"/>
        <v/>
      </c>
      <c r="M1788" s="9" t="str">
        <f>IF(G1788&lt;&gt;"",J1788/MAX(J$3:J1788)-1,"")</f>
        <v/>
      </c>
      <c r="N1788" s="9" t="str">
        <f>IF(G1788&lt;&gt;"",K1788/MAX(K$3:K1788)-1,"")</f>
        <v/>
      </c>
      <c r="O1788" s="16" t="str">
        <f t="shared" si="255"/>
        <v/>
      </c>
      <c r="P1788" s="16" t="str">
        <f t="shared" si="255"/>
        <v/>
      </c>
      <c r="Q1788" s="16" t="str">
        <f t="shared" si="255"/>
        <v/>
      </c>
      <c r="R1788" s="5" t="str">
        <f t="shared" si="254"/>
        <v/>
      </c>
      <c r="S1788" s="5" t="str">
        <f t="shared" si="258"/>
        <v/>
      </c>
      <c r="T1788" s="5" t="str">
        <f t="shared" si="263"/>
        <v/>
      </c>
      <c r="U1788" s="5" t="str">
        <f t="shared" si="263"/>
        <v/>
      </c>
    </row>
    <row r="1789" spans="7:21" x14ac:dyDescent="0.2">
      <c r="G1789" s="8"/>
      <c r="H1789" s="5"/>
      <c r="J1789" s="10" t="str">
        <f t="shared" si="256"/>
        <v/>
      </c>
      <c r="K1789" s="10" t="str">
        <f t="shared" si="257"/>
        <v/>
      </c>
      <c r="L1789" s="11" t="str">
        <f t="shared" si="259"/>
        <v/>
      </c>
      <c r="M1789" s="9" t="str">
        <f>IF(G1789&lt;&gt;"",J1789/MAX(J$3:J1789)-1,"")</f>
        <v/>
      </c>
      <c r="N1789" s="9" t="str">
        <f>IF(G1789&lt;&gt;"",K1789/MAX(K$3:K1789)-1,"")</f>
        <v/>
      </c>
      <c r="O1789" s="16" t="str">
        <f t="shared" si="255"/>
        <v/>
      </c>
      <c r="P1789" s="16" t="str">
        <f t="shared" si="255"/>
        <v/>
      </c>
      <c r="Q1789" s="16" t="str">
        <f t="shared" si="255"/>
        <v/>
      </c>
      <c r="R1789" s="5" t="str">
        <f t="shared" ref="R1789:R1852" si="264">IF(G1789&lt;&gt;"",_xlfn.STDEV.S(Q1668:Q1789)*SQRT($B$5),"")</f>
        <v/>
      </c>
      <c r="S1789" s="5" t="str">
        <f t="shared" si="258"/>
        <v/>
      </c>
      <c r="T1789" s="5" t="str">
        <f t="shared" si="263"/>
        <v/>
      </c>
      <c r="U1789" s="5" t="str">
        <f t="shared" si="263"/>
        <v/>
      </c>
    </row>
    <row r="1790" spans="7:21" x14ac:dyDescent="0.2">
      <c r="G1790" s="8"/>
      <c r="H1790" s="5"/>
      <c r="J1790" s="10" t="str">
        <f t="shared" si="256"/>
        <v/>
      </c>
      <c r="K1790" s="10" t="str">
        <f t="shared" si="257"/>
        <v/>
      </c>
      <c r="L1790" s="11" t="str">
        <f t="shared" si="259"/>
        <v/>
      </c>
      <c r="M1790" s="9" t="str">
        <f>IF(G1790&lt;&gt;"",J1790/MAX(J$3:J1790)-1,"")</f>
        <v/>
      </c>
      <c r="N1790" s="9" t="str">
        <f>IF(G1790&lt;&gt;"",K1790/MAX(K$3:K1790)-1,"")</f>
        <v/>
      </c>
      <c r="O1790" s="16" t="str">
        <f t="shared" si="255"/>
        <v/>
      </c>
      <c r="P1790" s="16" t="str">
        <f t="shared" si="255"/>
        <v/>
      </c>
      <c r="Q1790" s="16" t="str">
        <f t="shared" si="255"/>
        <v/>
      </c>
      <c r="R1790" s="5" t="str">
        <f t="shared" si="264"/>
        <v/>
      </c>
      <c r="S1790" s="5" t="str">
        <f t="shared" si="258"/>
        <v/>
      </c>
      <c r="T1790" s="5" t="str">
        <f t="shared" si="263"/>
        <v/>
      </c>
      <c r="U1790" s="5" t="str">
        <f t="shared" si="263"/>
        <v/>
      </c>
    </row>
    <row r="1791" spans="7:21" x14ac:dyDescent="0.2">
      <c r="G1791" s="8"/>
      <c r="H1791" s="5"/>
      <c r="J1791" s="10" t="str">
        <f t="shared" si="256"/>
        <v/>
      </c>
      <c r="K1791" s="10" t="str">
        <f t="shared" si="257"/>
        <v/>
      </c>
      <c r="L1791" s="11" t="str">
        <f t="shared" si="259"/>
        <v/>
      </c>
      <c r="M1791" s="9" t="str">
        <f>IF(G1791&lt;&gt;"",J1791/MAX(J$3:J1791)-1,"")</f>
        <v/>
      </c>
      <c r="N1791" s="9" t="str">
        <f>IF(G1791&lt;&gt;"",K1791/MAX(K$3:K1791)-1,"")</f>
        <v/>
      </c>
      <c r="O1791" s="16" t="str">
        <f t="shared" si="255"/>
        <v/>
      </c>
      <c r="P1791" s="16" t="str">
        <f t="shared" si="255"/>
        <v/>
      </c>
      <c r="Q1791" s="16" t="str">
        <f t="shared" si="255"/>
        <v/>
      </c>
      <c r="R1791" s="5" t="str">
        <f t="shared" si="264"/>
        <v/>
      </c>
      <c r="S1791" s="5" t="str">
        <f t="shared" si="258"/>
        <v/>
      </c>
      <c r="T1791" s="5" t="str">
        <f t="shared" si="263"/>
        <v/>
      </c>
      <c r="U1791" s="5" t="str">
        <f t="shared" si="263"/>
        <v/>
      </c>
    </row>
    <row r="1792" spans="7:21" x14ac:dyDescent="0.2">
      <c r="G1792" s="8"/>
      <c r="H1792" s="5"/>
      <c r="J1792" s="10" t="str">
        <f t="shared" si="256"/>
        <v/>
      </c>
      <c r="K1792" s="10" t="str">
        <f t="shared" si="257"/>
        <v/>
      </c>
      <c r="L1792" s="11" t="str">
        <f t="shared" si="259"/>
        <v/>
      </c>
      <c r="M1792" s="9" t="str">
        <f>IF(G1792&lt;&gt;"",J1792/MAX(J$3:J1792)-1,"")</f>
        <v/>
      </c>
      <c r="N1792" s="9" t="str">
        <f>IF(G1792&lt;&gt;"",K1792/MAX(K$3:K1792)-1,"")</f>
        <v/>
      </c>
      <c r="O1792" s="16" t="str">
        <f t="shared" si="255"/>
        <v/>
      </c>
      <c r="P1792" s="16" t="str">
        <f t="shared" si="255"/>
        <v/>
      </c>
      <c r="Q1792" s="16" t="str">
        <f t="shared" si="255"/>
        <v/>
      </c>
      <c r="R1792" s="5" t="str">
        <f t="shared" si="264"/>
        <v/>
      </c>
      <c r="S1792" s="5" t="str">
        <f t="shared" si="258"/>
        <v/>
      </c>
      <c r="T1792" s="5" t="str">
        <f t="shared" si="263"/>
        <v/>
      </c>
      <c r="U1792" s="5" t="str">
        <f t="shared" si="263"/>
        <v/>
      </c>
    </row>
    <row r="1793" spans="7:21" x14ac:dyDescent="0.2">
      <c r="G1793" s="8"/>
      <c r="H1793" s="5"/>
      <c r="J1793" s="10" t="str">
        <f t="shared" si="256"/>
        <v/>
      </c>
      <c r="K1793" s="10" t="str">
        <f t="shared" si="257"/>
        <v/>
      </c>
      <c r="L1793" s="11" t="str">
        <f t="shared" si="259"/>
        <v/>
      </c>
      <c r="M1793" s="9" t="str">
        <f>IF(G1793&lt;&gt;"",J1793/MAX(J$3:J1793)-1,"")</f>
        <v/>
      </c>
      <c r="N1793" s="9" t="str">
        <f>IF(G1793&lt;&gt;"",K1793/MAX(K$3:K1793)-1,"")</f>
        <v/>
      </c>
      <c r="O1793" s="16" t="str">
        <f t="shared" si="255"/>
        <v/>
      </c>
      <c r="P1793" s="16" t="str">
        <f t="shared" si="255"/>
        <v/>
      </c>
      <c r="Q1793" s="16" t="str">
        <f t="shared" si="255"/>
        <v/>
      </c>
      <c r="R1793" s="5" t="str">
        <f t="shared" si="264"/>
        <v/>
      </c>
      <c r="S1793" s="5" t="str">
        <f t="shared" si="258"/>
        <v/>
      </c>
      <c r="T1793" s="5" t="str">
        <f t="shared" si="263"/>
        <v/>
      </c>
      <c r="U1793" s="5" t="str">
        <f t="shared" si="263"/>
        <v/>
      </c>
    </row>
    <row r="1794" spans="7:21" x14ac:dyDescent="0.2">
      <c r="G1794" s="8"/>
      <c r="H1794" s="5"/>
      <c r="J1794" s="10" t="str">
        <f t="shared" si="256"/>
        <v/>
      </c>
      <c r="K1794" s="10" t="str">
        <f t="shared" si="257"/>
        <v/>
      </c>
      <c r="L1794" s="11" t="str">
        <f t="shared" si="259"/>
        <v/>
      </c>
      <c r="M1794" s="9" t="str">
        <f>IF(G1794&lt;&gt;"",J1794/MAX(J$3:J1794)-1,"")</f>
        <v/>
      </c>
      <c r="N1794" s="9" t="str">
        <f>IF(G1794&lt;&gt;"",K1794/MAX(K$3:K1794)-1,"")</f>
        <v/>
      </c>
      <c r="O1794" s="16" t="str">
        <f t="shared" ref="O1794:Q1857" si="265">IF($G1794&lt;&gt;"",J1794/J1793-1,"")</f>
        <v/>
      </c>
      <c r="P1794" s="16" t="str">
        <f t="shared" si="265"/>
        <v/>
      </c>
      <c r="Q1794" s="16" t="str">
        <f t="shared" si="265"/>
        <v/>
      </c>
      <c r="R1794" s="5" t="str">
        <f t="shared" si="264"/>
        <v/>
      </c>
      <c r="S1794" s="5" t="str">
        <f t="shared" si="258"/>
        <v/>
      </c>
      <c r="T1794" s="5" t="str">
        <f t="shared" si="263"/>
        <v/>
      </c>
      <c r="U1794" s="5" t="str">
        <f t="shared" si="263"/>
        <v/>
      </c>
    </row>
    <row r="1795" spans="7:21" x14ac:dyDescent="0.2">
      <c r="G1795" s="8"/>
      <c r="H1795" s="5"/>
      <c r="J1795" s="10" t="str">
        <f t="shared" si="256"/>
        <v/>
      </c>
      <c r="K1795" s="10" t="str">
        <f t="shared" si="257"/>
        <v/>
      </c>
      <c r="L1795" s="11" t="str">
        <f t="shared" si="259"/>
        <v/>
      </c>
      <c r="M1795" s="9" t="str">
        <f>IF(G1795&lt;&gt;"",J1795/MAX(J$3:J1795)-1,"")</f>
        <v/>
      </c>
      <c r="N1795" s="9" t="str">
        <f>IF(G1795&lt;&gt;"",K1795/MAX(K$3:K1795)-1,"")</f>
        <v/>
      </c>
      <c r="O1795" s="16" t="str">
        <f t="shared" si="265"/>
        <v/>
      </c>
      <c r="P1795" s="16" t="str">
        <f t="shared" si="265"/>
        <v/>
      </c>
      <c r="Q1795" s="16" t="str">
        <f t="shared" si="265"/>
        <v/>
      </c>
      <c r="R1795" s="5" t="str">
        <f t="shared" si="264"/>
        <v/>
      </c>
      <c r="S1795" s="5" t="str">
        <f t="shared" si="258"/>
        <v/>
      </c>
      <c r="T1795" s="5" t="str">
        <f t="shared" si="263"/>
        <v/>
      </c>
      <c r="U1795" s="5" t="str">
        <f t="shared" si="263"/>
        <v/>
      </c>
    </row>
    <row r="1796" spans="7:21" x14ac:dyDescent="0.2">
      <c r="G1796" s="8"/>
      <c r="H1796" s="5"/>
      <c r="J1796" s="10" t="str">
        <f t="shared" ref="J1796:J1859" si="266">IF(G1796&lt;&gt;"",1+H1796,"")</f>
        <v/>
      </c>
      <c r="K1796" s="10" t="str">
        <f t="shared" ref="K1796:K1859" si="267">IF(G1796&lt;&gt;"",1+I1796,"")</f>
        <v/>
      </c>
      <c r="L1796" s="11" t="str">
        <f t="shared" si="259"/>
        <v/>
      </c>
      <c r="M1796" s="9" t="str">
        <f>IF(G1796&lt;&gt;"",J1796/MAX(J$3:J1796)-1,"")</f>
        <v/>
      </c>
      <c r="N1796" s="9" t="str">
        <f>IF(G1796&lt;&gt;"",K1796/MAX(K$3:K1796)-1,"")</f>
        <v/>
      </c>
      <c r="O1796" s="16" t="str">
        <f t="shared" si="265"/>
        <v/>
      </c>
      <c r="P1796" s="16" t="str">
        <f t="shared" si="265"/>
        <v/>
      </c>
      <c r="Q1796" s="16" t="str">
        <f t="shared" si="265"/>
        <v/>
      </c>
      <c r="R1796" s="5" t="str">
        <f t="shared" si="264"/>
        <v/>
      </c>
      <c r="S1796" s="5" t="str">
        <f t="shared" ref="S1796:S1859" si="268">IF(R1796&lt;&gt;"",B$12,"")</f>
        <v/>
      </c>
      <c r="T1796" s="5" t="str">
        <f t="shared" si="263"/>
        <v/>
      </c>
      <c r="U1796" s="5" t="str">
        <f t="shared" si="263"/>
        <v/>
      </c>
    </row>
    <row r="1797" spans="7:21" x14ac:dyDescent="0.2">
      <c r="G1797" s="8"/>
      <c r="H1797" s="5"/>
      <c r="J1797" s="10" t="str">
        <f t="shared" si="266"/>
        <v/>
      </c>
      <c r="K1797" s="10" t="str">
        <f t="shared" si="267"/>
        <v/>
      </c>
      <c r="L1797" s="11" t="str">
        <f t="shared" ref="L1797:L1860" si="269">IF(G1797&lt;&gt;"",J1797/K1797,"")</f>
        <v/>
      </c>
      <c r="M1797" s="9" t="str">
        <f>IF(G1797&lt;&gt;"",J1797/MAX(J$3:J1797)-1,"")</f>
        <v/>
      </c>
      <c r="N1797" s="9" t="str">
        <f>IF(G1797&lt;&gt;"",K1797/MAX(K$3:K1797)-1,"")</f>
        <v/>
      </c>
      <c r="O1797" s="16" t="str">
        <f t="shared" si="265"/>
        <v/>
      </c>
      <c r="P1797" s="16" t="str">
        <f t="shared" si="265"/>
        <v/>
      </c>
      <c r="Q1797" s="16" t="str">
        <f t="shared" si="265"/>
        <v/>
      </c>
      <c r="R1797" s="5" t="str">
        <f t="shared" si="264"/>
        <v/>
      </c>
      <c r="S1797" s="5" t="str">
        <f t="shared" si="268"/>
        <v/>
      </c>
      <c r="T1797" s="5" t="str">
        <f t="shared" si="263"/>
        <v/>
      </c>
      <c r="U1797" s="5" t="str">
        <f t="shared" si="263"/>
        <v/>
      </c>
    </row>
    <row r="1798" spans="7:21" x14ac:dyDescent="0.2">
      <c r="G1798" s="8"/>
      <c r="H1798" s="5"/>
      <c r="J1798" s="10" t="str">
        <f t="shared" si="266"/>
        <v/>
      </c>
      <c r="K1798" s="10" t="str">
        <f t="shared" si="267"/>
        <v/>
      </c>
      <c r="L1798" s="11" t="str">
        <f t="shared" si="269"/>
        <v/>
      </c>
      <c r="M1798" s="9" t="str">
        <f>IF(G1798&lt;&gt;"",J1798/MAX(J$3:J1798)-1,"")</f>
        <v/>
      </c>
      <c r="N1798" s="9" t="str">
        <f>IF(G1798&lt;&gt;"",K1798/MAX(K$3:K1798)-1,"")</f>
        <v/>
      </c>
      <c r="O1798" s="16" t="str">
        <f t="shared" si="265"/>
        <v/>
      </c>
      <c r="P1798" s="16" t="str">
        <f t="shared" si="265"/>
        <v/>
      </c>
      <c r="Q1798" s="16" t="str">
        <f t="shared" si="265"/>
        <v/>
      </c>
      <c r="R1798" s="5" t="str">
        <f t="shared" si="264"/>
        <v/>
      </c>
      <c r="S1798" s="5" t="str">
        <f t="shared" si="268"/>
        <v/>
      </c>
      <c r="T1798" s="5" t="str">
        <f t="shared" si="263"/>
        <v/>
      </c>
      <c r="U1798" s="5" t="str">
        <f t="shared" si="263"/>
        <v/>
      </c>
    </row>
    <row r="1799" spans="7:21" x14ac:dyDescent="0.2">
      <c r="G1799" s="8"/>
      <c r="H1799" s="5"/>
      <c r="J1799" s="10" t="str">
        <f t="shared" si="266"/>
        <v/>
      </c>
      <c r="K1799" s="10" t="str">
        <f t="shared" si="267"/>
        <v/>
      </c>
      <c r="L1799" s="11" t="str">
        <f t="shared" si="269"/>
        <v/>
      </c>
      <c r="M1799" s="9" t="str">
        <f>IF(G1799&lt;&gt;"",J1799/MAX(J$3:J1799)-1,"")</f>
        <v/>
      </c>
      <c r="N1799" s="9" t="str">
        <f>IF(G1799&lt;&gt;"",K1799/MAX(K$3:K1799)-1,"")</f>
        <v/>
      </c>
      <c r="O1799" s="16" t="str">
        <f t="shared" si="265"/>
        <v/>
      </c>
      <c r="P1799" s="16" t="str">
        <f t="shared" si="265"/>
        <v/>
      </c>
      <c r="Q1799" s="16" t="str">
        <f t="shared" si="265"/>
        <v/>
      </c>
      <c r="R1799" s="5" t="str">
        <f t="shared" si="264"/>
        <v/>
      </c>
      <c r="S1799" s="5" t="str">
        <f t="shared" si="268"/>
        <v/>
      </c>
      <c r="T1799" s="5" t="str">
        <f t="shared" si="263"/>
        <v/>
      </c>
      <c r="U1799" s="5" t="str">
        <f t="shared" si="263"/>
        <v/>
      </c>
    </row>
    <row r="1800" spans="7:21" x14ac:dyDescent="0.2">
      <c r="G1800" s="8"/>
      <c r="H1800" s="5"/>
      <c r="J1800" s="10" t="str">
        <f t="shared" si="266"/>
        <v/>
      </c>
      <c r="K1800" s="10" t="str">
        <f t="shared" si="267"/>
        <v/>
      </c>
      <c r="L1800" s="11" t="str">
        <f t="shared" si="269"/>
        <v/>
      </c>
      <c r="M1800" s="9" t="str">
        <f>IF(G1800&lt;&gt;"",J1800/MAX(J$3:J1800)-1,"")</f>
        <v/>
      </c>
      <c r="N1800" s="9" t="str">
        <f>IF(G1800&lt;&gt;"",K1800/MAX(K$3:K1800)-1,"")</f>
        <v/>
      </c>
      <c r="O1800" s="16" t="str">
        <f t="shared" si="265"/>
        <v/>
      </c>
      <c r="P1800" s="16" t="str">
        <f t="shared" si="265"/>
        <v/>
      </c>
      <c r="Q1800" s="16" t="str">
        <f t="shared" si="265"/>
        <v/>
      </c>
      <c r="R1800" s="5" t="str">
        <f t="shared" si="264"/>
        <v/>
      </c>
      <c r="S1800" s="5" t="str">
        <f t="shared" si="268"/>
        <v/>
      </c>
      <c r="T1800" s="5" t="str">
        <f t="shared" ref="T1800:U1815" si="270">IF($G1800&lt;&gt;"",_xlfn.STDEV.S(O1556:O1800),"")</f>
        <v/>
      </c>
      <c r="U1800" s="5" t="str">
        <f t="shared" si="270"/>
        <v/>
      </c>
    </row>
    <row r="1801" spans="7:21" x14ac:dyDescent="0.2">
      <c r="G1801" s="8"/>
      <c r="H1801" s="5"/>
      <c r="J1801" s="10" t="str">
        <f t="shared" si="266"/>
        <v/>
      </c>
      <c r="K1801" s="10" t="str">
        <f t="shared" si="267"/>
        <v/>
      </c>
      <c r="L1801" s="11" t="str">
        <f t="shared" si="269"/>
        <v/>
      </c>
      <c r="M1801" s="9" t="str">
        <f>IF(G1801&lt;&gt;"",J1801/MAX(J$3:J1801)-1,"")</f>
        <v/>
      </c>
      <c r="N1801" s="9" t="str">
        <f>IF(G1801&lt;&gt;"",K1801/MAX(K$3:K1801)-1,"")</f>
        <v/>
      </c>
      <c r="O1801" s="16" t="str">
        <f t="shared" si="265"/>
        <v/>
      </c>
      <c r="P1801" s="16" t="str">
        <f t="shared" si="265"/>
        <v/>
      </c>
      <c r="Q1801" s="16" t="str">
        <f t="shared" si="265"/>
        <v/>
      </c>
      <c r="R1801" s="5" t="str">
        <f t="shared" si="264"/>
        <v/>
      </c>
      <c r="S1801" s="5" t="str">
        <f t="shared" si="268"/>
        <v/>
      </c>
      <c r="T1801" s="5" t="str">
        <f t="shared" si="270"/>
        <v/>
      </c>
      <c r="U1801" s="5" t="str">
        <f t="shared" si="270"/>
        <v/>
      </c>
    </row>
    <row r="1802" spans="7:21" x14ac:dyDescent="0.2">
      <c r="G1802" s="8"/>
      <c r="H1802" s="5"/>
      <c r="J1802" s="10" t="str">
        <f t="shared" si="266"/>
        <v/>
      </c>
      <c r="K1802" s="10" t="str">
        <f t="shared" si="267"/>
        <v/>
      </c>
      <c r="L1802" s="11" t="str">
        <f t="shared" si="269"/>
        <v/>
      </c>
      <c r="M1802" s="9" t="str">
        <f>IF(G1802&lt;&gt;"",J1802/MAX(J$3:J1802)-1,"")</f>
        <v/>
      </c>
      <c r="N1802" s="9" t="str">
        <f>IF(G1802&lt;&gt;"",K1802/MAX(K$3:K1802)-1,"")</f>
        <v/>
      </c>
      <c r="O1802" s="16" t="str">
        <f t="shared" si="265"/>
        <v/>
      </c>
      <c r="P1802" s="16" t="str">
        <f t="shared" si="265"/>
        <v/>
      </c>
      <c r="Q1802" s="16" t="str">
        <f t="shared" si="265"/>
        <v/>
      </c>
      <c r="R1802" s="5" t="str">
        <f t="shared" si="264"/>
        <v/>
      </c>
      <c r="S1802" s="5" t="str">
        <f t="shared" si="268"/>
        <v/>
      </c>
      <c r="T1802" s="5" t="str">
        <f t="shared" si="270"/>
        <v/>
      </c>
      <c r="U1802" s="5" t="str">
        <f t="shared" si="270"/>
        <v/>
      </c>
    </row>
    <row r="1803" spans="7:21" x14ac:dyDescent="0.2">
      <c r="G1803" s="8"/>
      <c r="H1803" s="5"/>
      <c r="J1803" s="10" t="str">
        <f t="shared" si="266"/>
        <v/>
      </c>
      <c r="K1803" s="10" t="str">
        <f t="shared" si="267"/>
        <v/>
      </c>
      <c r="L1803" s="11" t="str">
        <f t="shared" si="269"/>
        <v/>
      </c>
      <c r="M1803" s="9" t="str">
        <f>IF(G1803&lt;&gt;"",J1803/MAX(J$3:J1803)-1,"")</f>
        <v/>
      </c>
      <c r="N1803" s="9" t="str">
        <f>IF(G1803&lt;&gt;"",K1803/MAX(K$3:K1803)-1,"")</f>
        <v/>
      </c>
      <c r="O1803" s="16" t="str">
        <f t="shared" si="265"/>
        <v/>
      </c>
      <c r="P1803" s="16" t="str">
        <f t="shared" si="265"/>
        <v/>
      </c>
      <c r="Q1803" s="16" t="str">
        <f t="shared" si="265"/>
        <v/>
      </c>
      <c r="R1803" s="5" t="str">
        <f t="shared" si="264"/>
        <v/>
      </c>
      <c r="S1803" s="5" t="str">
        <f t="shared" si="268"/>
        <v/>
      </c>
      <c r="T1803" s="5" t="str">
        <f t="shared" si="270"/>
        <v/>
      </c>
      <c r="U1803" s="5" t="str">
        <f t="shared" si="270"/>
        <v/>
      </c>
    </row>
    <row r="1804" spans="7:21" x14ac:dyDescent="0.2">
      <c r="G1804" s="8"/>
      <c r="H1804" s="5"/>
      <c r="J1804" s="10" t="str">
        <f t="shared" si="266"/>
        <v/>
      </c>
      <c r="K1804" s="10" t="str">
        <f t="shared" si="267"/>
        <v/>
      </c>
      <c r="L1804" s="11" t="str">
        <f t="shared" si="269"/>
        <v/>
      </c>
      <c r="M1804" s="9" t="str">
        <f>IF(G1804&lt;&gt;"",J1804/MAX(J$3:J1804)-1,"")</f>
        <v/>
      </c>
      <c r="N1804" s="9" t="str">
        <f>IF(G1804&lt;&gt;"",K1804/MAX(K$3:K1804)-1,"")</f>
        <v/>
      </c>
      <c r="O1804" s="16" t="str">
        <f t="shared" si="265"/>
        <v/>
      </c>
      <c r="P1804" s="16" t="str">
        <f t="shared" si="265"/>
        <v/>
      </c>
      <c r="Q1804" s="16" t="str">
        <f t="shared" si="265"/>
        <v/>
      </c>
      <c r="R1804" s="5" t="str">
        <f t="shared" si="264"/>
        <v/>
      </c>
      <c r="S1804" s="5" t="str">
        <f t="shared" si="268"/>
        <v/>
      </c>
      <c r="T1804" s="5" t="str">
        <f t="shared" si="270"/>
        <v/>
      </c>
      <c r="U1804" s="5" t="str">
        <f t="shared" si="270"/>
        <v/>
      </c>
    </row>
    <row r="1805" spans="7:21" x14ac:dyDescent="0.2">
      <c r="G1805" s="8"/>
      <c r="H1805" s="5"/>
      <c r="J1805" s="10" t="str">
        <f t="shared" si="266"/>
        <v/>
      </c>
      <c r="K1805" s="10" t="str">
        <f t="shared" si="267"/>
        <v/>
      </c>
      <c r="L1805" s="11" t="str">
        <f t="shared" si="269"/>
        <v/>
      </c>
      <c r="M1805" s="9" t="str">
        <f>IF(G1805&lt;&gt;"",J1805/MAX(J$3:J1805)-1,"")</f>
        <v/>
      </c>
      <c r="N1805" s="9" t="str">
        <f>IF(G1805&lt;&gt;"",K1805/MAX(K$3:K1805)-1,"")</f>
        <v/>
      </c>
      <c r="O1805" s="16" t="str">
        <f t="shared" si="265"/>
        <v/>
      </c>
      <c r="P1805" s="16" t="str">
        <f t="shared" si="265"/>
        <v/>
      </c>
      <c r="Q1805" s="16" t="str">
        <f t="shared" si="265"/>
        <v/>
      </c>
      <c r="R1805" s="5" t="str">
        <f t="shared" si="264"/>
        <v/>
      </c>
      <c r="S1805" s="5" t="str">
        <f t="shared" si="268"/>
        <v/>
      </c>
      <c r="T1805" s="5" t="str">
        <f t="shared" si="270"/>
        <v/>
      </c>
      <c r="U1805" s="5" t="str">
        <f t="shared" si="270"/>
        <v/>
      </c>
    </row>
    <row r="1806" spans="7:21" x14ac:dyDescent="0.2">
      <c r="G1806" s="8"/>
      <c r="H1806" s="5"/>
      <c r="J1806" s="10" t="str">
        <f t="shared" si="266"/>
        <v/>
      </c>
      <c r="K1806" s="10" t="str">
        <f t="shared" si="267"/>
        <v/>
      </c>
      <c r="L1806" s="11" t="str">
        <f t="shared" si="269"/>
        <v/>
      </c>
      <c r="M1806" s="9" t="str">
        <f>IF(G1806&lt;&gt;"",J1806/MAX(J$3:J1806)-1,"")</f>
        <v/>
      </c>
      <c r="N1806" s="9" t="str">
        <f>IF(G1806&lt;&gt;"",K1806/MAX(K$3:K1806)-1,"")</f>
        <v/>
      </c>
      <c r="O1806" s="16" t="str">
        <f t="shared" si="265"/>
        <v/>
      </c>
      <c r="P1806" s="16" t="str">
        <f t="shared" si="265"/>
        <v/>
      </c>
      <c r="Q1806" s="16" t="str">
        <f t="shared" si="265"/>
        <v/>
      </c>
      <c r="R1806" s="5" t="str">
        <f t="shared" si="264"/>
        <v/>
      </c>
      <c r="S1806" s="5" t="str">
        <f t="shared" si="268"/>
        <v/>
      </c>
      <c r="T1806" s="5" t="str">
        <f t="shared" si="270"/>
        <v/>
      </c>
      <c r="U1806" s="5" t="str">
        <f t="shared" si="270"/>
        <v/>
      </c>
    </row>
    <row r="1807" spans="7:21" x14ac:dyDescent="0.2">
      <c r="G1807" s="8"/>
      <c r="H1807" s="5"/>
      <c r="J1807" s="10" t="str">
        <f t="shared" si="266"/>
        <v/>
      </c>
      <c r="K1807" s="10" t="str">
        <f t="shared" si="267"/>
        <v/>
      </c>
      <c r="L1807" s="11" t="str">
        <f t="shared" si="269"/>
        <v/>
      </c>
      <c r="M1807" s="9" t="str">
        <f>IF(G1807&lt;&gt;"",J1807/MAX(J$3:J1807)-1,"")</f>
        <v/>
      </c>
      <c r="N1807" s="9" t="str">
        <f>IF(G1807&lt;&gt;"",K1807/MAX(K$3:K1807)-1,"")</f>
        <v/>
      </c>
      <c r="O1807" s="16" t="str">
        <f t="shared" si="265"/>
        <v/>
      </c>
      <c r="P1807" s="16" t="str">
        <f t="shared" si="265"/>
        <v/>
      </c>
      <c r="Q1807" s="16" t="str">
        <f t="shared" si="265"/>
        <v/>
      </c>
      <c r="R1807" s="5" t="str">
        <f t="shared" si="264"/>
        <v/>
      </c>
      <c r="S1807" s="5" t="str">
        <f t="shared" si="268"/>
        <v/>
      </c>
      <c r="T1807" s="5" t="str">
        <f t="shared" si="270"/>
        <v/>
      </c>
      <c r="U1807" s="5" t="str">
        <f t="shared" si="270"/>
        <v/>
      </c>
    </row>
    <row r="1808" spans="7:21" x14ac:dyDescent="0.2">
      <c r="G1808" s="8"/>
      <c r="H1808" s="5"/>
      <c r="J1808" s="10" t="str">
        <f t="shared" si="266"/>
        <v/>
      </c>
      <c r="K1808" s="10" t="str">
        <f t="shared" si="267"/>
        <v/>
      </c>
      <c r="L1808" s="11" t="str">
        <f t="shared" si="269"/>
        <v/>
      </c>
      <c r="M1808" s="9" t="str">
        <f>IF(G1808&lt;&gt;"",J1808/MAX(J$3:J1808)-1,"")</f>
        <v/>
      </c>
      <c r="N1808" s="9" t="str">
        <f>IF(G1808&lt;&gt;"",K1808/MAX(K$3:K1808)-1,"")</f>
        <v/>
      </c>
      <c r="O1808" s="16" t="str">
        <f t="shared" si="265"/>
        <v/>
      </c>
      <c r="P1808" s="16" t="str">
        <f t="shared" si="265"/>
        <v/>
      </c>
      <c r="Q1808" s="16" t="str">
        <f t="shared" si="265"/>
        <v/>
      </c>
      <c r="R1808" s="5" t="str">
        <f t="shared" si="264"/>
        <v/>
      </c>
      <c r="S1808" s="5" t="str">
        <f t="shared" si="268"/>
        <v/>
      </c>
      <c r="T1808" s="5" t="str">
        <f t="shared" si="270"/>
        <v/>
      </c>
      <c r="U1808" s="5" t="str">
        <f t="shared" si="270"/>
        <v/>
      </c>
    </row>
    <row r="1809" spans="7:21" x14ac:dyDescent="0.2">
      <c r="G1809" s="8"/>
      <c r="H1809" s="5"/>
      <c r="J1809" s="10" t="str">
        <f t="shared" si="266"/>
        <v/>
      </c>
      <c r="K1809" s="10" t="str">
        <f t="shared" si="267"/>
        <v/>
      </c>
      <c r="L1809" s="11" t="str">
        <f t="shared" si="269"/>
        <v/>
      </c>
      <c r="M1809" s="9" t="str">
        <f>IF(G1809&lt;&gt;"",J1809/MAX(J$3:J1809)-1,"")</f>
        <v/>
      </c>
      <c r="N1809" s="9" t="str">
        <f>IF(G1809&lt;&gt;"",K1809/MAX(K$3:K1809)-1,"")</f>
        <v/>
      </c>
      <c r="O1809" s="16" t="str">
        <f t="shared" si="265"/>
        <v/>
      </c>
      <c r="P1809" s="16" t="str">
        <f t="shared" si="265"/>
        <v/>
      </c>
      <c r="Q1809" s="16" t="str">
        <f t="shared" si="265"/>
        <v/>
      </c>
      <c r="R1809" s="5" t="str">
        <f t="shared" si="264"/>
        <v/>
      </c>
      <c r="S1809" s="5" t="str">
        <f t="shared" si="268"/>
        <v/>
      </c>
      <c r="T1809" s="5" t="str">
        <f t="shared" si="270"/>
        <v/>
      </c>
      <c r="U1809" s="5" t="str">
        <f t="shared" si="270"/>
        <v/>
      </c>
    </row>
    <row r="1810" spans="7:21" x14ac:dyDescent="0.2">
      <c r="G1810" s="8"/>
      <c r="H1810" s="5"/>
      <c r="J1810" s="10" t="str">
        <f t="shared" si="266"/>
        <v/>
      </c>
      <c r="K1810" s="10" t="str">
        <f t="shared" si="267"/>
        <v/>
      </c>
      <c r="L1810" s="11" t="str">
        <f t="shared" si="269"/>
        <v/>
      </c>
      <c r="M1810" s="9" t="str">
        <f>IF(G1810&lt;&gt;"",J1810/MAX(J$3:J1810)-1,"")</f>
        <v/>
      </c>
      <c r="N1810" s="9" t="str">
        <f>IF(G1810&lt;&gt;"",K1810/MAX(K$3:K1810)-1,"")</f>
        <v/>
      </c>
      <c r="O1810" s="16" t="str">
        <f t="shared" si="265"/>
        <v/>
      </c>
      <c r="P1810" s="16" t="str">
        <f t="shared" si="265"/>
        <v/>
      </c>
      <c r="Q1810" s="16" t="str">
        <f t="shared" si="265"/>
        <v/>
      </c>
      <c r="R1810" s="5" t="str">
        <f t="shared" si="264"/>
        <v/>
      </c>
      <c r="S1810" s="5" t="str">
        <f t="shared" si="268"/>
        <v/>
      </c>
      <c r="T1810" s="5" t="str">
        <f t="shared" si="270"/>
        <v/>
      </c>
      <c r="U1810" s="5" t="str">
        <f t="shared" si="270"/>
        <v/>
      </c>
    </row>
    <row r="1811" spans="7:21" x14ac:dyDescent="0.2">
      <c r="G1811" s="8"/>
      <c r="H1811" s="5"/>
      <c r="J1811" s="10" t="str">
        <f t="shared" si="266"/>
        <v/>
      </c>
      <c r="K1811" s="10" t="str">
        <f t="shared" si="267"/>
        <v/>
      </c>
      <c r="L1811" s="11" t="str">
        <f t="shared" si="269"/>
        <v/>
      </c>
      <c r="M1811" s="9" t="str">
        <f>IF(G1811&lt;&gt;"",J1811/MAX(J$3:J1811)-1,"")</f>
        <v/>
      </c>
      <c r="N1811" s="9" t="str">
        <f>IF(G1811&lt;&gt;"",K1811/MAX(K$3:K1811)-1,"")</f>
        <v/>
      </c>
      <c r="O1811" s="16" t="str">
        <f t="shared" si="265"/>
        <v/>
      </c>
      <c r="P1811" s="16" t="str">
        <f t="shared" si="265"/>
        <v/>
      </c>
      <c r="Q1811" s="16" t="str">
        <f t="shared" si="265"/>
        <v/>
      </c>
      <c r="R1811" s="5" t="str">
        <f t="shared" si="264"/>
        <v/>
      </c>
      <c r="S1811" s="5" t="str">
        <f t="shared" si="268"/>
        <v/>
      </c>
      <c r="T1811" s="5" t="str">
        <f t="shared" si="270"/>
        <v/>
      </c>
      <c r="U1811" s="5" t="str">
        <f t="shared" si="270"/>
        <v/>
      </c>
    </row>
    <row r="1812" spans="7:21" x14ac:dyDescent="0.2">
      <c r="G1812" s="8"/>
      <c r="H1812" s="5"/>
      <c r="J1812" s="10" t="str">
        <f t="shared" si="266"/>
        <v/>
      </c>
      <c r="K1812" s="10" t="str">
        <f t="shared" si="267"/>
        <v/>
      </c>
      <c r="L1812" s="11" t="str">
        <f t="shared" si="269"/>
        <v/>
      </c>
      <c r="M1812" s="9" t="str">
        <f>IF(G1812&lt;&gt;"",J1812/MAX(J$3:J1812)-1,"")</f>
        <v/>
      </c>
      <c r="N1812" s="9" t="str">
        <f>IF(G1812&lt;&gt;"",K1812/MAX(K$3:K1812)-1,"")</f>
        <v/>
      </c>
      <c r="O1812" s="16" t="str">
        <f t="shared" si="265"/>
        <v/>
      </c>
      <c r="P1812" s="16" t="str">
        <f t="shared" si="265"/>
        <v/>
      </c>
      <c r="Q1812" s="16" t="str">
        <f t="shared" si="265"/>
        <v/>
      </c>
      <c r="R1812" s="5" t="str">
        <f t="shared" si="264"/>
        <v/>
      </c>
      <c r="S1812" s="5" t="str">
        <f t="shared" si="268"/>
        <v/>
      </c>
      <c r="T1812" s="5" t="str">
        <f t="shared" si="270"/>
        <v/>
      </c>
      <c r="U1812" s="5" t="str">
        <f t="shared" si="270"/>
        <v/>
      </c>
    </row>
    <row r="1813" spans="7:21" x14ac:dyDescent="0.2">
      <c r="G1813" s="8"/>
      <c r="H1813" s="5"/>
      <c r="J1813" s="10" t="str">
        <f t="shared" si="266"/>
        <v/>
      </c>
      <c r="K1813" s="10" t="str">
        <f t="shared" si="267"/>
        <v/>
      </c>
      <c r="L1813" s="11" t="str">
        <f t="shared" si="269"/>
        <v/>
      </c>
      <c r="M1813" s="9" t="str">
        <f>IF(G1813&lt;&gt;"",J1813/MAX(J$3:J1813)-1,"")</f>
        <v/>
      </c>
      <c r="N1813" s="9" t="str">
        <f>IF(G1813&lt;&gt;"",K1813/MAX(K$3:K1813)-1,"")</f>
        <v/>
      </c>
      <c r="O1813" s="16" t="str">
        <f t="shared" si="265"/>
        <v/>
      </c>
      <c r="P1813" s="16" t="str">
        <f t="shared" si="265"/>
        <v/>
      </c>
      <c r="Q1813" s="16" t="str">
        <f t="shared" si="265"/>
        <v/>
      </c>
      <c r="R1813" s="5" t="str">
        <f t="shared" si="264"/>
        <v/>
      </c>
      <c r="S1813" s="5" t="str">
        <f t="shared" si="268"/>
        <v/>
      </c>
      <c r="T1813" s="5" t="str">
        <f t="shared" si="270"/>
        <v/>
      </c>
      <c r="U1813" s="5" t="str">
        <f t="shared" si="270"/>
        <v/>
      </c>
    </row>
    <row r="1814" spans="7:21" x14ac:dyDescent="0.2">
      <c r="G1814" s="8"/>
      <c r="H1814" s="5"/>
      <c r="J1814" s="10" t="str">
        <f t="shared" si="266"/>
        <v/>
      </c>
      <c r="K1814" s="10" t="str">
        <f t="shared" si="267"/>
        <v/>
      </c>
      <c r="L1814" s="11" t="str">
        <f t="shared" si="269"/>
        <v/>
      </c>
      <c r="M1814" s="9" t="str">
        <f>IF(G1814&lt;&gt;"",J1814/MAX(J$3:J1814)-1,"")</f>
        <v/>
      </c>
      <c r="N1814" s="9" t="str">
        <f>IF(G1814&lt;&gt;"",K1814/MAX(K$3:K1814)-1,"")</f>
        <v/>
      </c>
      <c r="O1814" s="16" t="str">
        <f t="shared" si="265"/>
        <v/>
      </c>
      <c r="P1814" s="16" t="str">
        <f t="shared" si="265"/>
        <v/>
      </c>
      <c r="Q1814" s="16" t="str">
        <f t="shared" si="265"/>
        <v/>
      </c>
      <c r="R1814" s="5" t="str">
        <f t="shared" si="264"/>
        <v/>
      </c>
      <c r="S1814" s="5" t="str">
        <f t="shared" si="268"/>
        <v/>
      </c>
      <c r="T1814" s="5" t="str">
        <f t="shared" si="270"/>
        <v/>
      </c>
      <c r="U1814" s="5" t="str">
        <f t="shared" si="270"/>
        <v/>
      </c>
    </row>
    <row r="1815" spans="7:21" x14ac:dyDescent="0.2">
      <c r="G1815" s="8"/>
      <c r="H1815" s="5"/>
      <c r="J1815" s="10" t="str">
        <f t="shared" si="266"/>
        <v/>
      </c>
      <c r="K1815" s="10" t="str">
        <f t="shared" si="267"/>
        <v/>
      </c>
      <c r="L1815" s="11" t="str">
        <f t="shared" si="269"/>
        <v/>
      </c>
      <c r="M1815" s="9" t="str">
        <f>IF(G1815&lt;&gt;"",J1815/MAX(J$3:J1815)-1,"")</f>
        <v/>
      </c>
      <c r="N1815" s="9" t="str">
        <f>IF(G1815&lt;&gt;"",K1815/MAX(K$3:K1815)-1,"")</f>
        <v/>
      </c>
      <c r="O1815" s="16" t="str">
        <f t="shared" si="265"/>
        <v/>
      </c>
      <c r="P1815" s="16" t="str">
        <f t="shared" si="265"/>
        <v/>
      </c>
      <c r="Q1815" s="16" t="str">
        <f t="shared" si="265"/>
        <v/>
      </c>
      <c r="R1815" s="5" t="str">
        <f t="shared" si="264"/>
        <v/>
      </c>
      <c r="S1815" s="5" t="str">
        <f t="shared" si="268"/>
        <v/>
      </c>
      <c r="T1815" s="5" t="str">
        <f t="shared" si="270"/>
        <v/>
      </c>
      <c r="U1815" s="5" t="str">
        <f t="shared" si="270"/>
        <v/>
      </c>
    </row>
    <row r="1816" spans="7:21" x14ac:dyDescent="0.2">
      <c r="G1816" s="8"/>
      <c r="H1816" s="5"/>
      <c r="J1816" s="10" t="str">
        <f t="shared" si="266"/>
        <v/>
      </c>
      <c r="K1816" s="10" t="str">
        <f t="shared" si="267"/>
        <v/>
      </c>
      <c r="L1816" s="11" t="str">
        <f t="shared" si="269"/>
        <v/>
      </c>
      <c r="M1816" s="9" t="str">
        <f>IF(G1816&lt;&gt;"",J1816/MAX(J$3:J1816)-1,"")</f>
        <v/>
      </c>
      <c r="N1816" s="9" t="str">
        <f>IF(G1816&lt;&gt;"",K1816/MAX(K$3:K1816)-1,"")</f>
        <v/>
      </c>
      <c r="O1816" s="16" t="str">
        <f t="shared" si="265"/>
        <v/>
      </c>
      <c r="P1816" s="16" t="str">
        <f t="shared" si="265"/>
        <v/>
      </c>
      <c r="Q1816" s="16" t="str">
        <f t="shared" si="265"/>
        <v/>
      </c>
      <c r="R1816" s="5" t="str">
        <f t="shared" si="264"/>
        <v/>
      </c>
      <c r="S1816" s="5" t="str">
        <f t="shared" si="268"/>
        <v/>
      </c>
      <c r="T1816" s="5" t="str">
        <f t="shared" ref="T1816:U1831" si="271">IF($G1816&lt;&gt;"",_xlfn.STDEV.S(O1572:O1816),"")</f>
        <v/>
      </c>
      <c r="U1816" s="5" t="str">
        <f t="shared" si="271"/>
        <v/>
      </c>
    </row>
    <row r="1817" spans="7:21" x14ac:dyDescent="0.2">
      <c r="G1817" s="8"/>
      <c r="H1817" s="5"/>
      <c r="J1817" s="10" t="str">
        <f t="shared" si="266"/>
        <v/>
      </c>
      <c r="K1817" s="10" t="str">
        <f t="shared" si="267"/>
        <v/>
      </c>
      <c r="L1817" s="11" t="str">
        <f t="shared" si="269"/>
        <v/>
      </c>
      <c r="M1817" s="9" t="str">
        <f>IF(G1817&lt;&gt;"",J1817/MAX(J$3:J1817)-1,"")</f>
        <v/>
      </c>
      <c r="N1817" s="9" t="str">
        <f>IF(G1817&lt;&gt;"",K1817/MAX(K$3:K1817)-1,"")</f>
        <v/>
      </c>
      <c r="O1817" s="16" t="str">
        <f t="shared" si="265"/>
        <v/>
      </c>
      <c r="P1817" s="16" t="str">
        <f t="shared" si="265"/>
        <v/>
      </c>
      <c r="Q1817" s="16" t="str">
        <f t="shared" si="265"/>
        <v/>
      </c>
      <c r="R1817" s="5" t="str">
        <f t="shared" si="264"/>
        <v/>
      </c>
      <c r="S1817" s="5" t="str">
        <f t="shared" si="268"/>
        <v/>
      </c>
      <c r="T1817" s="5" t="str">
        <f t="shared" si="271"/>
        <v/>
      </c>
      <c r="U1817" s="5" t="str">
        <f t="shared" si="271"/>
        <v/>
      </c>
    </row>
    <row r="1818" spans="7:21" x14ac:dyDescent="0.2">
      <c r="G1818" s="8"/>
      <c r="H1818" s="5"/>
      <c r="J1818" s="10" t="str">
        <f t="shared" si="266"/>
        <v/>
      </c>
      <c r="K1818" s="10" t="str">
        <f t="shared" si="267"/>
        <v/>
      </c>
      <c r="L1818" s="11" t="str">
        <f t="shared" si="269"/>
        <v/>
      </c>
      <c r="M1818" s="9" t="str">
        <f>IF(G1818&lt;&gt;"",J1818/MAX(J$3:J1818)-1,"")</f>
        <v/>
      </c>
      <c r="N1818" s="9" t="str">
        <f>IF(G1818&lt;&gt;"",K1818/MAX(K$3:K1818)-1,"")</f>
        <v/>
      </c>
      <c r="O1818" s="16" t="str">
        <f t="shared" si="265"/>
        <v/>
      </c>
      <c r="P1818" s="16" t="str">
        <f t="shared" si="265"/>
        <v/>
      </c>
      <c r="Q1818" s="16" t="str">
        <f t="shared" si="265"/>
        <v/>
      </c>
      <c r="R1818" s="5" t="str">
        <f t="shared" si="264"/>
        <v/>
      </c>
      <c r="S1818" s="5" t="str">
        <f t="shared" si="268"/>
        <v/>
      </c>
      <c r="T1818" s="5" t="str">
        <f t="shared" si="271"/>
        <v/>
      </c>
      <c r="U1818" s="5" t="str">
        <f t="shared" si="271"/>
        <v/>
      </c>
    </row>
    <row r="1819" spans="7:21" x14ac:dyDescent="0.2">
      <c r="G1819" s="8"/>
      <c r="H1819" s="5"/>
      <c r="J1819" s="10" t="str">
        <f t="shared" si="266"/>
        <v/>
      </c>
      <c r="K1819" s="10" t="str">
        <f t="shared" si="267"/>
        <v/>
      </c>
      <c r="L1819" s="11" t="str">
        <f t="shared" si="269"/>
        <v/>
      </c>
      <c r="M1819" s="9" t="str">
        <f>IF(G1819&lt;&gt;"",J1819/MAX(J$3:J1819)-1,"")</f>
        <v/>
      </c>
      <c r="N1819" s="9" t="str">
        <f>IF(G1819&lt;&gt;"",K1819/MAX(K$3:K1819)-1,"")</f>
        <v/>
      </c>
      <c r="O1819" s="16" t="str">
        <f t="shared" si="265"/>
        <v/>
      </c>
      <c r="P1819" s="16" t="str">
        <f t="shared" si="265"/>
        <v/>
      </c>
      <c r="Q1819" s="16" t="str">
        <f t="shared" si="265"/>
        <v/>
      </c>
      <c r="R1819" s="5" t="str">
        <f t="shared" si="264"/>
        <v/>
      </c>
      <c r="S1819" s="5" t="str">
        <f t="shared" si="268"/>
        <v/>
      </c>
      <c r="T1819" s="5" t="str">
        <f t="shared" si="271"/>
        <v/>
      </c>
      <c r="U1819" s="5" t="str">
        <f t="shared" si="271"/>
        <v/>
      </c>
    </row>
    <row r="1820" spans="7:21" x14ac:dyDescent="0.2">
      <c r="G1820" s="8"/>
      <c r="H1820" s="5"/>
      <c r="J1820" s="10" t="str">
        <f t="shared" si="266"/>
        <v/>
      </c>
      <c r="K1820" s="10" t="str">
        <f t="shared" si="267"/>
        <v/>
      </c>
      <c r="L1820" s="11" t="str">
        <f t="shared" si="269"/>
        <v/>
      </c>
      <c r="M1820" s="9" t="str">
        <f>IF(G1820&lt;&gt;"",J1820/MAX(J$3:J1820)-1,"")</f>
        <v/>
      </c>
      <c r="N1820" s="9" t="str">
        <f>IF(G1820&lt;&gt;"",K1820/MAX(K$3:K1820)-1,"")</f>
        <v/>
      </c>
      <c r="O1820" s="16" t="str">
        <f t="shared" si="265"/>
        <v/>
      </c>
      <c r="P1820" s="16" t="str">
        <f t="shared" si="265"/>
        <v/>
      </c>
      <c r="Q1820" s="16" t="str">
        <f t="shared" si="265"/>
        <v/>
      </c>
      <c r="R1820" s="5" t="str">
        <f t="shared" si="264"/>
        <v/>
      </c>
      <c r="S1820" s="5" t="str">
        <f t="shared" si="268"/>
        <v/>
      </c>
      <c r="T1820" s="5" t="str">
        <f t="shared" si="271"/>
        <v/>
      </c>
      <c r="U1820" s="5" t="str">
        <f t="shared" si="271"/>
        <v/>
      </c>
    </row>
    <row r="1821" spans="7:21" x14ac:dyDescent="0.2">
      <c r="G1821" s="8"/>
      <c r="H1821" s="5"/>
      <c r="J1821" s="10" t="str">
        <f t="shared" si="266"/>
        <v/>
      </c>
      <c r="K1821" s="10" t="str">
        <f t="shared" si="267"/>
        <v/>
      </c>
      <c r="L1821" s="11" t="str">
        <f t="shared" si="269"/>
        <v/>
      </c>
      <c r="M1821" s="9" t="str">
        <f>IF(G1821&lt;&gt;"",J1821/MAX(J$3:J1821)-1,"")</f>
        <v/>
      </c>
      <c r="N1821" s="9" t="str">
        <f>IF(G1821&lt;&gt;"",K1821/MAX(K$3:K1821)-1,"")</f>
        <v/>
      </c>
      <c r="O1821" s="16" t="str">
        <f t="shared" si="265"/>
        <v/>
      </c>
      <c r="P1821" s="16" t="str">
        <f t="shared" si="265"/>
        <v/>
      </c>
      <c r="Q1821" s="16" t="str">
        <f t="shared" si="265"/>
        <v/>
      </c>
      <c r="R1821" s="5" t="str">
        <f t="shared" si="264"/>
        <v/>
      </c>
      <c r="S1821" s="5" t="str">
        <f t="shared" si="268"/>
        <v/>
      </c>
      <c r="T1821" s="5" t="str">
        <f t="shared" si="271"/>
        <v/>
      </c>
      <c r="U1821" s="5" t="str">
        <f t="shared" si="271"/>
        <v/>
      </c>
    </row>
    <row r="1822" spans="7:21" x14ac:dyDescent="0.2">
      <c r="G1822" s="8"/>
      <c r="H1822" s="5"/>
      <c r="J1822" s="10" t="str">
        <f t="shared" si="266"/>
        <v/>
      </c>
      <c r="K1822" s="10" t="str">
        <f t="shared" si="267"/>
        <v/>
      </c>
      <c r="L1822" s="11" t="str">
        <f t="shared" si="269"/>
        <v/>
      </c>
      <c r="M1822" s="9" t="str">
        <f>IF(G1822&lt;&gt;"",J1822/MAX(J$3:J1822)-1,"")</f>
        <v/>
      </c>
      <c r="N1822" s="9" t="str">
        <f>IF(G1822&lt;&gt;"",K1822/MAX(K$3:K1822)-1,"")</f>
        <v/>
      </c>
      <c r="O1822" s="16" t="str">
        <f t="shared" si="265"/>
        <v/>
      </c>
      <c r="P1822" s="16" t="str">
        <f t="shared" si="265"/>
        <v/>
      </c>
      <c r="Q1822" s="16" t="str">
        <f t="shared" si="265"/>
        <v/>
      </c>
      <c r="R1822" s="5" t="str">
        <f t="shared" si="264"/>
        <v/>
      </c>
      <c r="S1822" s="5" t="str">
        <f t="shared" si="268"/>
        <v/>
      </c>
      <c r="T1822" s="5" t="str">
        <f t="shared" si="271"/>
        <v/>
      </c>
      <c r="U1822" s="5" t="str">
        <f t="shared" si="271"/>
        <v/>
      </c>
    </row>
    <row r="1823" spans="7:21" x14ac:dyDescent="0.2">
      <c r="G1823" s="8"/>
      <c r="H1823" s="5"/>
      <c r="J1823" s="10" t="str">
        <f t="shared" si="266"/>
        <v/>
      </c>
      <c r="K1823" s="10" t="str">
        <f t="shared" si="267"/>
        <v/>
      </c>
      <c r="L1823" s="11" t="str">
        <f t="shared" si="269"/>
        <v/>
      </c>
      <c r="M1823" s="9" t="str">
        <f>IF(G1823&lt;&gt;"",J1823/MAX(J$3:J1823)-1,"")</f>
        <v/>
      </c>
      <c r="N1823" s="9" t="str">
        <f>IF(G1823&lt;&gt;"",K1823/MAX(K$3:K1823)-1,"")</f>
        <v/>
      </c>
      <c r="O1823" s="16" t="str">
        <f t="shared" si="265"/>
        <v/>
      </c>
      <c r="P1823" s="16" t="str">
        <f t="shared" si="265"/>
        <v/>
      </c>
      <c r="Q1823" s="16" t="str">
        <f t="shared" si="265"/>
        <v/>
      </c>
      <c r="R1823" s="5" t="str">
        <f t="shared" si="264"/>
        <v/>
      </c>
      <c r="S1823" s="5" t="str">
        <f t="shared" si="268"/>
        <v/>
      </c>
      <c r="T1823" s="5" t="str">
        <f t="shared" si="271"/>
        <v/>
      </c>
      <c r="U1823" s="5" t="str">
        <f t="shared" si="271"/>
        <v/>
      </c>
    </row>
    <row r="1824" spans="7:21" x14ac:dyDescent="0.2">
      <c r="G1824" s="8"/>
      <c r="H1824" s="5"/>
      <c r="J1824" s="10" t="str">
        <f t="shared" si="266"/>
        <v/>
      </c>
      <c r="K1824" s="10" t="str">
        <f t="shared" si="267"/>
        <v/>
      </c>
      <c r="L1824" s="11" t="str">
        <f t="shared" si="269"/>
        <v/>
      </c>
      <c r="M1824" s="9" t="str">
        <f>IF(G1824&lt;&gt;"",J1824/MAX(J$3:J1824)-1,"")</f>
        <v/>
      </c>
      <c r="N1824" s="9" t="str">
        <f>IF(G1824&lt;&gt;"",K1824/MAX(K$3:K1824)-1,"")</f>
        <v/>
      </c>
      <c r="O1824" s="16" t="str">
        <f t="shared" si="265"/>
        <v/>
      </c>
      <c r="P1824" s="16" t="str">
        <f t="shared" si="265"/>
        <v/>
      </c>
      <c r="Q1824" s="16" t="str">
        <f t="shared" si="265"/>
        <v/>
      </c>
      <c r="R1824" s="5" t="str">
        <f t="shared" si="264"/>
        <v/>
      </c>
      <c r="S1824" s="5" t="str">
        <f t="shared" si="268"/>
        <v/>
      </c>
      <c r="T1824" s="5" t="str">
        <f t="shared" si="271"/>
        <v/>
      </c>
      <c r="U1824" s="5" t="str">
        <f t="shared" si="271"/>
        <v/>
      </c>
    </row>
    <row r="1825" spans="7:21" x14ac:dyDescent="0.2">
      <c r="G1825" s="8"/>
      <c r="H1825" s="5"/>
      <c r="J1825" s="10" t="str">
        <f t="shared" si="266"/>
        <v/>
      </c>
      <c r="K1825" s="10" t="str">
        <f t="shared" si="267"/>
        <v/>
      </c>
      <c r="L1825" s="11" t="str">
        <f t="shared" si="269"/>
        <v/>
      </c>
      <c r="M1825" s="9" t="str">
        <f>IF(G1825&lt;&gt;"",J1825/MAX(J$3:J1825)-1,"")</f>
        <v/>
      </c>
      <c r="N1825" s="9" t="str">
        <f>IF(G1825&lt;&gt;"",K1825/MAX(K$3:K1825)-1,"")</f>
        <v/>
      </c>
      <c r="O1825" s="16" t="str">
        <f t="shared" si="265"/>
        <v/>
      </c>
      <c r="P1825" s="16" t="str">
        <f t="shared" si="265"/>
        <v/>
      </c>
      <c r="Q1825" s="16" t="str">
        <f t="shared" si="265"/>
        <v/>
      </c>
      <c r="R1825" s="5" t="str">
        <f t="shared" si="264"/>
        <v/>
      </c>
      <c r="S1825" s="5" t="str">
        <f t="shared" si="268"/>
        <v/>
      </c>
      <c r="T1825" s="5" t="str">
        <f t="shared" si="271"/>
        <v/>
      </c>
      <c r="U1825" s="5" t="str">
        <f t="shared" si="271"/>
        <v/>
      </c>
    </row>
    <row r="1826" spans="7:21" x14ac:dyDescent="0.2">
      <c r="G1826" s="8"/>
      <c r="H1826" s="5"/>
      <c r="J1826" s="10" t="str">
        <f t="shared" si="266"/>
        <v/>
      </c>
      <c r="K1826" s="10" t="str">
        <f t="shared" si="267"/>
        <v/>
      </c>
      <c r="L1826" s="11" t="str">
        <f t="shared" si="269"/>
        <v/>
      </c>
      <c r="M1826" s="9" t="str">
        <f>IF(G1826&lt;&gt;"",J1826/MAX(J$3:J1826)-1,"")</f>
        <v/>
      </c>
      <c r="N1826" s="9" t="str">
        <f>IF(G1826&lt;&gt;"",K1826/MAX(K$3:K1826)-1,"")</f>
        <v/>
      </c>
      <c r="O1826" s="16" t="str">
        <f t="shared" si="265"/>
        <v/>
      </c>
      <c r="P1826" s="16" t="str">
        <f t="shared" si="265"/>
        <v/>
      </c>
      <c r="Q1826" s="16" t="str">
        <f t="shared" si="265"/>
        <v/>
      </c>
      <c r="R1826" s="5" t="str">
        <f t="shared" si="264"/>
        <v/>
      </c>
      <c r="S1826" s="5" t="str">
        <f t="shared" si="268"/>
        <v/>
      </c>
      <c r="T1826" s="5" t="str">
        <f t="shared" si="271"/>
        <v/>
      </c>
      <c r="U1826" s="5" t="str">
        <f t="shared" si="271"/>
        <v/>
      </c>
    </row>
    <row r="1827" spans="7:21" x14ac:dyDescent="0.2">
      <c r="G1827" s="8"/>
      <c r="H1827" s="5"/>
      <c r="J1827" s="10" t="str">
        <f t="shared" si="266"/>
        <v/>
      </c>
      <c r="K1827" s="10" t="str">
        <f t="shared" si="267"/>
        <v/>
      </c>
      <c r="L1827" s="11" t="str">
        <f t="shared" si="269"/>
        <v/>
      </c>
      <c r="M1827" s="9" t="str">
        <f>IF(G1827&lt;&gt;"",J1827/MAX(J$3:J1827)-1,"")</f>
        <v/>
      </c>
      <c r="N1827" s="9" t="str">
        <f>IF(G1827&lt;&gt;"",K1827/MAX(K$3:K1827)-1,"")</f>
        <v/>
      </c>
      <c r="O1827" s="16" t="str">
        <f t="shared" si="265"/>
        <v/>
      </c>
      <c r="P1827" s="16" t="str">
        <f t="shared" si="265"/>
        <v/>
      </c>
      <c r="Q1827" s="16" t="str">
        <f t="shared" si="265"/>
        <v/>
      </c>
      <c r="R1827" s="5" t="str">
        <f t="shared" si="264"/>
        <v/>
      </c>
      <c r="S1827" s="5" t="str">
        <f t="shared" si="268"/>
        <v/>
      </c>
      <c r="T1827" s="5" t="str">
        <f t="shared" si="271"/>
        <v/>
      </c>
      <c r="U1827" s="5" t="str">
        <f t="shared" si="271"/>
        <v/>
      </c>
    </row>
    <row r="1828" spans="7:21" x14ac:dyDescent="0.2">
      <c r="G1828" s="8"/>
      <c r="H1828" s="5"/>
      <c r="J1828" s="10" t="str">
        <f t="shared" si="266"/>
        <v/>
      </c>
      <c r="K1828" s="10" t="str">
        <f t="shared" si="267"/>
        <v/>
      </c>
      <c r="L1828" s="11" t="str">
        <f t="shared" si="269"/>
        <v/>
      </c>
      <c r="M1828" s="9" t="str">
        <f>IF(G1828&lt;&gt;"",J1828/MAX(J$3:J1828)-1,"")</f>
        <v/>
      </c>
      <c r="N1828" s="9" t="str">
        <f>IF(G1828&lt;&gt;"",K1828/MAX(K$3:K1828)-1,"")</f>
        <v/>
      </c>
      <c r="O1828" s="16" t="str">
        <f t="shared" si="265"/>
        <v/>
      </c>
      <c r="P1828" s="16" t="str">
        <f t="shared" si="265"/>
        <v/>
      </c>
      <c r="Q1828" s="16" t="str">
        <f t="shared" si="265"/>
        <v/>
      </c>
      <c r="R1828" s="5" t="str">
        <f t="shared" si="264"/>
        <v/>
      </c>
      <c r="S1828" s="5" t="str">
        <f t="shared" si="268"/>
        <v/>
      </c>
      <c r="T1828" s="5" t="str">
        <f t="shared" si="271"/>
        <v/>
      </c>
      <c r="U1828" s="5" t="str">
        <f t="shared" si="271"/>
        <v/>
      </c>
    </row>
    <row r="1829" spans="7:21" x14ac:dyDescent="0.2">
      <c r="G1829" s="8"/>
      <c r="H1829" s="5"/>
      <c r="J1829" s="10" t="str">
        <f t="shared" si="266"/>
        <v/>
      </c>
      <c r="K1829" s="10" t="str">
        <f t="shared" si="267"/>
        <v/>
      </c>
      <c r="L1829" s="11" t="str">
        <f t="shared" si="269"/>
        <v/>
      </c>
      <c r="M1829" s="9" t="str">
        <f>IF(G1829&lt;&gt;"",J1829/MAX(J$3:J1829)-1,"")</f>
        <v/>
      </c>
      <c r="N1829" s="9" t="str">
        <f>IF(G1829&lt;&gt;"",K1829/MAX(K$3:K1829)-1,"")</f>
        <v/>
      </c>
      <c r="O1829" s="16" t="str">
        <f t="shared" si="265"/>
        <v/>
      </c>
      <c r="P1829" s="16" t="str">
        <f t="shared" si="265"/>
        <v/>
      </c>
      <c r="Q1829" s="16" t="str">
        <f t="shared" si="265"/>
        <v/>
      </c>
      <c r="R1829" s="5" t="str">
        <f t="shared" si="264"/>
        <v/>
      </c>
      <c r="S1829" s="5" t="str">
        <f t="shared" si="268"/>
        <v/>
      </c>
      <c r="T1829" s="5" t="str">
        <f t="shared" si="271"/>
        <v/>
      </c>
      <c r="U1829" s="5" t="str">
        <f t="shared" si="271"/>
        <v/>
      </c>
    </row>
    <row r="1830" spans="7:21" x14ac:dyDescent="0.2">
      <c r="G1830" s="8"/>
      <c r="H1830" s="5"/>
      <c r="J1830" s="10" t="str">
        <f t="shared" si="266"/>
        <v/>
      </c>
      <c r="K1830" s="10" t="str">
        <f t="shared" si="267"/>
        <v/>
      </c>
      <c r="L1830" s="11" t="str">
        <f t="shared" si="269"/>
        <v/>
      </c>
      <c r="M1830" s="9" t="str">
        <f>IF(G1830&lt;&gt;"",J1830/MAX(J$3:J1830)-1,"")</f>
        <v/>
      </c>
      <c r="N1830" s="9" t="str">
        <f>IF(G1830&lt;&gt;"",K1830/MAX(K$3:K1830)-1,"")</f>
        <v/>
      </c>
      <c r="O1830" s="16" t="str">
        <f t="shared" si="265"/>
        <v/>
      </c>
      <c r="P1830" s="16" t="str">
        <f t="shared" si="265"/>
        <v/>
      </c>
      <c r="Q1830" s="16" t="str">
        <f t="shared" si="265"/>
        <v/>
      </c>
      <c r="R1830" s="5" t="str">
        <f t="shared" si="264"/>
        <v/>
      </c>
      <c r="S1830" s="5" t="str">
        <f t="shared" si="268"/>
        <v/>
      </c>
      <c r="T1830" s="5" t="str">
        <f t="shared" si="271"/>
        <v/>
      </c>
      <c r="U1830" s="5" t="str">
        <f t="shared" si="271"/>
        <v/>
      </c>
    </row>
    <row r="1831" spans="7:21" x14ac:dyDescent="0.2">
      <c r="G1831" s="8"/>
      <c r="H1831" s="5"/>
      <c r="J1831" s="10" t="str">
        <f t="shared" si="266"/>
        <v/>
      </c>
      <c r="K1831" s="10" t="str">
        <f t="shared" si="267"/>
        <v/>
      </c>
      <c r="L1831" s="11" t="str">
        <f t="shared" si="269"/>
        <v/>
      </c>
      <c r="M1831" s="9" t="str">
        <f>IF(G1831&lt;&gt;"",J1831/MAX(J$3:J1831)-1,"")</f>
        <v/>
      </c>
      <c r="N1831" s="9" t="str">
        <f>IF(G1831&lt;&gt;"",K1831/MAX(K$3:K1831)-1,"")</f>
        <v/>
      </c>
      <c r="O1831" s="16" t="str">
        <f t="shared" si="265"/>
        <v/>
      </c>
      <c r="P1831" s="16" t="str">
        <f t="shared" si="265"/>
        <v/>
      </c>
      <c r="Q1831" s="16" t="str">
        <f t="shared" si="265"/>
        <v/>
      </c>
      <c r="R1831" s="5" t="str">
        <f t="shared" si="264"/>
        <v/>
      </c>
      <c r="S1831" s="5" t="str">
        <f t="shared" si="268"/>
        <v/>
      </c>
      <c r="T1831" s="5" t="str">
        <f t="shared" si="271"/>
        <v/>
      </c>
      <c r="U1831" s="5" t="str">
        <f t="shared" si="271"/>
        <v/>
      </c>
    </row>
    <row r="1832" spans="7:21" x14ac:dyDescent="0.2">
      <c r="G1832" s="8"/>
      <c r="H1832" s="5"/>
      <c r="J1832" s="10" t="str">
        <f t="shared" si="266"/>
        <v/>
      </c>
      <c r="K1832" s="10" t="str">
        <f t="shared" si="267"/>
        <v/>
      </c>
      <c r="L1832" s="11" t="str">
        <f t="shared" si="269"/>
        <v/>
      </c>
      <c r="M1832" s="9" t="str">
        <f>IF(G1832&lt;&gt;"",J1832/MAX(J$3:J1832)-1,"")</f>
        <v/>
      </c>
      <c r="N1832" s="9" t="str">
        <f>IF(G1832&lt;&gt;"",K1832/MAX(K$3:K1832)-1,"")</f>
        <v/>
      </c>
      <c r="O1832" s="16" t="str">
        <f t="shared" si="265"/>
        <v/>
      </c>
      <c r="P1832" s="16" t="str">
        <f t="shared" si="265"/>
        <v/>
      </c>
      <c r="Q1832" s="16" t="str">
        <f t="shared" si="265"/>
        <v/>
      </c>
      <c r="R1832" s="5" t="str">
        <f t="shared" si="264"/>
        <v/>
      </c>
      <c r="S1832" s="5" t="str">
        <f t="shared" si="268"/>
        <v/>
      </c>
      <c r="T1832" s="5" t="str">
        <f t="shared" ref="T1832:U1847" si="272">IF($G1832&lt;&gt;"",_xlfn.STDEV.S(O1588:O1832),"")</f>
        <v/>
      </c>
      <c r="U1832" s="5" t="str">
        <f t="shared" si="272"/>
        <v/>
      </c>
    </row>
    <row r="1833" spans="7:21" x14ac:dyDescent="0.2">
      <c r="G1833" s="8"/>
      <c r="H1833" s="5"/>
      <c r="J1833" s="10" t="str">
        <f t="shared" si="266"/>
        <v/>
      </c>
      <c r="K1833" s="10" t="str">
        <f t="shared" si="267"/>
        <v/>
      </c>
      <c r="L1833" s="11" t="str">
        <f t="shared" si="269"/>
        <v/>
      </c>
      <c r="M1833" s="9" t="str">
        <f>IF(G1833&lt;&gt;"",J1833/MAX(J$3:J1833)-1,"")</f>
        <v/>
      </c>
      <c r="N1833" s="9" t="str">
        <f>IF(G1833&lt;&gt;"",K1833/MAX(K$3:K1833)-1,"")</f>
        <v/>
      </c>
      <c r="O1833" s="16" t="str">
        <f t="shared" si="265"/>
        <v/>
      </c>
      <c r="P1833" s="16" t="str">
        <f t="shared" si="265"/>
        <v/>
      </c>
      <c r="Q1833" s="16" t="str">
        <f t="shared" si="265"/>
        <v/>
      </c>
      <c r="R1833" s="5" t="str">
        <f t="shared" si="264"/>
        <v/>
      </c>
      <c r="S1833" s="5" t="str">
        <f t="shared" si="268"/>
        <v/>
      </c>
      <c r="T1833" s="5" t="str">
        <f t="shared" si="272"/>
        <v/>
      </c>
      <c r="U1833" s="5" t="str">
        <f t="shared" si="272"/>
        <v/>
      </c>
    </row>
    <row r="1834" spans="7:21" x14ac:dyDescent="0.2">
      <c r="G1834" s="8"/>
      <c r="H1834" s="5"/>
      <c r="J1834" s="10" t="str">
        <f t="shared" si="266"/>
        <v/>
      </c>
      <c r="K1834" s="10" t="str">
        <f t="shared" si="267"/>
        <v/>
      </c>
      <c r="L1834" s="11" t="str">
        <f t="shared" si="269"/>
        <v/>
      </c>
      <c r="M1834" s="9" t="str">
        <f>IF(G1834&lt;&gt;"",J1834/MAX(J$3:J1834)-1,"")</f>
        <v/>
      </c>
      <c r="N1834" s="9" t="str">
        <f>IF(G1834&lt;&gt;"",K1834/MAX(K$3:K1834)-1,"")</f>
        <v/>
      </c>
      <c r="O1834" s="16" t="str">
        <f t="shared" si="265"/>
        <v/>
      </c>
      <c r="P1834" s="16" t="str">
        <f t="shared" si="265"/>
        <v/>
      </c>
      <c r="Q1834" s="16" t="str">
        <f t="shared" si="265"/>
        <v/>
      </c>
      <c r="R1834" s="5" t="str">
        <f t="shared" si="264"/>
        <v/>
      </c>
      <c r="S1834" s="5" t="str">
        <f t="shared" si="268"/>
        <v/>
      </c>
      <c r="T1834" s="5" t="str">
        <f t="shared" si="272"/>
        <v/>
      </c>
      <c r="U1834" s="5" t="str">
        <f t="shared" si="272"/>
        <v/>
      </c>
    </row>
    <row r="1835" spans="7:21" x14ac:dyDescent="0.2">
      <c r="G1835" s="8"/>
      <c r="H1835" s="5"/>
      <c r="J1835" s="10" t="str">
        <f t="shared" si="266"/>
        <v/>
      </c>
      <c r="K1835" s="10" t="str">
        <f t="shared" si="267"/>
        <v/>
      </c>
      <c r="L1835" s="11" t="str">
        <f t="shared" si="269"/>
        <v/>
      </c>
      <c r="M1835" s="9" t="str">
        <f>IF(G1835&lt;&gt;"",J1835/MAX(J$3:J1835)-1,"")</f>
        <v/>
      </c>
      <c r="N1835" s="9" t="str">
        <f>IF(G1835&lt;&gt;"",K1835/MAX(K$3:K1835)-1,"")</f>
        <v/>
      </c>
      <c r="O1835" s="16" t="str">
        <f t="shared" si="265"/>
        <v/>
      </c>
      <c r="P1835" s="16" t="str">
        <f t="shared" si="265"/>
        <v/>
      </c>
      <c r="Q1835" s="16" t="str">
        <f t="shared" si="265"/>
        <v/>
      </c>
      <c r="R1835" s="5" t="str">
        <f t="shared" si="264"/>
        <v/>
      </c>
      <c r="S1835" s="5" t="str">
        <f t="shared" si="268"/>
        <v/>
      </c>
      <c r="T1835" s="5" t="str">
        <f t="shared" si="272"/>
        <v/>
      </c>
      <c r="U1835" s="5" t="str">
        <f t="shared" si="272"/>
        <v/>
      </c>
    </row>
    <row r="1836" spans="7:21" x14ac:dyDescent="0.2">
      <c r="G1836" s="8"/>
      <c r="H1836" s="5"/>
      <c r="J1836" s="10" t="str">
        <f t="shared" si="266"/>
        <v/>
      </c>
      <c r="K1836" s="10" t="str">
        <f t="shared" si="267"/>
        <v/>
      </c>
      <c r="L1836" s="11" t="str">
        <f t="shared" si="269"/>
        <v/>
      </c>
      <c r="M1836" s="9" t="str">
        <f>IF(G1836&lt;&gt;"",J1836/MAX(J$3:J1836)-1,"")</f>
        <v/>
      </c>
      <c r="N1836" s="9" t="str">
        <f>IF(G1836&lt;&gt;"",K1836/MAX(K$3:K1836)-1,"")</f>
        <v/>
      </c>
      <c r="O1836" s="16" t="str">
        <f t="shared" si="265"/>
        <v/>
      </c>
      <c r="P1836" s="16" t="str">
        <f t="shared" si="265"/>
        <v/>
      </c>
      <c r="Q1836" s="16" t="str">
        <f t="shared" si="265"/>
        <v/>
      </c>
      <c r="R1836" s="5" t="str">
        <f t="shared" si="264"/>
        <v/>
      </c>
      <c r="S1836" s="5" t="str">
        <f t="shared" si="268"/>
        <v/>
      </c>
      <c r="T1836" s="5" t="str">
        <f t="shared" si="272"/>
        <v/>
      </c>
      <c r="U1836" s="5" t="str">
        <f t="shared" si="272"/>
        <v/>
      </c>
    </row>
    <row r="1837" spans="7:21" x14ac:dyDescent="0.2">
      <c r="G1837" s="8"/>
      <c r="H1837" s="5"/>
      <c r="J1837" s="10" t="str">
        <f t="shared" si="266"/>
        <v/>
      </c>
      <c r="K1837" s="10" t="str">
        <f t="shared" si="267"/>
        <v/>
      </c>
      <c r="L1837" s="11" t="str">
        <f t="shared" si="269"/>
        <v/>
      </c>
      <c r="M1837" s="9" t="str">
        <f>IF(G1837&lt;&gt;"",J1837/MAX(J$3:J1837)-1,"")</f>
        <v/>
      </c>
      <c r="N1837" s="9" t="str">
        <f>IF(G1837&lt;&gt;"",K1837/MAX(K$3:K1837)-1,"")</f>
        <v/>
      </c>
      <c r="O1837" s="16" t="str">
        <f t="shared" si="265"/>
        <v/>
      </c>
      <c r="P1837" s="16" t="str">
        <f t="shared" si="265"/>
        <v/>
      </c>
      <c r="Q1837" s="16" t="str">
        <f t="shared" si="265"/>
        <v/>
      </c>
      <c r="R1837" s="5" t="str">
        <f t="shared" si="264"/>
        <v/>
      </c>
      <c r="S1837" s="5" t="str">
        <f t="shared" si="268"/>
        <v/>
      </c>
      <c r="T1837" s="5" t="str">
        <f t="shared" si="272"/>
        <v/>
      </c>
      <c r="U1837" s="5" t="str">
        <f t="shared" si="272"/>
        <v/>
      </c>
    </row>
    <row r="1838" spans="7:21" x14ac:dyDescent="0.2">
      <c r="G1838" s="8"/>
      <c r="H1838" s="5"/>
      <c r="J1838" s="10" t="str">
        <f t="shared" si="266"/>
        <v/>
      </c>
      <c r="K1838" s="10" t="str">
        <f t="shared" si="267"/>
        <v/>
      </c>
      <c r="L1838" s="11" t="str">
        <f t="shared" si="269"/>
        <v/>
      </c>
      <c r="M1838" s="9" t="str">
        <f>IF(G1838&lt;&gt;"",J1838/MAX(J$3:J1838)-1,"")</f>
        <v/>
      </c>
      <c r="N1838" s="9" t="str">
        <f>IF(G1838&lt;&gt;"",K1838/MAX(K$3:K1838)-1,"")</f>
        <v/>
      </c>
      <c r="O1838" s="16" t="str">
        <f t="shared" si="265"/>
        <v/>
      </c>
      <c r="P1838" s="16" t="str">
        <f t="shared" si="265"/>
        <v/>
      </c>
      <c r="Q1838" s="16" t="str">
        <f t="shared" si="265"/>
        <v/>
      </c>
      <c r="R1838" s="5" t="str">
        <f t="shared" si="264"/>
        <v/>
      </c>
      <c r="S1838" s="5" t="str">
        <f t="shared" si="268"/>
        <v/>
      </c>
      <c r="T1838" s="5" t="str">
        <f t="shared" si="272"/>
        <v/>
      </c>
      <c r="U1838" s="5" t="str">
        <f t="shared" si="272"/>
        <v/>
      </c>
    </row>
    <row r="1839" spans="7:21" x14ac:dyDescent="0.2">
      <c r="G1839" s="8"/>
      <c r="H1839" s="5"/>
      <c r="J1839" s="10" t="str">
        <f t="shared" si="266"/>
        <v/>
      </c>
      <c r="K1839" s="10" t="str">
        <f t="shared" si="267"/>
        <v/>
      </c>
      <c r="L1839" s="11" t="str">
        <f t="shared" si="269"/>
        <v/>
      </c>
      <c r="M1839" s="9" t="str">
        <f>IF(G1839&lt;&gt;"",J1839/MAX(J$3:J1839)-1,"")</f>
        <v/>
      </c>
      <c r="N1839" s="9" t="str">
        <f>IF(G1839&lt;&gt;"",K1839/MAX(K$3:K1839)-1,"")</f>
        <v/>
      </c>
      <c r="O1839" s="16" t="str">
        <f t="shared" si="265"/>
        <v/>
      </c>
      <c r="P1839" s="16" t="str">
        <f t="shared" si="265"/>
        <v/>
      </c>
      <c r="Q1839" s="16" t="str">
        <f t="shared" si="265"/>
        <v/>
      </c>
      <c r="R1839" s="5" t="str">
        <f t="shared" si="264"/>
        <v/>
      </c>
      <c r="S1839" s="5" t="str">
        <f t="shared" si="268"/>
        <v/>
      </c>
      <c r="T1839" s="5" t="str">
        <f t="shared" si="272"/>
        <v/>
      </c>
      <c r="U1839" s="5" t="str">
        <f t="shared" si="272"/>
        <v/>
      </c>
    </row>
    <row r="1840" spans="7:21" x14ac:dyDescent="0.2">
      <c r="G1840" s="8"/>
      <c r="H1840" s="5"/>
      <c r="J1840" s="10" t="str">
        <f t="shared" si="266"/>
        <v/>
      </c>
      <c r="K1840" s="10" t="str">
        <f t="shared" si="267"/>
        <v/>
      </c>
      <c r="L1840" s="11" t="str">
        <f t="shared" si="269"/>
        <v/>
      </c>
      <c r="M1840" s="9" t="str">
        <f>IF(G1840&lt;&gt;"",J1840/MAX(J$3:J1840)-1,"")</f>
        <v/>
      </c>
      <c r="N1840" s="9" t="str">
        <f>IF(G1840&lt;&gt;"",K1840/MAX(K$3:K1840)-1,"")</f>
        <v/>
      </c>
      <c r="O1840" s="16" t="str">
        <f t="shared" si="265"/>
        <v/>
      </c>
      <c r="P1840" s="16" t="str">
        <f t="shared" si="265"/>
        <v/>
      </c>
      <c r="Q1840" s="16" t="str">
        <f t="shared" si="265"/>
        <v/>
      </c>
      <c r="R1840" s="5" t="str">
        <f t="shared" si="264"/>
        <v/>
      </c>
      <c r="S1840" s="5" t="str">
        <f t="shared" si="268"/>
        <v/>
      </c>
      <c r="T1840" s="5" t="str">
        <f t="shared" si="272"/>
        <v/>
      </c>
      <c r="U1840" s="5" t="str">
        <f t="shared" si="272"/>
        <v/>
      </c>
    </row>
    <row r="1841" spans="7:21" x14ac:dyDescent="0.2">
      <c r="G1841" s="8"/>
      <c r="H1841" s="5"/>
      <c r="J1841" s="10" t="str">
        <f t="shared" si="266"/>
        <v/>
      </c>
      <c r="K1841" s="10" t="str">
        <f t="shared" si="267"/>
        <v/>
      </c>
      <c r="L1841" s="11" t="str">
        <f t="shared" si="269"/>
        <v/>
      </c>
      <c r="M1841" s="9" t="str">
        <f>IF(G1841&lt;&gt;"",J1841/MAX(J$3:J1841)-1,"")</f>
        <v/>
      </c>
      <c r="N1841" s="9" t="str">
        <f>IF(G1841&lt;&gt;"",K1841/MAX(K$3:K1841)-1,"")</f>
        <v/>
      </c>
      <c r="O1841" s="16" t="str">
        <f t="shared" si="265"/>
        <v/>
      </c>
      <c r="P1841" s="16" t="str">
        <f t="shared" si="265"/>
        <v/>
      </c>
      <c r="Q1841" s="16" t="str">
        <f t="shared" si="265"/>
        <v/>
      </c>
      <c r="R1841" s="5" t="str">
        <f t="shared" si="264"/>
        <v/>
      </c>
      <c r="S1841" s="5" t="str">
        <f t="shared" si="268"/>
        <v/>
      </c>
      <c r="T1841" s="5" t="str">
        <f t="shared" si="272"/>
        <v/>
      </c>
      <c r="U1841" s="5" t="str">
        <f t="shared" si="272"/>
        <v/>
      </c>
    </row>
    <row r="1842" spans="7:21" x14ac:dyDescent="0.2">
      <c r="G1842" s="8"/>
      <c r="H1842" s="5"/>
      <c r="J1842" s="10" t="str">
        <f t="shared" si="266"/>
        <v/>
      </c>
      <c r="K1842" s="10" t="str">
        <f t="shared" si="267"/>
        <v/>
      </c>
      <c r="L1842" s="11" t="str">
        <f t="shared" si="269"/>
        <v/>
      </c>
      <c r="M1842" s="9" t="str">
        <f>IF(G1842&lt;&gt;"",J1842/MAX(J$3:J1842)-1,"")</f>
        <v/>
      </c>
      <c r="N1842" s="9" t="str">
        <f>IF(G1842&lt;&gt;"",K1842/MAX(K$3:K1842)-1,"")</f>
        <v/>
      </c>
      <c r="O1842" s="16" t="str">
        <f t="shared" si="265"/>
        <v/>
      </c>
      <c r="P1842" s="16" t="str">
        <f t="shared" si="265"/>
        <v/>
      </c>
      <c r="Q1842" s="16" t="str">
        <f t="shared" si="265"/>
        <v/>
      </c>
      <c r="R1842" s="5" t="str">
        <f t="shared" si="264"/>
        <v/>
      </c>
      <c r="S1842" s="5" t="str">
        <f t="shared" si="268"/>
        <v/>
      </c>
      <c r="T1842" s="5" t="str">
        <f t="shared" si="272"/>
        <v/>
      </c>
      <c r="U1842" s="5" t="str">
        <f t="shared" si="272"/>
        <v/>
      </c>
    </row>
    <row r="1843" spans="7:21" x14ac:dyDescent="0.2">
      <c r="G1843" s="8"/>
      <c r="H1843" s="5"/>
      <c r="J1843" s="10" t="str">
        <f t="shared" si="266"/>
        <v/>
      </c>
      <c r="K1843" s="10" t="str">
        <f t="shared" si="267"/>
        <v/>
      </c>
      <c r="L1843" s="11" t="str">
        <f t="shared" si="269"/>
        <v/>
      </c>
      <c r="M1843" s="9" t="str">
        <f>IF(G1843&lt;&gt;"",J1843/MAX(J$3:J1843)-1,"")</f>
        <v/>
      </c>
      <c r="N1843" s="9" t="str">
        <f>IF(G1843&lt;&gt;"",K1843/MAX(K$3:K1843)-1,"")</f>
        <v/>
      </c>
      <c r="O1843" s="16" t="str">
        <f t="shared" si="265"/>
        <v/>
      </c>
      <c r="P1843" s="16" t="str">
        <f t="shared" si="265"/>
        <v/>
      </c>
      <c r="Q1843" s="16" t="str">
        <f t="shared" si="265"/>
        <v/>
      </c>
      <c r="R1843" s="5" t="str">
        <f t="shared" si="264"/>
        <v/>
      </c>
      <c r="S1843" s="5" t="str">
        <f t="shared" si="268"/>
        <v/>
      </c>
      <c r="T1843" s="5" t="str">
        <f t="shared" si="272"/>
        <v/>
      </c>
      <c r="U1843" s="5" t="str">
        <f t="shared" si="272"/>
        <v/>
      </c>
    </row>
    <row r="1844" spans="7:21" x14ac:dyDescent="0.2">
      <c r="G1844" s="8"/>
      <c r="H1844" s="5"/>
      <c r="J1844" s="10" t="str">
        <f t="shared" si="266"/>
        <v/>
      </c>
      <c r="K1844" s="10" t="str">
        <f t="shared" si="267"/>
        <v/>
      </c>
      <c r="L1844" s="11" t="str">
        <f t="shared" si="269"/>
        <v/>
      </c>
      <c r="M1844" s="9" t="str">
        <f>IF(G1844&lt;&gt;"",J1844/MAX(J$3:J1844)-1,"")</f>
        <v/>
      </c>
      <c r="N1844" s="9" t="str">
        <f>IF(G1844&lt;&gt;"",K1844/MAX(K$3:K1844)-1,"")</f>
        <v/>
      </c>
      <c r="O1844" s="16" t="str">
        <f t="shared" si="265"/>
        <v/>
      </c>
      <c r="P1844" s="16" t="str">
        <f t="shared" si="265"/>
        <v/>
      </c>
      <c r="Q1844" s="16" t="str">
        <f t="shared" si="265"/>
        <v/>
      </c>
      <c r="R1844" s="5" t="str">
        <f t="shared" si="264"/>
        <v/>
      </c>
      <c r="S1844" s="5" t="str">
        <f t="shared" si="268"/>
        <v/>
      </c>
      <c r="T1844" s="5" t="str">
        <f t="shared" si="272"/>
        <v/>
      </c>
      <c r="U1844" s="5" t="str">
        <f t="shared" si="272"/>
        <v/>
      </c>
    </row>
    <row r="1845" spans="7:21" x14ac:dyDescent="0.2">
      <c r="G1845" s="8"/>
      <c r="H1845" s="5"/>
      <c r="J1845" s="10" t="str">
        <f t="shared" si="266"/>
        <v/>
      </c>
      <c r="K1845" s="10" t="str">
        <f t="shared" si="267"/>
        <v/>
      </c>
      <c r="L1845" s="11" t="str">
        <f t="shared" si="269"/>
        <v/>
      </c>
      <c r="M1845" s="9" t="str">
        <f>IF(G1845&lt;&gt;"",J1845/MAX(J$3:J1845)-1,"")</f>
        <v/>
      </c>
      <c r="N1845" s="9" t="str">
        <f>IF(G1845&lt;&gt;"",K1845/MAX(K$3:K1845)-1,"")</f>
        <v/>
      </c>
      <c r="O1845" s="16" t="str">
        <f t="shared" si="265"/>
        <v/>
      </c>
      <c r="P1845" s="16" t="str">
        <f t="shared" si="265"/>
        <v/>
      </c>
      <c r="Q1845" s="16" t="str">
        <f t="shared" si="265"/>
        <v/>
      </c>
      <c r="R1845" s="5" t="str">
        <f t="shared" si="264"/>
        <v/>
      </c>
      <c r="S1845" s="5" t="str">
        <f t="shared" si="268"/>
        <v/>
      </c>
      <c r="T1845" s="5" t="str">
        <f t="shared" si="272"/>
        <v/>
      </c>
      <c r="U1845" s="5" t="str">
        <f t="shared" si="272"/>
        <v/>
      </c>
    </row>
    <row r="1846" spans="7:21" x14ac:dyDescent="0.2">
      <c r="G1846" s="8"/>
      <c r="H1846" s="5"/>
      <c r="J1846" s="10" t="str">
        <f t="shared" si="266"/>
        <v/>
      </c>
      <c r="K1846" s="10" t="str">
        <f t="shared" si="267"/>
        <v/>
      </c>
      <c r="L1846" s="11" t="str">
        <f t="shared" si="269"/>
        <v/>
      </c>
      <c r="M1846" s="9" t="str">
        <f>IF(G1846&lt;&gt;"",J1846/MAX(J$3:J1846)-1,"")</f>
        <v/>
      </c>
      <c r="N1846" s="9" t="str">
        <f>IF(G1846&lt;&gt;"",K1846/MAX(K$3:K1846)-1,"")</f>
        <v/>
      </c>
      <c r="O1846" s="16" t="str">
        <f t="shared" si="265"/>
        <v/>
      </c>
      <c r="P1846" s="16" t="str">
        <f t="shared" si="265"/>
        <v/>
      </c>
      <c r="Q1846" s="16" t="str">
        <f t="shared" si="265"/>
        <v/>
      </c>
      <c r="R1846" s="5" t="str">
        <f t="shared" si="264"/>
        <v/>
      </c>
      <c r="S1846" s="5" t="str">
        <f t="shared" si="268"/>
        <v/>
      </c>
      <c r="T1846" s="5" t="str">
        <f t="shared" si="272"/>
        <v/>
      </c>
      <c r="U1846" s="5" t="str">
        <f t="shared" si="272"/>
        <v/>
      </c>
    </row>
    <row r="1847" spans="7:21" x14ac:dyDescent="0.2">
      <c r="G1847" s="8"/>
      <c r="H1847" s="5"/>
      <c r="J1847" s="10" t="str">
        <f t="shared" si="266"/>
        <v/>
      </c>
      <c r="K1847" s="10" t="str">
        <f t="shared" si="267"/>
        <v/>
      </c>
      <c r="L1847" s="11" t="str">
        <f t="shared" si="269"/>
        <v/>
      </c>
      <c r="M1847" s="9" t="str">
        <f>IF(G1847&lt;&gt;"",J1847/MAX(J$3:J1847)-1,"")</f>
        <v/>
      </c>
      <c r="N1847" s="9" t="str">
        <f>IF(G1847&lt;&gt;"",K1847/MAX(K$3:K1847)-1,"")</f>
        <v/>
      </c>
      <c r="O1847" s="16" t="str">
        <f t="shared" si="265"/>
        <v/>
      </c>
      <c r="P1847" s="16" t="str">
        <f t="shared" si="265"/>
        <v/>
      </c>
      <c r="Q1847" s="16" t="str">
        <f t="shared" si="265"/>
        <v/>
      </c>
      <c r="R1847" s="5" t="str">
        <f t="shared" si="264"/>
        <v/>
      </c>
      <c r="S1847" s="5" t="str">
        <f t="shared" si="268"/>
        <v/>
      </c>
      <c r="T1847" s="5" t="str">
        <f t="shared" si="272"/>
        <v/>
      </c>
      <c r="U1847" s="5" t="str">
        <f t="shared" si="272"/>
        <v/>
      </c>
    </row>
    <row r="1848" spans="7:21" x14ac:dyDescent="0.2">
      <c r="G1848" s="8"/>
      <c r="H1848" s="5"/>
      <c r="J1848" s="10" t="str">
        <f t="shared" si="266"/>
        <v/>
      </c>
      <c r="K1848" s="10" t="str">
        <f t="shared" si="267"/>
        <v/>
      </c>
      <c r="L1848" s="11" t="str">
        <f t="shared" si="269"/>
        <v/>
      </c>
      <c r="M1848" s="9" t="str">
        <f>IF(G1848&lt;&gt;"",J1848/MAX(J$3:J1848)-1,"")</f>
        <v/>
      </c>
      <c r="N1848" s="9" t="str">
        <f>IF(G1848&lt;&gt;"",K1848/MAX(K$3:K1848)-1,"")</f>
        <v/>
      </c>
      <c r="O1848" s="16" t="str">
        <f t="shared" si="265"/>
        <v/>
      </c>
      <c r="P1848" s="16" t="str">
        <f t="shared" si="265"/>
        <v/>
      </c>
      <c r="Q1848" s="16" t="str">
        <f t="shared" si="265"/>
        <v/>
      </c>
      <c r="R1848" s="5" t="str">
        <f t="shared" si="264"/>
        <v/>
      </c>
      <c r="S1848" s="5" t="str">
        <f t="shared" si="268"/>
        <v/>
      </c>
      <c r="T1848" s="5" t="str">
        <f t="shared" ref="T1848:U1863" si="273">IF($G1848&lt;&gt;"",_xlfn.STDEV.S(O1604:O1848),"")</f>
        <v/>
      </c>
      <c r="U1848" s="5" t="str">
        <f t="shared" si="273"/>
        <v/>
      </c>
    </row>
    <row r="1849" spans="7:21" x14ac:dyDescent="0.2">
      <c r="G1849" s="8"/>
      <c r="H1849" s="5"/>
      <c r="J1849" s="10" t="str">
        <f t="shared" si="266"/>
        <v/>
      </c>
      <c r="K1849" s="10" t="str">
        <f t="shared" si="267"/>
        <v/>
      </c>
      <c r="L1849" s="11" t="str">
        <f t="shared" si="269"/>
        <v/>
      </c>
      <c r="M1849" s="9" t="str">
        <f>IF(G1849&lt;&gt;"",J1849/MAX(J$3:J1849)-1,"")</f>
        <v/>
      </c>
      <c r="N1849" s="9" t="str">
        <f>IF(G1849&lt;&gt;"",K1849/MAX(K$3:K1849)-1,"")</f>
        <v/>
      </c>
      <c r="O1849" s="16" t="str">
        <f t="shared" si="265"/>
        <v/>
      </c>
      <c r="P1849" s="16" t="str">
        <f t="shared" si="265"/>
        <v/>
      </c>
      <c r="Q1849" s="16" t="str">
        <f t="shared" si="265"/>
        <v/>
      </c>
      <c r="R1849" s="5" t="str">
        <f t="shared" si="264"/>
        <v/>
      </c>
      <c r="S1849" s="5" t="str">
        <f t="shared" si="268"/>
        <v/>
      </c>
      <c r="T1849" s="5" t="str">
        <f t="shared" si="273"/>
        <v/>
      </c>
      <c r="U1849" s="5" t="str">
        <f t="shared" si="273"/>
        <v/>
      </c>
    </row>
    <row r="1850" spans="7:21" x14ac:dyDescent="0.2">
      <c r="G1850" s="8"/>
      <c r="H1850" s="5"/>
      <c r="J1850" s="10" t="str">
        <f t="shared" si="266"/>
        <v/>
      </c>
      <c r="K1850" s="10" t="str">
        <f t="shared" si="267"/>
        <v/>
      </c>
      <c r="L1850" s="11" t="str">
        <f t="shared" si="269"/>
        <v/>
      </c>
      <c r="M1850" s="9" t="str">
        <f>IF(G1850&lt;&gt;"",J1850/MAX(J$3:J1850)-1,"")</f>
        <v/>
      </c>
      <c r="N1850" s="9" t="str">
        <f>IF(G1850&lt;&gt;"",K1850/MAX(K$3:K1850)-1,"")</f>
        <v/>
      </c>
      <c r="O1850" s="16" t="str">
        <f t="shared" si="265"/>
        <v/>
      </c>
      <c r="P1850" s="16" t="str">
        <f t="shared" si="265"/>
        <v/>
      </c>
      <c r="Q1850" s="16" t="str">
        <f t="shared" si="265"/>
        <v/>
      </c>
      <c r="R1850" s="5" t="str">
        <f t="shared" si="264"/>
        <v/>
      </c>
      <c r="S1850" s="5" t="str">
        <f t="shared" si="268"/>
        <v/>
      </c>
      <c r="T1850" s="5" t="str">
        <f t="shared" si="273"/>
        <v/>
      </c>
      <c r="U1850" s="5" t="str">
        <f t="shared" si="273"/>
        <v/>
      </c>
    </row>
    <row r="1851" spans="7:21" x14ac:dyDescent="0.2">
      <c r="G1851" s="8"/>
      <c r="H1851" s="5"/>
      <c r="J1851" s="10" t="str">
        <f t="shared" si="266"/>
        <v/>
      </c>
      <c r="K1851" s="10" t="str">
        <f t="shared" si="267"/>
        <v/>
      </c>
      <c r="L1851" s="11" t="str">
        <f t="shared" si="269"/>
        <v/>
      </c>
      <c r="M1851" s="9" t="str">
        <f>IF(G1851&lt;&gt;"",J1851/MAX(J$3:J1851)-1,"")</f>
        <v/>
      </c>
      <c r="N1851" s="9" t="str">
        <f>IF(G1851&lt;&gt;"",K1851/MAX(K$3:K1851)-1,"")</f>
        <v/>
      </c>
      <c r="O1851" s="16" t="str">
        <f t="shared" si="265"/>
        <v/>
      </c>
      <c r="P1851" s="16" t="str">
        <f t="shared" si="265"/>
        <v/>
      </c>
      <c r="Q1851" s="16" t="str">
        <f t="shared" si="265"/>
        <v/>
      </c>
      <c r="R1851" s="5" t="str">
        <f t="shared" si="264"/>
        <v/>
      </c>
      <c r="S1851" s="5" t="str">
        <f t="shared" si="268"/>
        <v/>
      </c>
      <c r="T1851" s="5" t="str">
        <f t="shared" si="273"/>
        <v/>
      </c>
      <c r="U1851" s="5" t="str">
        <f t="shared" si="273"/>
        <v/>
      </c>
    </row>
    <row r="1852" spans="7:21" x14ac:dyDescent="0.2">
      <c r="G1852" s="8"/>
      <c r="H1852" s="5"/>
      <c r="J1852" s="10" t="str">
        <f t="shared" si="266"/>
        <v/>
      </c>
      <c r="K1852" s="10" t="str">
        <f t="shared" si="267"/>
        <v/>
      </c>
      <c r="L1852" s="11" t="str">
        <f t="shared" si="269"/>
        <v/>
      </c>
      <c r="M1852" s="9" t="str">
        <f>IF(G1852&lt;&gt;"",J1852/MAX(J$3:J1852)-1,"")</f>
        <v/>
      </c>
      <c r="N1852" s="9" t="str">
        <f>IF(G1852&lt;&gt;"",K1852/MAX(K$3:K1852)-1,"")</f>
        <v/>
      </c>
      <c r="O1852" s="16" t="str">
        <f t="shared" si="265"/>
        <v/>
      </c>
      <c r="P1852" s="16" t="str">
        <f t="shared" si="265"/>
        <v/>
      </c>
      <c r="Q1852" s="16" t="str">
        <f t="shared" si="265"/>
        <v/>
      </c>
      <c r="R1852" s="5" t="str">
        <f t="shared" si="264"/>
        <v/>
      </c>
      <c r="S1852" s="5" t="str">
        <f t="shared" si="268"/>
        <v/>
      </c>
      <c r="T1852" s="5" t="str">
        <f t="shared" si="273"/>
        <v/>
      </c>
      <c r="U1852" s="5" t="str">
        <f t="shared" si="273"/>
        <v/>
      </c>
    </row>
    <row r="1853" spans="7:21" x14ac:dyDescent="0.2">
      <c r="G1853" s="8"/>
      <c r="H1853" s="5"/>
      <c r="J1853" s="10" t="str">
        <f t="shared" si="266"/>
        <v/>
      </c>
      <c r="K1853" s="10" t="str">
        <f t="shared" si="267"/>
        <v/>
      </c>
      <c r="L1853" s="11" t="str">
        <f t="shared" si="269"/>
        <v/>
      </c>
      <c r="M1853" s="9" t="str">
        <f>IF(G1853&lt;&gt;"",J1853/MAX(J$3:J1853)-1,"")</f>
        <v/>
      </c>
      <c r="N1853" s="9" t="str">
        <f>IF(G1853&lt;&gt;"",K1853/MAX(K$3:K1853)-1,"")</f>
        <v/>
      </c>
      <c r="O1853" s="16" t="str">
        <f t="shared" si="265"/>
        <v/>
      </c>
      <c r="P1853" s="16" t="str">
        <f t="shared" si="265"/>
        <v/>
      </c>
      <c r="Q1853" s="16" t="str">
        <f t="shared" si="265"/>
        <v/>
      </c>
      <c r="R1853" s="5" t="str">
        <f t="shared" ref="R1853:R1916" si="274">IF(G1853&lt;&gt;"",_xlfn.STDEV.S(Q1732:Q1853)*SQRT($B$5),"")</f>
        <v/>
      </c>
      <c r="S1853" s="5" t="str">
        <f t="shared" si="268"/>
        <v/>
      </c>
      <c r="T1853" s="5" t="str">
        <f t="shared" si="273"/>
        <v/>
      </c>
      <c r="U1853" s="5" t="str">
        <f t="shared" si="273"/>
        <v/>
      </c>
    </row>
    <row r="1854" spans="7:21" x14ac:dyDescent="0.2">
      <c r="G1854" s="8"/>
      <c r="H1854" s="5"/>
      <c r="J1854" s="10" t="str">
        <f t="shared" si="266"/>
        <v/>
      </c>
      <c r="K1854" s="10" t="str">
        <f t="shared" si="267"/>
        <v/>
      </c>
      <c r="L1854" s="11" t="str">
        <f t="shared" si="269"/>
        <v/>
      </c>
      <c r="M1854" s="9" t="str">
        <f>IF(G1854&lt;&gt;"",J1854/MAX(J$3:J1854)-1,"")</f>
        <v/>
      </c>
      <c r="N1854" s="9" t="str">
        <f>IF(G1854&lt;&gt;"",K1854/MAX(K$3:K1854)-1,"")</f>
        <v/>
      </c>
      <c r="O1854" s="16" t="str">
        <f t="shared" si="265"/>
        <v/>
      </c>
      <c r="P1854" s="16" t="str">
        <f t="shared" si="265"/>
        <v/>
      </c>
      <c r="Q1854" s="16" t="str">
        <f t="shared" si="265"/>
        <v/>
      </c>
      <c r="R1854" s="5" t="str">
        <f t="shared" si="274"/>
        <v/>
      </c>
      <c r="S1854" s="5" t="str">
        <f t="shared" si="268"/>
        <v/>
      </c>
      <c r="T1854" s="5" t="str">
        <f t="shared" si="273"/>
        <v/>
      </c>
      <c r="U1854" s="5" t="str">
        <f t="shared" si="273"/>
        <v/>
      </c>
    </row>
    <row r="1855" spans="7:21" x14ac:dyDescent="0.2">
      <c r="G1855" s="8"/>
      <c r="H1855" s="5"/>
      <c r="J1855" s="10" t="str">
        <f t="shared" si="266"/>
        <v/>
      </c>
      <c r="K1855" s="10" t="str">
        <f t="shared" si="267"/>
        <v/>
      </c>
      <c r="L1855" s="11" t="str">
        <f t="shared" si="269"/>
        <v/>
      </c>
      <c r="M1855" s="9" t="str">
        <f>IF(G1855&lt;&gt;"",J1855/MAX(J$3:J1855)-1,"")</f>
        <v/>
      </c>
      <c r="N1855" s="9" t="str">
        <f>IF(G1855&lt;&gt;"",K1855/MAX(K$3:K1855)-1,"")</f>
        <v/>
      </c>
      <c r="O1855" s="16" t="str">
        <f t="shared" si="265"/>
        <v/>
      </c>
      <c r="P1855" s="16" t="str">
        <f t="shared" si="265"/>
        <v/>
      </c>
      <c r="Q1855" s="16" t="str">
        <f t="shared" si="265"/>
        <v/>
      </c>
      <c r="R1855" s="5" t="str">
        <f t="shared" si="274"/>
        <v/>
      </c>
      <c r="S1855" s="5" t="str">
        <f t="shared" si="268"/>
        <v/>
      </c>
      <c r="T1855" s="5" t="str">
        <f t="shared" si="273"/>
        <v/>
      </c>
      <c r="U1855" s="5" t="str">
        <f t="shared" si="273"/>
        <v/>
      </c>
    </row>
    <row r="1856" spans="7:21" x14ac:dyDescent="0.2">
      <c r="G1856" s="8"/>
      <c r="H1856" s="5"/>
      <c r="J1856" s="10" t="str">
        <f t="shared" si="266"/>
        <v/>
      </c>
      <c r="K1856" s="10" t="str">
        <f t="shared" si="267"/>
        <v/>
      </c>
      <c r="L1856" s="11" t="str">
        <f t="shared" si="269"/>
        <v/>
      </c>
      <c r="M1856" s="9" t="str">
        <f>IF(G1856&lt;&gt;"",J1856/MAX(J$3:J1856)-1,"")</f>
        <v/>
      </c>
      <c r="N1856" s="9" t="str">
        <f>IF(G1856&lt;&gt;"",K1856/MAX(K$3:K1856)-1,"")</f>
        <v/>
      </c>
      <c r="O1856" s="16" t="str">
        <f t="shared" si="265"/>
        <v/>
      </c>
      <c r="P1856" s="16" t="str">
        <f t="shared" si="265"/>
        <v/>
      </c>
      <c r="Q1856" s="16" t="str">
        <f t="shared" si="265"/>
        <v/>
      </c>
      <c r="R1856" s="5" t="str">
        <f t="shared" si="274"/>
        <v/>
      </c>
      <c r="S1856" s="5" t="str">
        <f t="shared" si="268"/>
        <v/>
      </c>
      <c r="T1856" s="5" t="str">
        <f t="shared" si="273"/>
        <v/>
      </c>
      <c r="U1856" s="5" t="str">
        <f t="shared" si="273"/>
        <v/>
      </c>
    </row>
    <row r="1857" spans="7:21" x14ac:dyDescent="0.2">
      <c r="G1857" s="8"/>
      <c r="H1857" s="5"/>
      <c r="J1857" s="10" t="str">
        <f t="shared" si="266"/>
        <v/>
      </c>
      <c r="K1857" s="10" t="str">
        <f t="shared" si="267"/>
        <v/>
      </c>
      <c r="L1857" s="11" t="str">
        <f t="shared" si="269"/>
        <v/>
      </c>
      <c r="M1857" s="9" t="str">
        <f>IF(G1857&lt;&gt;"",J1857/MAX(J$3:J1857)-1,"")</f>
        <v/>
      </c>
      <c r="N1857" s="9" t="str">
        <f>IF(G1857&lt;&gt;"",K1857/MAX(K$3:K1857)-1,"")</f>
        <v/>
      </c>
      <c r="O1857" s="16" t="str">
        <f t="shared" si="265"/>
        <v/>
      </c>
      <c r="P1857" s="16" t="str">
        <f t="shared" si="265"/>
        <v/>
      </c>
      <c r="Q1857" s="16" t="str">
        <f t="shared" si="265"/>
        <v/>
      </c>
      <c r="R1857" s="5" t="str">
        <f t="shared" si="274"/>
        <v/>
      </c>
      <c r="S1857" s="5" t="str">
        <f t="shared" si="268"/>
        <v/>
      </c>
      <c r="T1857" s="5" t="str">
        <f t="shared" si="273"/>
        <v/>
      </c>
      <c r="U1857" s="5" t="str">
        <f t="shared" si="273"/>
        <v/>
      </c>
    </row>
    <row r="1858" spans="7:21" x14ac:dyDescent="0.2">
      <c r="G1858" s="8"/>
      <c r="H1858" s="5"/>
      <c r="J1858" s="10" t="str">
        <f t="shared" si="266"/>
        <v/>
      </c>
      <c r="K1858" s="10" t="str">
        <f t="shared" si="267"/>
        <v/>
      </c>
      <c r="L1858" s="11" t="str">
        <f t="shared" si="269"/>
        <v/>
      </c>
      <c r="M1858" s="9" t="str">
        <f>IF(G1858&lt;&gt;"",J1858/MAX(J$3:J1858)-1,"")</f>
        <v/>
      </c>
      <c r="N1858" s="9" t="str">
        <f>IF(G1858&lt;&gt;"",K1858/MAX(K$3:K1858)-1,"")</f>
        <v/>
      </c>
      <c r="O1858" s="16" t="str">
        <f t="shared" ref="O1858:Q1921" si="275">IF($G1858&lt;&gt;"",J1858/J1857-1,"")</f>
        <v/>
      </c>
      <c r="P1858" s="16" t="str">
        <f t="shared" si="275"/>
        <v/>
      </c>
      <c r="Q1858" s="16" t="str">
        <f t="shared" si="275"/>
        <v/>
      </c>
      <c r="R1858" s="5" t="str">
        <f t="shared" si="274"/>
        <v/>
      </c>
      <c r="S1858" s="5" t="str">
        <f t="shared" si="268"/>
        <v/>
      </c>
      <c r="T1858" s="5" t="str">
        <f t="shared" si="273"/>
        <v/>
      </c>
      <c r="U1858" s="5" t="str">
        <f t="shared" si="273"/>
        <v/>
      </c>
    </row>
    <row r="1859" spans="7:21" x14ac:dyDescent="0.2">
      <c r="G1859" s="8"/>
      <c r="H1859" s="5"/>
      <c r="J1859" s="10" t="str">
        <f t="shared" si="266"/>
        <v/>
      </c>
      <c r="K1859" s="10" t="str">
        <f t="shared" si="267"/>
        <v/>
      </c>
      <c r="L1859" s="11" t="str">
        <f t="shared" si="269"/>
        <v/>
      </c>
      <c r="M1859" s="9" t="str">
        <f>IF(G1859&lt;&gt;"",J1859/MAX(J$3:J1859)-1,"")</f>
        <v/>
      </c>
      <c r="N1859" s="9" t="str">
        <f>IF(G1859&lt;&gt;"",K1859/MAX(K$3:K1859)-1,"")</f>
        <v/>
      </c>
      <c r="O1859" s="16" t="str">
        <f t="shared" si="275"/>
        <v/>
      </c>
      <c r="P1859" s="16" t="str">
        <f t="shared" si="275"/>
        <v/>
      </c>
      <c r="Q1859" s="16" t="str">
        <f t="shared" si="275"/>
        <v/>
      </c>
      <c r="R1859" s="5" t="str">
        <f t="shared" si="274"/>
        <v/>
      </c>
      <c r="S1859" s="5" t="str">
        <f t="shared" si="268"/>
        <v/>
      </c>
      <c r="T1859" s="5" t="str">
        <f t="shared" si="273"/>
        <v/>
      </c>
      <c r="U1859" s="5" t="str">
        <f t="shared" si="273"/>
        <v/>
      </c>
    </row>
    <row r="1860" spans="7:21" x14ac:dyDescent="0.2">
      <c r="G1860" s="8"/>
      <c r="H1860" s="5"/>
      <c r="J1860" s="10" t="str">
        <f t="shared" ref="J1860:J1923" si="276">IF(G1860&lt;&gt;"",1+H1860,"")</f>
        <v/>
      </c>
      <c r="K1860" s="10" t="str">
        <f t="shared" ref="K1860:K1923" si="277">IF(G1860&lt;&gt;"",1+I1860,"")</f>
        <v/>
      </c>
      <c r="L1860" s="11" t="str">
        <f t="shared" si="269"/>
        <v/>
      </c>
      <c r="M1860" s="9" t="str">
        <f>IF(G1860&lt;&gt;"",J1860/MAX(J$3:J1860)-1,"")</f>
        <v/>
      </c>
      <c r="N1860" s="9" t="str">
        <f>IF(G1860&lt;&gt;"",K1860/MAX(K$3:K1860)-1,"")</f>
        <v/>
      </c>
      <c r="O1860" s="16" t="str">
        <f t="shared" si="275"/>
        <v/>
      </c>
      <c r="P1860" s="16" t="str">
        <f t="shared" si="275"/>
        <v/>
      </c>
      <c r="Q1860" s="16" t="str">
        <f t="shared" si="275"/>
        <v/>
      </c>
      <c r="R1860" s="5" t="str">
        <f t="shared" si="274"/>
        <v/>
      </c>
      <c r="S1860" s="5" t="str">
        <f t="shared" ref="S1860:S1923" si="278">IF(R1860&lt;&gt;"",B$12,"")</f>
        <v/>
      </c>
      <c r="T1860" s="5" t="str">
        <f t="shared" si="273"/>
        <v/>
      </c>
      <c r="U1860" s="5" t="str">
        <f t="shared" si="273"/>
        <v/>
      </c>
    </row>
    <row r="1861" spans="7:21" x14ac:dyDescent="0.2">
      <c r="G1861" s="8"/>
      <c r="H1861" s="5"/>
      <c r="J1861" s="10" t="str">
        <f t="shared" si="276"/>
        <v/>
      </c>
      <c r="K1861" s="10" t="str">
        <f t="shared" si="277"/>
        <v/>
      </c>
      <c r="L1861" s="11" t="str">
        <f t="shared" ref="L1861:L1924" si="279">IF(G1861&lt;&gt;"",J1861/K1861,"")</f>
        <v/>
      </c>
      <c r="M1861" s="9" t="str">
        <f>IF(G1861&lt;&gt;"",J1861/MAX(J$3:J1861)-1,"")</f>
        <v/>
      </c>
      <c r="N1861" s="9" t="str">
        <f>IF(G1861&lt;&gt;"",K1861/MAX(K$3:K1861)-1,"")</f>
        <v/>
      </c>
      <c r="O1861" s="16" t="str">
        <f t="shared" si="275"/>
        <v/>
      </c>
      <c r="P1861" s="16" t="str">
        <f t="shared" si="275"/>
        <v/>
      </c>
      <c r="Q1861" s="16" t="str">
        <f t="shared" si="275"/>
        <v/>
      </c>
      <c r="R1861" s="5" t="str">
        <f t="shared" si="274"/>
        <v/>
      </c>
      <c r="S1861" s="5" t="str">
        <f t="shared" si="278"/>
        <v/>
      </c>
      <c r="T1861" s="5" t="str">
        <f t="shared" si="273"/>
        <v/>
      </c>
      <c r="U1861" s="5" t="str">
        <f t="shared" si="273"/>
        <v/>
      </c>
    </row>
    <row r="1862" spans="7:21" x14ac:dyDescent="0.2">
      <c r="G1862" s="8"/>
      <c r="H1862" s="5"/>
      <c r="J1862" s="10" t="str">
        <f t="shared" si="276"/>
        <v/>
      </c>
      <c r="K1862" s="10" t="str">
        <f t="shared" si="277"/>
        <v/>
      </c>
      <c r="L1862" s="11" t="str">
        <f t="shared" si="279"/>
        <v/>
      </c>
      <c r="M1862" s="9" t="str">
        <f>IF(G1862&lt;&gt;"",J1862/MAX(J$3:J1862)-1,"")</f>
        <v/>
      </c>
      <c r="N1862" s="9" t="str">
        <f>IF(G1862&lt;&gt;"",K1862/MAX(K$3:K1862)-1,"")</f>
        <v/>
      </c>
      <c r="O1862" s="16" t="str">
        <f t="shared" si="275"/>
        <v/>
      </c>
      <c r="P1862" s="16" t="str">
        <f t="shared" si="275"/>
        <v/>
      </c>
      <c r="Q1862" s="16" t="str">
        <f t="shared" si="275"/>
        <v/>
      </c>
      <c r="R1862" s="5" t="str">
        <f t="shared" si="274"/>
        <v/>
      </c>
      <c r="S1862" s="5" t="str">
        <f t="shared" si="278"/>
        <v/>
      </c>
      <c r="T1862" s="5" t="str">
        <f t="shared" si="273"/>
        <v/>
      </c>
      <c r="U1862" s="5" t="str">
        <f t="shared" si="273"/>
        <v/>
      </c>
    </row>
    <row r="1863" spans="7:21" x14ac:dyDescent="0.2">
      <c r="G1863" s="8"/>
      <c r="H1863" s="5"/>
      <c r="J1863" s="10" t="str">
        <f t="shared" si="276"/>
        <v/>
      </c>
      <c r="K1863" s="10" t="str">
        <f t="shared" si="277"/>
        <v/>
      </c>
      <c r="L1863" s="11" t="str">
        <f t="shared" si="279"/>
        <v/>
      </c>
      <c r="M1863" s="9" t="str">
        <f>IF(G1863&lt;&gt;"",J1863/MAX(J$3:J1863)-1,"")</f>
        <v/>
      </c>
      <c r="N1863" s="9" t="str">
        <f>IF(G1863&lt;&gt;"",K1863/MAX(K$3:K1863)-1,"")</f>
        <v/>
      </c>
      <c r="O1863" s="16" t="str">
        <f t="shared" si="275"/>
        <v/>
      </c>
      <c r="P1863" s="16" t="str">
        <f t="shared" si="275"/>
        <v/>
      </c>
      <c r="Q1863" s="16" t="str">
        <f t="shared" si="275"/>
        <v/>
      </c>
      <c r="R1863" s="5" t="str">
        <f t="shared" si="274"/>
        <v/>
      </c>
      <c r="S1863" s="5" t="str">
        <f t="shared" si="278"/>
        <v/>
      </c>
      <c r="T1863" s="5" t="str">
        <f t="shared" si="273"/>
        <v/>
      </c>
      <c r="U1863" s="5" t="str">
        <f t="shared" si="273"/>
        <v/>
      </c>
    </row>
    <row r="1864" spans="7:21" x14ac:dyDescent="0.2">
      <c r="G1864" s="8"/>
      <c r="H1864" s="5"/>
      <c r="J1864" s="10" t="str">
        <f t="shared" si="276"/>
        <v/>
      </c>
      <c r="K1864" s="10" t="str">
        <f t="shared" si="277"/>
        <v/>
      </c>
      <c r="L1864" s="11" t="str">
        <f t="shared" si="279"/>
        <v/>
      </c>
      <c r="M1864" s="9" t="str">
        <f>IF(G1864&lt;&gt;"",J1864/MAX(J$3:J1864)-1,"")</f>
        <v/>
      </c>
      <c r="N1864" s="9" t="str">
        <f>IF(G1864&lt;&gt;"",K1864/MAX(K$3:K1864)-1,"")</f>
        <v/>
      </c>
      <c r="O1864" s="16" t="str">
        <f t="shared" si="275"/>
        <v/>
      </c>
      <c r="P1864" s="16" t="str">
        <f t="shared" si="275"/>
        <v/>
      </c>
      <c r="Q1864" s="16" t="str">
        <f t="shared" si="275"/>
        <v/>
      </c>
      <c r="R1864" s="5" t="str">
        <f t="shared" si="274"/>
        <v/>
      </c>
      <c r="S1864" s="5" t="str">
        <f t="shared" si="278"/>
        <v/>
      </c>
      <c r="T1864" s="5" t="str">
        <f t="shared" ref="T1864:U1879" si="280">IF($G1864&lt;&gt;"",_xlfn.STDEV.S(O1620:O1864),"")</f>
        <v/>
      </c>
      <c r="U1864" s="5" t="str">
        <f t="shared" si="280"/>
        <v/>
      </c>
    </row>
    <row r="1865" spans="7:21" x14ac:dyDescent="0.2">
      <c r="G1865" s="8"/>
      <c r="H1865" s="5"/>
      <c r="J1865" s="10" t="str">
        <f t="shared" si="276"/>
        <v/>
      </c>
      <c r="K1865" s="10" t="str">
        <f t="shared" si="277"/>
        <v/>
      </c>
      <c r="L1865" s="11" t="str">
        <f t="shared" si="279"/>
        <v/>
      </c>
      <c r="M1865" s="9" t="str">
        <f>IF(G1865&lt;&gt;"",J1865/MAX(J$3:J1865)-1,"")</f>
        <v/>
      </c>
      <c r="N1865" s="9" t="str">
        <f>IF(G1865&lt;&gt;"",K1865/MAX(K$3:K1865)-1,"")</f>
        <v/>
      </c>
      <c r="O1865" s="16" t="str">
        <f t="shared" si="275"/>
        <v/>
      </c>
      <c r="P1865" s="16" t="str">
        <f t="shared" si="275"/>
        <v/>
      </c>
      <c r="Q1865" s="16" t="str">
        <f t="shared" si="275"/>
        <v/>
      </c>
      <c r="R1865" s="5" t="str">
        <f t="shared" si="274"/>
        <v/>
      </c>
      <c r="S1865" s="5" t="str">
        <f t="shared" si="278"/>
        <v/>
      </c>
      <c r="T1865" s="5" t="str">
        <f t="shared" si="280"/>
        <v/>
      </c>
      <c r="U1865" s="5" t="str">
        <f t="shared" si="280"/>
        <v/>
      </c>
    </row>
    <row r="1866" spans="7:21" x14ac:dyDescent="0.2">
      <c r="G1866" s="8"/>
      <c r="H1866" s="5"/>
      <c r="J1866" s="10" t="str">
        <f t="shared" si="276"/>
        <v/>
      </c>
      <c r="K1866" s="10" t="str">
        <f t="shared" si="277"/>
        <v/>
      </c>
      <c r="L1866" s="11" t="str">
        <f t="shared" si="279"/>
        <v/>
      </c>
      <c r="M1866" s="9" t="str">
        <f>IF(G1866&lt;&gt;"",J1866/MAX(J$3:J1866)-1,"")</f>
        <v/>
      </c>
      <c r="N1866" s="9" t="str">
        <f>IF(G1866&lt;&gt;"",K1866/MAX(K$3:K1866)-1,"")</f>
        <v/>
      </c>
      <c r="O1866" s="16" t="str">
        <f t="shared" si="275"/>
        <v/>
      </c>
      <c r="P1866" s="16" t="str">
        <f t="shared" si="275"/>
        <v/>
      </c>
      <c r="Q1866" s="16" t="str">
        <f t="shared" si="275"/>
        <v/>
      </c>
      <c r="R1866" s="5" t="str">
        <f t="shared" si="274"/>
        <v/>
      </c>
      <c r="S1866" s="5" t="str">
        <f t="shared" si="278"/>
        <v/>
      </c>
      <c r="T1866" s="5" t="str">
        <f t="shared" si="280"/>
        <v/>
      </c>
      <c r="U1866" s="5" t="str">
        <f t="shared" si="280"/>
        <v/>
      </c>
    </row>
    <row r="1867" spans="7:21" x14ac:dyDescent="0.2">
      <c r="G1867" s="8"/>
      <c r="H1867" s="5"/>
      <c r="J1867" s="10" t="str">
        <f t="shared" si="276"/>
        <v/>
      </c>
      <c r="K1867" s="10" t="str">
        <f t="shared" si="277"/>
        <v/>
      </c>
      <c r="L1867" s="11" t="str">
        <f t="shared" si="279"/>
        <v/>
      </c>
      <c r="M1867" s="9" t="str">
        <f>IF(G1867&lt;&gt;"",J1867/MAX(J$3:J1867)-1,"")</f>
        <v/>
      </c>
      <c r="N1867" s="9" t="str">
        <f>IF(G1867&lt;&gt;"",K1867/MAX(K$3:K1867)-1,"")</f>
        <v/>
      </c>
      <c r="O1867" s="16" t="str">
        <f t="shared" si="275"/>
        <v/>
      </c>
      <c r="P1867" s="16" t="str">
        <f t="shared" si="275"/>
        <v/>
      </c>
      <c r="Q1867" s="16" t="str">
        <f t="shared" si="275"/>
        <v/>
      </c>
      <c r="R1867" s="5" t="str">
        <f t="shared" si="274"/>
        <v/>
      </c>
      <c r="S1867" s="5" t="str">
        <f t="shared" si="278"/>
        <v/>
      </c>
      <c r="T1867" s="5" t="str">
        <f t="shared" si="280"/>
        <v/>
      </c>
      <c r="U1867" s="5" t="str">
        <f t="shared" si="280"/>
        <v/>
      </c>
    </row>
    <row r="1868" spans="7:21" x14ac:dyDescent="0.2">
      <c r="G1868" s="8"/>
      <c r="H1868" s="5"/>
      <c r="J1868" s="10" t="str">
        <f t="shared" si="276"/>
        <v/>
      </c>
      <c r="K1868" s="10" t="str">
        <f t="shared" si="277"/>
        <v/>
      </c>
      <c r="L1868" s="11" t="str">
        <f t="shared" si="279"/>
        <v/>
      </c>
      <c r="M1868" s="9" t="str">
        <f>IF(G1868&lt;&gt;"",J1868/MAX(J$3:J1868)-1,"")</f>
        <v/>
      </c>
      <c r="N1868" s="9" t="str">
        <f>IF(G1868&lt;&gt;"",K1868/MAX(K$3:K1868)-1,"")</f>
        <v/>
      </c>
      <c r="O1868" s="16" t="str">
        <f t="shared" si="275"/>
        <v/>
      </c>
      <c r="P1868" s="16" t="str">
        <f t="shared" si="275"/>
        <v/>
      </c>
      <c r="Q1868" s="16" t="str">
        <f t="shared" si="275"/>
        <v/>
      </c>
      <c r="R1868" s="5" t="str">
        <f t="shared" si="274"/>
        <v/>
      </c>
      <c r="S1868" s="5" t="str">
        <f t="shared" si="278"/>
        <v/>
      </c>
      <c r="T1868" s="5" t="str">
        <f t="shared" si="280"/>
        <v/>
      </c>
      <c r="U1868" s="5" t="str">
        <f t="shared" si="280"/>
        <v/>
      </c>
    </row>
    <row r="1869" spans="7:21" x14ac:dyDescent="0.2">
      <c r="G1869" s="8"/>
      <c r="H1869" s="5"/>
      <c r="J1869" s="10" t="str">
        <f t="shared" si="276"/>
        <v/>
      </c>
      <c r="K1869" s="10" t="str">
        <f t="shared" si="277"/>
        <v/>
      </c>
      <c r="L1869" s="11" t="str">
        <f t="shared" si="279"/>
        <v/>
      </c>
      <c r="M1869" s="9" t="str">
        <f>IF(G1869&lt;&gt;"",J1869/MAX(J$3:J1869)-1,"")</f>
        <v/>
      </c>
      <c r="N1869" s="9" t="str">
        <f>IF(G1869&lt;&gt;"",K1869/MAX(K$3:K1869)-1,"")</f>
        <v/>
      </c>
      <c r="O1869" s="16" t="str">
        <f t="shared" si="275"/>
        <v/>
      </c>
      <c r="P1869" s="16" t="str">
        <f t="shared" si="275"/>
        <v/>
      </c>
      <c r="Q1869" s="16" t="str">
        <f t="shared" si="275"/>
        <v/>
      </c>
      <c r="R1869" s="5" t="str">
        <f t="shared" si="274"/>
        <v/>
      </c>
      <c r="S1869" s="5" t="str">
        <f t="shared" si="278"/>
        <v/>
      </c>
      <c r="T1869" s="5" t="str">
        <f t="shared" si="280"/>
        <v/>
      </c>
      <c r="U1869" s="5" t="str">
        <f t="shared" si="280"/>
        <v/>
      </c>
    </row>
    <row r="1870" spans="7:21" x14ac:dyDescent="0.2">
      <c r="G1870" s="8"/>
      <c r="H1870" s="5"/>
      <c r="J1870" s="10" t="str">
        <f t="shared" si="276"/>
        <v/>
      </c>
      <c r="K1870" s="10" t="str">
        <f t="shared" si="277"/>
        <v/>
      </c>
      <c r="L1870" s="11" t="str">
        <f t="shared" si="279"/>
        <v/>
      </c>
      <c r="M1870" s="9" t="str">
        <f>IF(G1870&lt;&gt;"",J1870/MAX(J$3:J1870)-1,"")</f>
        <v/>
      </c>
      <c r="N1870" s="9" t="str">
        <f>IF(G1870&lt;&gt;"",K1870/MAX(K$3:K1870)-1,"")</f>
        <v/>
      </c>
      <c r="O1870" s="16" t="str">
        <f t="shared" si="275"/>
        <v/>
      </c>
      <c r="P1870" s="16" t="str">
        <f t="shared" si="275"/>
        <v/>
      </c>
      <c r="Q1870" s="16" t="str">
        <f t="shared" si="275"/>
        <v/>
      </c>
      <c r="R1870" s="5" t="str">
        <f t="shared" si="274"/>
        <v/>
      </c>
      <c r="S1870" s="5" t="str">
        <f t="shared" si="278"/>
        <v/>
      </c>
      <c r="T1870" s="5" t="str">
        <f t="shared" si="280"/>
        <v/>
      </c>
      <c r="U1870" s="5" t="str">
        <f t="shared" si="280"/>
        <v/>
      </c>
    </row>
    <row r="1871" spans="7:21" x14ac:dyDescent="0.2">
      <c r="G1871" s="8"/>
      <c r="H1871" s="5"/>
      <c r="J1871" s="10" t="str">
        <f t="shared" si="276"/>
        <v/>
      </c>
      <c r="K1871" s="10" t="str">
        <f t="shared" si="277"/>
        <v/>
      </c>
      <c r="L1871" s="11" t="str">
        <f t="shared" si="279"/>
        <v/>
      </c>
      <c r="M1871" s="9" t="str">
        <f>IF(G1871&lt;&gt;"",J1871/MAX(J$3:J1871)-1,"")</f>
        <v/>
      </c>
      <c r="N1871" s="9" t="str">
        <f>IF(G1871&lt;&gt;"",K1871/MAX(K$3:K1871)-1,"")</f>
        <v/>
      </c>
      <c r="O1871" s="16" t="str">
        <f t="shared" si="275"/>
        <v/>
      </c>
      <c r="P1871" s="16" t="str">
        <f t="shared" si="275"/>
        <v/>
      </c>
      <c r="Q1871" s="16" t="str">
        <f t="shared" si="275"/>
        <v/>
      </c>
      <c r="R1871" s="5" t="str">
        <f t="shared" si="274"/>
        <v/>
      </c>
      <c r="S1871" s="5" t="str">
        <f t="shared" si="278"/>
        <v/>
      </c>
      <c r="T1871" s="5" t="str">
        <f t="shared" si="280"/>
        <v/>
      </c>
      <c r="U1871" s="5" t="str">
        <f t="shared" si="280"/>
        <v/>
      </c>
    </row>
    <row r="1872" spans="7:21" x14ac:dyDescent="0.2">
      <c r="G1872" s="8"/>
      <c r="H1872" s="5"/>
      <c r="J1872" s="10" t="str">
        <f t="shared" si="276"/>
        <v/>
      </c>
      <c r="K1872" s="10" t="str">
        <f t="shared" si="277"/>
        <v/>
      </c>
      <c r="L1872" s="11" t="str">
        <f t="shared" si="279"/>
        <v/>
      </c>
      <c r="M1872" s="9" t="str">
        <f>IF(G1872&lt;&gt;"",J1872/MAX(J$3:J1872)-1,"")</f>
        <v/>
      </c>
      <c r="N1872" s="9" t="str">
        <f>IF(G1872&lt;&gt;"",K1872/MAX(K$3:K1872)-1,"")</f>
        <v/>
      </c>
      <c r="O1872" s="16" t="str">
        <f t="shared" si="275"/>
        <v/>
      </c>
      <c r="P1872" s="16" t="str">
        <f t="shared" si="275"/>
        <v/>
      </c>
      <c r="Q1872" s="16" t="str">
        <f t="shared" si="275"/>
        <v/>
      </c>
      <c r="R1872" s="5" t="str">
        <f t="shared" si="274"/>
        <v/>
      </c>
      <c r="S1872" s="5" t="str">
        <f t="shared" si="278"/>
        <v/>
      </c>
      <c r="T1872" s="5" t="str">
        <f t="shared" si="280"/>
        <v/>
      </c>
      <c r="U1872" s="5" t="str">
        <f t="shared" si="280"/>
        <v/>
      </c>
    </row>
    <row r="1873" spans="7:21" x14ac:dyDescent="0.2">
      <c r="G1873" s="8"/>
      <c r="H1873" s="5"/>
      <c r="J1873" s="10" t="str">
        <f t="shared" si="276"/>
        <v/>
      </c>
      <c r="K1873" s="10" t="str">
        <f t="shared" si="277"/>
        <v/>
      </c>
      <c r="L1873" s="11" t="str">
        <f t="shared" si="279"/>
        <v/>
      </c>
      <c r="M1873" s="9" t="str">
        <f>IF(G1873&lt;&gt;"",J1873/MAX(J$3:J1873)-1,"")</f>
        <v/>
      </c>
      <c r="N1873" s="9" t="str">
        <f>IF(G1873&lt;&gt;"",K1873/MAX(K$3:K1873)-1,"")</f>
        <v/>
      </c>
      <c r="O1873" s="16" t="str">
        <f t="shared" si="275"/>
        <v/>
      </c>
      <c r="P1873" s="16" t="str">
        <f t="shared" si="275"/>
        <v/>
      </c>
      <c r="Q1873" s="16" t="str">
        <f t="shared" si="275"/>
        <v/>
      </c>
      <c r="R1873" s="5" t="str">
        <f t="shared" si="274"/>
        <v/>
      </c>
      <c r="S1873" s="5" t="str">
        <f t="shared" si="278"/>
        <v/>
      </c>
      <c r="T1873" s="5" t="str">
        <f t="shared" si="280"/>
        <v/>
      </c>
      <c r="U1873" s="5" t="str">
        <f t="shared" si="280"/>
        <v/>
      </c>
    </row>
    <row r="1874" spans="7:21" x14ac:dyDescent="0.2">
      <c r="G1874" s="8"/>
      <c r="H1874" s="5"/>
      <c r="J1874" s="10" t="str">
        <f t="shared" si="276"/>
        <v/>
      </c>
      <c r="K1874" s="10" t="str">
        <f t="shared" si="277"/>
        <v/>
      </c>
      <c r="L1874" s="11" t="str">
        <f t="shared" si="279"/>
        <v/>
      </c>
      <c r="M1874" s="9" t="str">
        <f>IF(G1874&lt;&gt;"",J1874/MAX(J$3:J1874)-1,"")</f>
        <v/>
      </c>
      <c r="N1874" s="9" t="str">
        <f>IF(G1874&lt;&gt;"",K1874/MAX(K$3:K1874)-1,"")</f>
        <v/>
      </c>
      <c r="O1874" s="16" t="str">
        <f t="shared" si="275"/>
        <v/>
      </c>
      <c r="P1874" s="16" t="str">
        <f t="shared" si="275"/>
        <v/>
      </c>
      <c r="Q1874" s="16" t="str">
        <f t="shared" si="275"/>
        <v/>
      </c>
      <c r="R1874" s="5" t="str">
        <f t="shared" si="274"/>
        <v/>
      </c>
      <c r="S1874" s="5" t="str">
        <f t="shared" si="278"/>
        <v/>
      </c>
      <c r="T1874" s="5" t="str">
        <f t="shared" si="280"/>
        <v/>
      </c>
      <c r="U1874" s="5" t="str">
        <f t="shared" si="280"/>
        <v/>
      </c>
    </row>
    <row r="1875" spans="7:21" x14ac:dyDescent="0.2">
      <c r="G1875" s="8"/>
      <c r="H1875" s="5"/>
      <c r="J1875" s="10" t="str">
        <f t="shared" si="276"/>
        <v/>
      </c>
      <c r="K1875" s="10" t="str">
        <f t="shared" si="277"/>
        <v/>
      </c>
      <c r="L1875" s="11" t="str">
        <f t="shared" si="279"/>
        <v/>
      </c>
      <c r="M1875" s="9" t="str">
        <f>IF(G1875&lt;&gt;"",J1875/MAX(J$3:J1875)-1,"")</f>
        <v/>
      </c>
      <c r="N1875" s="9" t="str">
        <f>IF(G1875&lt;&gt;"",K1875/MAX(K$3:K1875)-1,"")</f>
        <v/>
      </c>
      <c r="O1875" s="16" t="str">
        <f t="shared" si="275"/>
        <v/>
      </c>
      <c r="P1875" s="16" t="str">
        <f t="shared" si="275"/>
        <v/>
      </c>
      <c r="Q1875" s="16" t="str">
        <f t="shared" si="275"/>
        <v/>
      </c>
      <c r="R1875" s="5" t="str">
        <f t="shared" si="274"/>
        <v/>
      </c>
      <c r="S1875" s="5" t="str">
        <f t="shared" si="278"/>
        <v/>
      </c>
      <c r="T1875" s="5" t="str">
        <f t="shared" si="280"/>
        <v/>
      </c>
      <c r="U1875" s="5" t="str">
        <f t="shared" si="280"/>
        <v/>
      </c>
    </row>
    <row r="1876" spans="7:21" x14ac:dyDescent="0.2">
      <c r="G1876" s="8"/>
      <c r="H1876" s="5"/>
      <c r="J1876" s="10" t="str">
        <f t="shared" si="276"/>
        <v/>
      </c>
      <c r="K1876" s="10" t="str">
        <f t="shared" si="277"/>
        <v/>
      </c>
      <c r="L1876" s="11" t="str">
        <f t="shared" si="279"/>
        <v/>
      </c>
      <c r="M1876" s="9" t="str">
        <f>IF(G1876&lt;&gt;"",J1876/MAX(J$3:J1876)-1,"")</f>
        <v/>
      </c>
      <c r="N1876" s="9" t="str">
        <f>IF(G1876&lt;&gt;"",K1876/MAX(K$3:K1876)-1,"")</f>
        <v/>
      </c>
      <c r="O1876" s="16" t="str">
        <f t="shared" si="275"/>
        <v/>
      </c>
      <c r="P1876" s="16" t="str">
        <f t="shared" si="275"/>
        <v/>
      </c>
      <c r="Q1876" s="16" t="str">
        <f t="shared" si="275"/>
        <v/>
      </c>
      <c r="R1876" s="5" t="str">
        <f t="shared" si="274"/>
        <v/>
      </c>
      <c r="S1876" s="5" t="str">
        <f t="shared" si="278"/>
        <v/>
      </c>
      <c r="T1876" s="5" t="str">
        <f t="shared" si="280"/>
        <v/>
      </c>
      <c r="U1876" s="5" t="str">
        <f t="shared" si="280"/>
        <v/>
      </c>
    </row>
    <row r="1877" spans="7:21" x14ac:dyDescent="0.2">
      <c r="G1877" s="8"/>
      <c r="H1877" s="5"/>
      <c r="J1877" s="10" t="str">
        <f t="shared" si="276"/>
        <v/>
      </c>
      <c r="K1877" s="10" t="str">
        <f t="shared" si="277"/>
        <v/>
      </c>
      <c r="L1877" s="11" t="str">
        <f t="shared" si="279"/>
        <v/>
      </c>
      <c r="M1877" s="9" t="str">
        <f>IF(G1877&lt;&gt;"",J1877/MAX(J$3:J1877)-1,"")</f>
        <v/>
      </c>
      <c r="N1877" s="9" t="str">
        <f>IF(G1877&lt;&gt;"",K1877/MAX(K$3:K1877)-1,"")</f>
        <v/>
      </c>
      <c r="O1877" s="16" t="str">
        <f t="shared" si="275"/>
        <v/>
      </c>
      <c r="P1877" s="16" t="str">
        <f t="shared" si="275"/>
        <v/>
      </c>
      <c r="Q1877" s="16" t="str">
        <f t="shared" si="275"/>
        <v/>
      </c>
      <c r="R1877" s="5" t="str">
        <f t="shared" si="274"/>
        <v/>
      </c>
      <c r="S1877" s="5" t="str">
        <f t="shared" si="278"/>
        <v/>
      </c>
      <c r="T1877" s="5" t="str">
        <f t="shared" si="280"/>
        <v/>
      </c>
      <c r="U1877" s="5" t="str">
        <f t="shared" si="280"/>
        <v/>
      </c>
    </row>
    <row r="1878" spans="7:21" x14ac:dyDescent="0.2">
      <c r="G1878" s="8"/>
      <c r="H1878" s="5"/>
      <c r="J1878" s="10" t="str">
        <f t="shared" si="276"/>
        <v/>
      </c>
      <c r="K1878" s="10" t="str">
        <f t="shared" si="277"/>
        <v/>
      </c>
      <c r="L1878" s="11" t="str">
        <f t="shared" si="279"/>
        <v/>
      </c>
      <c r="M1878" s="9" t="str">
        <f>IF(G1878&lt;&gt;"",J1878/MAX(J$3:J1878)-1,"")</f>
        <v/>
      </c>
      <c r="N1878" s="9" t="str">
        <f>IF(G1878&lt;&gt;"",K1878/MAX(K$3:K1878)-1,"")</f>
        <v/>
      </c>
      <c r="O1878" s="16" t="str">
        <f t="shared" si="275"/>
        <v/>
      </c>
      <c r="P1878" s="16" t="str">
        <f t="shared" si="275"/>
        <v/>
      </c>
      <c r="Q1878" s="16" t="str">
        <f t="shared" si="275"/>
        <v/>
      </c>
      <c r="R1878" s="5" t="str">
        <f t="shared" si="274"/>
        <v/>
      </c>
      <c r="S1878" s="5" t="str">
        <f t="shared" si="278"/>
        <v/>
      </c>
      <c r="T1878" s="5" t="str">
        <f t="shared" si="280"/>
        <v/>
      </c>
      <c r="U1878" s="5" t="str">
        <f t="shared" si="280"/>
        <v/>
      </c>
    </row>
    <row r="1879" spans="7:21" x14ac:dyDescent="0.2">
      <c r="G1879" s="8"/>
      <c r="H1879" s="5"/>
      <c r="J1879" s="10" t="str">
        <f t="shared" si="276"/>
        <v/>
      </c>
      <c r="K1879" s="10" t="str">
        <f t="shared" si="277"/>
        <v/>
      </c>
      <c r="L1879" s="11" t="str">
        <f t="shared" si="279"/>
        <v/>
      </c>
      <c r="M1879" s="9" t="str">
        <f>IF(G1879&lt;&gt;"",J1879/MAX(J$3:J1879)-1,"")</f>
        <v/>
      </c>
      <c r="N1879" s="9" t="str">
        <f>IF(G1879&lt;&gt;"",K1879/MAX(K$3:K1879)-1,"")</f>
        <v/>
      </c>
      <c r="O1879" s="16" t="str">
        <f t="shared" si="275"/>
        <v/>
      </c>
      <c r="P1879" s="16" t="str">
        <f t="shared" si="275"/>
        <v/>
      </c>
      <c r="Q1879" s="16" t="str">
        <f t="shared" si="275"/>
        <v/>
      </c>
      <c r="R1879" s="5" t="str">
        <f t="shared" si="274"/>
        <v/>
      </c>
      <c r="S1879" s="5" t="str">
        <f t="shared" si="278"/>
        <v/>
      </c>
      <c r="T1879" s="5" t="str">
        <f t="shared" si="280"/>
        <v/>
      </c>
      <c r="U1879" s="5" t="str">
        <f t="shared" si="280"/>
        <v/>
      </c>
    </row>
    <row r="1880" spans="7:21" x14ac:dyDescent="0.2">
      <c r="G1880" s="8"/>
      <c r="H1880" s="5"/>
      <c r="J1880" s="10" t="str">
        <f t="shared" si="276"/>
        <v/>
      </c>
      <c r="K1880" s="10" t="str">
        <f t="shared" si="277"/>
        <v/>
      </c>
      <c r="L1880" s="11" t="str">
        <f t="shared" si="279"/>
        <v/>
      </c>
      <c r="M1880" s="9" t="str">
        <f>IF(G1880&lt;&gt;"",J1880/MAX(J$3:J1880)-1,"")</f>
        <v/>
      </c>
      <c r="N1880" s="9" t="str">
        <f>IF(G1880&lt;&gt;"",K1880/MAX(K$3:K1880)-1,"")</f>
        <v/>
      </c>
      <c r="O1880" s="16" t="str">
        <f t="shared" si="275"/>
        <v/>
      </c>
      <c r="P1880" s="16" t="str">
        <f t="shared" si="275"/>
        <v/>
      </c>
      <c r="Q1880" s="16" t="str">
        <f t="shared" si="275"/>
        <v/>
      </c>
      <c r="R1880" s="5" t="str">
        <f t="shared" si="274"/>
        <v/>
      </c>
      <c r="S1880" s="5" t="str">
        <f t="shared" si="278"/>
        <v/>
      </c>
      <c r="T1880" s="5" t="str">
        <f t="shared" ref="T1880:U1895" si="281">IF($G1880&lt;&gt;"",_xlfn.STDEV.S(O1636:O1880),"")</f>
        <v/>
      </c>
      <c r="U1880" s="5" t="str">
        <f t="shared" si="281"/>
        <v/>
      </c>
    </row>
    <row r="1881" spans="7:21" x14ac:dyDescent="0.2">
      <c r="G1881" s="8"/>
      <c r="H1881" s="5"/>
      <c r="J1881" s="10" t="str">
        <f t="shared" si="276"/>
        <v/>
      </c>
      <c r="K1881" s="10" t="str">
        <f t="shared" si="277"/>
        <v/>
      </c>
      <c r="L1881" s="11" t="str">
        <f t="shared" si="279"/>
        <v/>
      </c>
      <c r="M1881" s="9" t="str">
        <f>IF(G1881&lt;&gt;"",J1881/MAX(J$3:J1881)-1,"")</f>
        <v/>
      </c>
      <c r="N1881" s="9" t="str">
        <f>IF(G1881&lt;&gt;"",K1881/MAX(K$3:K1881)-1,"")</f>
        <v/>
      </c>
      <c r="O1881" s="16" t="str">
        <f t="shared" si="275"/>
        <v/>
      </c>
      <c r="P1881" s="16" t="str">
        <f t="shared" si="275"/>
        <v/>
      </c>
      <c r="Q1881" s="16" t="str">
        <f t="shared" si="275"/>
        <v/>
      </c>
      <c r="R1881" s="5" t="str">
        <f t="shared" si="274"/>
        <v/>
      </c>
      <c r="S1881" s="5" t="str">
        <f t="shared" si="278"/>
        <v/>
      </c>
      <c r="T1881" s="5" t="str">
        <f t="shared" si="281"/>
        <v/>
      </c>
      <c r="U1881" s="5" t="str">
        <f t="shared" si="281"/>
        <v/>
      </c>
    </row>
    <row r="1882" spans="7:21" x14ac:dyDescent="0.2">
      <c r="G1882" s="8"/>
      <c r="H1882" s="5"/>
      <c r="J1882" s="10" t="str">
        <f t="shared" si="276"/>
        <v/>
      </c>
      <c r="K1882" s="10" t="str">
        <f t="shared" si="277"/>
        <v/>
      </c>
      <c r="L1882" s="11" t="str">
        <f t="shared" si="279"/>
        <v/>
      </c>
      <c r="M1882" s="9" t="str">
        <f>IF(G1882&lt;&gt;"",J1882/MAX(J$3:J1882)-1,"")</f>
        <v/>
      </c>
      <c r="N1882" s="9" t="str">
        <f>IF(G1882&lt;&gt;"",K1882/MAX(K$3:K1882)-1,"")</f>
        <v/>
      </c>
      <c r="O1882" s="16" t="str">
        <f t="shared" si="275"/>
        <v/>
      </c>
      <c r="P1882" s="16" t="str">
        <f t="shared" si="275"/>
        <v/>
      </c>
      <c r="Q1882" s="16" t="str">
        <f t="shared" si="275"/>
        <v/>
      </c>
      <c r="R1882" s="5" t="str">
        <f t="shared" si="274"/>
        <v/>
      </c>
      <c r="S1882" s="5" t="str">
        <f t="shared" si="278"/>
        <v/>
      </c>
      <c r="T1882" s="5" t="str">
        <f t="shared" si="281"/>
        <v/>
      </c>
      <c r="U1882" s="5" t="str">
        <f t="shared" si="281"/>
        <v/>
      </c>
    </row>
    <row r="1883" spans="7:21" x14ac:dyDescent="0.2">
      <c r="G1883" s="8"/>
      <c r="H1883" s="5"/>
      <c r="J1883" s="10" t="str">
        <f t="shared" si="276"/>
        <v/>
      </c>
      <c r="K1883" s="10" t="str">
        <f t="shared" si="277"/>
        <v/>
      </c>
      <c r="L1883" s="11" t="str">
        <f t="shared" si="279"/>
        <v/>
      </c>
      <c r="M1883" s="9" t="str">
        <f>IF(G1883&lt;&gt;"",J1883/MAX(J$3:J1883)-1,"")</f>
        <v/>
      </c>
      <c r="N1883" s="9" t="str">
        <f>IF(G1883&lt;&gt;"",K1883/MAX(K$3:K1883)-1,"")</f>
        <v/>
      </c>
      <c r="O1883" s="16" t="str">
        <f t="shared" si="275"/>
        <v/>
      </c>
      <c r="P1883" s="16" t="str">
        <f t="shared" si="275"/>
        <v/>
      </c>
      <c r="Q1883" s="16" t="str">
        <f t="shared" si="275"/>
        <v/>
      </c>
      <c r="R1883" s="5" t="str">
        <f t="shared" si="274"/>
        <v/>
      </c>
      <c r="S1883" s="5" t="str">
        <f t="shared" si="278"/>
        <v/>
      </c>
      <c r="T1883" s="5" t="str">
        <f t="shared" si="281"/>
        <v/>
      </c>
      <c r="U1883" s="5" t="str">
        <f t="shared" si="281"/>
        <v/>
      </c>
    </row>
    <row r="1884" spans="7:21" x14ac:dyDescent="0.2">
      <c r="G1884" s="8"/>
      <c r="H1884" s="5"/>
      <c r="J1884" s="10" t="str">
        <f t="shared" si="276"/>
        <v/>
      </c>
      <c r="K1884" s="10" t="str">
        <f t="shared" si="277"/>
        <v/>
      </c>
      <c r="L1884" s="11" t="str">
        <f t="shared" si="279"/>
        <v/>
      </c>
      <c r="M1884" s="9" t="str">
        <f>IF(G1884&lt;&gt;"",J1884/MAX(J$3:J1884)-1,"")</f>
        <v/>
      </c>
      <c r="N1884" s="9" t="str">
        <f>IF(G1884&lt;&gt;"",K1884/MAX(K$3:K1884)-1,"")</f>
        <v/>
      </c>
      <c r="O1884" s="16" t="str">
        <f t="shared" si="275"/>
        <v/>
      </c>
      <c r="P1884" s="16" t="str">
        <f t="shared" si="275"/>
        <v/>
      </c>
      <c r="Q1884" s="16" t="str">
        <f t="shared" si="275"/>
        <v/>
      </c>
      <c r="R1884" s="5" t="str">
        <f t="shared" si="274"/>
        <v/>
      </c>
      <c r="S1884" s="5" t="str">
        <f t="shared" si="278"/>
        <v/>
      </c>
      <c r="T1884" s="5" t="str">
        <f t="shared" si="281"/>
        <v/>
      </c>
      <c r="U1884" s="5" t="str">
        <f t="shared" si="281"/>
        <v/>
      </c>
    </row>
    <row r="1885" spans="7:21" x14ac:dyDescent="0.2">
      <c r="G1885" s="8"/>
      <c r="H1885" s="5"/>
      <c r="J1885" s="10" t="str">
        <f t="shared" si="276"/>
        <v/>
      </c>
      <c r="K1885" s="10" t="str">
        <f t="shared" si="277"/>
        <v/>
      </c>
      <c r="L1885" s="11" t="str">
        <f t="shared" si="279"/>
        <v/>
      </c>
      <c r="M1885" s="9" t="str">
        <f>IF(G1885&lt;&gt;"",J1885/MAX(J$3:J1885)-1,"")</f>
        <v/>
      </c>
      <c r="N1885" s="9" t="str">
        <f>IF(G1885&lt;&gt;"",K1885/MAX(K$3:K1885)-1,"")</f>
        <v/>
      </c>
      <c r="O1885" s="16" t="str">
        <f t="shared" si="275"/>
        <v/>
      </c>
      <c r="P1885" s="16" t="str">
        <f t="shared" si="275"/>
        <v/>
      </c>
      <c r="Q1885" s="16" t="str">
        <f t="shared" si="275"/>
        <v/>
      </c>
      <c r="R1885" s="5" t="str">
        <f t="shared" si="274"/>
        <v/>
      </c>
      <c r="S1885" s="5" t="str">
        <f t="shared" si="278"/>
        <v/>
      </c>
      <c r="T1885" s="5" t="str">
        <f t="shared" si="281"/>
        <v/>
      </c>
      <c r="U1885" s="5" t="str">
        <f t="shared" si="281"/>
        <v/>
      </c>
    </row>
    <row r="1886" spans="7:21" x14ac:dyDescent="0.2">
      <c r="G1886" s="8"/>
      <c r="H1886" s="5"/>
      <c r="J1886" s="10" t="str">
        <f t="shared" si="276"/>
        <v/>
      </c>
      <c r="K1886" s="10" t="str">
        <f t="shared" si="277"/>
        <v/>
      </c>
      <c r="L1886" s="11" t="str">
        <f t="shared" si="279"/>
        <v/>
      </c>
      <c r="M1886" s="9" t="str">
        <f>IF(G1886&lt;&gt;"",J1886/MAX(J$3:J1886)-1,"")</f>
        <v/>
      </c>
      <c r="N1886" s="9" t="str">
        <f>IF(G1886&lt;&gt;"",K1886/MAX(K$3:K1886)-1,"")</f>
        <v/>
      </c>
      <c r="O1886" s="16" t="str">
        <f t="shared" si="275"/>
        <v/>
      </c>
      <c r="P1886" s="16" t="str">
        <f t="shared" si="275"/>
        <v/>
      </c>
      <c r="Q1886" s="16" t="str">
        <f t="shared" si="275"/>
        <v/>
      </c>
      <c r="R1886" s="5" t="str">
        <f t="shared" si="274"/>
        <v/>
      </c>
      <c r="S1886" s="5" t="str">
        <f t="shared" si="278"/>
        <v/>
      </c>
      <c r="T1886" s="5" t="str">
        <f t="shared" si="281"/>
        <v/>
      </c>
      <c r="U1886" s="5" t="str">
        <f t="shared" si="281"/>
        <v/>
      </c>
    </row>
    <row r="1887" spans="7:21" x14ac:dyDescent="0.2">
      <c r="G1887" s="8"/>
      <c r="H1887" s="5"/>
      <c r="J1887" s="10" t="str">
        <f t="shared" si="276"/>
        <v/>
      </c>
      <c r="K1887" s="10" t="str">
        <f t="shared" si="277"/>
        <v/>
      </c>
      <c r="L1887" s="11" t="str">
        <f t="shared" si="279"/>
        <v/>
      </c>
      <c r="M1887" s="9" t="str">
        <f>IF(G1887&lt;&gt;"",J1887/MAX(J$3:J1887)-1,"")</f>
        <v/>
      </c>
      <c r="N1887" s="9" t="str">
        <f>IF(G1887&lt;&gt;"",K1887/MAX(K$3:K1887)-1,"")</f>
        <v/>
      </c>
      <c r="O1887" s="16" t="str">
        <f t="shared" si="275"/>
        <v/>
      </c>
      <c r="P1887" s="16" t="str">
        <f t="shared" si="275"/>
        <v/>
      </c>
      <c r="Q1887" s="16" t="str">
        <f t="shared" si="275"/>
        <v/>
      </c>
      <c r="R1887" s="5" t="str">
        <f t="shared" si="274"/>
        <v/>
      </c>
      <c r="S1887" s="5" t="str">
        <f t="shared" si="278"/>
        <v/>
      </c>
      <c r="T1887" s="5" t="str">
        <f t="shared" si="281"/>
        <v/>
      </c>
      <c r="U1887" s="5" t="str">
        <f t="shared" si="281"/>
        <v/>
      </c>
    </row>
    <row r="1888" spans="7:21" x14ac:dyDescent="0.2">
      <c r="G1888" s="8"/>
      <c r="H1888" s="5"/>
      <c r="J1888" s="10" t="str">
        <f t="shared" si="276"/>
        <v/>
      </c>
      <c r="K1888" s="10" t="str">
        <f t="shared" si="277"/>
        <v/>
      </c>
      <c r="L1888" s="11" t="str">
        <f t="shared" si="279"/>
        <v/>
      </c>
      <c r="M1888" s="9" t="str">
        <f>IF(G1888&lt;&gt;"",J1888/MAX(J$3:J1888)-1,"")</f>
        <v/>
      </c>
      <c r="N1888" s="9" t="str">
        <f>IF(G1888&lt;&gt;"",K1888/MAX(K$3:K1888)-1,"")</f>
        <v/>
      </c>
      <c r="O1888" s="16" t="str">
        <f t="shared" si="275"/>
        <v/>
      </c>
      <c r="P1888" s="16" t="str">
        <f t="shared" si="275"/>
        <v/>
      </c>
      <c r="Q1888" s="16" t="str">
        <f t="shared" si="275"/>
        <v/>
      </c>
      <c r="R1888" s="5" t="str">
        <f t="shared" si="274"/>
        <v/>
      </c>
      <c r="S1888" s="5" t="str">
        <f t="shared" si="278"/>
        <v/>
      </c>
      <c r="T1888" s="5" t="str">
        <f t="shared" si="281"/>
        <v/>
      </c>
      <c r="U1888" s="5" t="str">
        <f t="shared" si="281"/>
        <v/>
      </c>
    </row>
    <row r="1889" spans="7:21" x14ac:dyDescent="0.2">
      <c r="G1889" s="8"/>
      <c r="H1889" s="5"/>
      <c r="J1889" s="10" t="str">
        <f t="shared" si="276"/>
        <v/>
      </c>
      <c r="K1889" s="10" t="str">
        <f t="shared" si="277"/>
        <v/>
      </c>
      <c r="L1889" s="11" t="str">
        <f t="shared" si="279"/>
        <v/>
      </c>
      <c r="M1889" s="9" t="str">
        <f>IF(G1889&lt;&gt;"",J1889/MAX(J$3:J1889)-1,"")</f>
        <v/>
      </c>
      <c r="N1889" s="9" t="str">
        <f>IF(G1889&lt;&gt;"",K1889/MAX(K$3:K1889)-1,"")</f>
        <v/>
      </c>
      <c r="O1889" s="16" t="str">
        <f t="shared" si="275"/>
        <v/>
      </c>
      <c r="P1889" s="16" t="str">
        <f t="shared" si="275"/>
        <v/>
      </c>
      <c r="Q1889" s="16" t="str">
        <f t="shared" si="275"/>
        <v/>
      </c>
      <c r="R1889" s="5" t="str">
        <f t="shared" si="274"/>
        <v/>
      </c>
      <c r="S1889" s="5" t="str">
        <f t="shared" si="278"/>
        <v/>
      </c>
      <c r="T1889" s="5" t="str">
        <f t="shared" si="281"/>
        <v/>
      </c>
      <c r="U1889" s="5" t="str">
        <f t="shared" si="281"/>
        <v/>
      </c>
    </row>
    <row r="1890" spans="7:21" x14ac:dyDescent="0.2">
      <c r="G1890" s="8"/>
      <c r="H1890" s="5"/>
      <c r="J1890" s="10" t="str">
        <f t="shared" si="276"/>
        <v/>
      </c>
      <c r="K1890" s="10" t="str">
        <f t="shared" si="277"/>
        <v/>
      </c>
      <c r="L1890" s="11" t="str">
        <f t="shared" si="279"/>
        <v/>
      </c>
      <c r="M1890" s="9" t="str">
        <f>IF(G1890&lt;&gt;"",J1890/MAX(J$3:J1890)-1,"")</f>
        <v/>
      </c>
      <c r="N1890" s="9" t="str">
        <f>IF(G1890&lt;&gt;"",K1890/MAX(K$3:K1890)-1,"")</f>
        <v/>
      </c>
      <c r="O1890" s="16" t="str">
        <f t="shared" si="275"/>
        <v/>
      </c>
      <c r="P1890" s="16" t="str">
        <f t="shared" si="275"/>
        <v/>
      </c>
      <c r="Q1890" s="16" t="str">
        <f t="shared" si="275"/>
        <v/>
      </c>
      <c r="R1890" s="5" t="str">
        <f t="shared" si="274"/>
        <v/>
      </c>
      <c r="S1890" s="5" t="str">
        <f t="shared" si="278"/>
        <v/>
      </c>
      <c r="T1890" s="5" t="str">
        <f t="shared" si="281"/>
        <v/>
      </c>
      <c r="U1890" s="5" t="str">
        <f t="shared" si="281"/>
        <v/>
      </c>
    </row>
    <row r="1891" spans="7:21" x14ac:dyDescent="0.2">
      <c r="G1891" s="8"/>
      <c r="H1891" s="5"/>
      <c r="J1891" s="10" t="str">
        <f t="shared" si="276"/>
        <v/>
      </c>
      <c r="K1891" s="10" t="str">
        <f t="shared" si="277"/>
        <v/>
      </c>
      <c r="L1891" s="11" t="str">
        <f t="shared" si="279"/>
        <v/>
      </c>
      <c r="M1891" s="9" t="str">
        <f>IF(G1891&lt;&gt;"",J1891/MAX(J$3:J1891)-1,"")</f>
        <v/>
      </c>
      <c r="N1891" s="9" t="str">
        <f>IF(G1891&lt;&gt;"",K1891/MAX(K$3:K1891)-1,"")</f>
        <v/>
      </c>
      <c r="O1891" s="16" t="str">
        <f t="shared" si="275"/>
        <v/>
      </c>
      <c r="P1891" s="16" t="str">
        <f t="shared" si="275"/>
        <v/>
      </c>
      <c r="Q1891" s="16" t="str">
        <f t="shared" si="275"/>
        <v/>
      </c>
      <c r="R1891" s="5" t="str">
        <f t="shared" si="274"/>
        <v/>
      </c>
      <c r="S1891" s="5" t="str">
        <f t="shared" si="278"/>
        <v/>
      </c>
      <c r="T1891" s="5" t="str">
        <f t="shared" si="281"/>
        <v/>
      </c>
      <c r="U1891" s="5" t="str">
        <f t="shared" si="281"/>
        <v/>
      </c>
    </row>
    <row r="1892" spans="7:21" x14ac:dyDescent="0.2">
      <c r="G1892" s="8"/>
      <c r="H1892" s="5"/>
      <c r="J1892" s="10" t="str">
        <f t="shared" si="276"/>
        <v/>
      </c>
      <c r="K1892" s="10" t="str">
        <f t="shared" si="277"/>
        <v/>
      </c>
      <c r="L1892" s="11" t="str">
        <f t="shared" si="279"/>
        <v/>
      </c>
      <c r="M1892" s="9" t="str">
        <f>IF(G1892&lt;&gt;"",J1892/MAX(J$3:J1892)-1,"")</f>
        <v/>
      </c>
      <c r="N1892" s="9" t="str">
        <f>IF(G1892&lt;&gt;"",K1892/MAX(K$3:K1892)-1,"")</f>
        <v/>
      </c>
      <c r="O1892" s="16" t="str">
        <f t="shared" si="275"/>
        <v/>
      </c>
      <c r="P1892" s="16" t="str">
        <f t="shared" si="275"/>
        <v/>
      </c>
      <c r="Q1892" s="16" t="str">
        <f t="shared" si="275"/>
        <v/>
      </c>
      <c r="R1892" s="5" t="str">
        <f t="shared" si="274"/>
        <v/>
      </c>
      <c r="S1892" s="5" t="str">
        <f t="shared" si="278"/>
        <v/>
      </c>
      <c r="T1892" s="5" t="str">
        <f t="shared" si="281"/>
        <v/>
      </c>
      <c r="U1892" s="5" t="str">
        <f t="shared" si="281"/>
        <v/>
      </c>
    </row>
    <row r="1893" spans="7:21" x14ac:dyDescent="0.2">
      <c r="G1893" s="8"/>
      <c r="H1893" s="5"/>
      <c r="J1893" s="10" t="str">
        <f t="shared" si="276"/>
        <v/>
      </c>
      <c r="K1893" s="10" t="str">
        <f t="shared" si="277"/>
        <v/>
      </c>
      <c r="L1893" s="11" t="str">
        <f t="shared" si="279"/>
        <v/>
      </c>
      <c r="M1893" s="9" t="str">
        <f>IF(G1893&lt;&gt;"",J1893/MAX(J$3:J1893)-1,"")</f>
        <v/>
      </c>
      <c r="N1893" s="9" t="str">
        <f>IF(G1893&lt;&gt;"",K1893/MAX(K$3:K1893)-1,"")</f>
        <v/>
      </c>
      <c r="O1893" s="16" t="str">
        <f t="shared" si="275"/>
        <v/>
      </c>
      <c r="P1893" s="16" t="str">
        <f t="shared" si="275"/>
        <v/>
      </c>
      <c r="Q1893" s="16" t="str">
        <f t="shared" si="275"/>
        <v/>
      </c>
      <c r="R1893" s="5" t="str">
        <f t="shared" si="274"/>
        <v/>
      </c>
      <c r="S1893" s="5" t="str">
        <f t="shared" si="278"/>
        <v/>
      </c>
      <c r="T1893" s="5" t="str">
        <f t="shared" si="281"/>
        <v/>
      </c>
      <c r="U1893" s="5" t="str">
        <f t="shared" si="281"/>
        <v/>
      </c>
    </row>
    <row r="1894" spans="7:21" x14ac:dyDescent="0.2">
      <c r="G1894" s="8"/>
      <c r="H1894" s="5"/>
      <c r="J1894" s="10" t="str">
        <f t="shared" si="276"/>
        <v/>
      </c>
      <c r="K1894" s="10" t="str">
        <f t="shared" si="277"/>
        <v/>
      </c>
      <c r="L1894" s="11" t="str">
        <f t="shared" si="279"/>
        <v/>
      </c>
      <c r="M1894" s="9" t="str">
        <f>IF(G1894&lt;&gt;"",J1894/MAX(J$3:J1894)-1,"")</f>
        <v/>
      </c>
      <c r="N1894" s="9" t="str">
        <f>IF(G1894&lt;&gt;"",K1894/MAX(K$3:K1894)-1,"")</f>
        <v/>
      </c>
      <c r="O1894" s="16" t="str">
        <f t="shared" si="275"/>
        <v/>
      </c>
      <c r="P1894" s="16" t="str">
        <f t="shared" si="275"/>
        <v/>
      </c>
      <c r="Q1894" s="16" t="str">
        <f t="shared" si="275"/>
        <v/>
      </c>
      <c r="R1894" s="5" t="str">
        <f t="shared" si="274"/>
        <v/>
      </c>
      <c r="S1894" s="5" t="str">
        <f t="shared" si="278"/>
        <v/>
      </c>
      <c r="T1894" s="5" t="str">
        <f t="shared" si="281"/>
        <v/>
      </c>
      <c r="U1894" s="5" t="str">
        <f t="shared" si="281"/>
        <v/>
      </c>
    </row>
    <row r="1895" spans="7:21" x14ac:dyDescent="0.2">
      <c r="G1895" s="8"/>
      <c r="H1895" s="5"/>
      <c r="J1895" s="10" t="str">
        <f t="shared" si="276"/>
        <v/>
      </c>
      <c r="K1895" s="10" t="str">
        <f t="shared" si="277"/>
        <v/>
      </c>
      <c r="L1895" s="11" t="str">
        <f t="shared" si="279"/>
        <v/>
      </c>
      <c r="M1895" s="9" t="str">
        <f>IF(G1895&lt;&gt;"",J1895/MAX(J$3:J1895)-1,"")</f>
        <v/>
      </c>
      <c r="N1895" s="9" t="str">
        <f>IF(G1895&lt;&gt;"",K1895/MAX(K$3:K1895)-1,"")</f>
        <v/>
      </c>
      <c r="O1895" s="16" t="str">
        <f t="shared" si="275"/>
        <v/>
      </c>
      <c r="P1895" s="16" t="str">
        <f t="shared" si="275"/>
        <v/>
      </c>
      <c r="Q1895" s="16" t="str">
        <f t="shared" si="275"/>
        <v/>
      </c>
      <c r="R1895" s="5" t="str">
        <f t="shared" si="274"/>
        <v/>
      </c>
      <c r="S1895" s="5" t="str">
        <f t="shared" si="278"/>
        <v/>
      </c>
      <c r="T1895" s="5" t="str">
        <f t="shared" si="281"/>
        <v/>
      </c>
      <c r="U1895" s="5" t="str">
        <f t="shared" si="281"/>
        <v/>
      </c>
    </row>
    <row r="1896" spans="7:21" x14ac:dyDescent="0.2">
      <c r="G1896" s="8"/>
      <c r="H1896" s="5"/>
      <c r="J1896" s="10" t="str">
        <f t="shared" si="276"/>
        <v/>
      </c>
      <c r="K1896" s="10" t="str">
        <f t="shared" si="277"/>
        <v/>
      </c>
      <c r="L1896" s="11" t="str">
        <f t="shared" si="279"/>
        <v/>
      </c>
      <c r="M1896" s="9" t="str">
        <f>IF(G1896&lt;&gt;"",J1896/MAX(J$3:J1896)-1,"")</f>
        <v/>
      </c>
      <c r="N1896" s="9" t="str">
        <f>IF(G1896&lt;&gt;"",K1896/MAX(K$3:K1896)-1,"")</f>
        <v/>
      </c>
      <c r="O1896" s="16" t="str">
        <f t="shared" si="275"/>
        <v/>
      </c>
      <c r="P1896" s="16" t="str">
        <f t="shared" si="275"/>
        <v/>
      </c>
      <c r="Q1896" s="16" t="str">
        <f t="shared" si="275"/>
        <v/>
      </c>
      <c r="R1896" s="5" t="str">
        <f t="shared" si="274"/>
        <v/>
      </c>
      <c r="S1896" s="5" t="str">
        <f t="shared" si="278"/>
        <v/>
      </c>
      <c r="T1896" s="5" t="str">
        <f t="shared" ref="T1896:U1911" si="282">IF($G1896&lt;&gt;"",_xlfn.STDEV.S(O1652:O1896),"")</f>
        <v/>
      </c>
      <c r="U1896" s="5" t="str">
        <f t="shared" si="282"/>
        <v/>
      </c>
    </row>
    <row r="1897" spans="7:21" x14ac:dyDescent="0.2">
      <c r="G1897" s="8"/>
      <c r="H1897" s="5"/>
      <c r="J1897" s="10" t="str">
        <f t="shared" si="276"/>
        <v/>
      </c>
      <c r="K1897" s="10" t="str">
        <f t="shared" si="277"/>
        <v/>
      </c>
      <c r="L1897" s="11" t="str">
        <f t="shared" si="279"/>
        <v/>
      </c>
      <c r="M1897" s="9" t="str">
        <f>IF(G1897&lt;&gt;"",J1897/MAX(J$3:J1897)-1,"")</f>
        <v/>
      </c>
      <c r="N1897" s="9" t="str">
        <f>IF(G1897&lt;&gt;"",K1897/MAX(K$3:K1897)-1,"")</f>
        <v/>
      </c>
      <c r="O1897" s="16" t="str">
        <f t="shared" si="275"/>
        <v/>
      </c>
      <c r="P1897" s="16" t="str">
        <f t="shared" si="275"/>
        <v/>
      </c>
      <c r="Q1897" s="16" t="str">
        <f t="shared" si="275"/>
        <v/>
      </c>
      <c r="R1897" s="5" t="str">
        <f t="shared" si="274"/>
        <v/>
      </c>
      <c r="S1897" s="5" t="str">
        <f t="shared" si="278"/>
        <v/>
      </c>
      <c r="T1897" s="5" t="str">
        <f t="shared" si="282"/>
        <v/>
      </c>
      <c r="U1897" s="5" t="str">
        <f t="shared" si="282"/>
        <v/>
      </c>
    </row>
    <row r="1898" spans="7:21" x14ac:dyDescent="0.2">
      <c r="G1898" s="8"/>
      <c r="H1898" s="5"/>
      <c r="J1898" s="10" t="str">
        <f t="shared" si="276"/>
        <v/>
      </c>
      <c r="K1898" s="10" t="str">
        <f t="shared" si="277"/>
        <v/>
      </c>
      <c r="L1898" s="11" t="str">
        <f t="shared" si="279"/>
        <v/>
      </c>
      <c r="M1898" s="9" t="str">
        <f>IF(G1898&lt;&gt;"",J1898/MAX(J$3:J1898)-1,"")</f>
        <v/>
      </c>
      <c r="N1898" s="9" t="str">
        <f>IF(G1898&lt;&gt;"",K1898/MAX(K$3:K1898)-1,"")</f>
        <v/>
      </c>
      <c r="O1898" s="16" t="str">
        <f t="shared" si="275"/>
        <v/>
      </c>
      <c r="P1898" s="16" t="str">
        <f t="shared" si="275"/>
        <v/>
      </c>
      <c r="Q1898" s="16" t="str">
        <f t="shared" si="275"/>
        <v/>
      </c>
      <c r="R1898" s="5" t="str">
        <f t="shared" si="274"/>
        <v/>
      </c>
      <c r="S1898" s="5" t="str">
        <f t="shared" si="278"/>
        <v/>
      </c>
      <c r="T1898" s="5" t="str">
        <f t="shared" si="282"/>
        <v/>
      </c>
      <c r="U1898" s="5" t="str">
        <f t="shared" si="282"/>
        <v/>
      </c>
    </row>
    <row r="1899" spans="7:21" x14ac:dyDescent="0.2">
      <c r="G1899" s="8"/>
      <c r="H1899" s="5"/>
      <c r="J1899" s="10" t="str">
        <f t="shared" si="276"/>
        <v/>
      </c>
      <c r="K1899" s="10" t="str">
        <f t="shared" si="277"/>
        <v/>
      </c>
      <c r="L1899" s="11" t="str">
        <f t="shared" si="279"/>
        <v/>
      </c>
      <c r="M1899" s="9" t="str">
        <f>IF(G1899&lt;&gt;"",J1899/MAX(J$3:J1899)-1,"")</f>
        <v/>
      </c>
      <c r="N1899" s="9" t="str">
        <f>IF(G1899&lt;&gt;"",K1899/MAX(K$3:K1899)-1,"")</f>
        <v/>
      </c>
      <c r="O1899" s="16" t="str">
        <f t="shared" si="275"/>
        <v/>
      </c>
      <c r="P1899" s="16" t="str">
        <f t="shared" si="275"/>
        <v/>
      </c>
      <c r="Q1899" s="16" t="str">
        <f t="shared" si="275"/>
        <v/>
      </c>
      <c r="R1899" s="5" t="str">
        <f t="shared" si="274"/>
        <v/>
      </c>
      <c r="S1899" s="5" t="str">
        <f t="shared" si="278"/>
        <v/>
      </c>
      <c r="T1899" s="5" t="str">
        <f t="shared" si="282"/>
        <v/>
      </c>
      <c r="U1899" s="5" t="str">
        <f t="shared" si="282"/>
        <v/>
      </c>
    </row>
    <row r="1900" spans="7:21" x14ac:dyDescent="0.2">
      <c r="G1900" s="8"/>
      <c r="H1900" s="5"/>
      <c r="J1900" s="10" t="str">
        <f t="shared" si="276"/>
        <v/>
      </c>
      <c r="K1900" s="10" t="str">
        <f t="shared" si="277"/>
        <v/>
      </c>
      <c r="L1900" s="11" t="str">
        <f t="shared" si="279"/>
        <v/>
      </c>
      <c r="M1900" s="9" t="str">
        <f>IF(G1900&lt;&gt;"",J1900/MAX(J$3:J1900)-1,"")</f>
        <v/>
      </c>
      <c r="N1900" s="9" t="str">
        <f>IF(G1900&lt;&gt;"",K1900/MAX(K$3:K1900)-1,"")</f>
        <v/>
      </c>
      <c r="O1900" s="16" t="str">
        <f t="shared" si="275"/>
        <v/>
      </c>
      <c r="P1900" s="16" t="str">
        <f t="shared" si="275"/>
        <v/>
      </c>
      <c r="Q1900" s="16" t="str">
        <f t="shared" si="275"/>
        <v/>
      </c>
      <c r="R1900" s="5" t="str">
        <f t="shared" si="274"/>
        <v/>
      </c>
      <c r="S1900" s="5" t="str">
        <f t="shared" si="278"/>
        <v/>
      </c>
      <c r="T1900" s="5" t="str">
        <f t="shared" si="282"/>
        <v/>
      </c>
      <c r="U1900" s="5" t="str">
        <f t="shared" si="282"/>
        <v/>
      </c>
    </row>
    <row r="1901" spans="7:21" x14ac:dyDescent="0.2">
      <c r="G1901" s="8"/>
      <c r="H1901" s="5"/>
      <c r="J1901" s="10" t="str">
        <f t="shared" si="276"/>
        <v/>
      </c>
      <c r="K1901" s="10" t="str">
        <f t="shared" si="277"/>
        <v/>
      </c>
      <c r="L1901" s="11" t="str">
        <f t="shared" si="279"/>
        <v/>
      </c>
      <c r="M1901" s="9" t="str">
        <f>IF(G1901&lt;&gt;"",J1901/MAX(J$3:J1901)-1,"")</f>
        <v/>
      </c>
      <c r="N1901" s="9" t="str">
        <f>IF(G1901&lt;&gt;"",K1901/MAX(K$3:K1901)-1,"")</f>
        <v/>
      </c>
      <c r="O1901" s="16" t="str">
        <f t="shared" si="275"/>
        <v/>
      </c>
      <c r="P1901" s="16" t="str">
        <f t="shared" si="275"/>
        <v/>
      </c>
      <c r="Q1901" s="16" t="str">
        <f t="shared" si="275"/>
        <v/>
      </c>
      <c r="R1901" s="5" t="str">
        <f t="shared" si="274"/>
        <v/>
      </c>
      <c r="S1901" s="5" t="str">
        <f t="shared" si="278"/>
        <v/>
      </c>
      <c r="T1901" s="5" t="str">
        <f t="shared" si="282"/>
        <v/>
      </c>
      <c r="U1901" s="5" t="str">
        <f t="shared" si="282"/>
        <v/>
      </c>
    </row>
    <row r="1902" spans="7:21" x14ac:dyDescent="0.2">
      <c r="G1902" s="8"/>
      <c r="H1902" s="5"/>
      <c r="J1902" s="10" t="str">
        <f t="shared" si="276"/>
        <v/>
      </c>
      <c r="K1902" s="10" t="str">
        <f t="shared" si="277"/>
        <v/>
      </c>
      <c r="L1902" s="11" t="str">
        <f t="shared" si="279"/>
        <v/>
      </c>
      <c r="M1902" s="9" t="str">
        <f>IF(G1902&lt;&gt;"",J1902/MAX(J$3:J1902)-1,"")</f>
        <v/>
      </c>
      <c r="N1902" s="9" t="str">
        <f>IF(G1902&lt;&gt;"",K1902/MAX(K$3:K1902)-1,"")</f>
        <v/>
      </c>
      <c r="O1902" s="16" t="str">
        <f t="shared" si="275"/>
        <v/>
      </c>
      <c r="P1902" s="16" t="str">
        <f t="shared" si="275"/>
        <v/>
      </c>
      <c r="Q1902" s="16" t="str">
        <f t="shared" si="275"/>
        <v/>
      </c>
      <c r="R1902" s="5" t="str">
        <f t="shared" si="274"/>
        <v/>
      </c>
      <c r="S1902" s="5" t="str">
        <f t="shared" si="278"/>
        <v/>
      </c>
      <c r="T1902" s="5" t="str">
        <f t="shared" si="282"/>
        <v/>
      </c>
      <c r="U1902" s="5" t="str">
        <f t="shared" si="282"/>
        <v/>
      </c>
    </row>
    <row r="1903" spans="7:21" x14ac:dyDescent="0.2">
      <c r="G1903" s="8"/>
      <c r="H1903" s="5"/>
      <c r="J1903" s="10" t="str">
        <f t="shared" si="276"/>
        <v/>
      </c>
      <c r="K1903" s="10" t="str">
        <f t="shared" si="277"/>
        <v/>
      </c>
      <c r="L1903" s="11" t="str">
        <f t="shared" si="279"/>
        <v/>
      </c>
      <c r="M1903" s="9" t="str">
        <f>IF(G1903&lt;&gt;"",J1903/MAX(J$3:J1903)-1,"")</f>
        <v/>
      </c>
      <c r="N1903" s="9" t="str">
        <f>IF(G1903&lt;&gt;"",K1903/MAX(K$3:K1903)-1,"")</f>
        <v/>
      </c>
      <c r="O1903" s="16" t="str">
        <f t="shared" si="275"/>
        <v/>
      </c>
      <c r="P1903" s="16" t="str">
        <f t="shared" si="275"/>
        <v/>
      </c>
      <c r="Q1903" s="16" t="str">
        <f t="shared" si="275"/>
        <v/>
      </c>
      <c r="R1903" s="5" t="str">
        <f t="shared" si="274"/>
        <v/>
      </c>
      <c r="S1903" s="5" t="str">
        <f t="shared" si="278"/>
        <v/>
      </c>
      <c r="T1903" s="5" t="str">
        <f t="shared" si="282"/>
        <v/>
      </c>
      <c r="U1903" s="5" t="str">
        <f t="shared" si="282"/>
        <v/>
      </c>
    </row>
    <row r="1904" spans="7:21" x14ac:dyDescent="0.2">
      <c r="G1904" s="8"/>
      <c r="H1904" s="5"/>
      <c r="J1904" s="10" t="str">
        <f t="shared" si="276"/>
        <v/>
      </c>
      <c r="K1904" s="10" t="str">
        <f t="shared" si="277"/>
        <v/>
      </c>
      <c r="L1904" s="11" t="str">
        <f t="shared" si="279"/>
        <v/>
      </c>
      <c r="M1904" s="9" t="str">
        <f>IF(G1904&lt;&gt;"",J1904/MAX(J$3:J1904)-1,"")</f>
        <v/>
      </c>
      <c r="N1904" s="9" t="str">
        <f>IF(G1904&lt;&gt;"",K1904/MAX(K$3:K1904)-1,"")</f>
        <v/>
      </c>
      <c r="O1904" s="16" t="str">
        <f t="shared" si="275"/>
        <v/>
      </c>
      <c r="P1904" s="16" t="str">
        <f t="shared" si="275"/>
        <v/>
      </c>
      <c r="Q1904" s="16" t="str">
        <f t="shared" si="275"/>
        <v/>
      </c>
      <c r="R1904" s="5" t="str">
        <f t="shared" si="274"/>
        <v/>
      </c>
      <c r="S1904" s="5" t="str">
        <f t="shared" si="278"/>
        <v/>
      </c>
      <c r="T1904" s="5" t="str">
        <f t="shared" si="282"/>
        <v/>
      </c>
      <c r="U1904" s="5" t="str">
        <f t="shared" si="282"/>
        <v/>
      </c>
    </row>
    <row r="1905" spans="7:21" x14ac:dyDescent="0.2">
      <c r="G1905" s="8"/>
      <c r="H1905" s="5"/>
      <c r="J1905" s="10" t="str">
        <f t="shared" si="276"/>
        <v/>
      </c>
      <c r="K1905" s="10" t="str">
        <f t="shared" si="277"/>
        <v/>
      </c>
      <c r="L1905" s="11" t="str">
        <f t="shared" si="279"/>
        <v/>
      </c>
      <c r="M1905" s="9" t="str">
        <f>IF(G1905&lt;&gt;"",J1905/MAX(J$3:J1905)-1,"")</f>
        <v/>
      </c>
      <c r="N1905" s="9" t="str">
        <f>IF(G1905&lt;&gt;"",K1905/MAX(K$3:K1905)-1,"")</f>
        <v/>
      </c>
      <c r="O1905" s="16" t="str">
        <f t="shared" si="275"/>
        <v/>
      </c>
      <c r="P1905" s="16" t="str">
        <f t="shared" si="275"/>
        <v/>
      </c>
      <c r="Q1905" s="16" t="str">
        <f t="shared" si="275"/>
        <v/>
      </c>
      <c r="R1905" s="5" t="str">
        <f t="shared" si="274"/>
        <v/>
      </c>
      <c r="S1905" s="5" t="str">
        <f t="shared" si="278"/>
        <v/>
      </c>
      <c r="T1905" s="5" t="str">
        <f t="shared" si="282"/>
        <v/>
      </c>
      <c r="U1905" s="5" t="str">
        <f t="shared" si="282"/>
        <v/>
      </c>
    </row>
    <row r="1906" spans="7:21" x14ac:dyDescent="0.2">
      <c r="G1906" s="8"/>
      <c r="H1906" s="5"/>
      <c r="J1906" s="10" t="str">
        <f t="shared" si="276"/>
        <v/>
      </c>
      <c r="K1906" s="10" t="str">
        <f t="shared" si="277"/>
        <v/>
      </c>
      <c r="L1906" s="11" t="str">
        <f t="shared" si="279"/>
        <v/>
      </c>
      <c r="M1906" s="9" t="str">
        <f>IF(G1906&lt;&gt;"",J1906/MAX(J$3:J1906)-1,"")</f>
        <v/>
      </c>
      <c r="N1906" s="9" t="str">
        <f>IF(G1906&lt;&gt;"",K1906/MAX(K$3:K1906)-1,"")</f>
        <v/>
      </c>
      <c r="O1906" s="16" t="str">
        <f t="shared" si="275"/>
        <v/>
      </c>
      <c r="P1906" s="16" t="str">
        <f t="shared" si="275"/>
        <v/>
      </c>
      <c r="Q1906" s="16" t="str">
        <f t="shared" si="275"/>
        <v/>
      </c>
      <c r="R1906" s="5" t="str">
        <f t="shared" si="274"/>
        <v/>
      </c>
      <c r="S1906" s="5" t="str">
        <f t="shared" si="278"/>
        <v/>
      </c>
      <c r="T1906" s="5" t="str">
        <f t="shared" si="282"/>
        <v/>
      </c>
      <c r="U1906" s="5" t="str">
        <f t="shared" si="282"/>
        <v/>
      </c>
    </row>
    <row r="1907" spans="7:21" x14ac:dyDescent="0.2">
      <c r="G1907" s="8"/>
      <c r="H1907" s="5"/>
      <c r="J1907" s="10" t="str">
        <f t="shared" si="276"/>
        <v/>
      </c>
      <c r="K1907" s="10" t="str">
        <f t="shared" si="277"/>
        <v/>
      </c>
      <c r="L1907" s="11" t="str">
        <f t="shared" si="279"/>
        <v/>
      </c>
      <c r="M1907" s="9" t="str">
        <f>IF(G1907&lt;&gt;"",J1907/MAX(J$3:J1907)-1,"")</f>
        <v/>
      </c>
      <c r="N1907" s="9" t="str">
        <f>IF(G1907&lt;&gt;"",K1907/MAX(K$3:K1907)-1,"")</f>
        <v/>
      </c>
      <c r="O1907" s="16" t="str">
        <f t="shared" si="275"/>
        <v/>
      </c>
      <c r="P1907" s="16" t="str">
        <f t="shared" si="275"/>
        <v/>
      </c>
      <c r="Q1907" s="16" t="str">
        <f t="shared" si="275"/>
        <v/>
      </c>
      <c r="R1907" s="5" t="str">
        <f t="shared" si="274"/>
        <v/>
      </c>
      <c r="S1907" s="5" t="str">
        <f t="shared" si="278"/>
        <v/>
      </c>
      <c r="T1907" s="5" t="str">
        <f t="shared" si="282"/>
        <v/>
      </c>
      <c r="U1907" s="5" t="str">
        <f t="shared" si="282"/>
        <v/>
      </c>
    </row>
    <row r="1908" spans="7:21" x14ac:dyDescent="0.2">
      <c r="G1908" s="8"/>
      <c r="H1908" s="5"/>
      <c r="J1908" s="10" t="str">
        <f t="shared" si="276"/>
        <v/>
      </c>
      <c r="K1908" s="10" t="str">
        <f t="shared" si="277"/>
        <v/>
      </c>
      <c r="L1908" s="11" t="str">
        <f t="shared" si="279"/>
        <v/>
      </c>
      <c r="M1908" s="9" t="str">
        <f>IF(G1908&lt;&gt;"",J1908/MAX(J$3:J1908)-1,"")</f>
        <v/>
      </c>
      <c r="N1908" s="9" t="str">
        <f>IF(G1908&lt;&gt;"",K1908/MAX(K$3:K1908)-1,"")</f>
        <v/>
      </c>
      <c r="O1908" s="16" t="str">
        <f t="shared" si="275"/>
        <v/>
      </c>
      <c r="P1908" s="16" t="str">
        <f t="shared" si="275"/>
        <v/>
      </c>
      <c r="Q1908" s="16" t="str">
        <f t="shared" si="275"/>
        <v/>
      </c>
      <c r="R1908" s="5" t="str">
        <f t="shared" si="274"/>
        <v/>
      </c>
      <c r="S1908" s="5" t="str">
        <f t="shared" si="278"/>
        <v/>
      </c>
      <c r="T1908" s="5" t="str">
        <f t="shared" si="282"/>
        <v/>
      </c>
      <c r="U1908" s="5" t="str">
        <f t="shared" si="282"/>
        <v/>
      </c>
    </row>
    <row r="1909" spans="7:21" x14ac:dyDescent="0.2">
      <c r="G1909" s="8"/>
      <c r="H1909" s="5"/>
      <c r="J1909" s="10" t="str">
        <f t="shared" si="276"/>
        <v/>
      </c>
      <c r="K1909" s="10" t="str">
        <f t="shared" si="277"/>
        <v/>
      </c>
      <c r="L1909" s="11" t="str">
        <f t="shared" si="279"/>
        <v/>
      </c>
      <c r="M1909" s="9" t="str">
        <f>IF(G1909&lt;&gt;"",J1909/MAX(J$3:J1909)-1,"")</f>
        <v/>
      </c>
      <c r="N1909" s="9" t="str">
        <f>IF(G1909&lt;&gt;"",K1909/MAX(K$3:K1909)-1,"")</f>
        <v/>
      </c>
      <c r="O1909" s="16" t="str">
        <f t="shared" si="275"/>
        <v/>
      </c>
      <c r="P1909" s="16" t="str">
        <f t="shared" si="275"/>
        <v/>
      </c>
      <c r="Q1909" s="16" t="str">
        <f t="shared" si="275"/>
        <v/>
      </c>
      <c r="R1909" s="5" t="str">
        <f t="shared" si="274"/>
        <v/>
      </c>
      <c r="S1909" s="5" t="str">
        <f t="shared" si="278"/>
        <v/>
      </c>
      <c r="T1909" s="5" t="str">
        <f t="shared" si="282"/>
        <v/>
      </c>
      <c r="U1909" s="5" t="str">
        <f t="shared" si="282"/>
        <v/>
      </c>
    </row>
    <row r="1910" spans="7:21" x14ac:dyDescent="0.2">
      <c r="G1910" s="8"/>
      <c r="H1910" s="5"/>
      <c r="J1910" s="10" t="str">
        <f t="shared" si="276"/>
        <v/>
      </c>
      <c r="K1910" s="10" t="str">
        <f t="shared" si="277"/>
        <v/>
      </c>
      <c r="L1910" s="11" t="str">
        <f t="shared" si="279"/>
        <v/>
      </c>
      <c r="M1910" s="9" t="str">
        <f>IF(G1910&lt;&gt;"",J1910/MAX(J$3:J1910)-1,"")</f>
        <v/>
      </c>
      <c r="N1910" s="9" t="str">
        <f>IF(G1910&lt;&gt;"",K1910/MAX(K$3:K1910)-1,"")</f>
        <v/>
      </c>
      <c r="O1910" s="16" t="str">
        <f t="shared" si="275"/>
        <v/>
      </c>
      <c r="P1910" s="16" t="str">
        <f t="shared" si="275"/>
        <v/>
      </c>
      <c r="Q1910" s="16" t="str">
        <f t="shared" si="275"/>
        <v/>
      </c>
      <c r="R1910" s="5" t="str">
        <f t="shared" si="274"/>
        <v/>
      </c>
      <c r="S1910" s="5" t="str">
        <f t="shared" si="278"/>
        <v/>
      </c>
      <c r="T1910" s="5" t="str">
        <f t="shared" si="282"/>
        <v/>
      </c>
      <c r="U1910" s="5" t="str">
        <f t="shared" si="282"/>
        <v/>
      </c>
    </row>
    <row r="1911" spans="7:21" x14ac:dyDescent="0.2">
      <c r="G1911" s="8"/>
      <c r="H1911" s="5"/>
      <c r="J1911" s="10" t="str">
        <f t="shared" si="276"/>
        <v/>
      </c>
      <c r="K1911" s="10" t="str">
        <f t="shared" si="277"/>
        <v/>
      </c>
      <c r="L1911" s="11" t="str">
        <f t="shared" si="279"/>
        <v/>
      </c>
      <c r="M1911" s="9" t="str">
        <f>IF(G1911&lt;&gt;"",J1911/MAX(J$3:J1911)-1,"")</f>
        <v/>
      </c>
      <c r="N1911" s="9" t="str">
        <f>IF(G1911&lt;&gt;"",K1911/MAX(K$3:K1911)-1,"")</f>
        <v/>
      </c>
      <c r="O1911" s="16" t="str">
        <f t="shared" si="275"/>
        <v/>
      </c>
      <c r="P1911" s="16" t="str">
        <f t="shared" si="275"/>
        <v/>
      </c>
      <c r="Q1911" s="16" t="str">
        <f t="shared" si="275"/>
        <v/>
      </c>
      <c r="R1911" s="5" t="str">
        <f t="shared" si="274"/>
        <v/>
      </c>
      <c r="S1911" s="5" t="str">
        <f t="shared" si="278"/>
        <v/>
      </c>
      <c r="T1911" s="5" t="str">
        <f t="shared" si="282"/>
        <v/>
      </c>
      <c r="U1911" s="5" t="str">
        <f t="shared" si="282"/>
        <v/>
      </c>
    </row>
    <row r="1912" spans="7:21" x14ac:dyDescent="0.2">
      <c r="G1912" s="8"/>
      <c r="H1912" s="5"/>
      <c r="J1912" s="10" t="str">
        <f t="shared" si="276"/>
        <v/>
      </c>
      <c r="K1912" s="10" t="str">
        <f t="shared" si="277"/>
        <v/>
      </c>
      <c r="L1912" s="11" t="str">
        <f t="shared" si="279"/>
        <v/>
      </c>
      <c r="M1912" s="9" t="str">
        <f>IF(G1912&lt;&gt;"",J1912/MAX(J$3:J1912)-1,"")</f>
        <v/>
      </c>
      <c r="N1912" s="9" t="str">
        <f>IF(G1912&lt;&gt;"",K1912/MAX(K$3:K1912)-1,"")</f>
        <v/>
      </c>
      <c r="O1912" s="16" t="str">
        <f t="shared" si="275"/>
        <v/>
      </c>
      <c r="P1912" s="16" t="str">
        <f t="shared" si="275"/>
        <v/>
      </c>
      <c r="Q1912" s="16" t="str">
        <f t="shared" si="275"/>
        <v/>
      </c>
      <c r="R1912" s="5" t="str">
        <f t="shared" si="274"/>
        <v/>
      </c>
      <c r="S1912" s="5" t="str">
        <f t="shared" si="278"/>
        <v/>
      </c>
      <c r="T1912" s="5" t="str">
        <f t="shared" ref="T1912:U1927" si="283">IF($G1912&lt;&gt;"",_xlfn.STDEV.S(O1668:O1912),"")</f>
        <v/>
      </c>
      <c r="U1912" s="5" t="str">
        <f t="shared" si="283"/>
        <v/>
      </c>
    </row>
    <row r="1913" spans="7:21" x14ac:dyDescent="0.2">
      <c r="G1913" s="8"/>
      <c r="H1913" s="5"/>
      <c r="J1913" s="10" t="str">
        <f t="shared" si="276"/>
        <v/>
      </c>
      <c r="K1913" s="10" t="str">
        <f t="shared" si="277"/>
        <v/>
      </c>
      <c r="L1913" s="11" t="str">
        <f t="shared" si="279"/>
        <v/>
      </c>
      <c r="M1913" s="9" t="str">
        <f>IF(G1913&lt;&gt;"",J1913/MAX(J$3:J1913)-1,"")</f>
        <v/>
      </c>
      <c r="N1913" s="9" t="str">
        <f>IF(G1913&lt;&gt;"",K1913/MAX(K$3:K1913)-1,"")</f>
        <v/>
      </c>
      <c r="O1913" s="16" t="str">
        <f t="shared" si="275"/>
        <v/>
      </c>
      <c r="P1913" s="16" t="str">
        <f t="shared" si="275"/>
        <v/>
      </c>
      <c r="Q1913" s="16" t="str">
        <f t="shared" si="275"/>
        <v/>
      </c>
      <c r="R1913" s="5" t="str">
        <f t="shared" si="274"/>
        <v/>
      </c>
      <c r="S1913" s="5" t="str">
        <f t="shared" si="278"/>
        <v/>
      </c>
      <c r="T1913" s="5" t="str">
        <f t="shared" si="283"/>
        <v/>
      </c>
      <c r="U1913" s="5" t="str">
        <f t="shared" si="283"/>
        <v/>
      </c>
    </row>
    <row r="1914" spans="7:21" x14ac:dyDescent="0.2">
      <c r="G1914" s="8"/>
      <c r="H1914" s="5"/>
      <c r="J1914" s="10" t="str">
        <f t="shared" si="276"/>
        <v/>
      </c>
      <c r="K1914" s="10" t="str">
        <f t="shared" si="277"/>
        <v/>
      </c>
      <c r="L1914" s="11" t="str">
        <f t="shared" si="279"/>
        <v/>
      </c>
      <c r="M1914" s="9" t="str">
        <f>IF(G1914&lt;&gt;"",J1914/MAX(J$3:J1914)-1,"")</f>
        <v/>
      </c>
      <c r="N1914" s="9" t="str">
        <f>IF(G1914&lt;&gt;"",K1914/MAX(K$3:K1914)-1,"")</f>
        <v/>
      </c>
      <c r="O1914" s="16" t="str">
        <f t="shared" si="275"/>
        <v/>
      </c>
      <c r="P1914" s="16" t="str">
        <f t="shared" si="275"/>
        <v/>
      </c>
      <c r="Q1914" s="16" t="str">
        <f t="shared" si="275"/>
        <v/>
      </c>
      <c r="R1914" s="5" t="str">
        <f t="shared" si="274"/>
        <v/>
      </c>
      <c r="S1914" s="5" t="str">
        <f t="shared" si="278"/>
        <v/>
      </c>
      <c r="T1914" s="5" t="str">
        <f t="shared" si="283"/>
        <v/>
      </c>
      <c r="U1914" s="5" t="str">
        <f t="shared" si="283"/>
        <v/>
      </c>
    </row>
    <row r="1915" spans="7:21" x14ac:dyDescent="0.2">
      <c r="G1915" s="8"/>
      <c r="H1915" s="5"/>
      <c r="J1915" s="10" t="str">
        <f t="shared" si="276"/>
        <v/>
      </c>
      <c r="K1915" s="10" t="str">
        <f t="shared" si="277"/>
        <v/>
      </c>
      <c r="L1915" s="11" t="str">
        <f t="shared" si="279"/>
        <v/>
      </c>
      <c r="M1915" s="9" t="str">
        <f>IF(G1915&lt;&gt;"",J1915/MAX(J$3:J1915)-1,"")</f>
        <v/>
      </c>
      <c r="N1915" s="9" t="str">
        <f>IF(G1915&lt;&gt;"",K1915/MAX(K$3:K1915)-1,"")</f>
        <v/>
      </c>
      <c r="O1915" s="16" t="str">
        <f t="shared" si="275"/>
        <v/>
      </c>
      <c r="P1915" s="16" t="str">
        <f t="shared" si="275"/>
        <v/>
      </c>
      <c r="Q1915" s="16" t="str">
        <f t="shared" si="275"/>
        <v/>
      </c>
      <c r="R1915" s="5" t="str">
        <f t="shared" si="274"/>
        <v/>
      </c>
      <c r="S1915" s="5" t="str">
        <f t="shared" si="278"/>
        <v/>
      </c>
      <c r="T1915" s="5" t="str">
        <f t="shared" si="283"/>
        <v/>
      </c>
      <c r="U1915" s="5" t="str">
        <f t="shared" si="283"/>
        <v/>
      </c>
    </row>
    <row r="1916" spans="7:21" x14ac:dyDescent="0.2">
      <c r="G1916" s="8"/>
      <c r="H1916" s="5"/>
      <c r="J1916" s="10" t="str">
        <f t="shared" si="276"/>
        <v/>
      </c>
      <c r="K1916" s="10" t="str">
        <f t="shared" si="277"/>
        <v/>
      </c>
      <c r="L1916" s="11" t="str">
        <f t="shared" si="279"/>
        <v/>
      </c>
      <c r="M1916" s="9" t="str">
        <f>IF(G1916&lt;&gt;"",J1916/MAX(J$3:J1916)-1,"")</f>
        <v/>
      </c>
      <c r="N1916" s="9" t="str">
        <f>IF(G1916&lt;&gt;"",K1916/MAX(K$3:K1916)-1,"")</f>
        <v/>
      </c>
      <c r="O1916" s="16" t="str">
        <f t="shared" si="275"/>
        <v/>
      </c>
      <c r="P1916" s="16" t="str">
        <f t="shared" si="275"/>
        <v/>
      </c>
      <c r="Q1916" s="16" t="str">
        <f t="shared" si="275"/>
        <v/>
      </c>
      <c r="R1916" s="5" t="str">
        <f t="shared" si="274"/>
        <v/>
      </c>
      <c r="S1916" s="5" t="str">
        <f t="shared" si="278"/>
        <v/>
      </c>
      <c r="T1916" s="5" t="str">
        <f t="shared" si="283"/>
        <v/>
      </c>
      <c r="U1916" s="5" t="str">
        <f t="shared" si="283"/>
        <v/>
      </c>
    </row>
    <row r="1917" spans="7:21" x14ac:dyDescent="0.2">
      <c r="G1917" s="8"/>
      <c r="H1917" s="5"/>
      <c r="J1917" s="10" t="str">
        <f t="shared" si="276"/>
        <v/>
      </c>
      <c r="K1917" s="10" t="str">
        <f t="shared" si="277"/>
        <v/>
      </c>
      <c r="L1917" s="11" t="str">
        <f t="shared" si="279"/>
        <v/>
      </c>
      <c r="M1917" s="9" t="str">
        <f>IF(G1917&lt;&gt;"",J1917/MAX(J$3:J1917)-1,"")</f>
        <v/>
      </c>
      <c r="N1917" s="9" t="str">
        <f>IF(G1917&lt;&gt;"",K1917/MAX(K$3:K1917)-1,"")</f>
        <v/>
      </c>
      <c r="O1917" s="16" t="str">
        <f t="shared" si="275"/>
        <v/>
      </c>
      <c r="P1917" s="16" t="str">
        <f t="shared" si="275"/>
        <v/>
      </c>
      <c r="Q1917" s="16" t="str">
        <f t="shared" si="275"/>
        <v/>
      </c>
      <c r="R1917" s="5" t="str">
        <f t="shared" ref="R1917:R1980" si="284">IF(G1917&lt;&gt;"",_xlfn.STDEV.S(Q1796:Q1917)*SQRT($B$5),"")</f>
        <v/>
      </c>
      <c r="S1917" s="5" t="str">
        <f t="shared" si="278"/>
        <v/>
      </c>
      <c r="T1917" s="5" t="str">
        <f t="shared" si="283"/>
        <v/>
      </c>
      <c r="U1917" s="5" t="str">
        <f t="shared" si="283"/>
        <v/>
      </c>
    </row>
    <row r="1918" spans="7:21" x14ac:dyDescent="0.2">
      <c r="G1918" s="8"/>
      <c r="H1918" s="5"/>
      <c r="J1918" s="10" t="str">
        <f t="shared" si="276"/>
        <v/>
      </c>
      <c r="K1918" s="10" t="str">
        <f t="shared" si="277"/>
        <v/>
      </c>
      <c r="L1918" s="11" t="str">
        <f t="shared" si="279"/>
        <v/>
      </c>
      <c r="M1918" s="9" t="str">
        <f>IF(G1918&lt;&gt;"",J1918/MAX(J$3:J1918)-1,"")</f>
        <v/>
      </c>
      <c r="N1918" s="9" t="str">
        <f>IF(G1918&lt;&gt;"",K1918/MAX(K$3:K1918)-1,"")</f>
        <v/>
      </c>
      <c r="O1918" s="16" t="str">
        <f t="shared" si="275"/>
        <v/>
      </c>
      <c r="P1918" s="16" t="str">
        <f t="shared" si="275"/>
        <v/>
      </c>
      <c r="Q1918" s="16" t="str">
        <f t="shared" si="275"/>
        <v/>
      </c>
      <c r="R1918" s="5" t="str">
        <f t="shared" si="284"/>
        <v/>
      </c>
      <c r="S1918" s="5" t="str">
        <f t="shared" si="278"/>
        <v/>
      </c>
      <c r="T1918" s="5" t="str">
        <f t="shared" si="283"/>
        <v/>
      </c>
      <c r="U1918" s="5" t="str">
        <f t="shared" si="283"/>
        <v/>
      </c>
    </row>
    <row r="1919" spans="7:21" x14ac:dyDescent="0.2">
      <c r="G1919" s="8"/>
      <c r="H1919" s="5"/>
      <c r="J1919" s="10" t="str">
        <f t="shared" si="276"/>
        <v/>
      </c>
      <c r="K1919" s="10" t="str">
        <f t="shared" si="277"/>
        <v/>
      </c>
      <c r="L1919" s="11" t="str">
        <f t="shared" si="279"/>
        <v/>
      </c>
      <c r="M1919" s="9" t="str">
        <f>IF(G1919&lt;&gt;"",J1919/MAX(J$3:J1919)-1,"")</f>
        <v/>
      </c>
      <c r="N1919" s="9" t="str">
        <f>IF(G1919&lt;&gt;"",K1919/MAX(K$3:K1919)-1,"")</f>
        <v/>
      </c>
      <c r="O1919" s="16" t="str">
        <f t="shared" si="275"/>
        <v/>
      </c>
      <c r="P1919" s="16" t="str">
        <f t="shared" si="275"/>
        <v/>
      </c>
      <c r="Q1919" s="16" t="str">
        <f t="shared" si="275"/>
        <v/>
      </c>
      <c r="R1919" s="5" t="str">
        <f t="shared" si="284"/>
        <v/>
      </c>
      <c r="S1919" s="5" t="str">
        <f t="shared" si="278"/>
        <v/>
      </c>
      <c r="T1919" s="5" t="str">
        <f t="shared" si="283"/>
        <v/>
      </c>
      <c r="U1919" s="5" t="str">
        <f t="shared" si="283"/>
        <v/>
      </c>
    </row>
    <row r="1920" spans="7:21" x14ac:dyDescent="0.2">
      <c r="G1920" s="8"/>
      <c r="H1920" s="5"/>
      <c r="J1920" s="10" t="str">
        <f t="shared" si="276"/>
        <v/>
      </c>
      <c r="K1920" s="10" t="str">
        <f t="shared" si="277"/>
        <v/>
      </c>
      <c r="L1920" s="11" t="str">
        <f t="shared" si="279"/>
        <v/>
      </c>
      <c r="M1920" s="9" t="str">
        <f>IF(G1920&lt;&gt;"",J1920/MAX(J$3:J1920)-1,"")</f>
        <v/>
      </c>
      <c r="N1920" s="9" t="str">
        <f>IF(G1920&lt;&gt;"",K1920/MAX(K$3:K1920)-1,"")</f>
        <v/>
      </c>
      <c r="O1920" s="16" t="str">
        <f t="shared" si="275"/>
        <v/>
      </c>
      <c r="P1920" s="16" t="str">
        <f t="shared" si="275"/>
        <v/>
      </c>
      <c r="Q1920" s="16" t="str">
        <f t="shared" si="275"/>
        <v/>
      </c>
      <c r="R1920" s="5" t="str">
        <f t="shared" si="284"/>
        <v/>
      </c>
      <c r="S1920" s="5" t="str">
        <f t="shared" si="278"/>
        <v/>
      </c>
      <c r="T1920" s="5" t="str">
        <f t="shared" si="283"/>
        <v/>
      </c>
      <c r="U1920" s="5" t="str">
        <f t="shared" si="283"/>
        <v/>
      </c>
    </row>
    <row r="1921" spans="7:21" x14ac:dyDescent="0.2">
      <c r="G1921" s="8"/>
      <c r="H1921" s="5"/>
      <c r="J1921" s="10" t="str">
        <f t="shared" si="276"/>
        <v/>
      </c>
      <c r="K1921" s="10" t="str">
        <f t="shared" si="277"/>
        <v/>
      </c>
      <c r="L1921" s="11" t="str">
        <f t="shared" si="279"/>
        <v/>
      </c>
      <c r="M1921" s="9" t="str">
        <f>IF(G1921&lt;&gt;"",J1921/MAX(J$3:J1921)-1,"")</f>
        <v/>
      </c>
      <c r="N1921" s="9" t="str">
        <f>IF(G1921&lt;&gt;"",K1921/MAX(K$3:K1921)-1,"")</f>
        <v/>
      </c>
      <c r="O1921" s="16" t="str">
        <f t="shared" si="275"/>
        <v/>
      </c>
      <c r="P1921" s="16" t="str">
        <f t="shared" si="275"/>
        <v/>
      </c>
      <c r="Q1921" s="16" t="str">
        <f t="shared" si="275"/>
        <v/>
      </c>
      <c r="R1921" s="5" t="str">
        <f t="shared" si="284"/>
        <v/>
      </c>
      <c r="S1921" s="5" t="str">
        <f t="shared" si="278"/>
        <v/>
      </c>
      <c r="T1921" s="5" t="str">
        <f t="shared" si="283"/>
        <v/>
      </c>
      <c r="U1921" s="5" t="str">
        <f t="shared" si="283"/>
        <v/>
      </c>
    </row>
    <row r="1922" spans="7:21" x14ac:dyDescent="0.2">
      <c r="G1922" s="8"/>
      <c r="H1922" s="5"/>
      <c r="J1922" s="10" t="str">
        <f t="shared" si="276"/>
        <v/>
      </c>
      <c r="K1922" s="10" t="str">
        <f t="shared" si="277"/>
        <v/>
      </c>
      <c r="L1922" s="11" t="str">
        <f t="shared" si="279"/>
        <v/>
      </c>
      <c r="M1922" s="9" t="str">
        <f>IF(G1922&lt;&gt;"",J1922/MAX(J$3:J1922)-1,"")</f>
        <v/>
      </c>
      <c r="N1922" s="9" t="str">
        <f>IF(G1922&lt;&gt;"",K1922/MAX(K$3:K1922)-1,"")</f>
        <v/>
      </c>
      <c r="O1922" s="16" t="str">
        <f t="shared" ref="O1922:Q1985" si="285">IF($G1922&lt;&gt;"",J1922/J1921-1,"")</f>
        <v/>
      </c>
      <c r="P1922" s="16" t="str">
        <f t="shared" si="285"/>
        <v/>
      </c>
      <c r="Q1922" s="16" t="str">
        <f t="shared" si="285"/>
        <v/>
      </c>
      <c r="R1922" s="5" t="str">
        <f t="shared" si="284"/>
        <v/>
      </c>
      <c r="S1922" s="5" t="str">
        <f t="shared" si="278"/>
        <v/>
      </c>
      <c r="T1922" s="5" t="str">
        <f t="shared" si="283"/>
        <v/>
      </c>
      <c r="U1922" s="5" t="str">
        <f t="shared" si="283"/>
        <v/>
      </c>
    </row>
    <row r="1923" spans="7:21" x14ac:dyDescent="0.2">
      <c r="G1923" s="8"/>
      <c r="H1923" s="5"/>
      <c r="J1923" s="10" t="str">
        <f t="shared" si="276"/>
        <v/>
      </c>
      <c r="K1923" s="10" t="str">
        <f t="shared" si="277"/>
        <v/>
      </c>
      <c r="L1923" s="11" t="str">
        <f t="shared" si="279"/>
        <v/>
      </c>
      <c r="M1923" s="9" t="str">
        <f>IF(G1923&lt;&gt;"",J1923/MAX(J$3:J1923)-1,"")</f>
        <v/>
      </c>
      <c r="N1923" s="9" t="str">
        <f>IF(G1923&lt;&gt;"",K1923/MAX(K$3:K1923)-1,"")</f>
        <v/>
      </c>
      <c r="O1923" s="16" t="str">
        <f t="shared" si="285"/>
        <v/>
      </c>
      <c r="P1923" s="16" t="str">
        <f t="shared" si="285"/>
        <v/>
      </c>
      <c r="Q1923" s="16" t="str">
        <f t="shared" si="285"/>
        <v/>
      </c>
      <c r="R1923" s="5" t="str">
        <f t="shared" si="284"/>
        <v/>
      </c>
      <c r="S1923" s="5" t="str">
        <f t="shared" si="278"/>
        <v/>
      </c>
      <c r="T1923" s="5" t="str">
        <f t="shared" si="283"/>
        <v/>
      </c>
      <c r="U1923" s="5" t="str">
        <f t="shared" si="283"/>
        <v/>
      </c>
    </row>
    <row r="1924" spans="7:21" x14ac:dyDescent="0.2">
      <c r="G1924" s="8"/>
      <c r="H1924" s="5"/>
      <c r="J1924" s="10" t="str">
        <f t="shared" ref="J1924:J1987" si="286">IF(G1924&lt;&gt;"",1+H1924,"")</f>
        <v/>
      </c>
      <c r="K1924" s="10" t="str">
        <f t="shared" ref="K1924:K1987" si="287">IF(G1924&lt;&gt;"",1+I1924,"")</f>
        <v/>
      </c>
      <c r="L1924" s="11" t="str">
        <f t="shared" si="279"/>
        <v/>
      </c>
      <c r="M1924" s="9" t="str">
        <f>IF(G1924&lt;&gt;"",J1924/MAX(J$3:J1924)-1,"")</f>
        <v/>
      </c>
      <c r="N1924" s="9" t="str">
        <f>IF(G1924&lt;&gt;"",K1924/MAX(K$3:K1924)-1,"")</f>
        <v/>
      </c>
      <c r="O1924" s="16" t="str">
        <f t="shared" si="285"/>
        <v/>
      </c>
      <c r="P1924" s="16" t="str">
        <f t="shared" si="285"/>
        <v/>
      </c>
      <c r="Q1924" s="16" t="str">
        <f t="shared" si="285"/>
        <v/>
      </c>
      <c r="R1924" s="5" t="str">
        <f t="shared" si="284"/>
        <v/>
      </c>
      <c r="S1924" s="5" t="str">
        <f t="shared" ref="S1924:S1987" si="288">IF(R1924&lt;&gt;"",B$12,"")</f>
        <v/>
      </c>
      <c r="T1924" s="5" t="str">
        <f t="shared" si="283"/>
        <v/>
      </c>
      <c r="U1924" s="5" t="str">
        <f t="shared" si="283"/>
        <v/>
      </c>
    </row>
    <row r="1925" spans="7:21" x14ac:dyDescent="0.2">
      <c r="G1925" s="8"/>
      <c r="H1925" s="5"/>
      <c r="J1925" s="10" t="str">
        <f t="shared" si="286"/>
        <v/>
      </c>
      <c r="K1925" s="10" t="str">
        <f t="shared" si="287"/>
        <v/>
      </c>
      <c r="L1925" s="11" t="str">
        <f t="shared" ref="L1925:L1988" si="289">IF(G1925&lt;&gt;"",J1925/K1925,"")</f>
        <v/>
      </c>
      <c r="M1925" s="9" t="str">
        <f>IF(G1925&lt;&gt;"",J1925/MAX(J$3:J1925)-1,"")</f>
        <v/>
      </c>
      <c r="N1925" s="9" t="str">
        <f>IF(G1925&lt;&gt;"",K1925/MAX(K$3:K1925)-1,"")</f>
        <v/>
      </c>
      <c r="O1925" s="16" t="str">
        <f t="shared" si="285"/>
        <v/>
      </c>
      <c r="P1925" s="16" t="str">
        <f t="shared" si="285"/>
        <v/>
      </c>
      <c r="Q1925" s="16" t="str">
        <f t="shared" si="285"/>
        <v/>
      </c>
      <c r="R1925" s="5" t="str">
        <f t="shared" si="284"/>
        <v/>
      </c>
      <c r="S1925" s="5" t="str">
        <f t="shared" si="288"/>
        <v/>
      </c>
      <c r="T1925" s="5" t="str">
        <f t="shared" si="283"/>
        <v/>
      </c>
      <c r="U1925" s="5" t="str">
        <f t="shared" si="283"/>
        <v/>
      </c>
    </row>
    <row r="1926" spans="7:21" x14ac:dyDescent="0.2">
      <c r="G1926" s="8"/>
      <c r="H1926" s="5"/>
      <c r="J1926" s="10" t="str">
        <f t="shared" si="286"/>
        <v/>
      </c>
      <c r="K1926" s="10" t="str">
        <f t="shared" si="287"/>
        <v/>
      </c>
      <c r="L1926" s="11" t="str">
        <f t="shared" si="289"/>
        <v/>
      </c>
      <c r="M1926" s="9" t="str">
        <f>IF(G1926&lt;&gt;"",J1926/MAX(J$3:J1926)-1,"")</f>
        <v/>
      </c>
      <c r="N1926" s="9" t="str">
        <f>IF(G1926&lt;&gt;"",K1926/MAX(K$3:K1926)-1,"")</f>
        <v/>
      </c>
      <c r="O1926" s="16" t="str">
        <f t="shared" si="285"/>
        <v/>
      </c>
      <c r="P1926" s="16" t="str">
        <f t="shared" si="285"/>
        <v/>
      </c>
      <c r="Q1926" s="16" t="str">
        <f t="shared" si="285"/>
        <v/>
      </c>
      <c r="R1926" s="5" t="str">
        <f t="shared" si="284"/>
        <v/>
      </c>
      <c r="S1926" s="5" t="str">
        <f t="shared" si="288"/>
        <v/>
      </c>
      <c r="T1926" s="5" t="str">
        <f t="shared" si="283"/>
        <v/>
      </c>
      <c r="U1926" s="5" t="str">
        <f t="shared" si="283"/>
        <v/>
      </c>
    </row>
    <row r="1927" spans="7:21" x14ac:dyDescent="0.2">
      <c r="G1927" s="8"/>
      <c r="H1927" s="5"/>
      <c r="J1927" s="10" t="str">
        <f t="shared" si="286"/>
        <v/>
      </c>
      <c r="K1927" s="10" t="str">
        <f t="shared" si="287"/>
        <v/>
      </c>
      <c r="L1927" s="11" t="str">
        <f t="shared" si="289"/>
        <v/>
      </c>
      <c r="M1927" s="9" t="str">
        <f>IF(G1927&lt;&gt;"",J1927/MAX(J$3:J1927)-1,"")</f>
        <v/>
      </c>
      <c r="N1927" s="9" t="str">
        <f>IF(G1927&lt;&gt;"",K1927/MAX(K$3:K1927)-1,"")</f>
        <v/>
      </c>
      <c r="O1927" s="16" t="str">
        <f t="shared" si="285"/>
        <v/>
      </c>
      <c r="P1927" s="16" t="str">
        <f t="shared" si="285"/>
        <v/>
      </c>
      <c r="Q1927" s="16" t="str">
        <f t="shared" si="285"/>
        <v/>
      </c>
      <c r="R1927" s="5" t="str">
        <f t="shared" si="284"/>
        <v/>
      </c>
      <c r="S1927" s="5" t="str">
        <f t="shared" si="288"/>
        <v/>
      </c>
      <c r="T1927" s="5" t="str">
        <f t="shared" si="283"/>
        <v/>
      </c>
      <c r="U1927" s="5" t="str">
        <f t="shared" si="283"/>
        <v/>
      </c>
    </row>
    <row r="1928" spans="7:21" x14ac:dyDescent="0.2">
      <c r="G1928" s="8"/>
      <c r="H1928" s="5"/>
      <c r="J1928" s="10" t="str">
        <f t="shared" si="286"/>
        <v/>
      </c>
      <c r="K1928" s="10" t="str">
        <f t="shared" si="287"/>
        <v/>
      </c>
      <c r="L1928" s="11" t="str">
        <f t="shared" si="289"/>
        <v/>
      </c>
      <c r="M1928" s="9" t="str">
        <f>IF(G1928&lt;&gt;"",J1928/MAX(J$3:J1928)-1,"")</f>
        <v/>
      </c>
      <c r="N1928" s="9" t="str">
        <f>IF(G1928&lt;&gt;"",K1928/MAX(K$3:K1928)-1,"")</f>
        <v/>
      </c>
      <c r="O1928" s="16" t="str">
        <f t="shared" si="285"/>
        <v/>
      </c>
      <c r="P1928" s="16" t="str">
        <f t="shared" si="285"/>
        <v/>
      </c>
      <c r="Q1928" s="16" t="str">
        <f t="shared" si="285"/>
        <v/>
      </c>
      <c r="R1928" s="5" t="str">
        <f t="shared" si="284"/>
        <v/>
      </c>
      <c r="S1928" s="5" t="str">
        <f t="shared" si="288"/>
        <v/>
      </c>
      <c r="T1928" s="5" t="str">
        <f t="shared" ref="T1928:U1943" si="290">IF($G1928&lt;&gt;"",_xlfn.STDEV.S(O1684:O1928),"")</f>
        <v/>
      </c>
      <c r="U1928" s="5" t="str">
        <f t="shared" si="290"/>
        <v/>
      </c>
    </row>
    <row r="1929" spans="7:21" x14ac:dyDescent="0.2">
      <c r="G1929" s="8"/>
      <c r="H1929" s="5"/>
      <c r="J1929" s="10" t="str">
        <f t="shared" si="286"/>
        <v/>
      </c>
      <c r="K1929" s="10" t="str">
        <f t="shared" si="287"/>
        <v/>
      </c>
      <c r="L1929" s="11" t="str">
        <f t="shared" si="289"/>
        <v/>
      </c>
      <c r="M1929" s="9" t="str">
        <f>IF(G1929&lt;&gt;"",J1929/MAX(J$3:J1929)-1,"")</f>
        <v/>
      </c>
      <c r="N1929" s="9" t="str">
        <f>IF(G1929&lt;&gt;"",K1929/MAX(K$3:K1929)-1,"")</f>
        <v/>
      </c>
      <c r="O1929" s="16" t="str">
        <f t="shared" si="285"/>
        <v/>
      </c>
      <c r="P1929" s="16" t="str">
        <f t="shared" si="285"/>
        <v/>
      </c>
      <c r="Q1929" s="16" t="str">
        <f t="shared" si="285"/>
        <v/>
      </c>
      <c r="R1929" s="5" t="str">
        <f t="shared" si="284"/>
        <v/>
      </c>
      <c r="S1929" s="5" t="str">
        <f t="shared" si="288"/>
        <v/>
      </c>
      <c r="T1929" s="5" t="str">
        <f t="shared" si="290"/>
        <v/>
      </c>
      <c r="U1929" s="5" t="str">
        <f t="shared" si="290"/>
        <v/>
      </c>
    </row>
    <row r="1930" spans="7:21" x14ac:dyDescent="0.2">
      <c r="G1930" s="8"/>
      <c r="H1930" s="5"/>
      <c r="J1930" s="10" t="str">
        <f t="shared" si="286"/>
        <v/>
      </c>
      <c r="K1930" s="10" t="str">
        <f t="shared" si="287"/>
        <v/>
      </c>
      <c r="L1930" s="11" t="str">
        <f t="shared" si="289"/>
        <v/>
      </c>
      <c r="M1930" s="9" t="str">
        <f>IF(G1930&lt;&gt;"",J1930/MAX(J$3:J1930)-1,"")</f>
        <v/>
      </c>
      <c r="N1930" s="9" t="str">
        <f>IF(G1930&lt;&gt;"",K1930/MAX(K$3:K1930)-1,"")</f>
        <v/>
      </c>
      <c r="O1930" s="16" t="str">
        <f t="shared" si="285"/>
        <v/>
      </c>
      <c r="P1930" s="16" t="str">
        <f t="shared" si="285"/>
        <v/>
      </c>
      <c r="Q1930" s="16" t="str">
        <f t="shared" si="285"/>
        <v/>
      </c>
      <c r="R1930" s="5" t="str">
        <f t="shared" si="284"/>
        <v/>
      </c>
      <c r="S1930" s="5" t="str">
        <f t="shared" si="288"/>
        <v/>
      </c>
      <c r="T1930" s="5" t="str">
        <f t="shared" si="290"/>
        <v/>
      </c>
      <c r="U1930" s="5" t="str">
        <f t="shared" si="290"/>
        <v/>
      </c>
    </row>
    <row r="1931" spans="7:21" x14ac:dyDescent="0.2">
      <c r="G1931" s="8"/>
      <c r="H1931" s="5"/>
      <c r="J1931" s="10" t="str">
        <f t="shared" si="286"/>
        <v/>
      </c>
      <c r="K1931" s="10" t="str">
        <f t="shared" si="287"/>
        <v/>
      </c>
      <c r="L1931" s="11" t="str">
        <f t="shared" si="289"/>
        <v/>
      </c>
      <c r="M1931" s="9" t="str">
        <f>IF(G1931&lt;&gt;"",J1931/MAX(J$3:J1931)-1,"")</f>
        <v/>
      </c>
      <c r="N1931" s="9" t="str">
        <f>IF(G1931&lt;&gt;"",K1931/MAX(K$3:K1931)-1,"")</f>
        <v/>
      </c>
      <c r="O1931" s="16" t="str">
        <f t="shared" si="285"/>
        <v/>
      </c>
      <c r="P1931" s="16" t="str">
        <f t="shared" si="285"/>
        <v/>
      </c>
      <c r="Q1931" s="16" t="str">
        <f t="shared" si="285"/>
        <v/>
      </c>
      <c r="R1931" s="5" t="str">
        <f t="shared" si="284"/>
        <v/>
      </c>
      <c r="S1931" s="5" t="str">
        <f t="shared" si="288"/>
        <v/>
      </c>
      <c r="T1931" s="5" t="str">
        <f t="shared" si="290"/>
        <v/>
      </c>
      <c r="U1931" s="5" t="str">
        <f t="shared" si="290"/>
        <v/>
      </c>
    </row>
    <row r="1932" spans="7:21" x14ac:dyDescent="0.2">
      <c r="G1932" s="8"/>
      <c r="H1932" s="5"/>
      <c r="J1932" s="10" t="str">
        <f t="shared" si="286"/>
        <v/>
      </c>
      <c r="K1932" s="10" t="str">
        <f t="shared" si="287"/>
        <v/>
      </c>
      <c r="L1932" s="11" t="str">
        <f t="shared" si="289"/>
        <v/>
      </c>
      <c r="M1932" s="9" t="str">
        <f>IF(G1932&lt;&gt;"",J1932/MAX(J$3:J1932)-1,"")</f>
        <v/>
      </c>
      <c r="N1932" s="9" t="str">
        <f>IF(G1932&lt;&gt;"",K1932/MAX(K$3:K1932)-1,"")</f>
        <v/>
      </c>
      <c r="O1932" s="16" t="str">
        <f t="shared" si="285"/>
        <v/>
      </c>
      <c r="P1932" s="16" t="str">
        <f t="shared" si="285"/>
        <v/>
      </c>
      <c r="Q1932" s="16" t="str">
        <f t="shared" si="285"/>
        <v/>
      </c>
      <c r="R1932" s="5" t="str">
        <f t="shared" si="284"/>
        <v/>
      </c>
      <c r="S1932" s="5" t="str">
        <f t="shared" si="288"/>
        <v/>
      </c>
      <c r="T1932" s="5" t="str">
        <f t="shared" si="290"/>
        <v/>
      </c>
      <c r="U1932" s="5" t="str">
        <f t="shared" si="290"/>
        <v/>
      </c>
    </row>
    <row r="1933" spans="7:21" x14ac:dyDescent="0.2">
      <c r="G1933" s="8"/>
      <c r="H1933" s="5"/>
      <c r="J1933" s="10" t="str">
        <f t="shared" si="286"/>
        <v/>
      </c>
      <c r="K1933" s="10" t="str">
        <f t="shared" si="287"/>
        <v/>
      </c>
      <c r="L1933" s="11" t="str">
        <f t="shared" si="289"/>
        <v/>
      </c>
      <c r="M1933" s="9" t="str">
        <f>IF(G1933&lt;&gt;"",J1933/MAX(J$3:J1933)-1,"")</f>
        <v/>
      </c>
      <c r="N1933" s="9" t="str">
        <f>IF(G1933&lt;&gt;"",K1933/MAX(K$3:K1933)-1,"")</f>
        <v/>
      </c>
      <c r="O1933" s="16" t="str">
        <f t="shared" si="285"/>
        <v/>
      </c>
      <c r="P1933" s="16" t="str">
        <f t="shared" si="285"/>
        <v/>
      </c>
      <c r="Q1933" s="16" t="str">
        <f t="shared" si="285"/>
        <v/>
      </c>
      <c r="R1933" s="5" t="str">
        <f t="shared" si="284"/>
        <v/>
      </c>
      <c r="S1933" s="5" t="str">
        <f t="shared" si="288"/>
        <v/>
      </c>
      <c r="T1933" s="5" t="str">
        <f t="shared" si="290"/>
        <v/>
      </c>
      <c r="U1933" s="5" t="str">
        <f t="shared" si="290"/>
        <v/>
      </c>
    </row>
    <row r="1934" spans="7:21" x14ac:dyDescent="0.2">
      <c r="G1934" s="8"/>
      <c r="H1934" s="5"/>
      <c r="J1934" s="10" t="str">
        <f t="shared" si="286"/>
        <v/>
      </c>
      <c r="K1934" s="10" t="str">
        <f t="shared" si="287"/>
        <v/>
      </c>
      <c r="L1934" s="11" t="str">
        <f t="shared" si="289"/>
        <v/>
      </c>
      <c r="M1934" s="9" t="str">
        <f>IF(G1934&lt;&gt;"",J1934/MAX(J$3:J1934)-1,"")</f>
        <v/>
      </c>
      <c r="N1934" s="9" t="str">
        <f>IF(G1934&lt;&gt;"",K1934/MAX(K$3:K1934)-1,"")</f>
        <v/>
      </c>
      <c r="O1934" s="16" t="str">
        <f t="shared" si="285"/>
        <v/>
      </c>
      <c r="P1934" s="16" t="str">
        <f t="shared" si="285"/>
        <v/>
      </c>
      <c r="Q1934" s="16" t="str">
        <f t="shared" si="285"/>
        <v/>
      </c>
      <c r="R1934" s="5" t="str">
        <f t="shared" si="284"/>
        <v/>
      </c>
      <c r="S1934" s="5" t="str">
        <f t="shared" si="288"/>
        <v/>
      </c>
      <c r="T1934" s="5" t="str">
        <f t="shared" si="290"/>
        <v/>
      </c>
      <c r="U1934" s="5" t="str">
        <f t="shared" si="290"/>
        <v/>
      </c>
    </row>
    <row r="1935" spans="7:21" x14ac:dyDescent="0.2">
      <c r="G1935" s="8"/>
      <c r="H1935" s="5"/>
      <c r="J1935" s="10" t="str">
        <f t="shared" si="286"/>
        <v/>
      </c>
      <c r="K1935" s="10" t="str">
        <f t="shared" si="287"/>
        <v/>
      </c>
      <c r="L1935" s="11" t="str">
        <f t="shared" si="289"/>
        <v/>
      </c>
      <c r="M1935" s="9" t="str">
        <f>IF(G1935&lt;&gt;"",J1935/MAX(J$3:J1935)-1,"")</f>
        <v/>
      </c>
      <c r="N1935" s="9" t="str">
        <f>IF(G1935&lt;&gt;"",K1935/MAX(K$3:K1935)-1,"")</f>
        <v/>
      </c>
      <c r="O1935" s="16" t="str">
        <f t="shared" si="285"/>
        <v/>
      </c>
      <c r="P1935" s="16" t="str">
        <f t="shared" si="285"/>
        <v/>
      </c>
      <c r="Q1935" s="16" t="str">
        <f t="shared" si="285"/>
        <v/>
      </c>
      <c r="R1935" s="5" t="str">
        <f t="shared" si="284"/>
        <v/>
      </c>
      <c r="S1935" s="5" t="str">
        <f t="shared" si="288"/>
        <v/>
      </c>
      <c r="T1935" s="5" t="str">
        <f t="shared" si="290"/>
        <v/>
      </c>
      <c r="U1935" s="5" t="str">
        <f t="shared" si="290"/>
        <v/>
      </c>
    </row>
    <row r="1936" spans="7:21" x14ac:dyDescent="0.2">
      <c r="G1936" s="8"/>
      <c r="H1936" s="5"/>
      <c r="J1936" s="10" t="str">
        <f t="shared" si="286"/>
        <v/>
      </c>
      <c r="K1936" s="10" t="str">
        <f t="shared" si="287"/>
        <v/>
      </c>
      <c r="L1936" s="11" t="str">
        <f t="shared" si="289"/>
        <v/>
      </c>
      <c r="M1936" s="9" t="str">
        <f>IF(G1936&lt;&gt;"",J1936/MAX(J$3:J1936)-1,"")</f>
        <v/>
      </c>
      <c r="N1936" s="9" t="str">
        <f>IF(G1936&lt;&gt;"",K1936/MAX(K$3:K1936)-1,"")</f>
        <v/>
      </c>
      <c r="O1936" s="16" t="str">
        <f t="shared" si="285"/>
        <v/>
      </c>
      <c r="P1936" s="16" t="str">
        <f t="shared" si="285"/>
        <v/>
      </c>
      <c r="Q1936" s="16" t="str">
        <f t="shared" si="285"/>
        <v/>
      </c>
      <c r="R1936" s="5" t="str">
        <f t="shared" si="284"/>
        <v/>
      </c>
      <c r="S1936" s="5" t="str">
        <f t="shared" si="288"/>
        <v/>
      </c>
      <c r="T1936" s="5" t="str">
        <f t="shared" si="290"/>
        <v/>
      </c>
      <c r="U1936" s="5" t="str">
        <f t="shared" si="290"/>
        <v/>
      </c>
    </row>
    <row r="1937" spans="7:21" x14ac:dyDescent="0.2">
      <c r="G1937" s="8"/>
      <c r="H1937" s="5"/>
      <c r="J1937" s="10" t="str">
        <f t="shared" si="286"/>
        <v/>
      </c>
      <c r="K1937" s="10" t="str">
        <f t="shared" si="287"/>
        <v/>
      </c>
      <c r="L1937" s="11" t="str">
        <f t="shared" si="289"/>
        <v/>
      </c>
      <c r="M1937" s="9" t="str">
        <f>IF(G1937&lt;&gt;"",J1937/MAX(J$3:J1937)-1,"")</f>
        <v/>
      </c>
      <c r="N1937" s="9" t="str">
        <f>IF(G1937&lt;&gt;"",K1937/MAX(K$3:K1937)-1,"")</f>
        <v/>
      </c>
      <c r="O1937" s="16" t="str">
        <f t="shared" si="285"/>
        <v/>
      </c>
      <c r="P1937" s="16" t="str">
        <f t="shared" si="285"/>
        <v/>
      </c>
      <c r="Q1937" s="16" t="str">
        <f t="shared" si="285"/>
        <v/>
      </c>
      <c r="R1937" s="5" t="str">
        <f t="shared" si="284"/>
        <v/>
      </c>
      <c r="S1937" s="5" t="str">
        <f t="shared" si="288"/>
        <v/>
      </c>
      <c r="T1937" s="5" t="str">
        <f t="shared" si="290"/>
        <v/>
      </c>
      <c r="U1937" s="5" t="str">
        <f t="shared" si="290"/>
        <v/>
      </c>
    </row>
    <row r="1938" spans="7:21" x14ac:dyDescent="0.2">
      <c r="G1938" s="8"/>
      <c r="H1938" s="5"/>
      <c r="J1938" s="10" t="str">
        <f t="shared" si="286"/>
        <v/>
      </c>
      <c r="K1938" s="10" t="str">
        <f t="shared" si="287"/>
        <v/>
      </c>
      <c r="L1938" s="11" t="str">
        <f t="shared" si="289"/>
        <v/>
      </c>
      <c r="M1938" s="9" t="str">
        <f>IF(G1938&lt;&gt;"",J1938/MAX(J$3:J1938)-1,"")</f>
        <v/>
      </c>
      <c r="N1938" s="9" t="str">
        <f>IF(G1938&lt;&gt;"",K1938/MAX(K$3:K1938)-1,"")</f>
        <v/>
      </c>
      <c r="O1938" s="16" t="str">
        <f t="shared" si="285"/>
        <v/>
      </c>
      <c r="P1938" s="16" t="str">
        <f t="shared" si="285"/>
        <v/>
      </c>
      <c r="Q1938" s="16" t="str">
        <f t="shared" si="285"/>
        <v/>
      </c>
      <c r="R1938" s="5" t="str">
        <f t="shared" si="284"/>
        <v/>
      </c>
      <c r="S1938" s="5" t="str">
        <f t="shared" si="288"/>
        <v/>
      </c>
      <c r="T1938" s="5" t="str">
        <f t="shared" si="290"/>
        <v/>
      </c>
      <c r="U1938" s="5" t="str">
        <f t="shared" si="290"/>
        <v/>
      </c>
    </row>
    <row r="1939" spans="7:21" x14ac:dyDescent="0.2">
      <c r="G1939" s="8"/>
      <c r="H1939" s="5"/>
      <c r="J1939" s="10" t="str">
        <f t="shared" si="286"/>
        <v/>
      </c>
      <c r="K1939" s="10" t="str">
        <f t="shared" si="287"/>
        <v/>
      </c>
      <c r="L1939" s="11" t="str">
        <f t="shared" si="289"/>
        <v/>
      </c>
      <c r="M1939" s="9" t="str">
        <f>IF(G1939&lt;&gt;"",J1939/MAX(J$3:J1939)-1,"")</f>
        <v/>
      </c>
      <c r="N1939" s="9" t="str">
        <f>IF(G1939&lt;&gt;"",K1939/MAX(K$3:K1939)-1,"")</f>
        <v/>
      </c>
      <c r="O1939" s="16" t="str">
        <f t="shared" si="285"/>
        <v/>
      </c>
      <c r="P1939" s="16" t="str">
        <f t="shared" si="285"/>
        <v/>
      </c>
      <c r="Q1939" s="16" t="str">
        <f t="shared" si="285"/>
        <v/>
      </c>
      <c r="R1939" s="5" t="str">
        <f t="shared" si="284"/>
        <v/>
      </c>
      <c r="S1939" s="5" t="str">
        <f t="shared" si="288"/>
        <v/>
      </c>
      <c r="T1939" s="5" t="str">
        <f t="shared" si="290"/>
        <v/>
      </c>
      <c r="U1939" s="5" t="str">
        <f t="shared" si="290"/>
        <v/>
      </c>
    </row>
    <row r="1940" spans="7:21" x14ac:dyDescent="0.2">
      <c r="G1940" s="8"/>
      <c r="H1940" s="5"/>
      <c r="J1940" s="10" t="str">
        <f t="shared" si="286"/>
        <v/>
      </c>
      <c r="K1940" s="10" t="str">
        <f t="shared" si="287"/>
        <v/>
      </c>
      <c r="L1940" s="11" t="str">
        <f t="shared" si="289"/>
        <v/>
      </c>
      <c r="M1940" s="9" t="str">
        <f>IF(G1940&lt;&gt;"",J1940/MAX(J$3:J1940)-1,"")</f>
        <v/>
      </c>
      <c r="N1940" s="9" t="str">
        <f>IF(G1940&lt;&gt;"",K1940/MAX(K$3:K1940)-1,"")</f>
        <v/>
      </c>
      <c r="O1940" s="16" t="str">
        <f t="shared" si="285"/>
        <v/>
      </c>
      <c r="P1940" s="16" t="str">
        <f t="shared" si="285"/>
        <v/>
      </c>
      <c r="Q1940" s="16" t="str">
        <f t="shared" si="285"/>
        <v/>
      </c>
      <c r="R1940" s="5" t="str">
        <f t="shared" si="284"/>
        <v/>
      </c>
      <c r="S1940" s="5" t="str">
        <f t="shared" si="288"/>
        <v/>
      </c>
      <c r="T1940" s="5" t="str">
        <f t="shared" si="290"/>
        <v/>
      </c>
      <c r="U1940" s="5" t="str">
        <f t="shared" si="290"/>
        <v/>
      </c>
    </row>
    <row r="1941" spans="7:21" x14ac:dyDescent="0.2">
      <c r="G1941" s="8"/>
      <c r="H1941" s="5"/>
      <c r="J1941" s="10" t="str">
        <f t="shared" si="286"/>
        <v/>
      </c>
      <c r="K1941" s="10" t="str">
        <f t="shared" si="287"/>
        <v/>
      </c>
      <c r="L1941" s="11" t="str">
        <f t="shared" si="289"/>
        <v/>
      </c>
      <c r="M1941" s="9" t="str">
        <f>IF(G1941&lt;&gt;"",J1941/MAX(J$3:J1941)-1,"")</f>
        <v/>
      </c>
      <c r="N1941" s="9" t="str">
        <f>IF(G1941&lt;&gt;"",K1941/MAX(K$3:K1941)-1,"")</f>
        <v/>
      </c>
      <c r="O1941" s="16" t="str">
        <f t="shared" si="285"/>
        <v/>
      </c>
      <c r="P1941" s="16" t="str">
        <f t="shared" si="285"/>
        <v/>
      </c>
      <c r="Q1941" s="16" t="str">
        <f t="shared" si="285"/>
        <v/>
      </c>
      <c r="R1941" s="5" t="str">
        <f t="shared" si="284"/>
        <v/>
      </c>
      <c r="S1941" s="5" t="str">
        <f t="shared" si="288"/>
        <v/>
      </c>
      <c r="T1941" s="5" t="str">
        <f t="shared" si="290"/>
        <v/>
      </c>
      <c r="U1941" s="5" t="str">
        <f t="shared" si="290"/>
        <v/>
      </c>
    </row>
    <row r="1942" spans="7:21" x14ac:dyDescent="0.2">
      <c r="G1942" s="8"/>
      <c r="H1942" s="5"/>
      <c r="J1942" s="10" t="str">
        <f t="shared" si="286"/>
        <v/>
      </c>
      <c r="K1942" s="10" t="str">
        <f t="shared" si="287"/>
        <v/>
      </c>
      <c r="L1942" s="11" t="str">
        <f t="shared" si="289"/>
        <v/>
      </c>
      <c r="M1942" s="9" t="str">
        <f>IF(G1942&lt;&gt;"",J1942/MAX(J$3:J1942)-1,"")</f>
        <v/>
      </c>
      <c r="N1942" s="9" t="str">
        <f>IF(G1942&lt;&gt;"",K1942/MAX(K$3:K1942)-1,"")</f>
        <v/>
      </c>
      <c r="O1942" s="16" t="str">
        <f t="shared" si="285"/>
        <v/>
      </c>
      <c r="P1942" s="16" t="str">
        <f t="shared" si="285"/>
        <v/>
      </c>
      <c r="Q1942" s="16" t="str">
        <f t="shared" si="285"/>
        <v/>
      </c>
      <c r="R1942" s="5" t="str">
        <f t="shared" si="284"/>
        <v/>
      </c>
      <c r="S1942" s="5" t="str">
        <f t="shared" si="288"/>
        <v/>
      </c>
      <c r="T1942" s="5" t="str">
        <f t="shared" si="290"/>
        <v/>
      </c>
      <c r="U1942" s="5" t="str">
        <f t="shared" si="290"/>
        <v/>
      </c>
    </row>
    <row r="1943" spans="7:21" x14ac:dyDescent="0.2">
      <c r="G1943" s="8"/>
      <c r="H1943" s="5"/>
      <c r="J1943" s="10" t="str">
        <f t="shared" si="286"/>
        <v/>
      </c>
      <c r="K1943" s="10" t="str">
        <f t="shared" si="287"/>
        <v/>
      </c>
      <c r="L1943" s="11" t="str">
        <f t="shared" si="289"/>
        <v/>
      </c>
      <c r="M1943" s="9" t="str">
        <f>IF(G1943&lt;&gt;"",J1943/MAX(J$3:J1943)-1,"")</f>
        <v/>
      </c>
      <c r="N1943" s="9" t="str">
        <f>IF(G1943&lt;&gt;"",K1943/MAX(K$3:K1943)-1,"")</f>
        <v/>
      </c>
      <c r="O1943" s="16" t="str">
        <f t="shared" si="285"/>
        <v/>
      </c>
      <c r="P1943" s="16" t="str">
        <f t="shared" si="285"/>
        <v/>
      </c>
      <c r="Q1943" s="16" t="str">
        <f t="shared" si="285"/>
        <v/>
      </c>
      <c r="R1943" s="5" t="str">
        <f t="shared" si="284"/>
        <v/>
      </c>
      <c r="S1943" s="5" t="str">
        <f t="shared" si="288"/>
        <v/>
      </c>
      <c r="T1943" s="5" t="str">
        <f t="shared" si="290"/>
        <v/>
      </c>
      <c r="U1943" s="5" t="str">
        <f t="shared" si="290"/>
        <v/>
      </c>
    </row>
    <row r="1944" spans="7:21" x14ac:dyDescent="0.2">
      <c r="G1944" s="8"/>
      <c r="H1944" s="5"/>
      <c r="J1944" s="10" t="str">
        <f t="shared" si="286"/>
        <v/>
      </c>
      <c r="K1944" s="10" t="str">
        <f t="shared" si="287"/>
        <v/>
      </c>
      <c r="L1944" s="11" t="str">
        <f t="shared" si="289"/>
        <v/>
      </c>
      <c r="M1944" s="9" t="str">
        <f>IF(G1944&lt;&gt;"",J1944/MAX(J$3:J1944)-1,"")</f>
        <v/>
      </c>
      <c r="N1944" s="9" t="str">
        <f>IF(G1944&lt;&gt;"",K1944/MAX(K$3:K1944)-1,"")</f>
        <v/>
      </c>
      <c r="O1944" s="16" t="str">
        <f t="shared" si="285"/>
        <v/>
      </c>
      <c r="P1944" s="16" t="str">
        <f t="shared" si="285"/>
        <v/>
      </c>
      <c r="Q1944" s="16" t="str">
        <f t="shared" si="285"/>
        <v/>
      </c>
      <c r="R1944" s="5" t="str">
        <f t="shared" si="284"/>
        <v/>
      </c>
      <c r="S1944" s="5" t="str">
        <f t="shared" si="288"/>
        <v/>
      </c>
      <c r="T1944" s="5" t="str">
        <f t="shared" ref="T1944:U1959" si="291">IF($G1944&lt;&gt;"",_xlfn.STDEV.S(O1700:O1944),"")</f>
        <v/>
      </c>
      <c r="U1944" s="5" t="str">
        <f t="shared" si="291"/>
        <v/>
      </c>
    </row>
    <row r="1945" spans="7:21" x14ac:dyDescent="0.2">
      <c r="G1945" s="8"/>
      <c r="H1945" s="5"/>
      <c r="J1945" s="10" t="str">
        <f t="shared" si="286"/>
        <v/>
      </c>
      <c r="K1945" s="10" t="str">
        <f t="shared" si="287"/>
        <v/>
      </c>
      <c r="L1945" s="11" t="str">
        <f t="shared" si="289"/>
        <v/>
      </c>
      <c r="M1945" s="9" t="str">
        <f>IF(G1945&lt;&gt;"",J1945/MAX(J$3:J1945)-1,"")</f>
        <v/>
      </c>
      <c r="N1945" s="9" t="str">
        <f>IF(G1945&lt;&gt;"",K1945/MAX(K$3:K1945)-1,"")</f>
        <v/>
      </c>
      <c r="O1945" s="16" t="str">
        <f t="shared" si="285"/>
        <v/>
      </c>
      <c r="P1945" s="16" t="str">
        <f t="shared" si="285"/>
        <v/>
      </c>
      <c r="Q1945" s="16" t="str">
        <f t="shared" si="285"/>
        <v/>
      </c>
      <c r="R1945" s="5" t="str">
        <f t="shared" si="284"/>
        <v/>
      </c>
      <c r="S1945" s="5" t="str">
        <f t="shared" si="288"/>
        <v/>
      </c>
      <c r="T1945" s="5" t="str">
        <f t="shared" si="291"/>
        <v/>
      </c>
      <c r="U1945" s="5" t="str">
        <f t="shared" si="291"/>
        <v/>
      </c>
    </row>
    <row r="1946" spans="7:21" x14ac:dyDescent="0.2">
      <c r="G1946" s="8"/>
      <c r="H1946" s="5"/>
      <c r="J1946" s="10" t="str">
        <f t="shared" si="286"/>
        <v/>
      </c>
      <c r="K1946" s="10" t="str">
        <f t="shared" si="287"/>
        <v/>
      </c>
      <c r="L1946" s="11" t="str">
        <f t="shared" si="289"/>
        <v/>
      </c>
      <c r="M1946" s="9" t="str">
        <f>IF(G1946&lt;&gt;"",J1946/MAX(J$3:J1946)-1,"")</f>
        <v/>
      </c>
      <c r="N1946" s="9" t="str">
        <f>IF(G1946&lt;&gt;"",K1946/MAX(K$3:K1946)-1,"")</f>
        <v/>
      </c>
      <c r="O1946" s="16" t="str">
        <f t="shared" si="285"/>
        <v/>
      </c>
      <c r="P1946" s="16" t="str">
        <f t="shared" si="285"/>
        <v/>
      </c>
      <c r="Q1946" s="16" t="str">
        <f t="shared" si="285"/>
        <v/>
      </c>
      <c r="R1946" s="5" t="str">
        <f t="shared" si="284"/>
        <v/>
      </c>
      <c r="S1946" s="5" t="str">
        <f t="shared" si="288"/>
        <v/>
      </c>
      <c r="T1946" s="5" t="str">
        <f t="shared" si="291"/>
        <v/>
      </c>
      <c r="U1946" s="5" t="str">
        <f t="shared" si="291"/>
        <v/>
      </c>
    </row>
    <row r="1947" spans="7:21" x14ac:dyDescent="0.2">
      <c r="G1947" s="8"/>
      <c r="H1947" s="5"/>
      <c r="J1947" s="10" t="str">
        <f t="shared" si="286"/>
        <v/>
      </c>
      <c r="K1947" s="10" t="str">
        <f t="shared" si="287"/>
        <v/>
      </c>
      <c r="L1947" s="11" t="str">
        <f t="shared" si="289"/>
        <v/>
      </c>
      <c r="M1947" s="9" t="str">
        <f>IF(G1947&lt;&gt;"",J1947/MAX(J$3:J1947)-1,"")</f>
        <v/>
      </c>
      <c r="N1947" s="9" t="str">
        <f>IF(G1947&lt;&gt;"",K1947/MAX(K$3:K1947)-1,"")</f>
        <v/>
      </c>
      <c r="O1947" s="16" t="str">
        <f t="shared" si="285"/>
        <v/>
      </c>
      <c r="P1947" s="16" t="str">
        <f t="shared" si="285"/>
        <v/>
      </c>
      <c r="Q1947" s="16" t="str">
        <f t="shared" si="285"/>
        <v/>
      </c>
      <c r="R1947" s="5" t="str">
        <f t="shared" si="284"/>
        <v/>
      </c>
      <c r="S1947" s="5" t="str">
        <f t="shared" si="288"/>
        <v/>
      </c>
      <c r="T1947" s="5" t="str">
        <f t="shared" si="291"/>
        <v/>
      </c>
      <c r="U1947" s="5" t="str">
        <f t="shared" si="291"/>
        <v/>
      </c>
    </row>
    <row r="1948" spans="7:21" x14ac:dyDescent="0.2">
      <c r="G1948" s="8"/>
      <c r="H1948" s="5"/>
      <c r="J1948" s="10" t="str">
        <f t="shared" si="286"/>
        <v/>
      </c>
      <c r="K1948" s="10" t="str">
        <f t="shared" si="287"/>
        <v/>
      </c>
      <c r="L1948" s="11" t="str">
        <f t="shared" si="289"/>
        <v/>
      </c>
      <c r="M1948" s="9" t="str">
        <f>IF(G1948&lt;&gt;"",J1948/MAX(J$3:J1948)-1,"")</f>
        <v/>
      </c>
      <c r="N1948" s="9" t="str">
        <f>IF(G1948&lt;&gt;"",K1948/MAX(K$3:K1948)-1,"")</f>
        <v/>
      </c>
      <c r="O1948" s="16" t="str">
        <f t="shared" si="285"/>
        <v/>
      </c>
      <c r="P1948" s="16" t="str">
        <f t="shared" si="285"/>
        <v/>
      </c>
      <c r="Q1948" s="16" t="str">
        <f t="shared" si="285"/>
        <v/>
      </c>
      <c r="R1948" s="5" t="str">
        <f t="shared" si="284"/>
        <v/>
      </c>
      <c r="S1948" s="5" t="str">
        <f t="shared" si="288"/>
        <v/>
      </c>
      <c r="T1948" s="5" t="str">
        <f t="shared" si="291"/>
        <v/>
      </c>
      <c r="U1948" s="5" t="str">
        <f t="shared" si="291"/>
        <v/>
      </c>
    </row>
    <row r="1949" spans="7:21" x14ac:dyDescent="0.2">
      <c r="G1949" s="8"/>
      <c r="H1949" s="5"/>
      <c r="J1949" s="10" t="str">
        <f t="shared" si="286"/>
        <v/>
      </c>
      <c r="K1949" s="10" t="str">
        <f t="shared" si="287"/>
        <v/>
      </c>
      <c r="L1949" s="11" t="str">
        <f t="shared" si="289"/>
        <v/>
      </c>
      <c r="M1949" s="9" t="str">
        <f>IF(G1949&lt;&gt;"",J1949/MAX(J$3:J1949)-1,"")</f>
        <v/>
      </c>
      <c r="N1949" s="9" t="str">
        <f>IF(G1949&lt;&gt;"",K1949/MAX(K$3:K1949)-1,"")</f>
        <v/>
      </c>
      <c r="O1949" s="16" t="str">
        <f t="shared" si="285"/>
        <v/>
      </c>
      <c r="P1949" s="16" t="str">
        <f t="shared" si="285"/>
        <v/>
      </c>
      <c r="Q1949" s="16" t="str">
        <f t="shared" si="285"/>
        <v/>
      </c>
      <c r="R1949" s="5" t="str">
        <f t="shared" si="284"/>
        <v/>
      </c>
      <c r="S1949" s="5" t="str">
        <f t="shared" si="288"/>
        <v/>
      </c>
      <c r="T1949" s="5" t="str">
        <f t="shared" si="291"/>
        <v/>
      </c>
      <c r="U1949" s="5" t="str">
        <f t="shared" si="291"/>
        <v/>
      </c>
    </row>
    <row r="1950" spans="7:21" x14ac:dyDescent="0.2">
      <c r="G1950" s="8"/>
      <c r="H1950" s="5"/>
      <c r="J1950" s="10" t="str">
        <f t="shared" si="286"/>
        <v/>
      </c>
      <c r="K1950" s="10" t="str">
        <f t="shared" si="287"/>
        <v/>
      </c>
      <c r="L1950" s="11" t="str">
        <f t="shared" si="289"/>
        <v/>
      </c>
      <c r="M1950" s="9" t="str">
        <f>IF(G1950&lt;&gt;"",J1950/MAX(J$3:J1950)-1,"")</f>
        <v/>
      </c>
      <c r="N1950" s="9" t="str">
        <f>IF(G1950&lt;&gt;"",K1950/MAX(K$3:K1950)-1,"")</f>
        <v/>
      </c>
      <c r="O1950" s="16" t="str">
        <f t="shared" si="285"/>
        <v/>
      </c>
      <c r="P1950" s="16" t="str">
        <f t="shared" si="285"/>
        <v/>
      </c>
      <c r="Q1950" s="16" t="str">
        <f t="shared" si="285"/>
        <v/>
      </c>
      <c r="R1950" s="5" t="str">
        <f t="shared" si="284"/>
        <v/>
      </c>
      <c r="S1950" s="5" t="str">
        <f t="shared" si="288"/>
        <v/>
      </c>
      <c r="T1950" s="5" t="str">
        <f t="shared" si="291"/>
        <v/>
      </c>
      <c r="U1950" s="5" t="str">
        <f t="shared" si="291"/>
        <v/>
      </c>
    </row>
    <row r="1951" spans="7:21" x14ac:dyDescent="0.2">
      <c r="G1951" s="8"/>
      <c r="H1951" s="5"/>
      <c r="J1951" s="10" t="str">
        <f t="shared" si="286"/>
        <v/>
      </c>
      <c r="K1951" s="10" t="str">
        <f t="shared" si="287"/>
        <v/>
      </c>
      <c r="L1951" s="11" t="str">
        <f t="shared" si="289"/>
        <v/>
      </c>
      <c r="M1951" s="9" t="str">
        <f>IF(G1951&lt;&gt;"",J1951/MAX(J$3:J1951)-1,"")</f>
        <v/>
      </c>
      <c r="N1951" s="9" t="str">
        <f>IF(G1951&lt;&gt;"",K1951/MAX(K$3:K1951)-1,"")</f>
        <v/>
      </c>
      <c r="O1951" s="16" t="str">
        <f t="shared" si="285"/>
        <v/>
      </c>
      <c r="P1951" s="16" t="str">
        <f t="shared" si="285"/>
        <v/>
      </c>
      <c r="Q1951" s="16" t="str">
        <f t="shared" si="285"/>
        <v/>
      </c>
      <c r="R1951" s="5" t="str">
        <f t="shared" si="284"/>
        <v/>
      </c>
      <c r="S1951" s="5" t="str">
        <f t="shared" si="288"/>
        <v/>
      </c>
      <c r="T1951" s="5" t="str">
        <f t="shared" si="291"/>
        <v/>
      </c>
      <c r="U1951" s="5" t="str">
        <f t="shared" si="291"/>
        <v/>
      </c>
    </row>
    <row r="1952" spans="7:21" x14ac:dyDescent="0.2">
      <c r="G1952" s="8"/>
      <c r="H1952" s="5"/>
      <c r="J1952" s="10" t="str">
        <f t="shared" si="286"/>
        <v/>
      </c>
      <c r="K1952" s="10" t="str">
        <f t="shared" si="287"/>
        <v/>
      </c>
      <c r="L1952" s="11" t="str">
        <f t="shared" si="289"/>
        <v/>
      </c>
      <c r="M1952" s="9" t="str">
        <f>IF(G1952&lt;&gt;"",J1952/MAX(J$3:J1952)-1,"")</f>
        <v/>
      </c>
      <c r="N1952" s="9" t="str">
        <f>IF(G1952&lt;&gt;"",K1952/MAX(K$3:K1952)-1,"")</f>
        <v/>
      </c>
      <c r="O1952" s="16" t="str">
        <f t="shared" si="285"/>
        <v/>
      </c>
      <c r="P1952" s="16" t="str">
        <f t="shared" si="285"/>
        <v/>
      </c>
      <c r="Q1952" s="16" t="str">
        <f t="shared" si="285"/>
        <v/>
      </c>
      <c r="R1952" s="5" t="str">
        <f t="shared" si="284"/>
        <v/>
      </c>
      <c r="S1952" s="5" t="str">
        <f t="shared" si="288"/>
        <v/>
      </c>
      <c r="T1952" s="5" t="str">
        <f t="shared" si="291"/>
        <v/>
      </c>
      <c r="U1952" s="5" t="str">
        <f t="shared" si="291"/>
        <v/>
      </c>
    </row>
    <row r="1953" spans="7:21" x14ac:dyDescent="0.2">
      <c r="G1953" s="8"/>
      <c r="H1953" s="5"/>
      <c r="J1953" s="10" t="str">
        <f t="shared" si="286"/>
        <v/>
      </c>
      <c r="K1953" s="10" t="str">
        <f t="shared" si="287"/>
        <v/>
      </c>
      <c r="L1953" s="11" t="str">
        <f t="shared" si="289"/>
        <v/>
      </c>
      <c r="M1953" s="9" t="str">
        <f>IF(G1953&lt;&gt;"",J1953/MAX(J$3:J1953)-1,"")</f>
        <v/>
      </c>
      <c r="N1953" s="9" t="str">
        <f>IF(G1953&lt;&gt;"",K1953/MAX(K$3:K1953)-1,"")</f>
        <v/>
      </c>
      <c r="O1953" s="16" t="str">
        <f t="shared" si="285"/>
        <v/>
      </c>
      <c r="P1953" s="16" t="str">
        <f t="shared" si="285"/>
        <v/>
      </c>
      <c r="Q1953" s="16" t="str">
        <f t="shared" si="285"/>
        <v/>
      </c>
      <c r="R1953" s="5" t="str">
        <f t="shared" si="284"/>
        <v/>
      </c>
      <c r="S1953" s="5" t="str">
        <f t="shared" si="288"/>
        <v/>
      </c>
      <c r="T1953" s="5" t="str">
        <f t="shared" si="291"/>
        <v/>
      </c>
      <c r="U1953" s="5" t="str">
        <f t="shared" si="291"/>
        <v/>
      </c>
    </row>
    <row r="1954" spans="7:21" x14ac:dyDescent="0.2">
      <c r="G1954" s="8"/>
      <c r="H1954" s="5"/>
      <c r="J1954" s="10" t="str">
        <f t="shared" si="286"/>
        <v/>
      </c>
      <c r="K1954" s="10" t="str">
        <f t="shared" si="287"/>
        <v/>
      </c>
      <c r="L1954" s="11" t="str">
        <f t="shared" si="289"/>
        <v/>
      </c>
      <c r="M1954" s="9" t="str">
        <f>IF(G1954&lt;&gt;"",J1954/MAX(J$3:J1954)-1,"")</f>
        <v/>
      </c>
      <c r="N1954" s="9" t="str">
        <f>IF(G1954&lt;&gt;"",K1954/MAX(K$3:K1954)-1,"")</f>
        <v/>
      </c>
      <c r="O1954" s="16" t="str">
        <f t="shared" si="285"/>
        <v/>
      </c>
      <c r="P1954" s="16" t="str">
        <f t="shared" si="285"/>
        <v/>
      </c>
      <c r="Q1954" s="16" t="str">
        <f t="shared" si="285"/>
        <v/>
      </c>
      <c r="R1954" s="5" t="str">
        <f t="shared" si="284"/>
        <v/>
      </c>
      <c r="S1954" s="5" t="str">
        <f t="shared" si="288"/>
        <v/>
      </c>
      <c r="T1954" s="5" t="str">
        <f t="shared" si="291"/>
        <v/>
      </c>
      <c r="U1954" s="5" t="str">
        <f t="shared" si="291"/>
        <v/>
      </c>
    </row>
    <row r="1955" spans="7:21" x14ac:dyDescent="0.2">
      <c r="G1955" s="8"/>
      <c r="H1955" s="5"/>
      <c r="J1955" s="10" t="str">
        <f t="shared" si="286"/>
        <v/>
      </c>
      <c r="K1955" s="10" t="str">
        <f t="shared" si="287"/>
        <v/>
      </c>
      <c r="L1955" s="11" t="str">
        <f t="shared" si="289"/>
        <v/>
      </c>
      <c r="M1955" s="9" t="str">
        <f>IF(G1955&lt;&gt;"",J1955/MAX(J$3:J1955)-1,"")</f>
        <v/>
      </c>
      <c r="N1955" s="9" t="str">
        <f>IF(G1955&lt;&gt;"",K1955/MAX(K$3:K1955)-1,"")</f>
        <v/>
      </c>
      <c r="O1955" s="16" t="str">
        <f t="shared" si="285"/>
        <v/>
      </c>
      <c r="P1955" s="16" t="str">
        <f t="shared" si="285"/>
        <v/>
      </c>
      <c r="Q1955" s="16" t="str">
        <f t="shared" si="285"/>
        <v/>
      </c>
      <c r="R1955" s="5" t="str">
        <f t="shared" si="284"/>
        <v/>
      </c>
      <c r="S1955" s="5" t="str">
        <f t="shared" si="288"/>
        <v/>
      </c>
      <c r="T1955" s="5" t="str">
        <f t="shared" si="291"/>
        <v/>
      </c>
      <c r="U1955" s="5" t="str">
        <f t="shared" si="291"/>
        <v/>
      </c>
    </row>
    <row r="1956" spans="7:21" x14ac:dyDescent="0.2">
      <c r="G1956" s="8"/>
      <c r="H1956" s="5"/>
      <c r="J1956" s="10" t="str">
        <f t="shared" si="286"/>
        <v/>
      </c>
      <c r="K1956" s="10" t="str">
        <f t="shared" si="287"/>
        <v/>
      </c>
      <c r="L1956" s="11" t="str">
        <f t="shared" si="289"/>
        <v/>
      </c>
      <c r="M1956" s="9" t="str">
        <f>IF(G1956&lt;&gt;"",J1956/MAX(J$3:J1956)-1,"")</f>
        <v/>
      </c>
      <c r="N1956" s="9" t="str">
        <f>IF(G1956&lt;&gt;"",K1956/MAX(K$3:K1956)-1,"")</f>
        <v/>
      </c>
      <c r="O1956" s="16" t="str">
        <f t="shared" si="285"/>
        <v/>
      </c>
      <c r="P1956" s="16" t="str">
        <f t="shared" si="285"/>
        <v/>
      </c>
      <c r="Q1956" s="16" t="str">
        <f t="shared" si="285"/>
        <v/>
      </c>
      <c r="R1956" s="5" t="str">
        <f t="shared" si="284"/>
        <v/>
      </c>
      <c r="S1956" s="5" t="str">
        <f t="shared" si="288"/>
        <v/>
      </c>
      <c r="T1956" s="5" t="str">
        <f t="shared" si="291"/>
        <v/>
      </c>
      <c r="U1956" s="5" t="str">
        <f t="shared" si="291"/>
        <v/>
      </c>
    </row>
    <row r="1957" spans="7:21" x14ac:dyDescent="0.2">
      <c r="G1957" s="8"/>
      <c r="H1957" s="5"/>
      <c r="J1957" s="10" t="str">
        <f t="shared" si="286"/>
        <v/>
      </c>
      <c r="K1957" s="10" t="str">
        <f t="shared" si="287"/>
        <v/>
      </c>
      <c r="L1957" s="11" t="str">
        <f t="shared" si="289"/>
        <v/>
      </c>
      <c r="M1957" s="9" t="str">
        <f>IF(G1957&lt;&gt;"",J1957/MAX(J$3:J1957)-1,"")</f>
        <v/>
      </c>
      <c r="N1957" s="9" t="str">
        <f>IF(G1957&lt;&gt;"",K1957/MAX(K$3:K1957)-1,"")</f>
        <v/>
      </c>
      <c r="O1957" s="16" t="str">
        <f t="shared" si="285"/>
        <v/>
      </c>
      <c r="P1957" s="16" t="str">
        <f t="shared" si="285"/>
        <v/>
      </c>
      <c r="Q1957" s="16" t="str">
        <f t="shared" si="285"/>
        <v/>
      </c>
      <c r="R1957" s="5" t="str">
        <f t="shared" si="284"/>
        <v/>
      </c>
      <c r="S1957" s="5" t="str">
        <f t="shared" si="288"/>
        <v/>
      </c>
      <c r="T1957" s="5" t="str">
        <f t="shared" si="291"/>
        <v/>
      </c>
      <c r="U1957" s="5" t="str">
        <f t="shared" si="291"/>
        <v/>
      </c>
    </row>
    <row r="1958" spans="7:21" x14ac:dyDescent="0.2">
      <c r="G1958" s="8"/>
      <c r="H1958" s="5"/>
      <c r="J1958" s="10" t="str">
        <f t="shared" si="286"/>
        <v/>
      </c>
      <c r="K1958" s="10" t="str">
        <f t="shared" si="287"/>
        <v/>
      </c>
      <c r="L1958" s="11" t="str">
        <f t="shared" si="289"/>
        <v/>
      </c>
      <c r="M1958" s="9" t="str">
        <f>IF(G1958&lt;&gt;"",J1958/MAX(J$3:J1958)-1,"")</f>
        <v/>
      </c>
      <c r="N1958" s="9" t="str">
        <f>IF(G1958&lt;&gt;"",K1958/MAX(K$3:K1958)-1,"")</f>
        <v/>
      </c>
      <c r="O1958" s="16" t="str">
        <f t="shared" si="285"/>
        <v/>
      </c>
      <c r="P1958" s="16" t="str">
        <f t="shared" si="285"/>
        <v/>
      </c>
      <c r="Q1958" s="16" t="str">
        <f t="shared" si="285"/>
        <v/>
      </c>
      <c r="R1958" s="5" t="str">
        <f t="shared" si="284"/>
        <v/>
      </c>
      <c r="S1958" s="5" t="str">
        <f t="shared" si="288"/>
        <v/>
      </c>
      <c r="T1958" s="5" t="str">
        <f t="shared" si="291"/>
        <v/>
      </c>
      <c r="U1958" s="5" t="str">
        <f t="shared" si="291"/>
        <v/>
      </c>
    </row>
    <row r="1959" spans="7:21" x14ac:dyDescent="0.2">
      <c r="G1959" s="8"/>
      <c r="H1959" s="5"/>
      <c r="J1959" s="10" t="str">
        <f t="shared" si="286"/>
        <v/>
      </c>
      <c r="K1959" s="10" t="str">
        <f t="shared" si="287"/>
        <v/>
      </c>
      <c r="L1959" s="11" t="str">
        <f t="shared" si="289"/>
        <v/>
      </c>
      <c r="M1959" s="9" t="str">
        <f>IF(G1959&lt;&gt;"",J1959/MAX(J$3:J1959)-1,"")</f>
        <v/>
      </c>
      <c r="N1959" s="9" t="str">
        <f>IF(G1959&lt;&gt;"",K1959/MAX(K$3:K1959)-1,"")</f>
        <v/>
      </c>
      <c r="O1959" s="16" t="str">
        <f t="shared" si="285"/>
        <v/>
      </c>
      <c r="P1959" s="16" t="str">
        <f t="shared" si="285"/>
        <v/>
      </c>
      <c r="Q1959" s="16" t="str">
        <f t="shared" si="285"/>
        <v/>
      </c>
      <c r="R1959" s="5" t="str">
        <f t="shared" si="284"/>
        <v/>
      </c>
      <c r="S1959" s="5" t="str">
        <f t="shared" si="288"/>
        <v/>
      </c>
      <c r="T1959" s="5" t="str">
        <f t="shared" si="291"/>
        <v/>
      </c>
      <c r="U1959" s="5" t="str">
        <f t="shared" si="291"/>
        <v/>
      </c>
    </row>
    <row r="1960" spans="7:21" x14ac:dyDescent="0.2">
      <c r="G1960" s="8"/>
      <c r="H1960" s="5"/>
      <c r="J1960" s="10" t="str">
        <f t="shared" si="286"/>
        <v/>
      </c>
      <c r="K1960" s="10" t="str">
        <f t="shared" si="287"/>
        <v/>
      </c>
      <c r="L1960" s="11" t="str">
        <f t="shared" si="289"/>
        <v/>
      </c>
      <c r="M1960" s="9" t="str">
        <f>IF(G1960&lt;&gt;"",J1960/MAX(J$3:J1960)-1,"")</f>
        <v/>
      </c>
      <c r="N1960" s="9" t="str">
        <f>IF(G1960&lt;&gt;"",K1960/MAX(K$3:K1960)-1,"")</f>
        <v/>
      </c>
      <c r="O1960" s="16" t="str">
        <f t="shared" si="285"/>
        <v/>
      </c>
      <c r="P1960" s="16" t="str">
        <f t="shared" si="285"/>
        <v/>
      </c>
      <c r="Q1960" s="16" t="str">
        <f t="shared" si="285"/>
        <v/>
      </c>
      <c r="R1960" s="5" t="str">
        <f t="shared" si="284"/>
        <v/>
      </c>
      <c r="S1960" s="5" t="str">
        <f t="shared" si="288"/>
        <v/>
      </c>
      <c r="T1960" s="5" t="str">
        <f t="shared" ref="T1960:U1975" si="292">IF($G1960&lt;&gt;"",_xlfn.STDEV.S(O1716:O1960),"")</f>
        <v/>
      </c>
      <c r="U1960" s="5" t="str">
        <f t="shared" si="292"/>
        <v/>
      </c>
    </row>
    <row r="1961" spans="7:21" x14ac:dyDescent="0.2">
      <c r="G1961" s="8"/>
      <c r="H1961" s="5"/>
      <c r="J1961" s="10" t="str">
        <f t="shared" si="286"/>
        <v/>
      </c>
      <c r="K1961" s="10" t="str">
        <f t="shared" si="287"/>
        <v/>
      </c>
      <c r="L1961" s="11" t="str">
        <f t="shared" si="289"/>
        <v/>
      </c>
      <c r="M1961" s="9" t="str">
        <f>IF(G1961&lt;&gt;"",J1961/MAX(J$3:J1961)-1,"")</f>
        <v/>
      </c>
      <c r="N1961" s="9" t="str">
        <f>IF(G1961&lt;&gt;"",K1961/MAX(K$3:K1961)-1,"")</f>
        <v/>
      </c>
      <c r="O1961" s="16" t="str">
        <f t="shared" si="285"/>
        <v/>
      </c>
      <c r="P1961" s="16" t="str">
        <f t="shared" si="285"/>
        <v/>
      </c>
      <c r="Q1961" s="16" t="str">
        <f t="shared" si="285"/>
        <v/>
      </c>
      <c r="R1961" s="5" t="str">
        <f t="shared" si="284"/>
        <v/>
      </c>
      <c r="S1961" s="5" t="str">
        <f t="shared" si="288"/>
        <v/>
      </c>
      <c r="T1961" s="5" t="str">
        <f t="shared" si="292"/>
        <v/>
      </c>
      <c r="U1961" s="5" t="str">
        <f t="shared" si="292"/>
        <v/>
      </c>
    </row>
    <row r="1962" spans="7:21" x14ac:dyDescent="0.2">
      <c r="G1962" s="8"/>
      <c r="H1962" s="5"/>
      <c r="J1962" s="10" t="str">
        <f t="shared" si="286"/>
        <v/>
      </c>
      <c r="K1962" s="10" t="str">
        <f t="shared" si="287"/>
        <v/>
      </c>
      <c r="L1962" s="11" t="str">
        <f t="shared" si="289"/>
        <v/>
      </c>
      <c r="M1962" s="9" t="str">
        <f>IF(G1962&lt;&gt;"",J1962/MAX(J$3:J1962)-1,"")</f>
        <v/>
      </c>
      <c r="N1962" s="9" t="str">
        <f>IF(G1962&lt;&gt;"",K1962/MAX(K$3:K1962)-1,"")</f>
        <v/>
      </c>
      <c r="O1962" s="16" t="str">
        <f t="shared" si="285"/>
        <v/>
      </c>
      <c r="P1962" s="16" t="str">
        <f t="shared" si="285"/>
        <v/>
      </c>
      <c r="Q1962" s="16" t="str">
        <f t="shared" si="285"/>
        <v/>
      </c>
      <c r="R1962" s="5" t="str">
        <f t="shared" si="284"/>
        <v/>
      </c>
      <c r="S1962" s="5" t="str">
        <f t="shared" si="288"/>
        <v/>
      </c>
      <c r="T1962" s="5" t="str">
        <f t="shared" si="292"/>
        <v/>
      </c>
      <c r="U1962" s="5" t="str">
        <f t="shared" si="292"/>
        <v/>
      </c>
    </row>
    <row r="1963" spans="7:21" x14ac:dyDescent="0.2">
      <c r="G1963" s="8"/>
      <c r="H1963" s="5"/>
      <c r="J1963" s="10" t="str">
        <f t="shared" si="286"/>
        <v/>
      </c>
      <c r="K1963" s="10" t="str">
        <f t="shared" si="287"/>
        <v/>
      </c>
      <c r="L1963" s="11" t="str">
        <f t="shared" si="289"/>
        <v/>
      </c>
      <c r="M1963" s="9" t="str">
        <f>IF(G1963&lt;&gt;"",J1963/MAX(J$3:J1963)-1,"")</f>
        <v/>
      </c>
      <c r="N1963" s="9" t="str">
        <f>IF(G1963&lt;&gt;"",K1963/MAX(K$3:K1963)-1,"")</f>
        <v/>
      </c>
      <c r="O1963" s="16" t="str">
        <f t="shared" si="285"/>
        <v/>
      </c>
      <c r="P1963" s="16" t="str">
        <f t="shared" si="285"/>
        <v/>
      </c>
      <c r="Q1963" s="16" t="str">
        <f t="shared" si="285"/>
        <v/>
      </c>
      <c r="R1963" s="5" t="str">
        <f t="shared" si="284"/>
        <v/>
      </c>
      <c r="S1963" s="5" t="str">
        <f t="shared" si="288"/>
        <v/>
      </c>
      <c r="T1963" s="5" t="str">
        <f t="shared" si="292"/>
        <v/>
      </c>
      <c r="U1963" s="5" t="str">
        <f t="shared" si="292"/>
        <v/>
      </c>
    </row>
    <row r="1964" spans="7:21" x14ac:dyDescent="0.2">
      <c r="G1964" s="8"/>
      <c r="H1964" s="5"/>
      <c r="J1964" s="10" t="str">
        <f t="shared" si="286"/>
        <v/>
      </c>
      <c r="K1964" s="10" t="str">
        <f t="shared" si="287"/>
        <v/>
      </c>
      <c r="L1964" s="11" t="str">
        <f t="shared" si="289"/>
        <v/>
      </c>
      <c r="M1964" s="9" t="str">
        <f>IF(G1964&lt;&gt;"",J1964/MAX(J$3:J1964)-1,"")</f>
        <v/>
      </c>
      <c r="N1964" s="9" t="str">
        <f>IF(G1964&lt;&gt;"",K1964/MAX(K$3:K1964)-1,"")</f>
        <v/>
      </c>
      <c r="O1964" s="16" t="str">
        <f t="shared" si="285"/>
        <v/>
      </c>
      <c r="P1964" s="16" t="str">
        <f t="shared" si="285"/>
        <v/>
      </c>
      <c r="Q1964" s="16" t="str">
        <f t="shared" si="285"/>
        <v/>
      </c>
      <c r="R1964" s="5" t="str">
        <f t="shared" si="284"/>
        <v/>
      </c>
      <c r="S1964" s="5" t="str">
        <f t="shared" si="288"/>
        <v/>
      </c>
      <c r="T1964" s="5" t="str">
        <f t="shared" si="292"/>
        <v/>
      </c>
      <c r="U1964" s="5" t="str">
        <f t="shared" si="292"/>
        <v/>
      </c>
    </row>
    <row r="1965" spans="7:21" x14ac:dyDescent="0.2">
      <c r="G1965" s="8"/>
      <c r="H1965" s="5"/>
      <c r="J1965" s="10" t="str">
        <f t="shared" si="286"/>
        <v/>
      </c>
      <c r="K1965" s="10" t="str">
        <f t="shared" si="287"/>
        <v/>
      </c>
      <c r="L1965" s="11" t="str">
        <f t="shared" si="289"/>
        <v/>
      </c>
      <c r="M1965" s="9" t="str">
        <f>IF(G1965&lt;&gt;"",J1965/MAX(J$3:J1965)-1,"")</f>
        <v/>
      </c>
      <c r="N1965" s="9" t="str">
        <f>IF(G1965&lt;&gt;"",K1965/MAX(K$3:K1965)-1,"")</f>
        <v/>
      </c>
      <c r="O1965" s="16" t="str">
        <f t="shared" si="285"/>
        <v/>
      </c>
      <c r="P1965" s="16" t="str">
        <f t="shared" si="285"/>
        <v/>
      </c>
      <c r="Q1965" s="16" t="str">
        <f t="shared" si="285"/>
        <v/>
      </c>
      <c r="R1965" s="5" t="str">
        <f t="shared" si="284"/>
        <v/>
      </c>
      <c r="S1965" s="5" t="str">
        <f t="shared" si="288"/>
        <v/>
      </c>
      <c r="T1965" s="5" t="str">
        <f t="shared" si="292"/>
        <v/>
      </c>
      <c r="U1965" s="5" t="str">
        <f t="shared" si="292"/>
        <v/>
      </c>
    </row>
    <row r="1966" spans="7:21" x14ac:dyDescent="0.2">
      <c r="G1966" s="8"/>
      <c r="H1966" s="5"/>
      <c r="J1966" s="10" t="str">
        <f t="shared" si="286"/>
        <v/>
      </c>
      <c r="K1966" s="10" t="str">
        <f t="shared" si="287"/>
        <v/>
      </c>
      <c r="L1966" s="11" t="str">
        <f t="shared" si="289"/>
        <v/>
      </c>
      <c r="M1966" s="9" t="str">
        <f>IF(G1966&lt;&gt;"",J1966/MAX(J$3:J1966)-1,"")</f>
        <v/>
      </c>
      <c r="N1966" s="9" t="str">
        <f>IF(G1966&lt;&gt;"",K1966/MAX(K$3:K1966)-1,"")</f>
        <v/>
      </c>
      <c r="O1966" s="16" t="str">
        <f t="shared" si="285"/>
        <v/>
      </c>
      <c r="P1966" s="16" t="str">
        <f t="shared" si="285"/>
        <v/>
      </c>
      <c r="Q1966" s="16" t="str">
        <f t="shared" si="285"/>
        <v/>
      </c>
      <c r="R1966" s="5" t="str">
        <f t="shared" si="284"/>
        <v/>
      </c>
      <c r="S1966" s="5" t="str">
        <f t="shared" si="288"/>
        <v/>
      </c>
      <c r="T1966" s="5" t="str">
        <f t="shared" si="292"/>
        <v/>
      </c>
      <c r="U1966" s="5" t="str">
        <f t="shared" si="292"/>
        <v/>
      </c>
    </row>
    <row r="1967" spans="7:21" x14ac:dyDescent="0.2">
      <c r="G1967" s="8"/>
      <c r="H1967" s="5"/>
      <c r="J1967" s="10" t="str">
        <f t="shared" si="286"/>
        <v/>
      </c>
      <c r="K1967" s="10" t="str">
        <f t="shared" si="287"/>
        <v/>
      </c>
      <c r="L1967" s="11" t="str">
        <f t="shared" si="289"/>
        <v/>
      </c>
      <c r="M1967" s="9" t="str">
        <f>IF(G1967&lt;&gt;"",J1967/MAX(J$3:J1967)-1,"")</f>
        <v/>
      </c>
      <c r="N1967" s="9" t="str">
        <f>IF(G1967&lt;&gt;"",K1967/MAX(K$3:K1967)-1,"")</f>
        <v/>
      </c>
      <c r="O1967" s="16" t="str">
        <f t="shared" si="285"/>
        <v/>
      </c>
      <c r="P1967" s="16" t="str">
        <f t="shared" si="285"/>
        <v/>
      </c>
      <c r="Q1967" s="16" t="str">
        <f t="shared" si="285"/>
        <v/>
      </c>
      <c r="R1967" s="5" t="str">
        <f t="shared" si="284"/>
        <v/>
      </c>
      <c r="S1967" s="5" t="str">
        <f t="shared" si="288"/>
        <v/>
      </c>
      <c r="T1967" s="5" t="str">
        <f t="shared" si="292"/>
        <v/>
      </c>
      <c r="U1967" s="5" t="str">
        <f t="shared" si="292"/>
        <v/>
      </c>
    </row>
    <row r="1968" spans="7:21" x14ac:dyDescent="0.2">
      <c r="G1968" s="8"/>
      <c r="H1968" s="5"/>
      <c r="J1968" s="10" t="str">
        <f t="shared" si="286"/>
        <v/>
      </c>
      <c r="K1968" s="10" t="str">
        <f t="shared" si="287"/>
        <v/>
      </c>
      <c r="L1968" s="11" t="str">
        <f t="shared" si="289"/>
        <v/>
      </c>
      <c r="M1968" s="9" t="str">
        <f>IF(G1968&lt;&gt;"",J1968/MAX(J$3:J1968)-1,"")</f>
        <v/>
      </c>
      <c r="N1968" s="9" t="str">
        <f>IF(G1968&lt;&gt;"",K1968/MAX(K$3:K1968)-1,"")</f>
        <v/>
      </c>
      <c r="O1968" s="16" t="str">
        <f t="shared" si="285"/>
        <v/>
      </c>
      <c r="P1968" s="16" t="str">
        <f t="shared" si="285"/>
        <v/>
      </c>
      <c r="Q1968" s="16" t="str">
        <f t="shared" si="285"/>
        <v/>
      </c>
      <c r="R1968" s="5" t="str">
        <f t="shared" si="284"/>
        <v/>
      </c>
      <c r="S1968" s="5" t="str">
        <f t="shared" si="288"/>
        <v/>
      </c>
      <c r="T1968" s="5" t="str">
        <f t="shared" si="292"/>
        <v/>
      </c>
      <c r="U1968" s="5" t="str">
        <f t="shared" si="292"/>
        <v/>
      </c>
    </row>
    <row r="1969" spans="7:21" x14ac:dyDescent="0.2">
      <c r="G1969" s="8"/>
      <c r="H1969" s="5"/>
      <c r="J1969" s="10" t="str">
        <f t="shared" si="286"/>
        <v/>
      </c>
      <c r="K1969" s="10" t="str">
        <f t="shared" si="287"/>
        <v/>
      </c>
      <c r="L1969" s="11" t="str">
        <f t="shared" si="289"/>
        <v/>
      </c>
      <c r="M1969" s="9" t="str">
        <f>IF(G1969&lt;&gt;"",J1969/MAX(J$3:J1969)-1,"")</f>
        <v/>
      </c>
      <c r="N1969" s="9" t="str">
        <f>IF(G1969&lt;&gt;"",K1969/MAX(K$3:K1969)-1,"")</f>
        <v/>
      </c>
      <c r="O1969" s="16" t="str">
        <f t="shared" si="285"/>
        <v/>
      </c>
      <c r="P1969" s="16" t="str">
        <f t="shared" si="285"/>
        <v/>
      </c>
      <c r="Q1969" s="16" t="str">
        <f t="shared" si="285"/>
        <v/>
      </c>
      <c r="R1969" s="5" t="str">
        <f t="shared" si="284"/>
        <v/>
      </c>
      <c r="S1969" s="5" t="str">
        <f t="shared" si="288"/>
        <v/>
      </c>
      <c r="T1969" s="5" t="str">
        <f t="shared" si="292"/>
        <v/>
      </c>
      <c r="U1969" s="5" t="str">
        <f t="shared" si="292"/>
        <v/>
      </c>
    </row>
    <row r="1970" spans="7:21" x14ac:dyDescent="0.2">
      <c r="G1970" s="8"/>
      <c r="H1970" s="5"/>
      <c r="J1970" s="10" t="str">
        <f t="shared" si="286"/>
        <v/>
      </c>
      <c r="K1970" s="10" t="str">
        <f t="shared" si="287"/>
        <v/>
      </c>
      <c r="L1970" s="11" t="str">
        <f t="shared" si="289"/>
        <v/>
      </c>
      <c r="M1970" s="9" t="str">
        <f>IF(G1970&lt;&gt;"",J1970/MAX(J$3:J1970)-1,"")</f>
        <v/>
      </c>
      <c r="N1970" s="9" t="str">
        <f>IF(G1970&lt;&gt;"",K1970/MAX(K$3:K1970)-1,"")</f>
        <v/>
      </c>
      <c r="O1970" s="16" t="str">
        <f t="shared" si="285"/>
        <v/>
      </c>
      <c r="P1970" s="16" t="str">
        <f t="shared" si="285"/>
        <v/>
      </c>
      <c r="Q1970" s="16" t="str">
        <f t="shared" si="285"/>
        <v/>
      </c>
      <c r="R1970" s="5" t="str">
        <f t="shared" si="284"/>
        <v/>
      </c>
      <c r="S1970" s="5" t="str">
        <f t="shared" si="288"/>
        <v/>
      </c>
      <c r="T1970" s="5" t="str">
        <f t="shared" si="292"/>
        <v/>
      </c>
      <c r="U1970" s="5" t="str">
        <f t="shared" si="292"/>
        <v/>
      </c>
    </row>
    <row r="1971" spans="7:21" x14ac:dyDescent="0.2">
      <c r="G1971" s="8"/>
      <c r="H1971" s="5"/>
      <c r="J1971" s="10" t="str">
        <f t="shared" si="286"/>
        <v/>
      </c>
      <c r="K1971" s="10" t="str">
        <f t="shared" si="287"/>
        <v/>
      </c>
      <c r="L1971" s="11" t="str">
        <f t="shared" si="289"/>
        <v/>
      </c>
      <c r="M1971" s="9" t="str">
        <f>IF(G1971&lt;&gt;"",J1971/MAX(J$3:J1971)-1,"")</f>
        <v/>
      </c>
      <c r="N1971" s="9" t="str">
        <f>IF(G1971&lt;&gt;"",K1971/MAX(K$3:K1971)-1,"")</f>
        <v/>
      </c>
      <c r="O1971" s="16" t="str">
        <f t="shared" si="285"/>
        <v/>
      </c>
      <c r="P1971" s="16" t="str">
        <f t="shared" si="285"/>
        <v/>
      </c>
      <c r="Q1971" s="16" t="str">
        <f t="shared" si="285"/>
        <v/>
      </c>
      <c r="R1971" s="5" t="str">
        <f t="shared" si="284"/>
        <v/>
      </c>
      <c r="S1971" s="5" t="str">
        <f t="shared" si="288"/>
        <v/>
      </c>
      <c r="T1971" s="5" t="str">
        <f t="shared" si="292"/>
        <v/>
      </c>
      <c r="U1971" s="5" t="str">
        <f t="shared" si="292"/>
        <v/>
      </c>
    </row>
    <row r="1972" spans="7:21" x14ac:dyDescent="0.2">
      <c r="G1972" s="8"/>
      <c r="H1972" s="5"/>
      <c r="J1972" s="10" t="str">
        <f t="shared" si="286"/>
        <v/>
      </c>
      <c r="K1972" s="10" t="str">
        <f t="shared" si="287"/>
        <v/>
      </c>
      <c r="L1972" s="11" t="str">
        <f t="shared" si="289"/>
        <v/>
      </c>
      <c r="M1972" s="9" t="str">
        <f>IF(G1972&lt;&gt;"",J1972/MAX(J$3:J1972)-1,"")</f>
        <v/>
      </c>
      <c r="N1972" s="9" t="str">
        <f>IF(G1972&lt;&gt;"",K1972/MAX(K$3:K1972)-1,"")</f>
        <v/>
      </c>
      <c r="O1972" s="16" t="str">
        <f t="shared" si="285"/>
        <v/>
      </c>
      <c r="P1972" s="16" t="str">
        <f t="shared" si="285"/>
        <v/>
      </c>
      <c r="Q1972" s="16" t="str">
        <f t="shared" si="285"/>
        <v/>
      </c>
      <c r="R1972" s="5" t="str">
        <f t="shared" si="284"/>
        <v/>
      </c>
      <c r="S1972" s="5" t="str">
        <f t="shared" si="288"/>
        <v/>
      </c>
      <c r="T1972" s="5" t="str">
        <f t="shared" si="292"/>
        <v/>
      </c>
      <c r="U1972" s="5" t="str">
        <f t="shared" si="292"/>
        <v/>
      </c>
    </row>
    <row r="1973" spans="7:21" x14ac:dyDescent="0.2">
      <c r="G1973" s="8"/>
      <c r="H1973" s="5"/>
      <c r="J1973" s="10" t="str">
        <f t="shared" si="286"/>
        <v/>
      </c>
      <c r="K1973" s="10" t="str">
        <f t="shared" si="287"/>
        <v/>
      </c>
      <c r="L1973" s="11" t="str">
        <f t="shared" si="289"/>
        <v/>
      </c>
      <c r="M1973" s="9" t="str">
        <f>IF(G1973&lt;&gt;"",J1973/MAX(J$3:J1973)-1,"")</f>
        <v/>
      </c>
      <c r="N1973" s="9" t="str">
        <f>IF(G1973&lt;&gt;"",K1973/MAX(K$3:K1973)-1,"")</f>
        <v/>
      </c>
      <c r="O1973" s="16" t="str">
        <f t="shared" si="285"/>
        <v/>
      </c>
      <c r="P1973" s="16" t="str">
        <f t="shared" si="285"/>
        <v/>
      </c>
      <c r="Q1973" s="16" t="str">
        <f t="shared" si="285"/>
        <v/>
      </c>
      <c r="R1973" s="5" t="str">
        <f t="shared" si="284"/>
        <v/>
      </c>
      <c r="S1973" s="5" t="str">
        <f t="shared" si="288"/>
        <v/>
      </c>
      <c r="T1973" s="5" t="str">
        <f t="shared" si="292"/>
        <v/>
      </c>
      <c r="U1973" s="5" t="str">
        <f t="shared" si="292"/>
        <v/>
      </c>
    </row>
    <row r="1974" spans="7:21" x14ac:dyDescent="0.2">
      <c r="G1974" s="8"/>
      <c r="H1974" s="5"/>
      <c r="J1974" s="10" t="str">
        <f t="shared" si="286"/>
        <v/>
      </c>
      <c r="K1974" s="10" t="str">
        <f t="shared" si="287"/>
        <v/>
      </c>
      <c r="L1974" s="11" t="str">
        <f t="shared" si="289"/>
        <v/>
      </c>
      <c r="M1974" s="9" t="str">
        <f>IF(G1974&lt;&gt;"",J1974/MAX(J$3:J1974)-1,"")</f>
        <v/>
      </c>
      <c r="N1974" s="9" t="str">
        <f>IF(G1974&lt;&gt;"",K1974/MAX(K$3:K1974)-1,"")</f>
        <v/>
      </c>
      <c r="O1974" s="16" t="str">
        <f t="shared" si="285"/>
        <v/>
      </c>
      <c r="P1974" s="16" t="str">
        <f t="shared" si="285"/>
        <v/>
      </c>
      <c r="Q1974" s="16" t="str">
        <f t="shared" si="285"/>
        <v/>
      </c>
      <c r="R1974" s="5" t="str">
        <f t="shared" si="284"/>
        <v/>
      </c>
      <c r="S1974" s="5" t="str">
        <f t="shared" si="288"/>
        <v/>
      </c>
      <c r="T1974" s="5" t="str">
        <f t="shared" si="292"/>
        <v/>
      </c>
      <c r="U1974" s="5" t="str">
        <f t="shared" si="292"/>
        <v/>
      </c>
    </row>
    <row r="1975" spans="7:21" x14ac:dyDescent="0.2">
      <c r="G1975" s="8"/>
      <c r="H1975" s="5"/>
      <c r="J1975" s="10" t="str">
        <f t="shared" si="286"/>
        <v/>
      </c>
      <c r="K1975" s="10" t="str">
        <f t="shared" si="287"/>
        <v/>
      </c>
      <c r="L1975" s="11" t="str">
        <f t="shared" si="289"/>
        <v/>
      </c>
      <c r="M1975" s="9" t="str">
        <f>IF(G1975&lt;&gt;"",J1975/MAX(J$3:J1975)-1,"")</f>
        <v/>
      </c>
      <c r="N1975" s="9" t="str">
        <f>IF(G1975&lt;&gt;"",K1975/MAX(K$3:K1975)-1,"")</f>
        <v/>
      </c>
      <c r="O1975" s="16" t="str">
        <f t="shared" si="285"/>
        <v/>
      </c>
      <c r="P1975" s="16" t="str">
        <f t="shared" si="285"/>
        <v/>
      </c>
      <c r="Q1975" s="16" t="str">
        <f t="shared" si="285"/>
        <v/>
      </c>
      <c r="R1975" s="5" t="str">
        <f t="shared" si="284"/>
        <v/>
      </c>
      <c r="S1975" s="5" t="str">
        <f t="shared" si="288"/>
        <v/>
      </c>
      <c r="T1975" s="5" t="str">
        <f t="shared" si="292"/>
        <v/>
      </c>
      <c r="U1975" s="5" t="str">
        <f t="shared" si="292"/>
        <v/>
      </c>
    </row>
    <row r="1976" spans="7:21" x14ac:dyDescent="0.2">
      <c r="G1976" s="8"/>
      <c r="H1976" s="5"/>
      <c r="J1976" s="10" t="str">
        <f t="shared" si="286"/>
        <v/>
      </c>
      <c r="K1976" s="10" t="str">
        <f t="shared" si="287"/>
        <v/>
      </c>
      <c r="L1976" s="11" t="str">
        <f t="shared" si="289"/>
        <v/>
      </c>
      <c r="M1976" s="9" t="str">
        <f>IF(G1976&lt;&gt;"",J1976/MAX(J$3:J1976)-1,"")</f>
        <v/>
      </c>
      <c r="N1976" s="9" t="str">
        <f>IF(G1976&lt;&gt;"",K1976/MAX(K$3:K1976)-1,"")</f>
        <v/>
      </c>
      <c r="O1976" s="16" t="str">
        <f t="shared" si="285"/>
        <v/>
      </c>
      <c r="P1976" s="16" t="str">
        <f t="shared" si="285"/>
        <v/>
      </c>
      <c r="Q1976" s="16" t="str">
        <f t="shared" si="285"/>
        <v/>
      </c>
      <c r="R1976" s="5" t="str">
        <f t="shared" si="284"/>
        <v/>
      </c>
      <c r="S1976" s="5" t="str">
        <f t="shared" si="288"/>
        <v/>
      </c>
      <c r="T1976" s="5" t="str">
        <f t="shared" ref="T1976:U1991" si="293">IF($G1976&lt;&gt;"",_xlfn.STDEV.S(O1732:O1976),"")</f>
        <v/>
      </c>
      <c r="U1976" s="5" t="str">
        <f t="shared" si="293"/>
        <v/>
      </c>
    </row>
    <row r="1977" spans="7:21" x14ac:dyDescent="0.2">
      <c r="G1977" s="8"/>
      <c r="H1977" s="5"/>
      <c r="J1977" s="10" t="str">
        <f t="shared" si="286"/>
        <v/>
      </c>
      <c r="K1977" s="10" t="str">
        <f t="shared" si="287"/>
        <v/>
      </c>
      <c r="L1977" s="11" t="str">
        <f t="shared" si="289"/>
        <v/>
      </c>
      <c r="M1977" s="9" t="str">
        <f>IF(G1977&lt;&gt;"",J1977/MAX(J$3:J1977)-1,"")</f>
        <v/>
      </c>
      <c r="N1977" s="9" t="str">
        <f>IF(G1977&lt;&gt;"",K1977/MAX(K$3:K1977)-1,"")</f>
        <v/>
      </c>
      <c r="O1977" s="16" t="str">
        <f t="shared" si="285"/>
        <v/>
      </c>
      <c r="P1977" s="16" t="str">
        <f t="shared" si="285"/>
        <v/>
      </c>
      <c r="Q1977" s="16" t="str">
        <f t="shared" si="285"/>
        <v/>
      </c>
      <c r="R1977" s="5" t="str">
        <f t="shared" si="284"/>
        <v/>
      </c>
      <c r="S1977" s="5" t="str">
        <f t="shared" si="288"/>
        <v/>
      </c>
      <c r="T1977" s="5" t="str">
        <f t="shared" si="293"/>
        <v/>
      </c>
      <c r="U1977" s="5" t="str">
        <f t="shared" si="293"/>
        <v/>
      </c>
    </row>
    <row r="1978" spans="7:21" x14ac:dyDescent="0.2">
      <c r="G1978" s="8"/>
      <c r="H1978" s="5"/>
      <c r="J1978" s="10" t="str">
        <f t="shared" si="286"/>
        <v/>
      </c>
      <c r="K1978" s="10" t="str">
        <f t="shared" si="287"/>
        <v/>
      </c>
      <c r="L1978" s="11" t="str">
        <f t="shared" si="289"/>
        <v/>
      </c>
      <c r="M1978" s="9" t="str">
        <f>IF(G1978&lt;&gt;"",J1978/MAX(J$3:J1978)-1,"")</f>
        <v/>
      </c>
      <c r="N1978" s="9" t="str">
        <f>IF(G1978&lt;&gt;"",K1978/MAX(K$3:K1978)-1,"")</f>
        <v/>
      </c>
      <c r="O1978" s="16" t="str">
        <f t="shared" si="285"/>
        <v/>
      </c>
      <c r="P1978" s="16" t="str">
        <f t="shared" si="285"/>
        <v/>
      </c>
      <c r="Q1978" s="16" t="str">
        <f t="shared" si="285"/>
        <v/>
      </c>
      <c r="R1978" s="5" t="str">
        <f t="shared" si="284"/>
        <v/>
      </c>
      <c r="S1978" s="5" t="str">
        <f t="shared" si="288"/>
        <v/>
      </c>
      <c r="T1978" s="5" t="str">
        <f t="shared" si="293"/>
        <v/>
      </c>
      <c r="U1978" s="5" t="str">
        <f t="shared" si="293"/>
        <v/>
      </c>
    </row>
    <row r="1979" spans="7:21" x14ac:dyDescent="0.2">
      <c r="G1979" s="8"/>
      <c r="H1979" s="5"/>
      <c r="J1979" s="10" t="str">
        <f t="shared" si="286"/>
        <v/>
      </c>
      <c r="K1979" s="10" t="str">
        <f t="shared" si="287"/>
        <v/>
      </c>
      <c r="L1979" s="11" t="str">
        <f t="shared" si="289"/>
        <v/>
      </c>
      <c r="M1979" s="9" t="str">
        <f>IF(G1979&lt;&gt;"",J1979/MAX(J$3:J1979)-1,"")</f>
        <v/>
      </c>
      <c r="N1979" s="9" t="str">
        <f>IF(G1979&lt;&gt;"",K1979/MAX(K$3:K1979)-1,"")</f>
        <v/>
      </c>
      <c r="O1979" s="16" t="str">
        <f t="shared" si="285"/>
        <v/>
      </c>
      <c r="P1979" s="16" t="str">
        <f t="shared" si="285"/>
        <v/>
      </c>
      <c r="Q1979" s="16" t="str">
        <f t="shared" si="285"/>
        <v/>
      </c>
      <c r="R1979" s="5" t="str">
        <f t="shared" si="284"/>
        <v/>
      </c>
      <c r="S1979" s="5" t="str">
        <f t="shared" si="288"/>
        <v/>
      </c>
      <c r="T1979" s="5" t="str">
        <f t="shared" si="293"/>
        <v/>
      </c>
      <c r="U1979" s="5" t="str">
        <f t="shared" si="293"/>
        <v/>
      </c>
    </row>
    <row r="1980" spans="7:21" x14ac:dyDescent="0.2">
      <c r="G1980" s="8"/>
      <c r="H1980" s="5"/>
      <c r="J1980" s="10" t="str">
        <f t="shared" si="286"/>
        <v/>
      </c>
      <c r="K1980" s="10" t="str">
        <f t="shared" si="287"/>
        <v/>
      </c>
      <c r="L1980" s="11" t="str">
        <f t="shared" si="289"/>
        <v/>
      </c>
      <c r="M1980" s="9" t="str">
        <f>IF(G1980&lt;&gt;"",J1980/MAX(J$3:J1980)-1,"")</f>
        <v/>
      </c>
      <c r="N1980" s="9" t="str">
        <f>IF(G1980&lt;&gt;"",K1980/MAX(K$3:K1980)-1,"")</f>
        <v/>
      </c>
      <c r="O1980" s="16" t="str">
        <f t="shared" si="285"/>
        <v/>
      </c>
      <c r="P1980" s="16" t="str">
        <f t="shared" si="285"/>
        <v/>
      </c>
      <c r="Q1980" s="16" t="str">
        <f t="shared" si="285"/>
        <v/>
      </c>
      <c r="R1980" s="5" t="str">
        <f t="shared" si="284"/>
        <v/>
      </c>
      <c r="S1980" s="5" t="str">
        <f t="shared" si="288"/>
        <v/>
      </c>
      <c r="T1980" s="5" t="str">
        <f t="shared" si="293"/>
        <v/>
      </c>
      <c r="U1980" s="5" t="str">
        <f t="shared" si="293"/>
        <v/>
      </c>
    </row>
    <row r="1981" spans="7:21" x14ac:dyDescent="0.2">
      <c r="G1981" s="8"/>
      <c r="H1981" s="5"/>
      <c r="J1981" s="10" t="str">
        <f t="shared" si="286"/>
        <v/>
      </c>
      <c r="K1981" s="10" t="str">
        <f t="shared" si="287"/>
        <v/>
      </c>
      <c r="L1981" s="11" t="str">
        <f t="shared" si="289"/>
        <v/>
      </c>
      <c r="M1981" s="9" t="str">
        <f>IF(G1981&lt;&gt;"",J1981/MAX(J$3:J1981)-1,"")</f>
        <v/>
      </c>
      <c r="N1981" s="9" t="str">
        <f>IF(G1981&lt;&gt;"",K1981/MAX(K$3:K1981)-1,"")</f>
        <v/>
      </c>
      <c r="O1981" s="16" t="str">
        <f t="shared" si="285"/>
        <v/>
      </c>
      <c r="P1981" s="16" t="str">
        <f t="shared" si="285"/>
        <v/>
      </c>
      <c r="Q1981" s="16" t="str">
        <f t="shared" si="285"/>
        <v/>
      </c>
      <c r="R1981" s="5" t="str">
        <f t="shared" ref="R1981:R2044" si="294">IF(G1981&lt;&gt;"",_xlfn.STDEV.S(Q1860:Q1981)*SQRT($B$5),"")</f>
        <v/>
      </c>
      <c r="S1981" s="5" t="str">
        <f t="shared" si="288"/>
        <v/>
      </c>
      <c r="T1981" s="5" t="str">
        <f t="shared" si="293"/>
        <v/>
      </c>
      <c r="U1981" s="5" t="str">
        <f t="shared" si="293"/>
        <v/>
      </c>
    </row>
    <row r="1982" spans="7:21" x14ac:dyDescent="0.2">
      <c r="G1982" s="8"/>
      <c r="H1982" s="5"/>
      <c r="J1982" s="10" t="str">
        <f t="shared" si="286"/>
        <v/>
      </c>
      <c r="K1982" s="10" t="str">
        <f t="shared" si="287"/>
        <v/>
      </c>
      <c r="L1982" s="11" t="str">
        <f t="shared" si="289"/>
        <v/>
      </c>
      <c r="M1982" s="9" t="str">
        <f>IF(G1982&lt;&gt;"",J1982/MAX(J$3:J1982)-1,"")</f>
        <v/>
      </c>
      <c r="N1982" s="9" t="str">
        <f>IF(G1982&lt;&gt;"",K1982/MAX(K$3:K1982)-1,"")</f>
        <v/>
      </c>
      <c r="O1982" s="16" t="str">
        <f t="shared" si="285"/>
        <v/>
      </c>
      <c r="P1982" s="16" t="str">
        <f t="shared" si="285"/>
        <v/>
      </c>
      <c r="Q1982" s="16" t="str">
        <f t="shared" si="285"/>
        <v/>
      </c>
      <c r="R1982" s="5" t="str">
        <f t="shared" si="294"/>
        <v/>
      </c>
      <c r="S1982" s="5" t="str">
        <f t="shared" si="288"/>
        <v/>
      </c>
      <c r="T1982" s="5" t="str">
        <f t="shared" si="293"/>
        <v/>
      </c>
      <c r="U1982" s="5" t="str">
        <f t="shared" si="293"/>
        <v/>
      </c>
    </row>
    <row r="1983" spans="7:21" x14ac:dyDescent="0.2">
      <c r="G1983" s="8"/>
      <c r="H1983" s="5"/>
      <c r="J1983" s="10" t="str">
        <f t="shared" si="286"/>
        <v/>
      </c>
      <c r="K1983" s="10" t="str">
        <f t="shared" si="287"/>
        <v/>
      </c>
      <c r="L1983" s="11" t="str">
        <f t="shared" si="289"/>
        <v/>
      </c>
      <c r="M1983" s="9" t="str">
        <f>IF(G1983&lt;&gt;"",J1983/MAX(J$3:J1983)-1,"")</f>
        <v/>
      </c>
      <c r="N1983" s="9" t="str">
        <f>IF(G1983&lt;&gt;"",K1983/MAX(K$3:K1983)-1,"")</f>
        <v/>
      </c>
      <c r="O1983" s="16" t="str">
        <f t="shared" si="285"/>
        <v/>
      </c>
      <c r="P1983" s="16" t="str">
        <f t="shared" si="285"/>
        <v/>
      </c>
      <c r="Q1983" s="16" t="str">
        <f t="shared" si="285"/>
        <v/>
      </c>
      <c r="R1983" s="5" t="str">
        <f t="shared" si="294"/>
        <v/>
      </c>
      <c r="S1983" s="5" t="str">
        <f t="shared" si="288"/>
        <v/>
      </c>
      <c r="T1983" s="5" t="str">
        <f t="shared" si="293"/>
        <v/>
      </c>
      <c r="U1983" s="5" t="str">
        <f t="shared" si="293"/>
        <v/>
      </c>
    </row>
    <row r="1984" spans="7:21" x14ac:dyDescent="0.2">
      <c r="G1984" s="8"/>
      <c r="H1984" s="5"/>
      <c r="J1984" s="10" t="str">
        <f t="shared" si="286"/>
        <v/>
      </c>
      <c r="K1984" s="10" t="str">
        <f t="shared" si="287"/>
        <v/>
      </c>
      <c r="L1984" s="11" t="str">
        <f t="shared" si="289"/>
        <v/>
      </c>
      <c r="M1984" s="9" t="str">
        <f>IF(G1984&lt;&gt;"",J1984/MAX(J$3:J1984)-1,"")</f>
        <v/>
      </c>
      <c r="N1984" s="9" t="str">
        <f>IF(G1984&lt;&gt;"",K1984/MAX(K$3:K1984)-1,"")</f>
        <v/>
      </c>
      <c r="O1984" s="16" t="str">
        <f t="shared" si="285"/>
        <v/>
      </c>
      <c r="P1984" s="16" t="str">
        <f t="shared" si="285"/>
        <v/>
      </c>
      <c r="Q1984" s="16" t="str">
        <f t="shared" si="285"/>
        <v/>
      </c>
      <c r="R1984" s="5" t="str">
        <f t="shared" si="294"/>
        <v/>
      </c>
      <c r="S1984" s="5" t="str">
        <f t="shared" si="288"/>
        <v/>
      </c>
      <c r="T1984" s="5" t="str">
        <f t="shared" si="293"/>
        <v/>
      </c>
      <c r="U1984" s="5" t="str">
        <f t="shared" si="293"/>
        <v/>
      </c>
    </row>
    <row r="1985" spans="7:21" x14ac:dyDescent="0.2">
      <c r="G1985" s="8"/>
      <c r="H1985" s="5"/>
      <c r="J1985" s="10" t="str">
        <f t="shared" si="286"/>
        <v/>
      </c>
      <c r="K1985" s="10" t="str">
        <f t="shared" si="287"/>
        <v/>
      </c>
      <c r="L1985" s="11" t="str">
        <f t="shared" si="289"/>
        <v/>
      </c>
      <c r="M1985" s="9" t="str">
        <f>IF(G1985&lt;&gt;"",J1985/MAX(J$3:J1985)-1,"")</f>
        <v/>
      </c>
      <c r="N1985" s="9" t="str">
        <f>IF(G1985&lt;&gt;"",K1985/MAX(K$3:K1985)-1,"")</f>
        <v/>
      </c>
      <c r="O1985" s="16" t="str">
        <f t="shared" si="285"/>
        <v/>
      </c>
      <c r="P1985" s="16" t="str">
        <f t="shared" si="285"/>
        <v/>
      </c>
      <c r="Q1985" s="16" t="str">
        <f t="shared" si="285"/>
        <v/>
      </c>
      <c r="R1985" s="5" t="str">
        <f t="shared" si="294"/>
        <v/>
      </c>
      <c r="S1985" s="5" t="str">
        <f t="shared" si="288"/>
        <v/>
      </c>
      <c r="T1985" s="5" t="str">
        <f t="shared" si="293"/>
        <v/>
      </c>
      <c r="U1985" s="5" t="str">
        <f t="shared" si="293"/>
        <v/>
      </c>
    </row>
    <row r="1986" spans="7:21" x14ac:dyDescent="0.2">
      <c r="G1986" s="8"/>
      <c r="H1986" s="5"/>
      <c r="J1986" s="10" t="str">
        <f t="shared" si="286"/>
        <v/>
      </c>
      <c r="K1986" s="10" t="str">
        <f t="shared" si="287"/>
        <v/>
      </c>
      <c r="L1986" s="11" t="str">
        <f t="shared" si="289"/>
        <v/>
      </c>
      <c r="M1986" s="9" t="str">
        <f>IF(G1986&lt;&gt;"",J1986/MAX(J$3:J1986)-1,"")</f>
        <v/>
      </c>
      <c r="N1986" s="9" t="str">
        <f>IF(G1986&lt;&gt;"",K1986/MAX(K$3:K1986)-1,"")</f>
        <v/>
      </c>
      <c r="O1986" s="16" t="str">
        <f t="shared" ref="O1986:Q2049" si="295">IF($G1986&lt;&gt;"",J1986/J1985-1,"")</f>
        <v/>
      </c>
      <c r="P1986" s="16" t="str">
        <f t="shared" si="295"/>
        <v/>
      </c>
      <c r="Q1986" s="16" t="str">
        <f t="shared" si="295"/>
        <v/>
      </c>
      <c r="R1986" s="5" t="str">
        <f t="shared" si="294"/>
        <v/>
      </c>
      <c r="S1986" s="5" t="str">
        <f t="shared" si="288"/>
        <v/>
      </c>
      <c r="T1986" s="5" t="str">
        <f t="shared" si="293"/>
        <v/>
      </c>
      <c r="U1986" s="5" t="str">
        <f t="shared" si="293"/>
        <v/>
      </c>
    </row>
    <row r="1987" spans="7:21" x14ac:dyDescent="0.2">
      <c r="G1987" s="8"/>
      <c r="H1987" s="5"/>
      <c r="J1987" s="10" t="str">
        <f t="shared" si="286"/>
        <v/>
      </c>
      <c r="K1987" s="10" t="str">
        <f t="shared" si="287"/>
        <v/>
      </c>
      <c r="L1987" s="11" t="str">
        <f t="shared" si="289"/>
        <v/>
      </c>
      <c r="M1987" s="9" t="str">
        <f>IF(G1987&lt;&gt;"",J1987/MAX(J$3:J1987)-1,"")</f>
        <v/>
      </c>
      <c r="N1987" s="9" t="str">
        <f>IF(G1987&lt;&gt;"",K1987/MAX(K$3:K1987)-1,"")</f>
        <v/>
      </c>
      <c r="O1987" s="16" t="str">
        <f t="shared" si="295"/>
        <v/>
      </c>
      <c r="P1987" s="16" t="str">
        <f t="shared" si="295"/>
        <v/>
      </c>
      <c r="Q1987" s="16" t="str">
        <f t="shared" si="295"/>
        <v/>
      </c>
      <c r="R1987" s="5" t="str">
        <f t="shared" si="294"/>
        <v/>
      </c>
      <c r="S1987" s="5" t="str">
        <f t="shared" si="288"/>
        <v/>
      </c>
      <c r="T1987" s="5" t="str">
        <f t="shared" si="293"/>
        <v/>
      </c>
      <c r="U1987" s="5" t="str">
        <f t="shared" si="293"/>
        <v/>
      </c>
    </row>
    <row r="1988" spans="7:21" x14ac:dyDescent="0.2">
      <c r="G1988" s="8"/>
      <c r="H1988" s="5"/>
      <c r="J1988" s="10" t="str">
        <f t="shared" ref="J1988:J2051" si="296">IF(G1988&lt;&gt;"",1+H1988,"")</f>
        <v/>
      </c>
      <c r="K1988" s="10" t="str">
        <f t="shared" ref="K1988:K2051" si="297">IF(G1988&lt;&gt;"",1+I1988,"")</f>
        <v/>
      </c>
      <c r="L1988" s="11" t="str">
        <f t="shared" si="289"/>
        <v/>
      </c>
      <c r="M1988" s="9" t="str">
        <f>IF(G1988&lt;&gt;"",J1988/MAX(J$3:J1988)-1,"")</f>
        <v/>
      </c>
      <c r="N1988" s="9" t="str">
        <f>IF(G1988&lt;&gt;"",K1988/MAX(K$3:K1988)-1,"")</f>
        <v/>
      </c>
      <c r="O1988" s="16" t="str">
        <f t="shared" si="295"/>
        <v/>
      </c>
      <c r="P1988" s="16" t="str">
        <f t="shared" si="295"/>
        <v/>
      </c>
      <c r="Q1988" s="16" t="str">
        <f t="shared" si="295"/>
        <v/>
      </c>
      <c r="R1988" s="5" t="str">
        <f t="shared" si="294"/>
        <v/>
      </c>
      <c r="S1988" s="5" t="str">
        <f t="shared" ref="S1988:S2051" si="298">IF(R1988&lt;&gt;"",B$12,"")</f>
        <v/>
      </c>
      <c r="T1988" s="5" t="str">
        <f t="shared" si="293"/>
        <v/>
      </c>
      <c r="U1988" s="5" t="str">
        <f t="shared" si="293"/>
        <v/>
      </c>
    </row>
    <row r="1989" spans="7:21" x14ac:dyDescent="0.2">
      <c r="G1989" s="8"/>
      <c r="H1989" s="5"/>
      <c r="J1989" s="10" t="str">
        <f t="shared" si="296"/>
        <v/>
      </c>
      <c r="K1989" s="10" t="str">
        <f t="shared" si="297"/>
        <v/>
      </c>
      <c r="L1989" s="11" t="str">
        <f t="shared" ref="L1989:L2052" si="299">IF(G1989&lt;&gt;"",J1989/K1989,"")</f>
        <v/>
      </c>
      <c r="M1989" s="9" t="str">
        <f>IF(G1989&lt;&gt;"",J1989/MAX(J$3:J1989)-1,"")</f>
        <v/>
      </c>
      <c r="N1989" s="9" t="str">
        <f>IF(G1989&lt;&gt;"",K1989/MAX(K$3:K1989)-1,"")</f>
        <v/>
      </c>
      <c r="O1989" s="16" t="str">
        <f t="shared" si="295"/>
        <v/>
      </c>
      <c r="P1989" s="16" t="str">
        <f t="shared" si="295"/>
        <v/>
      </c>
      <c r="Q1989" s="16" t="str">
        <f t="shared" si="295"/>
        <v/>
      </c>
      <c r="R1989" s="5" t="str">
        <f t="shared" si="294"/>
        <v/>
      </c>
      <c r="S1989" s="5" t="str">
        <f t="shared" si="298"/>
        <v/>
      </c>
      <c r="T1989" s="5" t="str">
        <f t="shared" si="293"/>
        <v/>
      </c>
      <c r="U1989" s="5" t="str">
        <f t="shared" si="293"/>
        <v/>
      </c>
    </row>
    <row r="1990" spans="7:21" x14ac:dyDescent="0.2">
      <c r="G1990" s="8"/>
      <c r="H1990" s="5"/>
      <c r="J1990" s="10" t="str">
        <f t="shared" si="296"/>
        <v/>
      </c>
      <c r="K1990" s="10" t="str">
        <f t="shared" si="297"/>
        <v/>
      </c>
      <c r="L1990" s="11" t="str">
        <f t="shared" si="299"/>
        <v/>
      </c>
      <c r="M1990" s="9" t="str">
        <f>IF(G1990&lt;&gt;"",J1990/MAX(J$3:J1990)-1,"")</f>
        <v/>
      </c>
      <c r="N1990" s="9" t="str">
        <f>IF(G1990&lt;&gt;"",K1990/MAX(K$3:K1990)-1,"")</f>
        <v/>
      </c>
      <c r="O1990" s="16" t="str">
        <f t="shared" si="295"/>
        <v/>
      </c>
      <c r="P1990" s="16" t="str">
        <f t="shared" si="295"/>
        <v/>
      </c>
      <c r="Q1990" s="16" t="str">
        <f t="shared" si="295"/>
        <v/>
      </c>
      <c r="R1990" s="5" t="str">
        <f t="shared" si="294"/>
        <v/>
      </c>
      <c r="S1990" s="5" t="str">
        <f t="shared" si="298"/>
        <v/>
      </c>
      <c r="T1990" s="5" t="str">
        <f t="shared" si="293"/>
        <v/>
      </c>
      <c r="U1990" s="5" t="str">
        <f t="shared" si="293"/>
        <v/>
      </c>
    </row>
    <row r="1991" spans="7:21" x14ac:dyDescent="0.2">
      <c r="G1991" s="8"/>
      <c r="H1991" s="5"/>
      <c r="J1991" s="10" t="str">
        <f t="shared" si="296"/>
        <v/>
      </c>
      <c r="K1991" s="10" t="str">
        <f t="shared" si="297"/>
        <v/>
      </c>
      <c r="L1991" s="11" t="str">
        <f t="shared" si="299"/>
        <v/>
      </c>
      <c r="M1991" s="9" t="str">
        <f>IF(G1991&lt;&gt;"",J1991/MAX(J$3:J1991)-1,"")</f>
        <v/>
      </c>
      <c r="N1991" s="9" t="str">
        <f>IF(G1991&lt;&gt;"",K1991/MAX(K$3:K1991)-1,"")</f>
        <v/>
      </c>
      <c r="O1991" s="16" t="str">
        <f t="shared" si="295"/>
        <v/>
      </c>
      <c r="P1991" s="16" t="str">
        <f t="shared" si="295"/>
        <v/>
      </c>
      <c r="Q1991" s="16" t="str">
        <f t="shared" si="295"/>
        <v/>
      </c>
      <c r="R1991" s="5" t="str">
        <f t="shared" si="294"/>
        <v/>
      </c>
      <c r="S1991" s="5" t="str">
        <f t="shared" si="298"/>
        <v/>
      </c>
      <c r="T1991" s="5" t="str">
        <f t="shared" si="293"/>
        <v/>
      </c>
      <c r="U1991" s="5" t="str">
        <f t="shared" si="293"/>
        <v/>
      </c>
    </row>
    <row r="1992" spans="7:21" x14ac:dyDescent="0.2">
      <c r="G1992" s="8"/>
      <c r="H1992" s="5"/>
      <c r="J1992" s="10" t="str">
        <f t="shared" si="296"/>
        <v/>
      </c>
      <c r="K1992" s="10" t="str">
        <f t="shared" si="297"/>
        <v/>
      </c>
      <c r="L1992" s="11" t="str">
        <f t="shared" si="299"/>
        <v/>
      </c>
      <c r="M1992" s="9" t="str">
        <f>IF(G1992&lt;&gt;"",J1992/MAX(J$3:J1992)-1,"")</f>
        <v/>
      </c>
      <c r="N1992" s="9" t="str">
        <f>IF(G1992&lt;&gt;"",K1992/MAX(K$3:K1992)-1,"")</f>
        <v/>
      </c>
      <c r="O1992" s="16" t="str">
        <f t="shared" si="295"/>
        <v/>
      </c>
      <c r="P1992" s="16" t="str">
        <f t="shared" si="295"/>
        <v/>
      </c>
      <c r="Q1992" s="16" t="str">
        <f t="shared" si="295"/>
        <v/>
      </c>
      <c r="R1992" s="5" t="str">
        <f t="shared" si="294"/>
        <v/>
      </c>
      <c r="S1992" s="5" t="str">
        <f t="shared" si="298"/>
        <v/>
      </c>
      <c r="T1992" s="5" t="str">
        <f t="shared" ref="T1992:U2007" si="300">IF($G1992&lt;&gt;"",_xlfn.STDEV.S(O1748:O1992),"")</f>
        <v/>
      </c>
      <c r="U1992" s="5" t="str">
        <f t="shared" si="300"/>
        <v/>
      </c>
    </row>
    <row r="1993" spans="7:21" x14ac:dyDescent="0.2">
      <c r="G1993" s="8"/>
      <c r="H1993" s="5"/>
      <c r="J1993" s="10" t="str">
        <f t="shared" si="296"/>
        <v/>
      </c>
      <c r="K1993" s="10" t="str">
        <f t="shared" si="297"/>
        <v/>
      </c>
      <c r="L1993" s="11" t="str">
        <f t="shared" si="299"/>
        <v/>
      </c>
      <c r="M1993" s="9" t="str">
        <f>IF(G1993&lt;&gt;"",J1993/MAX(J$3:J1993)-1,"")</f>
        <v/>
      </c>
      <c r="N1993" s="9" t="str">
        <f>IF(G1993&lt;&gt;"",K1993/MAX(K$3:K1993)-1,"")</f>
        <v/>
      </c>
      <c r="O1993" s="16" t="str">
        <f t="shared" si="295"/>
        <v/>
      </c>
      <c r="P1993" s="16" t="str">
        <f t="shared" si="295"/>
        <v/>
      </c>
      <c r="Q1993" s="16" t="str">
        <f t="shared" si="295"/>
        <v/>
      </c>
      <c r="R1993" s="5" t="str">
        <f t="shared" si="294"/>
        <v/>
      </c>
      <c r="S1993" s="5" t="str">
        <f t="shared" si="298"/>
        <v/>
      </c>
      <c r="T1993" s="5" t="str">
        <f t="shared" si="300"/>
        <v/>
      </c>
      <c r="U1993" s="5" t="str">
        <f t="shared" si="300"/>
        <v/>
      </c>
    </row>
    <row r="1994" spans="7:21" x14ac:dyDescent="0.2">
      <c r="G1994" s="8"/>
      <c r="H1994" s="5"/>
      <c r="J1994" s="10" t="str">
        <f t="shared" si="296"/>
        <v/>
      </c>
      <c r="K1994" s="10" t="str">
        <f t="shared" si="297"/>
        <v/>
      </c>
      <c r="L1994" s="11" t="str">
        <f t="shared" si="299"/>
        <v/>
      </c>
      <c r="M1994" s="9" t="str">
        <f>IF(G1994&lt;&gt;"",J1994/MAX(J$3:J1994)-1,"")</f>
        <v/>
      </c>
      <c r="N1994" s="9" t="str">
        <f>IF(G1994&lt;&gt;"",K1994/MAX(K$3:K1994)-1,"")</f>
        <v/>
      </c>
      <c r="O1994" s="16" t="str">
        <f t="shared" si="295"/>
        <v/>
      </c>
      <c r="P1994" s="16" t="str">
        <f t="shared" si="295"/>
        <v/>
      </c>
      <c r="Q1994" s="16" t="str">
        <f t="shared" si="295"/>
        <v/>
      </c>
      <c r="R1994" s="5" t="str">
        <f t="shared" si="294"/>
        <v/>
      </c>
      <c r="S1994" s="5" t="str">
        <f t="shared" si="298"/>
        <v/>
      </c>
      <c r="T1994" s="5" t="str">
        <f t="shared" si="300"/>
        <v/>
      </c>
      <c r="U1994" s="5" t="str">
        <f t="shared" si="300"/>
        <v/>
      </c>
    </row>
    <row r="1995" spans="7:21" x14ac:dyDescent="0.2">
      <c r="G1995" s="8"/>
      <c r="H1995" s="5"/>
      <c r="J1995" s="10" t="str">
        <f t="shared" si="296"/>
        <v/>
      </c>
      <c r="K1995" s="10" t="str">
        <f t="shared" si="297"/>
        <v/>
      </c>
      <c r="L1995" s="11" t="str">
        <f t="shared" si="299"/>
        <v/>
      </c>
      <c r="M1995" s="9" t="str">
        <f>IF(G1995&lt;&gt;"",J1995/MAX(J$3:J1995)-1,"")</f>
        <v/>
      </c>
      <c r="N1995" s="9" t="str">
        <f>IF(G1995&lt;&gt;"",K1995/MAX(K$3:K1995)-1,"")</f>
        <v/>
      </c>
      <c r="O1995" s="16" t="str">
        <f t="shared" si="295"/>
        <v/>
      </c>
      <c r="P1995" s="16" t="str">
        <f t="shared" si="295"/>
        <v/>
      </c>
      <c r="Q1995" s="16" t="str">
        <f t="shared" si="295"/>
        <v/>
      </c>
      <c r="R1995" s="5" t="str">
        <f t="shared" si="294"/>
        <v/>
      </c>
      <c r="S1995" s="5" t="str">
        <f t="shared" si="298"/>
        <v/>
      </c>
      <c r="T1995" s="5" t="str">
        <f t="shared" si="300"/>
        <v/>
      </c>
      <c r="U1995" s="5" t="str">
        <f t="shared" si="300"/>
        <v/>
      </c>
    </row>
    <row r="1996" spans="7:21" x14ac:dyDescent="0.2">
      <c r="G1996" s="8"/>
      <c r="H1996" s="5"/>
      <c r="J1996" s="10" t="str">
        <f t="shared" si="296"/>
        <v/>
      </c>
      <c r="K1996" s="10" t="str">
        <f t="shared" si="297"/>
        <v/>
      </c>
      <c r="L1996" s="11" t="str">
        <f t="shared" si="299"/>
        <v/>
      </c>
      <c r="M1996" s="9" t="str">
        <f>IF(G1996&lt;&gt;"",J1996/MAX(J$3:J1996)-1,"")</f>
        <v/>
      </c>
      <c r="N1996" s="9" t="str">
        <f>IF(G1996&lt;&gt;"",K1996/MAX(K$3:K1996)-1,"")</f>
        <v/>
      </c>
      <c r="O1996" s="16" t="str">
        <f t="shared" si="295"/>
        <v/>
      </c>
      <c r="P1996" s="16" t="str">
        <f t="shared" si="295"/>
        <v/>
      </c>
      <c r="Q1996" s="16" t="str">
        <f t="shared" si="295"/>
        <v/>
      </c>
      <c r="R1996" s="5" t="str">
        <f t="shared" si="294"/>
        <v/>
      </c>
      <c r="S1996" s="5" t="str">
        <f t="shared" si="298"/>
        <v/>
      </c>
      <c r="T1996" s="5" t="str">
        <f t="shared" si="300"/>
        <v/>
      </c>
      <c r="U1996" s="5" t="str">
        <f t="shared" si="300"/>
        <v/>
      </c>
    </row>
    <row r="1997" spans="7:21" x14ac:dyDescent="0.2">
      <c r="G1997" s="8"/>
      <c r="H1997" s="5"/>
      <c r="J1997" s="10" t="str">
        <f t="shared" si="296"/>
        <v/>
      </c>
      <c r="K1997" s="10" t="str">
        <f t="shared" si="297"/>
        <v/>
      </c>
      <c r="L1997" s="11" t="str">
        <f t="shared" si="299"/>
        <v/>
      </c>
      <c r="M1997" s="9" t="str">
        <f>IF(G1997&lt;&gt;"",J1997/MAX(J$3:J1997)-1,"")</f>
        <v/>
      </c>
      <c r="N1997" s="9" t="str">
        <f>IF(G1997&lt;&gt;"",K1997/MAX(K$3:K1997)-1,"")</f>
        <v/>
      </c>
      <c r="O1997" s="16" t="str">
        <f t="shared" si="295"/>
        <v/>
      </c>
      <c r="P1997" s="16" t="str">
        <f t="shared" si="295"/>
        <v/>
      </c>
      <c r="Q1997" s="16" t="str">
        <f t="shared" si="295"/>
        <v/>
      </c>
      <c r="R1997" s="5" t="str">
        <f t="shared" si="294"/>
        <v/>
      </c>
      <c r="S1997" s="5" t="str">
        <f t="shared" si="298"/>
        <v/>
      </c>
      <c r="T1997" s="5" t="str">
        <f t="shared" si="300"/>
        <v/>
      </c>
      <c r="U1997" s="5" t="str">
        <f t="shared" si="300"/>
        <v/>
      </c>
    </row>
    <row r="1998" spans="7:21" x14ac:dyDescent="0.2">
      <c r="G1998" s="8"/>
      <c r="H1998" s="5"/>
      <c r="J1998" s="10" t="str">
        <f t="shared" si="296"/>
        <v/>
      </c>
      <c r="K1998" s="10" t="str">
        <f t="shared" si="297"/>
        <v/>
      </c>
      <c r="L1998" s="11" t="str">
        <f t="shared" si="299"/>
        <v/>
      </c>
      <c r="M1998" s="9" t="str">
        <f>IF(G1998&lt;&gt;"",J1998/MAX(J$3:J1998)-1,"")</f>
        <v/>
      </c>
      <c r="N1998" s="9" t="str">
        <f>IF(G1998&lt;&gt;"",K1998/MAX(K$3:K1998)-1,"")</f>
        <v/>
      </c>
      <c r="O1998" s="16" t="str">
        <f t="shared" si="295"/>
        <v/>
      </c>
      <c r="P1998" s="16" t="str">
        <f t="shared" si="295"/>
        <v/>
      </c>
      <c r="Q1998" s="16" t="str">
        <f t="shared" si="295"/>
        <v/>
      </c>
      <c r="R1998" s="5" t="str">
        <f t="shared" si="294"/>
        <v/>
      </c>
      <c r="S1998" s="5" t="str">
        <f t="shared" si="298"/>
        <v/>
      </c>
      <c r="T1998" s="5" t="str">
        <f t="shared" si="300"/>
        <v/>
      </c>
      <c r="U1998" s="5" t="str">
        <f t="shared" si="300"/>
        <v/>
      </c>
    </row>
    <row r="1999" spans="7:21" x14ac:dyDescent="0.2">
      <c r="G1999" s="8"/>
      <c r="H1999" s="5"/>
      <c r="J1999" s="10" t="str">
        <f t="shared" si="296"/>
        <v/>
      </c>
      <c r="K1999" s="10" t="str">
        <f t="shared" si="297"/>
        <v/>
      </c>
      <c r="L1999" s="11" t="str">
        <f t="shared" si="299"/>
        <v/>
      </c>
      <c r="M1999" s="9" t="str">
        <f>IF(G1999&lt;&gt;"",J1999/MAX(J$3:J1999)-1,"")</f>
        <v/>
      </c>
      <c r="N1999" s="9" t="str">
        <f>IF(G1999&lt;&gt;"",K1999/MAX(K$3:K1999)-1,"")</f>
        <v/>
      </c>
      <c r="O1999" s="16" t="str">
        <f t="shared" si="295"/>
        <v/>
      </c>
      <c r="P1999" s="16" t="str">
        <f t="shared" si="295"/>
        <v/>
      </c>
      <c r="Q1999" s="16" t="str">
        <f t="shared" si="295"/>
        <v/>
      </c>
      <c r="R1999" s="5" t="str">
        <f t="shared" si="294"/>
        <v/>
      </c>
      <c r="S1999" s="5" t="str">
        <f t="shared" si="298"/>
        <v/>
      </c>
      <c r="T1999" s="5" t="str">
        <f t="shared" si="300"/>
        <v/>
      </c>
      <c r="U1999" s="5" t="str">
        <f t="shared" si="300"/>
        <v/>
      </c>
    </row>
    <row r="2000" spans="7:21" x14ac:dyDescent="0.2">
      <c r="G2000" s="8"/>
      <c r="H2000" s="5"/>
      <c r="J2000" s="10" t="str">
        <f t="shared" si="296"/>
        <v/>
      </c>
      <c r="K2000" s="10" t="str">
        <f t="shared" si="297"/>
        <v/>
      </c>
      <c r="L2000" s="11" t="str">
        <f t="shared" si="299"/>
        <v/>
      </c>
      <c r="M2000" s="9" t="str">
        <f>IF(G2000&lt;&gt;"",J2000/MAX(J$3:J2000)-1,"")</f>
        <v/>
      </c>
      <c r="N2000" s="9" t="str">
        <f>IF(G2000&lt;&gt;"",K2000/MAX(K$3:K2000)-1,"")</f>
        <v/>
      </c>
      <c r="O2000" s="16" t="str">
        <f t="shared" si="295"/>
        <v/>
      </c>
      <c r="P2000" s="16" t="str">
        <f t="shared" si="295"/>
        <v/>
      </c>
      <c r="Q2000" s="16" t="str">
        <f t="shared" si="295"/>
        <v/>
      </c>
      <c r="R2000" s="5" t="str">
        <f t="shared" si="294"/>
        <v/>
      </c>
      <c r="S2000" s="5" t="str">
        <f t="shared" si="298"/>
        <v/>
      </c>
      <c r="T2000" s="5" t="str">
        <f t="shared" si="300"/>
        <v/>
      </c>
      <c r="U2000" s="5" t="str">
        <f t="shared" si="300"/>
        <v/>
      </c>
    </row>
    <row r="2001" spans="7:21" x14ac:dyDescent="0.2">
      <c r="G2001" s="8"/>
      <c r="H2001" s="5"/>
      <c r="J2001" s="10" t="str">
        <f t="shared" si="296"/>
        <v/>
      </c>
      <c r="K2001" s="10" t="str">
        <f t="shared" si="297"/>
        <v/>
      </c>
      <c r="L2001" s="11" t="str">
        <f t="shared" si="299"/>
        <v/>
      </c>
      <c r="M2001" s="9" t="str">
        <f>IF(G2001&lt;&gt;"",J2001/MAX(J$3:J2001)-1,"")</f>
        <v/>
      </c>
      <c r="N2001" s="9" t="str">
        <f>IF(G2001&lt;&gt;"",K2001/MAX(K$3:K2001)-1,"")</f>
        <v/>
      </c>
      <c r="O2001" s="16" t="str">
        <f t="shared" si="295"/>
        <v/>
      </c>
      <c r="P2001" s="16" t="str">
        <f t="shared" si="295"/>
        <v/>
      </c>
      <c r="Q2001" s="16" t="str">
        <f t="shared" si="295"/>
        <v/>
      </c>
      <c r="R2001" s="5" t="str">
        <f t="shared" si="294"/>
        <v/>
      </c>
      <c r="S2001" s="5" t="str">
        <f t="shared" si="298"/>
        <v/>
      </c>
      <c r="T2001" s="5" t="str">
        <f t="shared" si="300"/>
        <v/>
      </c>
      <c r="U2001" s="5" t="str">
        <f t="shared" si="300"/>
        <v/>
      </c>
    </row>
    <row r="2002" spans="7:21" x14ac:dyDescent="0.2">
      <c r="G2002" s="8"/>
      <c r="H2002" s="5"/>
      <c r="J2002" s="10" t="str">
        <f t="shared" si="296"/>
        <v/>
      </c>
      <c r="K2002" s="10" t="str">
        <f t="shared" si="297"/>
        <v/>
      </c>
      <c r="L2002" s="11" t="str">
        <f t="shared" si="299"/>
        <v/>
      </c>
      <c r="M2002" s="9" t="str">
        <f>IF(G2002&lt;&gt;"",J2002/MAX(J$3:J2002)-1,"")</f>
        <v/>
      </c>
      <c r="N2002" s="9" t="str">
        <f>IF(G2002&lt;&gt;"",K2002/MAX(K$3:K2002)-1,"")</f>
        <v/>
      </c>
      <c r="O2002" s="16" t="str">
        <f t="shared" si="295"/>
        <v/>
      </c>
      <c r="P2002" s="16" t="str">
        <f t="shared" si="295"/>
        <v/>
      </c>
      <c r="Q2002" s="16" t="str">
        <f t="shared" si="295"/>
        <v/>
      </c>
      <c r="R2002" s="5" t="str">
        <f t="shared" si="294"/>
        <v/>
      </c>
      <c r="S2002" s="5" t="str">
        <f t="shared" si="298"/>
        <v/>
      </c>
      <c r="T2002" s="5" t="str">
        <f t="shared" si="300"/>
        <v/>
      </c>
      <c r="U2002" s="5" t="str">
        <f t="shared" si="300"/>
        <v/>
      </c>
    </row>
    <row r="2003" spans="7:21" x14ac:dyDescent="0.2">
      <c r="G2003" s="8"/>
      <c r="H2003" s="5"/>
      <c r="J2003" s="10" t="str">
        <f t="shared" si="296"/>
        <v/>
      </c>
      <c r="K2003" s="10" t="str">
        <f t="shared" si="297"/>
        <v/>
      </c>
      <c r="L2003" s="11" t="str">
        <f t="shared" si="299"/>
        <v/>
      </c>
      <c r="M2003" s="9" t="str">
        <f>IF(G2003&lt;&gt;"",J2003/MAX(J$3:J2003)-1,"")</f>
        <v/>
      </c>
      <c r="N2003" s="9" t="str">
        <f>IF(G2003&lt;&gt;"",K2003/MAX(K$3:K2003)-1,"")</f>
        <v/>
      </c>
      <c r="O2003" s="16" t="str">
        <f t="shared" si="295"/>
        <v/>
      </c>
      <c r="P2003" s="16" t="str">
        <f t="shared" si="295"/>
        <v/>
      </c>
      <c r="Q2003" s="16" t="str">
        <f t="shared" si="295"/>
        <v/>
      </c>
      <c r="R2003" s="5" t="str">
        <f t="shared" si="294"/>
        <v/>
      </c>
      <c r="S2003" s="5" t="str">
        <f t="shared" si="298"/>
        <v/>
      </c>
      <c r="T2003" s="5" t="str">
        <f t="shared" si="300"/>
        <v/>
      </c>
      <c r="U2003" s="5" t="str">
        <f t="shared" si="300"/>
        <v/>
      </c>
    </row>
    <row r="2004" spans="7:21" x14ac:dyDescent="0.2">
      <c r="G2004" s="8"/>
      <c r="H2004" s="5"/>
      <c r="J2004" s="10" t="str">
        <f t="shared" si="296"/>
        <v/>
      </c>
      <c r="K2004" s="10" t="str">
        <f t="shared" si="297"/>
        <v/>
      </c>
      <c r="L2004" s="11" t="str">
        <f t="shared" si="299"/>
        <v/>
      </c>
      <c r="M2004" s="9" t="str">
        <f>IF(G2004&lt;&gt;"",J2004/MAX(J$3:J2004)-1,"")</f>
        <v/>
      </c>
      <c r="N2004" s="9" t="str">
        <f>IF(G2004&lt;&gt;"",K2004/MAX(K$3:K2004)-1,"")</f>
        <v/>
      </c>
      <c r="O2004" s="16" t="str">
        <f t="shared" si="295"/>
        <v/>
      </c>
      <c r="P2004" s="16" t="str">
        <f t="shared" si="295"/>
        <v/>
      </c>
      <c r="Q2004" s="16" t="str">
        <f t="shared" si="295"/>
        <v/>
      </c>
      <c r="R2004" s="5" t="str">
        <f t="shared" si="294"/>
        <v/>
      </c>
      <c r="S2004" s="5" t="str">
        <f t="shared" si="298"/>
        <v/>
      </c>
      <c r="T2004" s="5" t="str">
        <f t="shared" si="300"/>
        <v/>
      </c>
      <c r="U2004" s="5" t="str">
        <f t="shared" si="300"/>
        <v/>
      </c>
    </row>
    <row r="2005" spans="7:21" x14ac:dyDescent="0.2">
      <c r="G2005" s="8"/>
      <c r="H2005" s="5"/>
      <c r="J2005" s="10" t="str">
        <f t="shared" si="296"/>
        <v/>
      </c>
      <c r="K2005" s="10" t="str">
        <f t="shared" si="297"/>
        <v/>
      </c>
      <c r="L2005" s="11" t="str">
        <f t="shared" si="299"/>
        <v/>
      </c>
      <c r="M2005" s="9" t="str">
        <f>IF(G2005&lt;&gt;"",J2005/MAX(J$3:J2005)-1,"")</f>
        <v/>
      </c>
      <c r="N2005" s="9" t="str">
        <f>IF(G2005&lt;&gt;"",K2005/MAX(K$3:K2005)-1,"")</f>
        <v/>
      </c>
      <c r="O2005" s="16" t="str">
        <f t="shared" si="295"/>
        <v/>
      </c>
      <c r="P2005" s="16" t="str">
        <f t="shared" si="295"/>
        <v/>
      </c>
      <c r="Q2005" s="16" t="str">
        <f t="shared" si="295"/>
        <v/>
      </c>
      <c r="R2005" s="5" t="str">
        <f t="shared" si="294"/>
        <v/>
      </c>
      <c r="S2005" s="5" t="str">
        <f t="shared" si="298"/>
        <v/>
      </c>
      <c r="T2005" s="5" t="str">
        <f t="shared" si="300"/>
        <v/>
      </c>
      <c r="U2005" s="5" t="str">
        <f t="shared" si="300"/>
        <v/>
      </c>
    </row>
    <row r="2006" spans="7:21" x14ac:dyDescent="0.2">
      <c r="G2006" s="8"/>
      <c r="H2006" s="5"/>
      <c r="J2006" s="10" t="str">
        <f t="shared" si="296"/>
        <v/>
      </c>
      <c r="K2006" s="10" t="str">
        <f t="shared" si="297"/>
        <v/>
      </c>
      <c r="L2006" s="11" t="str">
        <f t="shared" si="299"/>
        <v/>
      </c>
      <c r="M2006" s="9" t="str">
        <f>IF(G2006&lt;&gt;"",J2006/MAX(J$3:J2006)-1,"")</f>
        <v/>
      </c>
      <c r="N2006" s="9" t="str">
        <f>IF(G2006&lt;&gt;"",K2006/MAX(K$3:K2006)-1,"")</f>
        <v/>
      </c>
      <c r="O2006" s="16" t="str">
        <f t="shared" si="295"/>
        <v/>
      </c>
      <c r="P2006" s="16" t="str">
        <f t="shared" si="295"/>
        <v/>
      </c>
      <c r="Q2006" s="16" t="str">
        <f t="shared" si="295"/>
        <v/>
      </c>
      <c r="R2006" s="5" t="str">
        <f t="shared" si="294"/>
        <v/>
      </c>
      <c r="S2006" s="5" t="str">
        <f t="shared" si="298"/>
        <v/>
      </c>
      <c r="T2006" s="5" t="str">
        <f t="shared" si="300"/>
        <v/>
      </c>
      <c r="U2006" s="5" t="str">
        <f t="shared" si="300"/>
        <v/>
      </c>
    </row>
    <row r="2007" spans="7:21" x14ac:dyDescent="0.2">
      <c r="G2007" s="8"/>
      <c r="H2007" s="5"/>
      <c r="J2007" s="10" t="str">
        <f t="shared" si="296"/>
        <v/>
      </c>
      <c r="K2007" s="10" t="str">
        <f t="shared" si="297"/>
        <v/>
      </c>
      <c r="L2007" s="11" t="str">
        <f t="shared" si="299"/>
        <v/>
      </c>
      <c r="M2007" s="9" t="str">
        <f>IF(G2007&lt;&gt;"",J2007/MAX(J$3:J2007)-1,"")</f>
        <v/>
      </c>
      <c r="N2007" s="9" t="str">
        <f>IF(G2007&lt;&gt;"",K2007/MAX(K$3:K2007)-1,"")</f>
        <v/>
      </c>
      <c r="O2007" s="16" t="str">
        <f t="shared" si="295"/>
        <v/>
      </c>
      <c r="P2007" s="16" t="str">
        <f t="shared" si="295"/>
        <v/>
      </c>
      <c r="Q2007" s="16" t="str">
        <f t="shared" si="295"/>
        <v/>
      </c>
      <c r="R2007" s="5" t="str">
        <f t="shared" si="294"/>
        <v/>
      </c>
      <c r="S2007" s="5" t="str">
        <f t="shared" si="298"/>
        <v/>
      </c>
      <c r="T2007" s="5" t="str">
        <f t="shared" si="300"/>
        <v/>
      </c>
      <c r="U2007" s="5" t="str">
        <f t="shared" si="300"/>
        <v/>
      </c>
    </row>
    <row r="2008" spans="7:21" x14ac:dyDescent="0.2">
      <c r="G2008" s="8"/>
      <c r="H2008" s="5"/>
      <c r="J2008" s="10" t="str">
        <f t="shared" si="296"/>
        <v/>
      </c>
      <c r="K2008" s="10" t="str">
        <f t="shared" si="297"/>
        <v/>
      </c>
      <c r="L2008" s="11" t="str">
        <f t="shared" si="299"/>
        <v/>
      </c>
      <c r="M2008" s="9" t="str">
        <f>IF(G2008&lt;&gt;"",J2008/MAX(J$3:J2008)-1,"")</f>
        <v/>
      </c>
      <c r="N2008" s="9" t="str">
        <f>IF(G2008&lt;&gt;"",K2008/MAX(K$3:K2008)-1,"")</f>
        <v/>
      </c>
      <c r="O2008" s="16" t="str">
        <f t="shared" si="295"/>
        <v/>
      </c>
      <c r="P2008" s="16" t="str">
        <f t="shared" si="295"/>
        <v/>
      </c>
      <c r="Q2008" s="16" t="str">
        <f t="shared" si="295"/>
        <v/>
      </c>
      <c r="R2008" s="5" t="str">
        <f t="shared" si="294"/>
        <v/>
      </c>
      <c r="S2008" s="5" t="str">
        <f t="shared" si="298"/>
        <v/>
      </c>
      <c r="T2008" s="5" t="str">
        <f t="shared" ref="T2008:U2023" si="301">IF($G2008&lt;&gt;"",_xlfn.STDEV.S(O1764:O2008),"")</f>
        <v/>
      </c>
      <c r="U2008" s="5" t="str">
        <f t="shared" si="301"/>
        <v/>
      </c>
    </row>
    <row r="2009" spans="7:21" x14ac:dyDescent="0.2">
      <c r="G2009" s="8"/>
      <c r="H2009" s="5"/>
      <c r="J2009" s="10" t="str">
        <f t="shared" si="296"/>
        <v/>
      </c>
      <c r="K2009" s="10" t="str">
        <f t="shared" si="297"/>
        <v/>
      </c>
      <c r="L2009" s="11" t="str">
        <f t="shared" si="299"/>
        <v/>
      </c>
      <c r="M2009" s="9" t="str">
        <f>IF(G2009&lt;&gt;"",J2009/MAX(J$3:J2009)-1,"")</f>
        <v/>
      </c>
      <c r="N2009" s="9" t="str">
        <f>IF(G2009&lt;&gt;"",K2009/MAX(K$3:K2009)-1,"")</f>
        <v/>
      </c>
      <c r="O2009" s="16" t="str">
        <f t="shared" si="295"/>
        <v/>
      </c>
      <c r="P2009" s="16" t="str">
        <f t="shared" si="295"/>
        <v/>
      </c>
      <c r="Q2009" s="16" t="str">
        <f t="shared" si="295"/>
        <v/>
      </c>
      <c r="R2009" s="5" t="str">
        <f t="shared" si="294"/>
        <v/>
      </c>
      <c r="S2009" s="5" t="str">
        <f t="shared" si="298"/>
        <v/>
      </c>
      <c r="T2009" s="5" t="str">
        <f t="shared" si="301"/>
        <v/>
      </c>
      <c r="U2009" s="5" t="str">
        <f t="shared" si="301"/>
        <v/>
      </c>
    </row>
    <row r="2010" spans="7:21" x14ac:dyDescent="0.2">
      <c r="G2010" s="8"/>
      <c r="H2010" s="5"/>
      <c r="J2010" s="10" t="str">
        <f t="shared" si="296"/>
        <v/>
      </c>
      <c r="K2010" s="10" t="str">
        <f t="shared" si="297"/>
        <v/>
      </c>
      <c r="L2010" s="11" t="str">
        <f t="shared" si="299"/>
        <v/>
      </c>
      <c r="M2010" s="9" t="str">
        <f>IF(G2010&lt;&gt;"",J2010/MAX(J$3:J2010)-1,"")</f>
        <v/>
      </c>
      <c r="N2010" s="9" t="str">
        <f>IF(G2010&lt;&gt;"",K2010/MAX(K$3:K2010)-1,"")</f>
        <v/>
      </c>
      <c r="O2010" s="16" t="str">
        <f t="shared" si="295"/>
        <v/>
      </c>
      <c r="P2010" s="16" t="str">
        <f t="shared" si="295"/>
        <v/>
      </c>
      <c r="Q2010" s="16" t="str">
        <f t="shared" si="295"/>
        <v/>
      </c>
      <c r="R2010" s="5" t="str">
        <f t="shared" si="294"/>
        <v/>
      </c>
      <c r="S2010" s="5" t="str">
        <f t="shared" si="298"/>
        <v/>
      </c>
      <c r="T2010" s="5" t="str">
        <f t="shared" si="301"/>
        <v/>
      </c>
      <c r="U2010" s="5" t="str">
        <f t="shared" si="301"/>
        <v/>
      </c>
    </row>
    <row r="2011" spans="7:21" x14ac:dyDescent="0.2">
      <c r="G2011" s="8"/>
      <c r="H2011" s="5"/>
      <c r="J2011" s="10" t="str">
        <f t="shared" si="296"/>
        <v/>
      </c>
      <c r="K2011" s="10" t="str">
        <f t="shared" si="297"/>
        <v/>
      </c>
      <c r="L2011" s="11" t="str">
        <f t="shared" si="299"/>
        <v/>
      </c>
      <c r="M2011" s="9" t="str">
        <f>IF(G2011&lt;&gt;"",J2011/MAX(J$3:J2011)-1,"")</f>
        <v/>
      </c>
      <c r="N2011" s="9" t="str">
        <f>IF(G2011&lt;&gt;"",K2011/MAX(K$3:K2011)-1,"")</f>
        <v/>
      </c>
      <c r="O2011" s="16" t="str">
        <f t="shared" si="295"/>
        <v/>
      </c>
      <c r="P2011" s="16" t="str">
        <f t="shared" si="295"/>
        <v/>
      </c>
      <c r="Q2011" s="16" t="str">
        <f t="shared" si="295"/>
        <v/>
      </c>
      <c r="R2011" s="5" t="str">
        <f t="shared" si="294"/>
        <v/>
      </c>
      <c r="S2011" s="5" t="str">
        <f t="shared" si="298"/>
        <v/>
      </c>
      <c r="T2011" s="5" t="str">
        <f t="shared" si="301"/>
        <v/>
      </c>
      <c r="U2011" s="5" t="str">
        <f t="shared" si="301"/>
        <v/>
      </c>
    </row>
    <row r="2012" spans="7:21" x14ac:dyDescent="0.2">
      <c r="G2012" s="8"/>
      <c r="H2012" s="5"/>
      <c r="J2012" s="10" t="str">
        <f t="shared" si="296"/>
        <v/>
      </c>
      <c r="K2012" s="10" t="str">
        <f t="shared" si="297"/>
        <v/>
      </c>
      <c r="L2012" s="11" t="str">
        <f t="shared" si="299"/>
        <v/>
      </c>
      <c r="M2012" s="9" t="str">
        <f>IF(G2012&lt;&gt;"",J2012/MAX(J$3:J2012)-1,"")</f>
        <v/>
      </c>
      <c r="N2012" s="9" t="str">
        <f>IF(G2012&lt;&gt;"",K2012/MAX(K$3:K2012)-1,"")</f>
        <v/>
      </c>
      <c r="O2012" s="16" t="str">
        <f t="shared" si="295"/>
        <v/>
      </c>
      <c r="P2012" s="16" t="str">
        <f t="shared" si="295"/>
        <v/>
      </c>
      <c r="Q2012" s="16" t="str">
        <f t="shared" si="295"/>
        <v/>
      </c>
      <c r="R2012" s="5" t="str">
        <f t="shared" si="294"/>
        <v/>
      </c>
      <c r="S2012" s="5" t="str">
        <f t="shared" si="298"/>
        <v/>
      </c>
      <c r="T2012" s="5" t="str">
        <f t="shared" si="301"/>
        <v/>
      </c>
      <c r="U2012" s="5" t="str">
        <f t="shared" si="301"/>
        <v/>
      </c>
    </row>
    <row r="2013" spans="7:21" x14ac:dyDescent="0.2">
      <c r="G2013" s="8"/>
      <c r="H2013" s="5"/>
      <c r="J2013" s="10" t="str">
        <f t="shared" si="296"/>
        <v/>
      </c>
      <c r="K2013" s="10" t="str">
        <f t="shared" si="297"/>
        <v/>
      </c>
      <c r="L2013" s="11" t="str">
        <f t="shared" si="299"/>
        <v/>
      </c>
      <c r="M2013" s="9" t="str">
        <f>IF(G2013&lt;&gt;"",J2013/MAX(J$3:J2013)-1,"")</f>
        <v/>
      </c>
      <c r="N2013" s="9" t="str">
        <f>IF(G2013&lt;&gt;"",K2013/MAX(K$3:K2013)-1,"")</f>
        <v/>
      </c>
      <c r="O2013" s="16" t="str">
        <f t="shared" si="295"/>
        <v/>
      </c>
      <c r="P2013" s="16" t="str">
        <f t="shared" si="295"/>
        <v/>
      </c>
      <c r="Q2013" s="16" t="str">
        <f t="shared" si="295"/>
        <v/>
      </c>
      <c r="R2013" s="5" t="str">
        <f t="shared" si="294"/>
        <v/>
      </c>
      <c r="S2013" s="5" t="str">
        <f t="shared" si="298"/>
        <v/>
      </c>
      <c r="T2013" s="5" t="str">
        <f t="shared" si="301"/>
        <v/>
      </c>
      <c r="U2013" s="5" t="str">
        <f t="shared" si="301"/>
        <v/>
      </c>
    </row>
    <row r="2014" spans="7:21" x14ac:dyDescent="0.2">
      <c r="G2014" s="8"/>
      <c r="H2014" s="5"/>
      <c r="J2014" s="10" t="str">
        <f t="shared" si="296"/>
        <v/>
      </c>
      <c r="K2014" s="10" t="str">
        <f t="shared" si="297"/>
        <v/>
      </c>
      <c r="L2014" s="11" t="str">
        <f t="shared" si="299"/>
        <v/>
      </c>
      <c r="M2014" s="9" t="str">
        <f>IF(G2014&lt;&gt;"",J2014/MAX(J$3:J2014)-1,"")</f>
        <v/>
      </c>
      <c r="N2014" s="9" t="str">
        <f>IF(G2014&lt;&gt;"",K2014/MAX(K$3:K2014)-1,"")</f>
        <v/>
      </c>
      <c r="O2014" s="16" t="str">
        <f t="shared" si="295"/>
        <v/>
      </c>
      <c r="P2014" s="16" t="str">
        <f t="shared" si="295"/>
        <v/>
      </c>
      <c r="Q2014" s="16" t="str">
        <f t="shared" si="295"/>
        <v/>
      </c>
      <c r="R2014" s="5" t="str">
        <f t="shared" si="294"/>
        <v/>
      </c>
      <c r="S2014" s="5" t="str">
        <f t="shared" si="298"/>
        <v/>
      </c>
      <c r="T2014" s="5" t="str">
        <f t="shared" si="301"/>
        <v/>
      </c>
      <c r="U2014" s="5" t="str">
        <f t="shared" si="301"/>
        <v/>
      </c>
    </row>
    <row r="2015" spans="7:21" x14ac:dyDescent="0.2">
      <c r="G2015" s="8"/>
      <c r="H2015" s="5"/>
      <c r="J2015" s="10" t="str">
        <f t="shared" si="296"/>
        <v/>
      </c>
      <c r="K2015" s="10" t="str">
        <f t="shared" si="297"/>
        <v/>
      </c>
      <c r="L2015" s="11" t="str">
        <f t="shared" si="299"/>
        <v/>
      </c>
      <c r="M2015" s="9" t="str">
        <f>IF(G2015&lt;&gt;"",J2015/MAX(J$3:J2015)-1,"")</f>
        <v/>
      </c>
      <c r="N2015" s="9" t="str">
        <f>IF(G2015&lt;&gt;"",K2015/MAX(K$3:K2015)-1,"")</f>
        <v/>
      </c>
      <c r="O2015" s="16" t="str">
        <f t="shared" si="295"/>
        <v/>
      </c>
      <c r="P2015" s="16" t="str">
        <f t="shared" si="295"/>
        <v/>
      </c>
      <c r="Q2015" s="16" t="str">
        <f t="shared" si="295"/>
        <v/>
      </c>
      <c r="R2015" s="5" t="str">
        <f t="shared" si="294"/>
        <v/>
      </c>
      <c r="S2015" s="5" t="str">
        <f t="shared" si="298"/>
        <v/>
      </c>
      <c r="T2015" s="5" t="str">
        <f t="shared" si="301"/>
        <v/>
      </c>
      <c r="U2015" s="5" t="str">
        <f t="shared" si="301"/>
        <v/>
      </c>
    </row>
    <row r="2016" spans="7:21" x14ac:dyDescent="0.2">
      <c r="G2016" s="8"/>
      <c r="H2016" s="5"/>
      <c r="J2016" s="10" t="str">
        <f t="shared" si="296"/>
        <v/>
      </c>
      <c r="K2016" s="10" t="str">
        <f t="shared" si="297"/>
        <v/>
      </c>
      <c r="L2016" s="11" t="str">
        <f t="shared" si="299"/>
        <v/>
      </c>
      <c r="M2016" s="9" t="str">
        <f>IF(G2016&lt;&gt;"",J2016/MAX(J$3:J2016)-1,"")</f>
        <v/>
      </c>
      <c r="N2016" s="9" t="str">
        <f>IF(G2016&lt;&gt;"",K2016/MAX(K$3:K2016)-1,"")</f>
        <v/>
      </c>
      <c r="O2016" s="16" t="str">
        <f t="shared" si="295"/>
        <v/>
      </c>
      <c r="P2016" s="16" t="str">
        <f t="shared" si="295"/>
        <v/>
      </c>
      <c r="Q2016" s="16" t="str">
        <f t="shared" si="295"/>
        <v/>
      </c>
      <c r="R2016" s="5" t="str">
        <f t="shared" si="294"/>
        <v/>
      </c>
      <c r="S2016" s="5" t="str">
        <f t="shared" si="298"/>
        <v/>
      </c>
      <c r="T2016" s="5" t="str">
        <f t="shared" si="301"/>
        <v/>
      </c>
      <c r="U2016" s="5" t="str">
        <f t="shared" si="301"/>
        <v/>
      </c>
    </row>
    <row r="2017" spans="7:21" x14ac:dyDescent="0.2">
      <c r="G2017" s="8"/>
      <c r="H2017" s="5"/>
      <c r="J2017" s="10" t="str">
        <f t="shared" si="296"/>
        <v/>
      </c>
      <c r="K2017" s="10" t="str">
        <f t="shared" si="297"/>
        <v/>
      </c>
      <c r="L2017" s="11" t="str">
        <f t="shared" si="299"/>
        <v/>
      </c>
      <c r="M2017" s="9" t="str">
        <f>IF(G2017&lt;&gt;"",J2017/MAX(J$3:J2017)-1,"")</f>
        <v/>
      </c>
      <c r="N2017" s="9" t="str">
        <f>IF(G2017&lt;&gt;"",K2017/MAX(K$3:K2017)-1,"")</f>
        <v/>
      </c>
      <c r="O2017" s="16" t="str">
        <f t="shared" si="295"/>
        <v/>
      </c>
      <c r="P2017" s="16" t="str">
        <f t="shared" si="295"/>
        <v/>
      </c>
      <c r="Q2017" s="16" t="str">
        <f t="shared" si="295"/>
        <v/>
      </c>
      <c r="R2017" s="5" t="str">
        <f t="shared" si="294"/>
        <v/>
      </c>
      <c r="S2017" s="5" t="str">
        <f t="shared" si="298"/>
        <v/>
      </c>
      <c r="T2017" s="5" t="str">
        <f t="shared" si="301"/>
        <v/>
      </c>
      <c r="U2017" s="5" t="str">
        <f t="shared" si="301"/>
        <v/>
      </c>
    </row>
    <row r="2018" spans="7:21" x14ac:dyDescent="0.2">
      <c r="G2018" s="8"/>
      <c r="H2018" s="5"/>
      <c r="J2018" s="10" t="str">
        <f t="shared" si="296"/>
        <v/>
      </c>
      <c r="K2018" s="10" t="str">
        <f t="shared" si="297"/>
        <v/>
      </c>
      <c r="L2018" s="11" t="str">
        <f t="shared" si="299"/>
        <v/>
      </c>
      <c r="M2018" s="9" t="str">
        <f>IF(G2018&lt;&gt;"",J2018/MAX(J$3:J2018)-1,"")</f>
        <v/>
      </c>
      <c r="N2018" s="9" t="str">
        <f>IF(G2018&lt;&gt;"",K2018/MAX(K$3:K2018)-1,"")</f>
        <v/>
      </c>
      <c r="O2018" s="16" t="str">
        <f t="shared" si="295"/>
        <v/>
      </c>
      <c r="P2018" s="16" t="str">
        <f t="shared" si="295"/>
        <v/>
      </c>
      <c r="Q2018" s="16" t="str">
        <f t="shared" si="295"/>
        <v/>
      </c>
      <c r="R2018" s="5" t="str">
        <f t="shared" si="294"/>
        <v/>
      </c>
      <c r="S2018" s="5" t="str">
        <f t="shared" si="298"/>
        <v/>
      </c>
      <c r="T2018" s="5" t="str">
        <f t="shared" si="301"/>
        <v/>
      </c>
      <c r="U2018" s="5" t="str">
        <f t="shared" si="301"/>
        <v/>
      </c>
    </row>
    <row r="2019" spans="7:21" x14ac:dyDescent="0.2">
      <c r="G2019" s="8"/>
      <c r="H2019" s="5"/>
      <c r="J2019" s="10" t="str">
        <f t="shared" si="296"/>
        <v/>
      </c>
      <c r="K2019" s="10" t="str">
        <f t="shared" si="297"/>
        <v/>
      </c>
      <c r="L2019" s="11" t="str">
        <f t="shared" si="299"/>
        <v/>
      </c>
      <c r="M2019" s="9" t="str">
        <f>IF(G2019&lt;&gt;"",J2019/MAX(J$3:J2019)-1,"")</f>
        <v/>
      </c>
      <c r="N2019" s="9" t="str">
        <f>IF(G2019&lt;&gt;"",K2019/MAX(K$3:K2019)-1,"")</f>
        <v/>
      </c>
      <c r="O2019" s="16" t="str">
        <f t="shared" si="295"/>
        <v/>
      </c>
      <c r="P2019" s="16" t="str">
        <f t="shared" si="295"/>
        <v/>
      </c>
      <c r="Q2019" s="16" t="str">
        <f t="shared" si="295"/>
        <v/>
      </c>
      <c r="R2019" s="5" t="str">
        <f t="shared" si="294"/>
        <v/>
      </c>
      <c r="S2019" s="5" t="str">
        <f t="shared" si="298"/>
        <v/>
      </c>
      <c r="T2019" s="5" t="str">
        <f t="shared" si="301"/>
        <v/>
      </c>
      <c r="U2019" s="5" t="str">
        <f t="shared" si="301"/>
        <v/>
      </c>
    </row>
    <row r="2020" spans="7:21" x14ac:dyDescent="0.2">
      <c r="G2020" s="8"/>
      <c r="H2020" s="5"/>
      <c r="J2020" s="10" t="str">
        <f t="shared" si="296"/>
        <v/>
      </c>
      <c r="K2020" s="10" t="str">
        <f t="shared" si="297"/>
        <v/>
      </c>
      <c r="L2020" s="11" t="str">
        <f t="shared" si="299"/>
        <v/>
      </c>
      <c r="M2020" s="9" t="str">
        <f>IF(G2020&lt;&gt;"",J2020/MAX(J$3:J2020)-1,"")</f>
        <v/>
      </c>
      <c r="N2020" s="9" t="str">
        <f>IF(G2020&lt;&gt;"",K2020/MAX(K$3:K2020)-1,"")</f>
        <v/>
      </c>
      <c r="O2020" s="16" t="str">
        <f t="shared" si="295"/>
        <v/>
      </c>
      <c r="P2020" s="16" t="str">
        <f t="shared" si="295"/>
        <v/>
      </c>
      <c r="Q2020" s="16" t="str">
        <f t="shared" si="295"/>
        <v/>
      </c>
      <c r="R2020" s="5" t="str">
        <f t="shared" si="294"/>
        <v/>
      </c>
      <c r="S2020" s="5" t="str">
        <f t="shared" si="298"/>
        <v/>
      </c>
      <c r="T2020" s="5" t="str">
        <f t="shared" si="301"/>
        <v/>
      </c>
      <c r="U2020" s="5" t="str">
        <f t="shared" si="301"/>
        <v/>
      </c>
    </row>
    <row r="2021" spans="7:21" x14ac:dyDescent="0.2">
      <c r="G2021" s="8"/>
      <c r="H2021" s="5"/>
      <c r="J2021" s="10" t="str">
        <f t="shared" si="296"/>
        <v/>
      </c>
      <c r="K2021" s="10" t="str">
        <f t="shared" si="297"/>
        <v/>
      </c>
      <c r="L2021" s="11" t="str">
        <f t="shared" si="299"/>
        <v/>
      </c>
      <c r="M2021" s="9" t="str">
        <f>IF(G2021&lt;&gt;"",J2021/MAX(J$3:J2021)-1,"")</f>
        <v/>
      </c>
      <c r="N2021" s="9" t="str">
        <f>IF(G2021&lt;&gt;"",K2021/MAX(K$3:K2021)-1,"")</f>
        <v/>
      </c>
      <c r="O2021" s="16" t="str">
        <f t="shared" si="295"/>
        <v/>
      </c>
      <c r="P2021" s="16" t="str">
        <f t="shared" si="295"/>
        <v/>
      </c>
      <c r="Q2021" s="16" t="str">
        <f t="shared" si="295"/>
        <v/>
      </c>
      <c r="R2021" s="5" t="str">
        <f t="shared" si="294"/>
        <v/>
      </c>
      <c r="S2021" s="5" t="str">
        <f t="shared" si="298"/>
        <v/>
      </c>
      <c r="T2021" s="5" t="str">
        <f t="shared" si="301"/>
        <v/>
      </c>
      <c r="U2021" s="5" t="str">
        <f t="shared" si="301"/>
        <v/>
      </c>
    </row>
    <row r="2022" spans="7:21" x14ac:dyDescent="0.2">
      <c r="G2022" s="8"/>
      <c r="H2022" s="5"/>
      <c r="J2022" s="10" t="str">
        <f t="shared" si="296"/>
        <v/>
      </c>
      <c r="K2022" s="10" t="str">
        <f t="shared" si="297"/>
        <v/>
      </c>
      <c r="L2022" s="11" t="str">
        <f t="shared" si="299"/>
        <v/>
      </c>
      <c r="M2022" s="9" t="str">
        <f>IF(G2022&lt;&gt;"",J2022/MAX(J$3:J2022)-1,"")</f>
        <v/>
      </c>
      <c r="N2022" s="9" t="str">
        <f>IF(G2022&lt;&gt;"",K2022/MAX(K$3:K2022)-1,"")</f>
        <v/>
      </c>
      <c r="O2022" s="16" t="str">
        <f t="shared" si="295"/>
        <v/>
      </c>
      <c r="P2022" s="16" t="str">
        <f t="shared" si="295"/>
        <v/>
      </c>
      <c r="Q2022" s="16" t="str">
        <f t="shared" si="295"/>
        <v/>
      </c>
      <c r="R2022" s="5" t="str">
        <f t="shared" si="294"/>
        <v/>
      </c>
      <c r="S2022" s="5" t="str">
        <f t="shared" si="298"/>
        <v/>
      </c>
      <c r="T2022" s="5" t="str">
        <f t="shared" si="301"/>
        <v/>
      </c>
      <c r="U2022" s="5" t="str">
        <f t="shared" si="301"/>
        <v/>
      </c>
    </row>
    <row r="2023" spans="7:21" x14ac:dyDescent="0.2">
      <c r="G2023" s="8"/>
      <c r="H2023" s="5"/>
      <c r="J2023" s="10" t="str">
        <f t="shared" si="296"/>
        <v/>
      </c>
      <c r="K2023" s="10" t="str">
        <f t="shared" si="297"/>
        <v/>
      </c>
      <c r="L2023" s="11" t="str">
        <f t="shared" si="299"/>
        <v/>
      </c>
      <c r="M2023" s="9" t="str">
        <f>IF(G2023&lt;&gt;"",J2023/MAX(J$3:J2023)-1,"")</f>
        <v/>
      </c>
      <c r="N2023" s="9" t="str">
        <f>IF(G2023&lt;&gt;"",K2023/MAX(K$3:K2023)-1,"")</f>
        <v/>
      </c>
      <c r="O2023" s="16" t="str">
        <f t="shared" si="295"/>
        <v/>
      </c>
      <c r="P2023" s="16" t="str">
        <f t="shared" si="295"/>
        <v/>
      </c>
      <c r="Q2023" s="16" t="str">
        <f t="shared" si="295"/>
        <v/>
      </c>
      <c r="R2023" s="5" t="str">
        <f t="shared" si="294"/>
        <v/>
      </c>
      <c r="S2023" s="5" t="str">
        <f t="shared" si="298"/>
        <v/>
      </c>
      <c r="T2023" s="5" t="str">
        <f t="shared" si="301"/>
        <v/>
      </c>
      <c r="U2023" s="5" t="str">
        <f t="shared" si="301"/>
        <v/>
      </c>
    </row>
    <row r="2024" spans="7:21" x14ac:dyDescent="0.2">
      <c r="G2024" s="8"/>
      <c r="H2024" s="5"/>
      <c r="J2024" s="10" t="str">
        <f t="shared" si="296"/>
        <v/>
      </c>
      <c r="K2024" s="10" t="str">
        <f t="shared" si="297"/>
        <v/>
      </c>
      <c r="L2024" s="11" t="str">
        <f t="shared" si="299"/>
        <v/>
      </c>
      <c r="M2024" s="9" t="str">
        <f>IF(G2024&lt;&gt;"",J2024/MAX(J$3:J2024)-1,"")</f>
        <v/>
      </c>
      <c r="N2024" s="9" t="str">
        <f>IF(G2024&lt;&gt;"",K2024/MAX(K$3:K2024)-1,"")</f>
        <v/>
      </c>
      <c r="O2024" s="16" t="str">
        <f t="shared" si="295"/>
        <v/>
      </c>
      <c r="P2024" s="16" t="str">
        <f t="shared" si="295"/>
        <v/>
      </c>
      <c r="Q2024" s="16" t="str">
        <f t="shared" si="295"/>
        <v/>
      </c>
      <c r="R2024" s="5" t="str">
        <f t="shared" si="294"/>
        <v/>
      </c>
      <c r="S2024" s="5" t="str">
        <f t="shared" si="298"/>
        <v/>
      </c>
      <c r="T2024" s="5" t="str">
        <f t="shared" ref="T2024:U2039" si="302">IF($G2024&lt;&gt;"",_xlfn.STDEV.S(O1780:O2024),"")</f>
        <v/>
      </c>
      <c r="U2024" s="5" t="str">
        <f t="shared" si="302"/>
        <v/>
      </c>
    </row>
    <row r="2025" spans="7:21" x14ac:dyDescent="0.2">
      <c r="G2025" s="8"/>
      <c r="H2025" s="5"/>
      <c r="J2025" s="10" t="str">
        <f t="shared" si="296"/>
        <v/>
      </c>
      <c r="K2025" s="10" t="str">
        <f t="shared" si="297"/>
        <v/>
      </c>
      <c r="L2025" s="11" t="str">
        <f t="shared" si="299"/>
        <v/>
      </c>
      <c r="M2025" s="9" t="str">
        <f>IF(G2025&lt;&gt;"",J2025/MAX(J$3:J2025)-1,"")</f>
        <v/>
      </c>
      <c r="N2025" s="9" t="str">
        <f>IF(G2025&lt;&gt;"",K2025/MAX(K$3:K2025)-1,"")</f>
        <v/>
      </c>
      <c r="O2025" s="16" t="str">
        <f t="shared" si="295"/>
        <v/>
      </c>
      <c r="P2025" s="16" t="str">
        <f t="shared" si="295"/>
        <v/>
      </c>
      <c r="Q2025" s="16" t="str">
        <f t="shared" si="295"/>
        <v/>
      </c>
      <c r="R2025" s="5" t="str">
        <f t="shared" si="294"/>
        <v/>
      </c>
      <c r="S2025" s="5" t="str">
        <f t="shared" si="298"/>
        <v/>
      </c>
      <c r="T2025" s="5" t="str">
        <f t="shared" si="302"/>
        <v/>
      </c>
      <c r="U2025" s="5" t="str">
        <f t="shared" si="302"/>
        <v/>
      </c>
    </row>
    <row r="2026" spans="7:21" x14ac:dyDescent="0.2">
      <c r="G2026" s="8"/>
      <c r="H2026" s="5"/>
      <c r="J2026" s="10" t="str">
        <f t="shared" si="296"/>
        <v/>
      </c>
      <c r="K2026" s="10" t="str">
        <f t="shared" si="297"/>
        <v/>
      </c>
      <c r="L2026" s="11" t="str">
        <f t="shared" si="299"/>
        <v/>
      </c>
      <c r="M2026" s="9" t="str">
        <f>IF(G2026&lt;&gt;"",J2026/MAX(J$3:J2026)-1,"")</f>
        <v/>
      </c>
      <c r="N2026" s="9" t="str">
        <f>IF(G2026&lt;&gt;"",K2026/MAX(K$3:K2026)-1,"")</f>
        <v/>
      </c>
      <c r="O2026" s="16" t="str">
        <f t="shared" si="295"/>
        <v/>
      </c>
      <c r="P2026" s="16" t="str">
        <f t="shared" si="295"/>
        <v/>
      </c>
      <c r="Q2026" s="16" t="str">
        <f t="shared" si="295"/>
        <v/>
      </c>
      <c r="R2026" s="5" t="str">
        <f t="shared" si="294"/>
        <v/>
      </c>
      <c r="S2026" s="5" t="str">
        <f t="shared" si="298"/>
        <v/>
      </c>
      <c r="T2026" s="5" t="str">
        <f t="shared" si="302"/>
        <v/>
      </c>
      <c r="U2026" s="5" t="str">
        <f t="shared" si="302"/>
        <v/>
      </c>
    </row>
    <row r="2027" spans="7:21" x14ac:dyDescent="0.2">
      <c r="G2027" s="8"/>
      <c r="H2027" s="5"/>
      <c r="J2027" s="10" t="str">
        <f t="shared" si="296"/>
        <v/>
      </c>
      <c r="K2027" s="10" t="str">
        <f t="shared" si="297"/>
        <v/>
      </c>
      <c r="L2027" s="11" t="str">
        <f t="shared" si="299"/>
        <v/>
      </c>
      <c r="M2027" s="9" t="str">
        <f>IF(G2027&lt;&gt;"",J2027/MAX(J$3:J2027)-1,"")</f>
        <v/>
      </c>
      <c r="N2027" s="9" t="str">
        <f>IF(G2027&lt;&gt;"",K2027/MAX(K$3:K2027)-1,"")</f>
        <v/>
      </c>
      <c r="O2027" s="16" t="str">
        <f t="shared" si="295"/>
        <v/>
      </c>
      <c r="P2027" s="16" t="str">
        <f t="shared" si="295"/>
        <v/>
      </c>
      <c r="Q2027" s="16" t="str">
        <f t="shared" si="295"/>
        <v/>
      </c>
      <c r="R2027" s="5" t="str">
        <f t="shared" si="294"/>
        <v/>
      </c>
      <c r="S2027" s="5" t="str">
        <f t="shared" si="298"/>
        <v/>
      </c>
      <c r="T2027" s="5" t="str">
        <f t="shared" si="302"/>
        <v/>
      </c>
      <c r="U2027" s="5" t="str">
        <f t="shared" si="302"/>
        <v/>
      </c>
    </row>
    <row r="2028" spans="7:21" x14ac:dyDescent="0.2">
      <c r="G2028" s="8"/>
      <c r="H2028" s="5"/>
      <c r="J2028" s="10" t="str">
        <f t="shared" si="296"/>
        <v/>
      </c>
      <c r="K2028" s="10" t="str">
        <f t="shared" si="297"/>
        <v/>
      </c>
      <c r="L2028" s="11" t="str">
        <f t="shared" si="299"/>
        <v/>
      </c>
      <c r="M2028" s="9" t="str">
        <f>IF(G2028&lt;&gt;"",J2028/MAX(J$3:J2028)-1,"")</f>
        <v/>
      </c>
      <c r="N2028" s="9" t="str">
        <f>IF(G2028&lt;&gt;"",K2028/MAX(K$3:K2028)-1,"")</f>
        <v/>
      </c>
      <c r="O2028" s="16" t="str">
        <f t="shared" si="295"/>
        <v/>
      </c>
      <c r="P2028" s="16" t="str">
        <f t="shared" si="295"/>
        <v/>
      </c>
      <c r="Q2028" s="16" t="str">
        <f t="shared" si="295"/>
        <v/>
      </c>
      <c r="R2028" s="5" t="str">
        <f t="shared" si="294"/>
        <v/>
      </c>
      <c r="S2028" s="5" t="str">
        <f t="shared" si="298"/>
        <v/>
      </c>
      <c r="T2028" s="5" t="str">
        <f t="shared" si="302"/>
        <v/>
      </c>
      <c r="U2028" s="5" t="str">
        <f t="shared" si="302"/>
        <v/>
      </c>
    </row>
    <row r="2029" spans="7:21" x14ac:dyDescent="0.2">
      <c r="G2029" s="8"/>
      <c r="H2029" s="5"/>
      <c r="J2029" s="10" t="str">
        <f t="shared" si="296"/>
        <v/>
      </c>
      <c r="K2029" s="10" t="str">
        <f t="shared" si="297"/>
        <v/>
      </c>
      <c r="L2029" s="11" t="str">
        <f t="shared" si="299"/>
        <v/>
      </c>
      <c r="M2029" s="9" t="str">
        <f>IF(G2029&lt;&gt;"",J2029/MAX(J$3:J2029)-1,"")</f>
        <v/>
      </c>
      <c r="N2029" s="9" t="str">
        <f>IF(G2029&lt;&gt;"",K2029/MAX(K$3:K2029)-1,"")</f>
        <v/>
      </c>
      <c r="O2029" s="16" t="str">
        <f t="shared" si="295"/>
        <v/>
      </c>
      <c r="P2029" s="16" t="str">
        <f t="shared" si="295"/>
        <v/>
      </c>
      <c r="Q2029" s="16" t="str">
        <f t="shared" si="295"/>
        <v/>
      </c>
      <c r="R2029" s="5" t="str">
        <f t="shared" si="294"/>
        <v/>
      </c>
      <c r="S2029" s="5" t="str">
        <f t="shared" si="298"/>
        <v/>
      </c>
      <c r="T2029" s="5" t="str">
        <f t="shared" si="302"/>
        <v/>
      </c>
      <c r="U2029" s="5" t="str">
        <f t="shared" si="302"/>
        <v/>
      </c>
    </row>
    <row r="2030" spans="7:21" x14ac:dyDescent="0.2">
      <c r="G2030" s="8"/>
      <c r="H2030" s="5"/>
      <c r="J2030" s="10" t="str">
        <f t="shared" si="296"/>
        <v/>
      </c>
      <c r="K2030" s="10" t="str">
        <f t="shared" si="297"/>
        <v/>
      </c>
      <c r="L2030" s="11" t="str">
        <f t="shared" si="299"/>
        <v/>
      </c>
      <c r="M2030" s="9" t="str">
        <f>IF(G2030&lt;&gt;"",J2030/MAX(J$3:J2030)-1,"")</f>
        <v/>
      </c>
      <c r="N2030" s="9" t="str">
        <f>IF(G2030&lt;&gt;"",K2030/MAX(K$3:K2030)-1,"")</f>
        <v/>
      </c>
      <c r="O2030" s="16" t="str">
        <f t="shared" si="295"/>
        <v/>
      </c>
      <c r="P2030" s="16" t="str">
        <f t="shared" si="295"/>
        <v/>
      </c>
      <c r="Q2030" s="16" t="str">
        <f t="shared" si="295"/>
        <v/>
      </c>
      <c r="R2030" s="5" t="str">
        <f t="shared" si="294"/>
        <v/>
      </c>
      <c r="S2030" s="5" t="str">
        <f t="shared" si="298"/>
        <v/>
      </c>
      <c r="T2030" s="5" t="str">
        <f t="shared" si="302"/>
        <v/>
      </c>
      <c r="U2030" s="5" t="str">
        <f t="shared" si="302"/>
        <v/>
      </c>
    </row>
    <row r="2031" spans="7:21" x14ac:dyDescent="0.2">
      <c r="G2031" s="8"/>
      <c r="H2031" s="5"/>
      <c r="J2031" s="10" t="str">
        <f t="shared" si="296"/>
        <v/>
      </c>
      <c r="K2031" s="10" t="str">
        <f t="shared" si="297"/>
        <v/>
      </c>
      <c r="L2031" s="11" t="str">
        <f t="shared" si="299"/>
        <v/>
      </c>
      <c r="M2031" s="9" t="str">
        <f>IF(G2031&lt;&gt;"",J2031/MAX(J$3:J2031)-1,"")</f>
        <v/>
      </c>
      <c r="N2031" s="9" t="str">
        <f>IF(G2031&lt;&gt;"",K2031/MAX(K$3:K2031)-1,"")</f>
        <v/>
      </c>
      <c r="O2031" s="16" t="str">
        <f t="shared" si="295"/>
        <v/>
      </c>
      <c r="P2031" s="16" t="str">
        <f t="shared" si="295"/>
        <v/>
      </c>
      <c r="Q2031" s="16" t="str">
        <f t="shared" si="295"/>
        <v/>
      </c>
      <c r="R2031" s="5" t="str">
        <f t="shared" si="294"/>
        <v/>
      </c>
      <c r="S2031" s="5" t="str">
        <f t="shared" si="298"/>
        <v/>
      </c>
      <c r="T2031" s="5" t="str">
        <f t="shared" si="302"/>
        <v/>
      </c>
      <c r="U2031" s="5" t="str">
        <f t="shared" si="302"/>
        <v/>
      </c>
    </row>
    <row r="2032" spans="7:21" x14ac:dyDescent="0.2">
      <c r="G2032" s="8"/>
      <c r="H2032" s="5"/>
      <c r="J2032" s="10" t="str">
        <f t="shared" si="296"/>
        <v/>
      </c>
      <c r="K2032" s="10" t="str">
        <f t="shared" si="297"/>
        <v/>
      </c>
      <c r="L2032" s="11" t="str">
        <f t="shared" si="299"/>
        <v/>
      </c>
      <c r="M2032" s="9" t="str">
        <f>IF(G2032&lt;&gt;"",J2032/MAX(J$3:J2032)-1,"")</f>
        <v/>
      </c>
      <c r="N2032" s="9" t="str">
        <f>IF(G2032&lt;&gt;"",K2032/MAX(K$3:K2032)-1,"")</f>
        <v/>
      </c>
      <c r="O2032" s="16" t="str">
        <f t="shared" si="295"/>
        <v/>
      </c>
      <c r="P2032" s="16" t="str">
        <f t="shared" si="295"/>
        <v/>
      </c>
      <c r="Q2032" s="16" t="str">
        <f t="shared" si="295"/>
        <v/>
      </c>
      <c r="R2032" s="5" t="str">
        <f t="shared" si="294"/>
        <v/>
      </c>
      <c r="S2032" s="5" t="str">
        <f t="shared" si="298"/>
        <v/>
      </c>
      <c r="T2032" s="5" t="str">
        <f t="shared" si="302"/>
        <v/>
      </c>
      <c r="U2032" s="5" t="str">
        <f t="shared" si="302"/>
        <v/>
      </c>
    </row>
    <row r="2033" spans="7:21" x14ac:dyDescent="0.2">
      <c r="G2033" s="8"/>
      <c r="H2033" s="5"/>
      <c r="J2033" s="10" t="str">
        <f t="shared" si="296"/>
        <v/>
      </c>
      <c r="K2033" s="10" t="str">
        <f t="shared" si="297"/>
        <v/>
      </c>
      <c r="L2033" s="11" t="str">
        <f t="shared" si="299"/>
        <v/>
      </c>
      <c r="M2033" s="9" t="str">
        <f>IF(G2033&lt;&gt;"",J2033/MAX(J$3:J2033)-1,"")</f>
        <v/>
      </c>
      <c r="N2033" s="9" t="str">
        <f>IF(G2033&lt;&gt;"",K2033/MAX(K$3:K2033)-1,"")</f>
        <v/>
      </c>
      <c r="O2033" s="16" t="str">
        <f t="shared" si="295"/>
        <v/>
      </c>
      <c r="P2033" s="16" t="str">
        <f t="shared" si="295"/>
        <v/>
      </c>
      <c r="Q2033" s="16" t="str">
        <f t="shared" si="295"/>
        <v/>
      </c>
      <c r="R2033" s="5" t="str">
        <f t="shared" si="294"/>
        <v/>
      </c>
      <c r="S2033" s="5" t="str">
        <f t="shared" si="298"/>
        <v/>
      </c>
      <c r="T2033" s="5" t="str">
        <f t="shared" si="302"/>
        <v/>
      </c>
      <c r="U2033" s="5" t="str">
        <f t="shared" si="302"/>
        <v/>
      </c>
    </row>
    <row r="2034" spans="7:21" x14ac:dyDescent="0.2">
      <c r="G2034" s="8"/>
      <c r="H2034" s="5"/>
      <c r="J2034" s="10" t="str">
        <f t="shared" si="296"/>
        <v/>
      </c>
      <c r="K2034" s="10" t="str">
        <f t="shared" si="297"/>
        <v/>
      </c>
      <c r="L2034" s="11" t="str">
        <f t="shared" si="299"/>
        <v/>
      </c>
      <c r="M2034" s="9" t="str">
        <f>IF(G2034&lt;&gt;"",J2034/MAX(J$3:J2034)-1,"")</f>
        <v/>
      </c>
      <c r="N2034" s="9" t="str">
        <f>IF(G2034&lt;&gt;"",K2034/MAX(K$3:K2034)-1,"")</f>
        <v/>
      </c>
      <c r="O2034" s="16" t="str">
        <f t="shared" si="295"/>
        <v/>
      </c>
      <c r="P2034" s="16" t="str">
        <f t="shared" si="295"/>
        <v/>
      </c>
      <c r="Q2034" s="16" t="str">
        <f t="shared" si="295"/>
        <v/>
      </c>
      <c r="R2034" s="5" t="str">
        <f t="shared" si="294"/>
        <v/>
      </c>
      <c r="S2034" s="5" t="str">
        <f t="shared" si="298"/>
        <v/>
      </c>
      <c r="T2034" s="5" t="str">
        <f t="shared" si="302"/>
        <v/>
      </c>
      <c r="U2034" s="5" t="str">
        <f t="shared" si="302"/>
        <v/>
      </c>
    </row>
    <row r="2035" spans="7:21" x14ac:dyDescent="0.2">
      <c r="G2035" s="8"/>
      <c r="H2035" s="5"/>
      <c r="J2035" s="10" t="str">
        <f t="shared" si="296"/>
        <v/>
      </c>
      <c r="K2035" s="10" t="str">
        <f t="shared" si="297"/>
        <v/>
      </c>
      <c r="L2035" s="11" t="str">
        <f t="shared" si="299"/>
        <v/>
      </c>
      <c r="M2035" s="9" t="str">
        <f>IF(G2035&lt;&gt;"",J2035/MAX(J$3:J2035)-1,"")</f>
        <v/>
      </c>
      <c r="N2035" s="9" t="str">
        <f>IF(G2035&lt;&gt;"",K2035/MAX(K$3:K2035)-1,"")</f>
        <v/>
      </c>
      <c r="O2035" s="16" t="str">
        <f t="shared" si="295"/>
        <v/>
      </c>
      <c r="P2035" s="16" t="str">
        <f t="shared" si="295"/>
        <v/>
      </c>
      <c r="Q2035" s="16" t="str">
        <f t="shared" si="295"/>
        <v/>
      </c>
      <c r="R2035" s="5" t="str">
        <f t="shared" si="294"/>
        <v/>
      </c>
      <c r="S2035" s="5" t="str">
        <f t="shared" si="298"/>
        <v/>
      </c>
      <c r="T2035" s="5" t="str">
        <f t="shared" si="302"/>
        <v/>
      </c>
      <c r="U2035" s="5" t="str">
        <f t="shared" si="302"/>
        <v/>
      </c>
    </row>
    <row r="2036" spans="7:21" x14ac:dyDescent="0.2">
      <c r="G2036" s="8"/>
      <c r="H2036" s="5"/>
      <c r="J2036" s="10" t="str">
        <f t="shared" si="296"/>
        <v/>
      </c>
      <c r="K2036" s="10" t="str">
        <f t="shared" si="297"/>
        <v/>
      </c>
      <c r="L2036" s="11" t="str">
        <f t="shared" si="299"/>
        <v/>
      </c>
      <c r="M2036" s="9" t="str">
        <f>IF(G2036&lt;&gt;"",J2036/MAX(J$3:J2036)-1,"")</f>
        <v/>
      </c>
      <c r="N2036" s="9" t="str">
        <f>IF(G2036&lt;&gt;"",K2036/MAX(K$3:K2036)-1,"")</f>
        <v/>
      </c>
      <c r="O2036" s="16" t="str">
        <f t="shared" si="295"/>
        <v/>
      </c>
      <c r="P2036" s="16" t="str">
        <f t="shared" si="295"/>
        <v/>
      </c>
      <c r="Q2036" s="16" t="str">
        <f t="shared" si="295"/>
        <v/>
      </c>
      <c r="R2036" s="5" t="str">
        <f t="shared" si="294"/>
        <v/>
      </c>
      <c r="S2036" s="5" t="str">
        <f t="shared" si="298"/>
        <v/>
      </c>
      <c r="T2036" s="5" t="str">
        <f t="shared" si="302"/>
        <v/>
      </c>
      <c r="U2036" s="5" t="str">
        <f t="shared" si="302"/>
        <v/>
      </c>
    </row>
    <row r="2037" spans="7:21" x14ac:dyDescent="0.2">
      <c r="G2037" s="8"/>
      <c r="H2037" s="5"/>
      <c r="J2037" s="10" t="str">
        <f t="shared" si="296"/>
        <v/>
      </c>
      <c r="K2037" s="10" t="str">
        <f t="shared" si="297"/>
        <v/>
      </c>
      <c r="L2037" s="11" t="str">
        <f t="shared" si="299"/>
        <v/>
      </c>
      <c r="M2037" s="9" t="str">
        <f>IF(G2037&lt;&gt;"",J2037/MAX(J$3:J2037)-1,"")</f>
        <v/>
      </c>
      <c r="N2037" s="9" t="str">
        <f>IF(G2037&lt;&gt;"",K2037/MAX(K$3:K2037)-1,"")</f>
        <v/>
      </c>
      <c r="O2037" s="16" t="str">
        <f t="shared" si="295"/>
        <v/>
      </c>
      <c r="P2037" s="16" t="str">
        <f t="shared" si="295"/>
        <v/>
      </c>
      <c r="Q2037" s="16" t="str">
        <f t="shared" si="295"/>
        <v/>
      </c>
      <c r="R2037" s="5" t="str">
        <f t="shared" si="294"/>
        <v/>
      </c>
      <c r="S2037" s="5" t="str">
        <f t="shared" si="298"/>
        <v/>
      </c>
      <c r="T2037" s="5" t="str">
        <f t="shared" si="302"/>
        <v/>
      </c>
      <c r="U2037" s="5" t="str">
        <f t="shared" si="302"/>
        <v/>
      </c>
    </row>
    <row r="2038" spans="7:21" x14ac:dyDescent="0.2">
      <c r="G2038" s="8"/>
      <c r="H2038" s="5"/>
      <c r="J2038" s="10" t="str">
        <f t="shared" si="296"/>
        <v/>
      </c>
      <c r="K2038" s="10" t="str">
        <f t="shared" si="297"/>
        <v/>
      </c>
      <c r="L2038" s="11" t="str">
        <f t="shared" si="299"/>
        <v/>
      </c>
      <c r="M2038" s="9" t="str">
        <f>IF(G2038&lt;&gt;"",J2038/MAX(J$3:J2038)-1,"")</f>
        <v/>
      </c>
      <c r="N2038" s="9" t="str">
        <f>IF(G2038&lt;&gt;"",K2038/MAX(K$3:K2038)-1,"")</f>
        <v/>
      </c>
      <c r="O2038" s="16" t="str">
        <f t="shared" si="295"/>
        <v/>
      </c>
      <c r="P2038" s="16" t="str">
        <f t="shared" si="295"/>
        <v/>
      </c>
      <c r="Q2038" s="16" t="str">
        <f t="shared" si="295"/>
        <v/>
      </c>
      <c r="R2038" s="5" t="str">
        <f t="shared" si="294"/>
        <v/>
      </c>
      <c r="S2038" s="5" t="str">
        <f t="shared" si="298"/>
        <v/>
      </c>
      <c r="T2038" s="5" t="str">
        <f t="shared" si="302"/>
        <v/>
      </c>
      <c r="U2038" s="5" t="str">
        <f t="shared" si="302"/>
        <v/>
      </c>
    </row>
    <row r="2039" spans="7:21" x14ac:dyDescent="0.2">
      <c r="G2039" s="8"/>
      <c r="H2039" s="5"/>
      <c r="J2039" s="10" t="str">
        <f t="shared" si="296"/>
        <v/>
      </c>
      <c r="K2039" s="10" t="str">
        <f t="shared" si="297"/>
        <v/>
      </c>
      <c r="L2039" s="11" t="str">
        <f t="shared" si="299"/>
        <v/>
      </c>
      <c r="M2039" s="9" t="str">
        <f>IF(G2039&lt;&gt;"",J2039/MAX(J$3:J2039)-1,"")</f>
        <v/>
      </c>
      <c r="N2039" s="9" t="str">
        <f>IF(G2039&lt;&gt;"",K2039/MAX(K$3:K2039)-1,"")</f>
        <v/>
      </c>
      <c r="O2039" s="16" t="str">
        <f t="shared" si="295"/>
        <v/>
      </c>
      <c r="P2039" s="16" t="str">
        <f t="shared" si="295"/>
        <v/>
      </c>
      <c r="Q2039" s="16" t="str">
        <f t="shared" si="295"/>
        <v/>
      </c>
      <c r="R2039" s="5" t="str">
        <f t="shared" si="294"/>
        <v/>
      </c>
      <c r="S2039" s="5" t="str">
        <f t="shared" si="298"/>
        <v/>
      </c>
      <c r="T2039" s="5" t="str">
        <f t="shared" si="302"/>
        <v/>
      </c>
      <c r="U2039" s="5" t="str">
        <f t="shared" si="302"/>
        <v/>
      </c>
    </row>
    <row r="2040" spans="7:21" x14ac:dyDescent="0.2">
      <c r="G2040" s="8"/>
      <c r="H2040" s="5"/>
      <c r="J2040" s="10" t="str">
        <f t="shared" si="296"/>
        <v/>
      </c>
      <c r="K2040" s="10" t="str">
        <f t="shared" si="297"/>
        <v/>
      </c>
      <c r="L2040" s="11" t="str">
        <f t="shared" si="299"/>
        <v/>
      </c>
      <c r="M2040" s="9" t="str">
        <f>IF(G2040&lt;&gt;"",J2040/MAX(J$3:J2040)-1,"")</f>
        <v/>
      </c>
      <c r="N2040" s="9" t="str">
        <f>IF(G2040&lt;&gt;"",K2040/MAX(K$3:K2040)-1,"")</f>
        <v/>
      </c>
      <c r="O2040" s="16" t="str">
        <f t="shared" si="295"/>
        <v/>
      </c>
      <c r="P2040" s="16" t="str">
        <f t="shared" si="295"/>
        <v/>
      </c>
      <c r="Q2040" s="16" t="str">
        <f t="shared" si="295"/>
        <v/>
      </c>
      <c r="R2040" s="5" t="str">
        <f t="shared" si="294"/>
        <v/>
      </c>
      <c r="S2040" s="5" t="str">
        <f t="shared" si="298"/>
        <v/>
      </c>
      <c r="T2040" s="5" t="str">
        <f t="shared" ref="T2040:U2055" si="303">IF($G2040&lt;&gt;"",_xlfn.STDEV.S(O1796:O2040),"")</f>
        <v/>
      </c>
      <c r="U2040" s="5" t="str">
        <f t="shared" si="303"/>
        <v/>
      </c>
    </row>
    <row r="2041" spans="7:21" x14ac:dyDescent="0.2">
      <c r="G2041" s="8"/>
      <c r="H2041" s="5"/>
      <c r="J2041" s="10" t="str">
        <f t="shared" si="296"/>
        <v/>
      </c>
      <c r="K2041" s="10" t="str">
        <f t="shared" si="297"/>
        <v/>
      </c>
      <c r="L2041" s="11" t="str">
        <f t="shared" si="299"/>
        <v/>
      </c>
      <c r="M2041" s="9" t="str">
        <f>IF(G2041&lt;&gt;"",J2041/MAX(J$3:J2041)-1,"")</f>
        <v/>
      </c>
      <c r="N2041" s="9" t="str">
        <f>IF(G2041&lt;&gt;"",K2041/MAX(K$3:K2041)-1,"")</f>
        <v/>
      </c>
      <c r="O2041" s="16" t="str">
        <f t="shared" si="295"/>
        <v/>
      </c>
      <c r="P2041" s="16" t="str">
        <f t="shared" si="295"/>
        <v/>
      </c>
      <c r="Q2041" s="16" t="str">
        <f t="shared" si="295"/>
        <v/>
      </c>
      <c r="R2041" s="5" t="str">
        <f t="shared" si="294"/>
        <v/>
      </c>
      <c r="S2041" s="5" t="str">
        <f t="shared" si="298"/>
        <v/>
      </c>
      <c r="T2041" s="5" t="str">
        <f t="shared" si="303"/>
        <v/>
      </c>
      <c r="U2041" s="5" t="str">
        <f t="shared" si="303"/>
        <v/>
      </c>
    </row>
    <row r="2042" spans="7:21" x14ac:dyDescent="0.2">
      <c r="G2042" s="8"/>
      <c r="H2042" s="5"/>
      <c r="J2042" s="10" t="str">
        <f t="shared" si="296"/>
        <v/>
      </c>
      <c r="K2042" s="10" t="str">
        <f t="shared" si="297"/>
        <v/>
      </c>
      <c r="L2042" s="11" t="str">
        <f t="shared" si="299"/>
        <v/>
      </c>
      <c r="M2042" s="9" t="str">
        <f>IF(G2042&lt;&gt;"",J2042/MAX(J$3:J2042)-1,"")</f>
        <v/>
      </c>
      <c r="N2042" s="9" t="str">
        <f>IF(G2042&lt;&gt;"",K2042/MAX(K$3:K2042)-1,"")</f>
        <v/>
      </c>
      <c r="O2042" s="16" t="str">
        <f t="shared" si="295"/>
        <v/>
      </c>
      <c r="P2042" s="16" t="str">
        <f t="shared" si="295"/>
        <v/>
      </c>
      <c r="Q2042" s="16" t="str">
        <f t="shared" si="295"/>
        <v/>
      </c>
      <c r="R2042" s="5" t="str">
        <f t="shared" si="294"/>
        <v/>
      </c>
      <c r="S2042" s="5" t="str">
        <f t="shared" si="298"/>
        <v/>
      </c>
      <c r="T2042" s="5" t="str">
        <f t="shared" si="303"/>
        <v/>
      </c>
      <c r="U2042" s="5" t="str">
        <f t="shared" si="303"/>
        <v/>
      </c>
    </row>
    <row r="2043" spans="7:21" x14ac:dyDescent="0.2">
      <c r="G2043" s="8"/>
      <c r="H2043" s="5"/>
      <c r="J2043" s="10" t="str">
        <f t="shared" si="296"/>
        <v/>
      </c>
      <c r="K2043" s="10" t="str">
        <f t="shared" si="297"/>
        <v/>
      </c>
      <c r="L2043" s="11" t="str">
        <f t="shared" si="299"/>
        <v/>
      </c>
      <c r="M2043" s="9" t="str">
        <f>IF(G2043&lt;&gt;"",J2043/MAX(J$3:J2043)-1,"")</f>
        <v/>
      </c>
      <c r="N2043" s="9" t="str">
        <f>IF(G2043&lt;&gt;"",K2043/MAX(K$3:K2043)-1,"")</f>
        <v/>
      </c>
      <c r="O2043" s="16" t="str">
        <f t="shared" si="295"/>
        <v/>
      </c>
      <c r="P2043" s="16" t="str">
        <f t="shared" si="295"/>
        <v/>
      </c>
      <c r="Q2043" s="16" t="str">
        <f t="shared" si="295"/>
        <v/>
      </c>
      <c r="R2043" s="5" t="str">
        <f t="shared" si="294"/>
        <v/>
      </c>
      <c r="S2043" s="5" t="str">
        <f t="shared" si="298"/>
        <v/>
      </c>
      <c r="T2043" s="5" t="str">
        <f t="shared" si="303"/>
        <v/>
      </c>
      <c r="U2043" s="5" t="str">
        <f t="shared" si="303"/>
        <v/>
      </c>
    </row>
    <row r="2044" spans="7:21" x14ac:dyDescent="0.2">
      <c r="G2044" s="8"/>
      <c r="H2044" s="5"/>
      <c r="J2044" s="10" t="str">
        <f t="shared" si="296"/>
        <v/>
      </c>
      <c r="K2044" s="10" t="str">
        <f t="shared" si="297"/>
        <v/>
      </c>
      <c r="L2044" s="11" t="str">
        <f t="shared" si="299"/>
        <v/>
      </c>
      <c r="M2044" s="9" t="str">
        <f>IF(G2044&lt;&gt;"",J2044/MAX(J$3:J2044)-1,"")</f>
        <v/>
      </c>
      <c r="N2044" s="9" t="str">
        <f>IF(G2044&lt;&gt;"",K2044/MAX(K$3:K2044)-1,"")</f>
        <v/>
      </c>
      <c r="O2044" s="16" t="str">
        <f t="shared" si="295"/>
        <v/>
      </c>
      <c r="P2044" s="16" t="str">
        <f t="shared" si="295"/>
        <v/>
      </c>
      <c r="Q2044" s="16" t="str">
        <f t="shared" si="295"/>
        <v/>
      </c>
      <c r="R2044" s="5" t="str">
        <f t="shared" si="294"/>
        <v/>
      </c>
      <c r="S2044" s="5" t="str">
        <f t="shared" si="298"/>
        <v/>
      </c>
      <c r="T2044" s="5" t="str">
        <f t="shared" si="303"/>
        <v/>
      </c>
      <c r="U2044" s="5" t="str">
        <f t="shared" si="303"/>
        <v/>
      </c>
    </row>
    <row r="2045" spans="7:21" x14ac:dyDescent="0.2">
      <c r="G2045" s="8"/>
      <c r="H2045" s="5"/>
      <c r="J2045" s="10" t="str">
        <f t="shared" si="296"/>
        <v/>
      </c>
      <c r="K2045" s="10" t="str">
        <f t="shared" si="297"/>
        <v/>
      </c>
      <c r="L2045" s="11" t="str">
        <f t="shared" si="299"/>
        <v/>
      </c>
      <c r="M2045" s="9" t="str">
        <f>IF(G2045&lt;&gt;"",J2045/MAX(J$3:J2045)-1,"")</f>
        <v/>
      </c>
      <c r="N2045" s="9" t="str">
        <f>IF(G2045&lt;&gt;"",K2045/MAX(K$3:K2045)-1,"")</f>
        <v/>
      </c>
      <c r="O2045" s="16" t="str">
        <f t="shared" si="295"/>
        <v/>
      </c>
      <c r="P2045" s="16" t="str">
        <f t="shared" si="295"/>
        <v/>
      </c>
      <c r="Q2045" s="16" t="str">
        <f t="shared" si="295"/>
        <v/>
      </c>
      <c r="R2045" s="5" t="str">
        <f t="shared" ref="R2045:R2108" si="304">IF(G2045&lt;&gt;"",_xlfn.STDEV.S(Q1924:Q2045)*SQRT($B$5),"")</f>
        <v/>
      </c>
      <c r="S2045" s="5" t="str">
        <f t="shared" si="298"/>
        <v/>
      </c>
      <c r="T2045" s="5" t="str">
        <f t="shared" si="303"/>
        <v/>
      </c>
      <c r="U2045" s="5" t="str">
        <f t="shared" si="303"/>
        <v/>
      </c>
    </row>
    <row r="2046" spans="7:21" x14ac:dyDescent="0.2">
      <c r="G2046" s="8"/>
      <c r="H2046" s="5"/>
      <c r="J2046" s="10" t="str">
        <f t="shared" si="296"/>
        <v/>
      </c>
      <c r="K2046" s="10" t="str">
        <f t="shared" si="297"/>
        <v/>
      </c>
      <c r="L2046" s="11" t="str">
        <f t="shared" si="299"/>
        <v/>
      </c>
      <c r="M2046" s="9" t="str">
        <f>IF(G2046&lt;&gt;"",J2046/MAX(J$3:J2046)-1,"")</f>
        <v/>
      </c>
      <c r="N2046" s="9" t="str">
        <f>IF(G2046&lt;&gt;"",K2046/MAX(K$3:K2046)-1,"")</f>
        <v/>
      </c>
      <c r="O2046" s="16" t="str">
        <f t="shared" si="295"/>
        <v/>
      </c>
      <c r="P2046" s="16" t="str">
        <f t="shared" si="295"/>
        <v/>
      </c>
      <c r="Q2046" s="16" t="str">
        <f t="shared" si="295"/>
        <v/>
      </c>
      <c r="R2046" s="5" t="str">
        <f t="shared" si="304"/>
        <v/>
      </c>
      <c r="S2046" s="5" t="str">
        <f t="shared" si="298"/>
        <v/>
      </c>
      <c r="T2046" s="5" t="str">
        <f t="shared" si="303"/>
        <v/>
      </c>
      <c r="U2046" s="5" t="str">
        <f t="shared" si="303"/>
        <v/>
      </c>
    </row>
    <row r="2047" spans="7:21" x14ac:dyDescent="0.2">
      <c r="G2047" s="8"/>
      <c r="H2047" s="5"/>
      <c r="J2047" s="10" t="str">
        <f t="shared" si="296"/>
        <v/>
      </c>
      <c r="K2047" s="10" t="str">
        <f t="shared" si="297"/>
        <v/>
      </c>
      <c r="L2047" s="11" t="str">
        <f t="shared" si="299"/>
        <v/>
      </c>
      <c r="M2047" s="9" t="str">
        <f>IF(G2047&lt;&gt;"",J2047/MAX(J$3:J2047)-1,"")</f>
        <v/>
      </c>
      <c r="N2047" s="9" t="str">
        <f>IF(G2047&lt;&gt;"",K2047/MAX(K$3:K2047)-1,"")</f>
        <v/>
      </c>
      <c r="O2047" s="16" t="str">
        <f t="shared" si="295"/>
        <v/>
      </c>
      <c r="P2047" s="16" t="str">
        <f t="shared" si="295"/>
        <v/>
      </c>
      <c r="Q2047" s="16" t="str">
        <f t="shared" si="295"/>
        <v/>
      </c>
      <c r="R2047" s="5" t="str">
        <f t="shared" si="304"/>
        <v/>
      </c>
      <c r="S2047" s="5" t="str">
        <f t="shared" si="298"/>
        <v/>
      </c>
      <c r="T2047" s="5" t="str">
        <f t="shared" si="303"/>
        <v/>
      </c>
      <c r="U2047" s="5" t="str">
        <f t="shared" si="303"/>
        <v/>
      </c>
    </row>
    <row r="2048" spans="7:21" x14ac:dyDescent="0.2">
      <c r="G2048" s="8"/>
      <c r="H2048" s="5"/>
      <c r="J2048" s="10" t="str">
        <f t="shared" si="296"/>
        <v/>
      </c>
      <c r="K2048" s="10" t="str">
        <f t="shared" si="297"/>
        <v/>
      </c>
      <c r="L2048" s="11" t="str">
        <f t="shared" si="299"/>
        <v/>
      </c>
      <c r="M2048" s="9" t="str">
        <f>IF(G2048&lt;&gt;"",J2048/MAX(J$3:J2048)-1,"")</f>
        <v/>
      </c>
      <c r="N2048" s="9" t="str">
        <f>IF(G2048&lt;&gt;"",K2048/MAX(K$3:K2048)-1,"")</f>
        <v/>
      </c>
      <c r="O2048" s="16" t="str">
        <f t="shared" si="295"/>
        <v/>
      </c>
      <c r="P2048" s="16" t="str">
        <f t="shared" si="295"/>
        <v/>
      </c>
      <c r="Q2048" s="16" t="str">
        <f t="shared" si="295"/>
        <v/>
      </c>
      <c r="R2048" s="5" t="str">
        <f t="shared" si="304"/>
        <v/>
      </c>
      <c r="S2048" s="5" t="str">
        <f t="shared" si="298"/>
        <v/>
      </c>
      <c r="T2048" s="5" t="str">
        <f t="shared" si="303"/>
        <v/>
      </c>
      <c r="U2048" s="5" t="str">
        <f t="shared" si="303"/>
        <v/>
      </c>
    </row>
    <row r="2049" spans="7:21" x14ac:dyDescent="0.2">
      <c r="G2049" s="8"/>
      <c r="H2049" s="5"/>
      <c r="J2049" s="10" t="str">
        <f t="shared" si="296"/>
        <v/>
      </c>
      <c r="K2049" s="10" t="str">
        <f t="shared" si="297"/>
        <v/>
      </c>
      <c r="L2049" s="11" t="str">
        <f t="shared" si="299"/>
        <v/>
      </c>
      <c r="M2049" s="9" t="str">
        <f>IF(G2049&lt;&gt;"",J2049/MAX(J$3:J2049)-1,"")</f>
        <v/>
      </c>
      <c r="N2049" s="9" t="str">
        <f>IF(G2049&lt;&gt;"",K2049/MAX(K$3:K2049)-1,"")</f>
        <v/>
      </c>
      <c r="O2049" s="16" t="str">
        <f t="shared" si="295"/>
        <v/>
      </c>
      <c r="P2049" s="16" t="str">
        <f t="shared" si="295"/>
        <v/>
      </c>
      <c r="Q2049" s="16" t="str">
        <f t="shared" si="295"/>
        <v/>
      </c>
      <c r="R2049" s="5" t="str">
        <f t="shared" si="304"/>
        <v/>
      </c>
      <c r="S2049" s="5" t="str">
        <f t="shared" si="298"/>
        <v/>
      </c>
      <c r="T2049" s="5" t="str">
        <f t="shared" si="303"/>
        <v/>
      </c>
      <c r="U2049" s="5" t="str">
        <f t="shared" si="303"/>
        <v/>
      </c>
    </row>
    <row r="2050" spans="7:21" x14ac:dyDescent="0.2">
      <c r="G2050" s="8"/>
      <c r="H2050" s="5"/>
      <c r="J2050" s="10" t="str">
        <f t="shared" si="296"/>
        <v/>
      </c>
      <c r="K2050" s="10" t="str">
        <f t="shared" si="297"/>
        <v/>
      </c>
      <c r="L2050" s="11" t="str">
        <f t="shared" si="299"/>
        <v/>
      </c>
      <c r="M2050" s="9" t="str">
        <f>IF(G2050&lt;&gt;"",J2050/MAX(J$3:J2050)-1,"")</f>
        <v/>
      </c>
      <c r="N2050" s="9" t="str">
        <f>IF(G2050&lt;&gt;"",K2050/MAX(K$3:K2050)-1,"")</f>
        <v/>
      </c>
      <c r="O2050" s="16" t="str">
        <f t="shared" ref="O2050:Q2113" si="305">IF($G2050&lt;&gt;"",J2050/J2049-1,"")</f>
        <v/>
      </c>
      <c r="P2050" s="16" t="str">
        <f t="shared" si="305"/>
        <v/>
      </c>
      <c r="Q2050" s="16" t="str">
        <f t="shared" si="305"/>
        <v/>
      </c>
      <c r="R2050" s="5" t="str">
        <f t="shared" si="304"/>
        <v/>
      </c>
      <c r="S2050" s="5" t="str">
        <f t="shared" si="298"/>
        <v/>
      </c>
      <c r="T2050" s="5" t="str">
        <f t="shared" si="303"/>
        <v/>
      </c>
      <c r="U2050" s="5" t="str">
        <f t="shared" si="303"/>
        <v/>
      </c>
    </row>
    <row r="2051" spans="7:21" x14ac:dyDescent="0.2">
      <c r="G2051" s="8"/>
      <c r="H2051" s="5"/>
      <c r="J2051" s="10" t="str">
        <f t="shared" si="296"/>
        <v/>
      </c>
      <c r="K2051" s="10" t="str">
        <f t="shared" si="297"/>
        <v/>
      </c>
      <c r="L2051" s="11" t="str">
        <f t="shared" si="299"/>
        <v/>
      </c>
      <c r="M2051" s="9" t="str">
        <f>IF(G2051&lt;&gt;"",J2051/MAX(J$3:J2051)-1,"")</f>
        <v/>
      </c>
      <c r="N2051" s="9" t="str">
        <f>IF(G2051&lt;&gt;"",K2051/MAX(K$3:K2051)-1,"")</f>
        <v/>
      </c>
      <c r="O2051" s="16" t="str">
        <f t="shared" si="305"/>
        <v/>
      </c>
      <c r="P2051" s="16" t="str">
        <f t="shared" si="305"/>
        <v/>
      </c>
      <c r="Q2051" s="16" t="str">
        <f t="shared" si="305"/>
        <v/>
      </c>
      <c r="R2051" s="5" t="str">
        <f t="shared" si="304"/>
        <v/>
      </c>
      <c r="S2051" s="5" t="str">
        <f t="shared" si="298"/>
        <v/>
      </c>
      <c r="T2051" s="5" t="str">
        <f t="shared" si="303"/>
        <v/>
      </c>
      <c r="U2051" s="5" t="str">
        <f t="shared" si="303"/>
        <v/>
      </c>
    </row>
    <row r="2052" spans="7:21" x14ac:dyDescent="0.2">
      <c r="G2052" s="8"/>
      <c r="H2052" s="5"/>
      <c r="J2052" s="10" t="str">
        <f t="shared" ref="J2052:J2115" si="306">IF(G2052&lt;&gt;"",1+H2052,"")</f>
        <v/>
      </c>
      <c r="K2052" s="10" t="str">
        <f t="shared" ref="K2052:K2115" si="307">IF(G2052&lt;&gt;"",1+I2052,"")</f>
        <v/>
      </c>
      <c r="L2052" s="11" t="str">
        <f t="shared" si="299"/>
        <v/>
      </c>
      <c r="M2052" s="9" t="str">
        <f>IF(G2052&lt;&gt;"",J2052/MAX(J$3:J2052)-1,"")</f>
        <v/>
      </c>
      <c r="N2052" s="9" t="str">
        <f>IF(G2052&lt;&gt;"",K2052/MAX(K$3:K2052)-1,"")</f>
        <v/>
      </c>
      <c r="O2052" s="16" t="str">
        <f t="shared" si="305"/>
        <v/>
      </c>
      <c r="P2052" s="16" t="str">
        <f t="shared" si="305"/>
        <v/>
      </c>
      <c r="Q2052" s="16" t="str">
        <f t="shared" si="305"/>
        <v/>
      </c>
      <c r="R2052" s="5" t="str">
        <f t="shared" si="304"/>
        <v/>
      </c>
      <c r="S2052" s="5" t="str">
        <f t="shared" ref="S2052:S2115" si="308">IF(R2052&lt;&gt;"",B$12,"")</f>
        <v/>
      </c>
      <c r="T2052" s="5" t="str">
        <f t="shared" si="303"/>
        <v/>
      </c>
      <c r="U2052" s="5" t="str">
        <f t="shared" si="303"/>
        <v/>
      </c>
    </row>
    <row r="2053" spans="7:21" x14ac:dyDescent="0.2">
      <c r="G2053" s="8"/>
      <c r="H2053" s="5"/>
      <c r="J2053" s="10" t="str">
        <f t="shared" si="306"/>
        <v/>
      </c>
      <c r="K2053" s="10" t="str">
        <f t="shared" si="307"/>
        <v/>
      </c>
      <c r="L2053" s="11" t="str">
        <f t="shared" ref="L2053:L2116" si="309">IF(G2053&lt;&gt;"",J2053/K2053,"")</f>
        <v/>
      </c>
      <c r="M2053" s="9" t="str">
        <f>IF(G2053&lt;&gt;"",J2053/MAX(J$3:J2053)-1,"")</f>
        <v/>
      </c>
      <c r="N2053" s="9" t="str">
        <f>IF(G2053&lt;&gt;"",K2053/MAX(K$3:K2053)-1,"")</f>
        <v/>
      </c>
      <c r="O2053" s="16" t="str">
        <f t="shared" si="305"/>
        <v/>
      </c>
      <c r="P2053" s="16" t="str">
        <f t="shared" si="305"/>
        <v/>
      </c>
      <c r="Q2053" s="16" t="str">
        <f t="shared" si="305"/>
        <v/>
      </c>
      <c r="R2053" s="5" t="str">
        <f t="shared" si="304"/>
        <v/>
      </c>
      <c r="S2053" s="5" t="str">
        <f t="shared" si="308"/>
        <v/>
      </c>
      <c r="T2053" s="5" t="str">
        <f t="shared" si="303"/>
        <v/>
      </c>
      <c r="U2053" s="5" t="str">
        <f t="shared" si="303"/>
        <v/>
      </c>
    </row>
    <row r="2054" spans="7:21" x14ac:dyDescent="0.2">
      <c r="G2054" s="8"/>
      <c r="H2054" s="5"/>
      <c r="J2054" s="10" t="str">
        <f t="shared" si="306"/>
        <v/>
      </c>
      <c r="K2054" s="10" t="str">
        <f t="shared" si="307"/>
        <v/>
      </c>
      <c r="L2054" s="11" t="str">
        <f t="shared" si="309"/>
        <v/>
      </c>
      <c r="M2054" s="9" t="str">
        <f>IF(G2054&lt;&gt;"",J2054/MAX(J$3:J2054)-1,"")</f>
        <v/>
      </c>
      <c r="N2054" s="9" t="str">
        <f>IF(G2054&lt;&gt;"",K2054/MAX(K$3:K2054)-1,"")</f>
        <v/>
      </c>
      <c r="O2054" s="16" t="str">
        <f t="shared" si="305"/>
        <v/>
      </c>
      <c r="P2054" s="16" t="str">
        <f t="shared" si="305"/>
        <v/>
      </c>
      <c r="Q2054" s="16" t="str">
        <f t="shared" si="305"/>
        <v/>
      </c>
      <c r="R2054" s="5" t="str">
        <f t="shared" si="304"/>
        <v/>
      </c>
      <c r="S2054" s="5" t="str">
        <f t="shared" si="308"/>
        <v/>
      </c>
      <c r="T2054" s="5" t="str">
        <f t="shared" si="303"/>
        <v/>
      </c>
      <c r="U2054" s="5" t="str">
        <f t="shared" si="303"/>
        <v/>
      </c>
    </row>
    <row r="2055" spans="7:21" x14ac:dyDescent="0.2">
      <c r="G2055" s="8"/>
      <c r="H2055" s="5"/>
      <c r="J2055" s="10" t="str">
        <f t="shared" si="306"/>
        <v/>
      </c>
      <c r="K2055" s="10" t="str">
        <f t="shared" si="307"/>
        <v/>
      </c>
      <c r="L2055" s="11" t="str">
        <f t="shared" si="309"/>
        <v/>
      </c>
      <c r="M2055" s="9" t="str">
        <f>IF(G2055&lt;&gt;"",J2055/MAX(J$3:J2055)-1,"")</f>
        <v/>
      </c>
      <c r="N2055" s="9" t="str">
        <f>IF(G2055&lt;&gt;"",K2055/MAX(K$3:K2055)-1,"")</f>
        <v/>
      </c>
      <c r="O2055" s="16" t="str">
        <f t="shared" si="305"/>
        <v/>
      </c>
      <c r="P2055" s="16" t="str">
        <f t="shared" si="305"/>
        <v/>
      </c>
      <c r="Q2055" s="16" t="str">
        <f t="shared" si="305"/>
        <v/>
      </c>
      <c r="R2055" s="5" t="str">
        <f t="shared" si="304"/>
        <v/>
      </c>
      <c r="S2055" s="5" t="str">
        <f t="shared" si="308"/>
        <v/>
      </c>
      <c r="T2055" s="5" t="str">
        <f t="shared" si="303"/>
        <v/>
      </c>
      <c r="U2055" s="5" t="str">
        <f t="shared" si="303"/>
        <v/>
      </c>
    </row>
    <row r="2056" spans="7:21" x14ac:dyDescent="0.2">
      <c r="G2056" s="8"/>
      <c r="H2056" s="5"/>
      <c r="J2056" s="10" t="str">
        <f t="shared" si="306"/>
        <v/>
      </c>
      <c r="K2056" s="10" t="str">
        <f t="shared" si="307"/>
        <v/>
      </c>
      <c r="L2056" s="11" t="str">
        <f t="shared" si="309"/>
        <v/>
      </c>
      <c r="M2056" s="9" t="str">
        <f>IF(G2056&lt;&gt;"",J2056/MAX(J$3:J2056)-1,"")</f>
        <v/>
      </c>
      <c r="N2056" s="9" t="str">
        <f>IF(G2056&lt;&gt;"",K2056/MAX(K$3:K2056)-1,"")</f>
        <v/>
      </c>
      <c r="O2056" s="16" t="str">
        <f t="shared" si="305"/>
        <v/>
      </c>
      <c r="P2056" s="16" t="str">
        <f t="shared" si="305"/>
        <v/>
      </c>
      <c r="Q2056" s="16" t="str">
        <f t="shared" si="305"/>
        <v/>
      </c>
      <c r="R2056" s="5" t="str">
        <f t="shared" si="304"/>
        <v/>
      </c>
      <c r="S2056" s="5" t="str">
        <f t="shared" si="308"/>
        <v/>
      </c>
      <c r="T2056" s="5" t="str">
        <f t="shared" ref="T2056:U2071" si="310">IF($G2056&lt;&gt;"",_xlfn.STDEV.S(O1812:O2056),"")</f>
        <v/>
      </c>
      <c r="U2056" s="5" t="str">
        <f t="shared" si="310"/>
        <v/>
      </c>
    </row>
    <row r="2057" spans="7:21" x14ac:dyDescent="0.2">
      <c r="G2057" s="8"/>
      <c r="H2057" s="5"/>
      <c r="J2057" s="10" t="str">
        <f t="shared" si="306"/>
        <v/>
      </c>
      <c r="K2057" s="10" t="str">
        <f t="shared" si="307"/>
        <v/>
      </c>
      <c r="L2057" s="11" t="str">
        <f t="shared" si="309"/>
        <v/>
      </c>
      <c r="M2057" s="9" t="str">
        <f>IF(G2057&lt;&gt;"",J2057/MAX(J$3:J2057)-1,"")</f>
        <v/>
      </c>
      <c r="N2057" s="9" t="str">
        <f>IF(G2057&lt;&gt;"",K2057/MAX(K$3:K2057)-1,"")</f>
        <v/>
      </c>
      <c r="O2057" s="16" t="str">
        <f t="shared" si="305"/>
        <v/>
      </c>
      <c r="P2057" s="16" t="str">
        <f t="shared" si="305"/>
        <v/>
      </c>
      <c r="Q2057" s="16" t="str">
        <f t="shared" si="305"/>
        <v/>
      </c>
      <c r="R2057" s="5" t="str">
        <f t="shared" si="304"/>
        <v/>
      </c>
      <c r="S2057" s="5" t="str">
        <f t="shared" si="308"/>
        <v/>
      </c>
      <c r="T2057" s="5" t="str">
        <f t="shared" si="310"/>
        <v/>
      </c>
      <c r="U2057" s="5" t="str">
        <f t="shared" si="310"/>
        <v/>
      </c>
    </row>
    <row r="2058" spans="7:21" x14ac:dyDescent="0.2">
      <c r="G2058" s="8"/>
      <c r="H2058" s="5"/>
      <c r="J2058" s="10" t="str">
        <f t="shared" si="306"/>
        <v/>
      </c>
      <c r="K2058" s="10" t="str">
        <f t="shared" si="307"/>
        <v/>
      </c>
      <c r="L2058" s="11" t="str">
        <f t="shared" si="309"/>
        <v/>
      </c>
      <c r="M2058" s="9" t="str">
        <f>IF(G2058&lt;&gt;"",J2058/MAX(J$3:J2058)-1,"")</f>
        <v/>
      </c>
      <c r="N2058" s="9" t="str">
        <f>IF(G2058&lt;&gt;"",K2058/MAX(K$3:K2058)-1,"")</f>
        <v/>
      </c>
      <c r="O2058" s="16" t="str">
        <f t="shared" si="305"/>
        <v/>
      </c>
      <c r="P2058" s="16" t="str">
        <f t="shared" si="305"/>
        <v/>
      </c>
      <c r="Q2058" s="16" t="str">
        <f t="shared" si="305"/>
        <v/>
      </c>
      <c r="R2058" s="5" t="str">
        <f t="shared" si="304"/>
        <v/>
      </c>
      <c r="S2058" s="5" t="str">
        <f t="shared" si="308"/>
        <v/>
      </c>
      <c r="T2058" s="5" t="str">
        <f t="shared" si="310"/>
        <v/>
      </c>
      <c r="U2058" s="5" t="str">
        <f t="shared" si="310"/>
        <v/>
      </c>
    </row>
    <row r="2059" spans="7:21" x14ac:dyDescent="0.2">
      <c r="G2059" s="8"/>
      <c r="H2059" s="5"/>
      <c r="J2059" s="10" t="str">
        <f t="shared" si="306"/>
        <v/>
      </c>
      <c r="K2059" s="10" t="str">
        <f t="shared" si="307"/>
        <v/>
      </c>
      <c r="L2059" s="11" t="str">
        <f t="shared" si="309"/>
        <v/>
      </c>
      <c r="M2059" s="9" t="str">
        <f>IF(G2059&lt;&gt;"",J2059/MAX(J$3:J2059)-1,"")</f>
        <v/>
      </c>
      <c r="N2059" s="9" t="str">
        <f>IF(G2059&lt;&gt;"",K2059/MAX(K$3:K2059)-1,"")</f>
        <v/>
      </c>
      <c r="O2059" s="16" t="str">
        <f t="shared" si="305"/>
        <v/>
      </c>
      <c r="P2059" s="16" t="str">
        <f t="shared" si="305"/>
        <v/>
      </c>
      <c r="Q2059" s="16" t="str">
        <f t="shared" si="305"/>
        <v/>
      </c>
      <c r="R2059" s="5" t="str">
        <f t="shared" si="304"/>
        <v/>
      </c>
      <c r="S2059" s="5" t="str">
        <f t="shared" si="308"/>
        <v/>
      </c>
      <c r="T2059" s="5" t="str">
        <f t="shared" si="310"/>
        <v/>
      </c>
      <c r="U2059" s="5" t="str">
        <f t="shared" si="310"/>
        <v/>
      </c>
    </row>
    <row r="2060" spans="7:21" x14ac:dyDescent="0.2">
      <c r="G2060" s="8"/>
      <c r="H2060" s="5"/>
      <c r="J2060" s="10" t="str">
        <f t="shared" si="306"/>
        <v/>
      </c>
      <c r="K2060" s="10" t="str">
        <f t="shared" si="307"/>
        <v/>
      </c>
      <c r="L2060" s="11" t="str">
        <f t="shared" si="309"/>
        <v/>
      </c>
      <c r="M2060" s="9" t="str">
        <f>IF(G2060&lt;&gt;"",J2060/MAX(J$3:J2060)-1,"")</f>
        <v/>
      </c>
      <c r="N2060" s="9" t="str">
        <f>IF(G2060&lt;&gt;"",K2060/MAX(K$3:K2060)-1,"")</f>
        <v/>
      </c>
      <c r="O2060" s="16" t="str">
        <f t="shared" si="305"/>
        <v/>
      </c>
      <c r="P2060" s="16" t="str">
        <f t="shared" si="305"/>
        <v/>
      </c>
      <c r="Q2060" s="16" t="str">
        <f t="shared" si="305"/>
        <v/>
      </c>
      <c r="R2060" s="5" t="str">
        <f t="shared" si="304"/>
        <v/>
      </c>
      <c r="S2060" s="5" t="str">
        <f t="shared" si="308"/>
        <v/>
      </c>
      <c r="T2060" s="5" t="str">
        <f t="shared" si="310"/>
        <v/>
      </c>
      <c r="U2060" s="5" t="str">
        <f t="shared" si="310"/>
        <v/>
      </c>
    </row>
    <row r="2061" spans="7:21" x14ac:dyDescent="0.2">
      <c r="G2061" s="8"/>
      <c r="H2061" s="5"/>
      <c r="J2061" s="10" t="str">
        <f t="shared" si="306"/>
        <v/>
      </c>
      <c r="K2061" s="10" t="str">
        <f t="shared" si="307"/>
        <v/>
      </c>
      <c r="L2061" s="11" t="str">
        <f t="shared" si="309"/>
        <v/>
      </c>
      <c r="M2061" s="9" t="str">
        <f>IF(G2061&lt;&gt;"",J2061/MAX(J$3:J2061)-1,"")</f>
        <v/>
      </c>
      <c r="N2061" s="9" t="str">
        <f>IF(G2061&lt;&gt;"",K2061/MAX(K$3:K2061)-1,"")</f>
        <v/>
      </c>
      <c r="O2061" s="16" t="str">
        <f t="shared" si="305"/>
        <v/>
      </c>
      <c r="P2061" s="16" t="str">
        <f t="shared" si="305"/>
        <v/>
      </c>
      <c r="Q2061" s="16" t="str">
        <f t="shared" si="305"/>
        <v/>
      </c>
      <c r="R2061" s="5" t="str">
        <f t="shared" si="304"/>
        <v/>
      </c>
      <c r="S2061" s="5" t="str">
        <f t="shared" si="308"/>
        <v/>
      </c>
      <c r="T2061" s="5" t="str">
        <f t="shared" si="310"/>
        <v/>
      </c>
      <c r="U2061" s="5" t="str">
        <f t="shared" si="310"/>
        <v/>
      </c>
    </row>
    <row r="2062" spans="7:21" x14ac:dyDescent="0.2">
      <c r="G2062" s="8"/>
      <c r="H2062" s="5"/>
      <c r="J2062" s="10" t="str">
        <f t="shared" si="306"/>
        <v/>
      </c>
      <c r="K2062" s="10" t="str">
        <f t="shared" si="307"/>
        <v/>
      </c>
      <c r="L2062" s="11" t="str">
        <f t="shared" si="309"/>
        <v/>
      </c>
      <c r="M2062" s="9" t="str">
        <f>IF(G2062&lt;&gt;"",J2062/MAX(J$3:J2062)-1,"")</f>
        <v/>
      </c>
      <c r="N2062" s="9" t="str">
        <f>IF(G2062&lt;&gt;"",K2062/MAX(K$3:K2062)-1,"")</f>
        <v/>
      </c>
      <c r="O2062" s="16" t="str">
        <f t="shared" si="305"/>
        <v/>
      </c>
      <c r="P2062" s="16" t="str">
        <f t="shared" si="305"/>
        <v/>
      </c>
      <c r="Q2062" s="16" t="str">
        <f t="shared" si="305"/>
        <v/>
      </c>
      <c r="R2062" s="5" t="str">
        <f t="shared" si="304"/>
        <v/>
      </c>
      <c r="S2062" s="5" t="str">
        <f t="shared" si="308"/>
        <v/>
      </c>
      <c r="T2062" s="5" t="str">
        <f t="shared" si="310"/>
        <v/>
      </c>
      <c r="U2062" s="5" t="str">
        <f t="shared" si="310"/>
        <v/>
      </c>
    </row>
    <row r="2063" spans="7:21" x14ac:dyDescent="0.2">
      <c r="G2063" s="8"/>
      <c r="H2063" s="5"/>
      <c r="J2063" s="10" t="str">
        <f t="shared" si="306"/>
        <v/>
      </c>
      <c r="K2063" s="10" t="str">
        <f t="shared" si="307"/>
        <v/>
      </c>
      <c r="L2063" s="11" t="str">
        <f t="shared" si="309"/>
        <v/>
      </c>
      <c r="M2063" s="9" t="str">
        <f>IF(G2063&lt;&gt;"",J2063/MAX(J$3:J2063)-1,"")</f>
        <v/>
      </c>
      <c r="N2063" s="9" t="str">
        <f>IF(G2063&lt;&gt;"",K2063/MAX(K$3:K2063)-1,"")</f>
        <v/>
      </c>
      <c r="O2063" s="16" t="str">
        <f t="shared" si="305"/>
        <v/>
      </c>
      <c r="P2063" s="16" t="str">
        <f t="shared" si="305"/>
        <v/>
      </c>
      <c r="Q2063" s="16" t="str">
        <f t="shared" si="305"/>
        <v/>
      </c>
      <c r="R2063" s="5" t="str">
        <f t="shared" si="304"/>
        <v/>
      </c>
      <c r="S2063" s="5" t="str">
        <f t="shared" si="308"/>
        <v/>
      </c>
      <c r="T2063" s="5" t="str">
        <f t="shared" si="310"/>
        <v/>
      </c>
      <c r="U2063" s="5" t="str">
        <f t="shared" si="310"/>
        <v/>
      </c>
    </row>
    <row r="2064" spans="7:21" x14ac:dyDescent="0.2">
      <c r="G2064" s="8"/>
      <c r="H2064" s="5"/>
      <c r="J2064" s="10" t="str">
        <f t="shared" si="306"/>
        <v/>
      </c>
      <c r="K2064" s="10" t="str">
        <f t="shared" si="307"/>
        <v/>
      </c>
      <c r="L2064" s="11" t="str">
        <f t="shared" si="309"/>
        <v/>
      </c>
      <c r="M2064" s="9" t="str">
        <f>IF(G2064&lt;&gt;"",J2064/MAX(J$3:J2064)-1,"")</f>
        <v/>
      </c>
      <c r="N2064" s="9" t="str">
        <f>IF(G2064&lt;&gt;"",K2064/MAX(K$3:K2064)-1,"")</f>
        <v/>
      </c>
      <c r="O2064" s="16" t="str">
        <f t="shared" si="305"/>
        <v/>
      </c>
      <c r="P2064" s="16" t="str">
        <f t="shared" si="305"/>
        <v/>
      </c>
      <c r="Q2064" s="16" t="str">
        <f t="shared" si="305"/>
        <v/>
      </c>
      <c r="R2064" s="5" t="str">
        <f t="shared" si="304"/>
        <v/>
      </c>
      <c r="S2064" s="5" t="str">
        <f t="shared" si="308"/>
        <v/>
      </c>
      <c r="T2064" s="5" t="str">
        <f t="shared" si="310"/>
        <v/>
      </c>
      <c r="U2064" s="5" t="str">
        <f t="shared" si="310"/>
        <v/>
      </c>
    </row>
    <row r="2065" spans="7:21" x14ac:dyDescent="0.2">
      <c r="G2065" s="8"/>
      <c r="H2065" s="5"/>
      <c r="J2065" s="10" t="str">
        <f t="shared" si="306"/>
        <v/>
      </c>
      <c r="K2065" s="10" t="str">
        <f t="shared" si="307"/>
        <v/>
      </c>
      <c r="L2065" s="11" t="str">
        <f t="shared" si="309"/>
        <v/>
      </c>
      <c r="M2065" s="9" t="str">
        <f>IF(G2065&lt;&gt;"",J2065/MAX(J$3:J2065)-1,"")</f>
        <v/>
      </c>
      <c r="N2065" s="9" t="str">
        <f>IF(G2065&lt;&gt;"",K2065/MAX(K$3:K2065)-1,"")</f>
        <v/>
      </c>
      <c r="O2065" s="16" t="str">
        <f t="shared" si="305"/>
        <v/>
      </c>
      <c r="P2065" s="16" t="str">
        <f t="shared" si="305"/>
        <v/>
      </c>
      <c r="Q2065" s="16" t="str">
        <f t="shared" si="305"/>
        <v/>
      </c>
      <c r="R2065" s="5" t="str">
        <f t="shared" si="304"/>
        <v/>
      </c>
      <c r="S2065" s="5" t="str">
        <f t="shared" si="308"/>
        <v/>
      </c>
      <c r="T2065" s="5" t="str">
        <f t="shared" si="310"/>
        <v/>
      </c>
      <c r="U2065" s="5" t="str">
        <f t="shared" si="310"/>
        <v/>
      </c>
    </row>
    <row r="2066" spans="7:21" x14ac:dyDescent="0.2">
      <c r="G2066" s="8"/>
      <c r="H2066" s="5"/>
      <c r="J2066" s="10" t="str">
        <f t="shared" si="306"/>
        <v/>
      </c>
      <c r="K2066" s="10" t="str">
        <f t="shared" si="307"/>
        <v/>
      </c>
      <c r="L2066" s="11" t="str">
        <f t="shared" si="309"/>
        <v/>
      </c>
      <c r="M2066" s="9" t="str">
        <f>IF(G2066&lt;&gt;"",J2066/MAX(J$3:J2066)-1,"")</f>
        <v/>
      </c>
      <c r="N2066" s="9" t="str">
        <f>IF(G2066&lt;&gt;"",K2066/MAX(K$3:K2066)-1,"")</f>
        <v/>
      </c>
      <c r="O2066" s="16" t="str">
        <f t="shared" si="305"/>
        <v/>
      </c>
      <c r="P2066" s="16" t="str">
        <f t="shared" si="305"/>
        <v/>
      </c>
      <c r="Q2066" s="16" t="str">
        <f t="shared" si="305"/>
        <v/>
      </c>
      <c r="R2066" s="5" t="str">
        <f t="shared" si="304"/>
        <v/>
      </c>
      <c r="S2066" s="5" t="str">
        <f t="shared" si="308"/>
        <v/>
      </c>
      <c r="T2066" s="5" t="str">
        <f t="shared" si="310"/>
        <v/>
      </c>
      <c r="U2066" s="5" t="str">
        <f t="shared" si="310"/>
        <v/>
      </c>
    </row>
    <row r="2067" spans="7:21" x14ac:dyDescent="0.2">
      <c r="G2067" s="8"/>
      <c r="H2067" s="5"/>
      <c r="J2067" s="10" t="str">
        <f t="shared" si="306"/>
        <v/>
      </c>
      <c r="K2067" s="10" t="str">
        <f t="shared" si="307"/>
        <v/>
      </c>
      <c r="L2067" s="11" t="str">
        <f t="shared" si="309"/>
        <v/>
      </c>
      <c r="M2067" s="9" t="str">
        <f>IF(G2067&lt;&gt;"",J2067/MAX(J$3:J2067)-1,"")</f>
        <v/>
      </c>
      <c r="N2067" s="9" t="str">
        <f>IF(G2067&lt;&gt;"",K2067/MAX(K$3:K2067)-1,"")</f>
        <v/>
      </c>
      <c r="O2067" s="16" t="str">
        <f t="shared" si="305"/>
        <v/>
      </c>
      <c r="P2067" s="16" t="str">
        <f t="shared" si="305"/>
        <v/>
      </c>
      <c r="Q2067" s="16" t="str">
        <f t="shared" si="305"/>
        <v/>
      </c>
      <c r="R2067" s="5" t="str">
        <f t="shared" si="304"/>
        <v/>
      </c>
      <c r="S2067" s="5" t="str">
        <f t="shared" si="308"/>
        <v/>
      </c>
      <c r="T2067" s="5" t="str">
        <f t="shared" si="310"/>
        <v/>
      </c>
      <c r="U2067" s="5" t="str">
        <f t="shared" si="310"/>
        <v/>
      </c>
    </row>
    <row r="2068" spans="7:21" x14ac:dyDescent="0.2">
      <c r="G2068" s="8"/>
      <c r="H2068" s="5"/>
      <c r="J2068" s="10" t="str">
        <f t="shared" si="306"/>
        <v/>
      </c>
      <c r="K2068" s="10" t="str">
        <f t="shared" si="307"/>
        <v/>
      </c>
      <c r="L2068" s="11" t="str">
        <f t="shared" si="309"/>
        <v/>
      </c>
      <c r="M2068" s="9" t="str">
        <f>IF(G2068&lt;&gt;"",J2068/MAX(J$3:J2068)-1,"")</f>
        <v/>
      </c>
      <c r="N2068" s="9" t="str">
        <f>IF(G2068&lt;&gt;"",K2068/MAX(K$3:K2068)-1,"")</f>
        <v/>
      </c>
      <c r="O2068" s="16" t="str">
        <f t="shared" si="305"/>
        <v/>
      </c>
      <c r="P2068" s="16" t="str">
        <f t="shared" si="305"/>
        <v/>
      </c>
      <c r="Q2068" s="16" t="str">
        <f t="shared" si="305"/>
        <v/>
      </c>
      <c r="R2068" s="5" t="str">
        <f t="shared" si="304"/>
        <v/>
      </c>
      <c r="S2068" s="5" t="str">
        <f t="shared" si="308"/>
        <v/>
      </c>
      <c r="T2068" s="5" t="str">
        <f t="shared" si="310"/>
        <v/>
      </c>
      <c r="U2068" s="5" t="str">
        <f t="shared" si="310"/>
        <v/>
      </c>
    </row>
    <row r="2069" spans="7:21" x14ac:dyDescent="0.2">
      <c r="G2069" s="8"/>
      <c r="H2069" s="5"/>
      <c r="J2069" s="10" t="str">
        <f t="shared" si="306"/>
        <v/>
      </c>
      <c r="K2069" s="10" t="str">
        <f t="shared" si="307"/>
        <v/>
      </c>
      <c r="L2069" s="11" t="str">
        <f t="shared" si="309"/>
        <v/>
      </c>
      <c r="M2069" s="9" t="str">
        <f>IF(G2069&lt;&gt;"",J2069/MAX(J$3:J2069)-1,"")</f>
        <v/>
      </c>
      <c r="N2069" s="9" t="str">
        <f>IF(G2069&lt;&gt;"",K2069/MAX(K$3:K2069)-1,"")</f>
        <v/>
      </c>
      <c r="O2069" s="16" t="str">
        <f t="shared" si="305"/>
        <v/>
      </c>
      <c r="P2069" s="16" t="str">
        <f t="shared" si="305"/>
        <v/>
      </c>
      <c r="Q2069" s="16" t="str">
        <f t="shared" si="305"/>
        <v/>
      </c>
      <c r="R2069" s="5" t="str">
        <f t="shared" si="304"/>
        <v/>
      </c>
      <c r="S2069" s="5" t="str">
        <f t="shared" si="308"/>
        <v/>
      </c>
      <c r="T2069" s="5" t="str">
        <f t="shared" si="310"/>
        <v/>
      </c>
      <c r="U2069" s="5" t="str">
        <f t="shared" si="310"/>
        <v/>
      </c>
    </row>
    <row r="2070" spans="7:21" x14ac:dyDescent="0.2">
      <c r="G2070" s="8"/>
      <c r="H2070" s="5"/>
      <c r="J2070" s="10" t="str">
        <f t="shared" si="306"/>
        <v/>
      </c>
      <c r="K2070" s="10" t="str">
        <f t="shared" si="307"/>
        <v/>
      </c>
      <c r="L2070" s="11" t="str">
        <f t="shared" si="309"/>
        <v/>
      </c>
      <c r="M2070" s="9" t="str">
        <f>IF(G2070&lt;&gt;"",J2070/MAX(J$3:J2070)-1,"")</f>
        <v/>
      </c>
      <c r="N2070" s="9" t="str">
        <f>IF(G2070&lt;&gt;"",K2070/MAX(K$3:K2070)-1,"")</f>
        <v/>
      </c>
      <c r="O2070" s="16" t="str">
        <f t="shared" si="305"/>
        <v/>
      </c>
      <c r="P2070" s="16" t="str">
        <f t="shared" si="305"/>
        <v/>
      </c>
      <c r="Q2070" s="16" t="str">
        <f t="shared" si="305"/>
        <v/>
      </c>
      <c r="R2070" s="5" t="str">
        <f t="shared" si="304"/>
        <v/>
      </c>
      <c r="S2070" s="5" t="str">
        <f t="shared" si="308"/>
        <v/>
      </c>
      <c r="T2070" s="5" t="str">
        <f t="shared" si="310"/>
        <v/>
      </c>
      <c r="U2070" s="5" t="str">
        <f t="shared" si="310"/>
        <v/>
      </c>
    </row>
    <row r="2071" spans="7:21" x14ac:dyDescent="0.2">
      <c r="G2071" s="8"/>
      <c r="H2071" s="5"/>
      <c r="J2071" s="10" t="str">
        <f t="shared" si="306"/>
        <v/>
      </c>
      <c r="K2071" s="10" t="str">
        <f t="shared" si="307"/>
        <v/>
      </c>
      <c r="L2071" s="11" t="str">
        <f t="shared" si="309"/>
        <v/>
      </c>
      <c r="M2071" s="9" t="str">
        <f>IF(G2071&lt;&gt;"",J2071/MAX(J$3:J2071)-1,"")</f>
        <v/>
      </c>
      <c r="N2071" s="9" t="str">
        <f>IF(G2071&lt;&gt;"",K2071/MAX(K$3:K2071)-1,"")</f>
        <v/>
      </c>
      <c r="O2071" s="16" t="str">
        <f t="shared" si="305"/>
        <v/>
      </c>
      <c r="P2071" s="16" t="str">
        <f t="shared" si="305"/>
        <v/>
      </c>
      <c r="Q2071" s="16" t="str">
        <f t="shared" si="305"/>
        <v/>
      </c>
      <c r="R2071" s="5" t="str">
        <f t="shared" si="304"/>
        <v/>
      </c>
      <c r="S2071" s="5" t="str">
        <f t="shared" si="308"/>
        <v/>
      </c>
      <c r="T2071" s="5" t="str">
        <f t="shared" si="310"/>
        <v/>
      </c>
      <c r="U2071" s="5" t="str">
        <f t="shared" si="310"/>
        <v/>
      </c>
    </row>
    <row r="2072" spans="7:21" x14ac:dyDescent="0.2">
      <c r="G2072" s="8"/>
      <c r="H2072" s="5"/>
      <c r="J2072" s="10" t="str">
        <f t="shared" si="306"/>
        <v/>
      </c>
      <c r="K2072" s="10" t="str">
        <f t="shared" si="307"/>
        <v/>
      </c>
      <c r="L2072" s="11" t="str">
        <f t="shared" si="309"/>
        <v/>
      </c>
      <c r="M2072" s="9" t="str">
        <f>IF(G2072&lt;&gt;"",J2072/MAX(J$3:J2072)-1,"")</f>
        <v/>
      </c>
      <c r="N2072" s="9" t="str">
        <f>IF(G2072&lt;&gt;"",K2072/MAX(K$3:K2072)-1,"")</f>
        <v/>
      </c>
      <c r="O2072" s="16" t="str">
        <f t="shared" si="305"/>
        <v/>
      </c>
      <c r="P2072" s="16" t="str">
        <f t="shared" si="305"/>
        <v/>
      </c>
      <c r="Q2072" s="16" t="str">
        <f t="shared" si="305"/>
        <v/>
      </c>
      <c r="R2072" s="5" t="str">
        <f t="shared" si="304"/>
        <v/>
      </c>
      <c r="S2072" s="5" t="str">
        <f t="shared" si="308"/>
        <v/>
      </c>
      <c r="T2072" s="5" t="str">
        <f t="shared" ref="T2072:U2087" si="311">IF($G2072&lt;&gt;"",_xlfn.STDEV.S(O1828:O2072),"")</f>
        <v/>
      </c>
      <c r="U2072" s="5" t="str">
        <f t="shared" si="311"/>
        <v/>
      </c>
    </row>
    <row r="2073" spans="7:21" x14ac:dyDescent="0.2">
      <c r="G2073" s="8"/>
      <c r="H2073" s="5"/>
      <c r="J2073" s="10" t="str">
        <f t="shared" si="306"/>
        <v/>
      </c>
      <c r="K2073" s="10" t="str">
        <f t="shared" si="307"/>
        <v/>
      </c>
      <c r="L2073" s="11" t="str">
        <f t="shared" si="309"/>
        <v/>
      </c>
      <c r="M2073" s="9" t="str">
        <f>IF(G2073&lt;&gt;"",J2073/MAX(J$3:J2073)-1,"")</f>
        <v/>
      </c>
      <c r="N2073" s="9" t="str">
        <f>IF(G2073&lt;&gt;"",K2073/MAX(K$3:K2073)-1,"")</f>
        <v/>
      </c>
      <c r="O2073" s="16" t="str">
        <f t="shared" si="305"/>
        <v/>
      </c>
      <c r="P2073" s="16" t="str">
        <f t="shared" si="305"/>
        <v/>
      </c>
      <c r="Q2073" s="16" t="str">
        <f t="shared" si="305"/>
        <v/>
      </c>
      <c r="R2073" s="5" t="str">
        <f t="shared" si="304"/>
        <v/>
      </c>
      <c r="S2073" s="5" t="str">
        <f t="shared" si="308"/>
        <v/>
      </c>
      <c r="T2073" s="5" t="str">
        <f t="shared" si="311"/>
        <v/>
      </c>
      <c r="U2073" s="5" t="str">
        <f t="shared" si="311"/>
        <v/>
      </c>
    </row>
    <row r="2074" spans="7:21" x14ac:dyDescent="0.2">
      <c r="G2074" s="8"/>
      <c r="H2074" s="5"/>
      <c r="J2074" s="10" t="str">
        <f t="shared" si="306"/>
        <v/>
      </c>
      <c r="K2074" s="10" t="str">
        <f t="shared" si="307"/>
        <v/>
      </c>
      <c r="L2074" s="11" t="str">
        <f t="shared" si="309"/>
        <v/>
      </c>
      <c r="M2074" s="9" t="str">
        <f>IF(G2074&lt;&gt;"",J2074/MAX(J$3:J2074)-1,"")</f>
        <v/>
      </c>
      <c r="N2074" s="9" t="str">
        <f>IF(G2074&lt;&gt;"",K2074/MAX(K$3:K2074)-1,"")</f>
        <v/>
      </c>
      <c r="O2074" s="16" t="str">
        <f t="shared" si="305"/>
        <v/>
      </c>
      <c r="P2074" s="16" t="str">
        <f t="shared" si="305"/>
        <v/>
      </c>
      <c r="Q2074" s="16" t="str">
        <f t="shared" si="305"/>
        <v/>
      </c>
      <c r="R2074" s="5" t="str">
        <f t="shared" si="304"/>
        <v/>
      </c>
      <c r="S2074" s="5" t="str">
        <f t="shared" si="308"/>
        <v/>
      </c>
      <c r="T2074" s="5" t="str">
        <f t="shared" si="311"/>
        <v/>
      </c>
      <c r="U2074" s="5" t="str">
        <f t="shared" si="311"/>
        <v/>
      </c>
    </row>
    <row r="2075" spans="7:21" x14ac:dyDescent="0.2">
      <c r="G2075" s="8"/>
      <c r="H2075" s="5"/>
      <c r="J2075" s="10" t="str">
        <f t="shared" si="306"/>
        <v/>
      </c>
      <c r="K2075" s="10" t="str">
        <f t="shared" si="307"/>
        <v/>
      </c>
      <c r="L2075" s="11" t="str">
        <f t="shared" si="309"/>
        <v/>
      </c>
      <c r="M2075" s="9" t="str">
        <f>IF(G2075&lt;&gt;"",J2075/MAX(J$3:J2075)-1,"")</f>
        <v/>
      </c>
      <c r="N2075" s="9" t="str">
        <f>IF(G2075&lt;&gt;"",K2075/MAX(K$3:K2075)-1,"")</f>
        <v/>
      </c>
      <c r="O2075" s="16" t="str">
        <f t="shared" si="305"/>
        <v/>
      </c>
      <c r="P2075" s="16" t="str">
        <f t="shared" si="305"/>
        <v/>
      </c>
      <c r="Q2075" s="16" t="str">
        <f t="shared" si="305"/>
        <v/>
      </c>
      <c r="R2075" s="5" t="str">
        <f t="shared" si="304"/>
        <v/>
      </c>
      <c r="S2075" s="5" t="str">
        <f t="shared" si="308"/>
        <v/>
      </c>
      <c r="T2075" s="5" t="str">
        <f t="shared" si="311"/>
        <v/>
      </c>
      <c r="U2075" s="5" t="str">
        <f t="shared" si="311"/>
        <v/>
      </c>
    </row>
    <row r="2076" spans="7:21" x14ac:dyDescent="0.2">
      <c r="G2076" s="8"/>
      <c r="H2076" s="5"/>
      <c r="J2076" s="10" t="str">
        <f t="shared" si="306"/>
        <v/>
      </c>
      <c r="K2076" s="10" t="str">
        <f t="shared" si="307"/>
        <v/>
      </c>
      <c r="L2076" s="11" t="str">
        <f t="shared" si="309"/>
        <v/>
      </c>
      <c r="M2076" s="9" t="str">
        <f>IF(G2076&lt;&gt;"",J2076/MAX(J$3:J2076)-1,"")</f>
        <v/>
      </c>
      <c r="N2076" s="9" t="str">
        <f>IF(G2076&lt;&gt;"",K2076/MAX(K$3:K2076)-1,"")</f>
        <v/>
      </c>
      <c r="O2076" s="16" t="str">
        <f t="shared" si="305"/>
        <v/>
      </c>
      <c r="P2076" s="16" t="str">
        <f t="shared" si="305"/>
        <v/>
      </c>
      <c r="Q2076" s="16" t="str">
        <f t="shared" si="305"/>
        <v/>
      </c>
      <c r="R2076" s="5" t="str">
        <f t="shared" si="304"/>
        <v/>
      </c>
      <c r="S2076" s="5" t="str">
        <f t="shared" si="308"/>
        <v/>
      </c>
      <c r="T2076" s="5" t="str">
        <f t="shared" si="311"/>
        <v/>
      </c>
      <c r="U2076" s="5" t="str">
        <f t="shared" si="311"/>
        <v/>
      </c>
    </row>
    <row r="2077" spans="7:21" x14ac:dyDescent="0.2">
      <c r="G2077" s="8"/>
      <c r="H2077" s="5"/>
      <c r="J2077" s="10" t="str">
        <f t="shared" si="306"/>
        <v/>
      </c>
      <c r="K2077" s="10" t="str">
        <f t="shared" si="307"/>
        <v/>
      </c>
      <c r="L2077" s="11" t="str">
        <f t="shared" si="309"/>
        <v/>
      </c>
      <c r="M2077" s="9" t="str">
        <f>IF(G2077&lt;&gt;"",J2077/MAX(J$3:J2077)-1,"")</f>
        <v/>
      </c>
      <c r="N2077" s="9" t="str">
        <f>IF(G2077&lt;&gt;"",K2077/MAX(K$3:K2077)-1,"")</f>
        <v/>
      </c>
      <c r="O2077" s="16" t="str">
        <f t="shared" si="305"/>
        <v/>
      </c>
      <c r="P2077" s="16" t="str">
        <f t="shared" si="305"/>
        <v/>
      </c>
      <c r="Q2077" s="16" t="str">
        <f t="shared" si="305"/>
        <v/>
      </c>
      <c r="R2077" s="5" t="str">
        <f t="shared" si="304"/>
        <v/>
      </c>
      <c r="S2077" s="5" t="str">
        <f t="shared" si="308"/>
        <v/>
      </c>
      <c r="T2077" s="5" t="str">
        <f t="shared" si="311"/>
        <v/>
      </c>
      <c r="U2077" s="5" t="str">
        <f t="shared" si="311"/>
        <v/>
      </c>
    </row>
    <row r="2078" spans="7:21" x14ac:dyDescent="0.2">
      <c r="G2078" s="8"/>
      <c r="H2078" s="5"/>
      <c r="J2078" s="10" t="str">
        <f t="shared" si="306"/>
        <v/>
      </c>
      <c r="K2078" s="10" t="str">
        <f t="shared" si="307"/>
        <v/>
      </c>
      <c r="L2078" s="11" t="str">
        <f t="shared" si="309"/>
        <v/>
      </c>
      <c r="M2078" s="9" t="str">
        <f>IF(G2078&lt;&gt;"",J2078/MAX(J$3:J2078)-1,"")</f>
        <v/>
      </c>
      <c r="N2078" s="9" t="str">
        <f>IF(G2078&lt;&gt;"",K2078/MAX(K$3:K2078)-1,"")</f>
        <v/>
      </c>
      <c r="O2078" s="16" t="str">
        <f t="shared" si="305"/>
        <v/>
      </c>
      <c r="P2078" s="16" t="str">
        <f t="shared" si="305"/>
        <v/>
      </c>
      <c r="Q2078" s="16" t="str">
        <f t="shared" si="305"/>
        <v/>
      </c>
      <c r="R2078" s="5" t="str">
        <f t="shared" si="304"/>
        <v/>
      </c>
      <c r="S2078" s="5" t="str">
        <f t="shared" si="308"/>
        <v/>
      </c>
      <c r="T2078" s="5" t="str">
        <f t="shared" si="311"/>
        <v/>
      </c>
      <c r="U2078" s="5" t="str">
        <f t="shared" si="311"/>
        <v/>
      </c>
    </row>
    <row r="2079" spans="7:21" x14ac:dyDescent="0.2">
      <c r="G2079" s="8"/>
      <c r="H2079" s="5"/>
      <c r="J2079" s="10" t="str">
        <f t="shared" si="306"/>
        <v/>
      </c>
      <c r="K2079" s="10" t="str">
        <f t="shared" si="307"/>
        <v/>
      </c>
      <c r="L2079" s="11" t="str">
        <f t="shared" si="309"/>
        <v/>
      </c>
      <c r="M2079" s="9" t="str">
        <f>IF(G2079&lt;&gt;"",J2079/MAX(J$3:J2079)-1,"")</f>
        <v/>
      </c>
      <c r="N2079" s="9" t="str">
        <f>IF(G2079&lt;&gt;"",K2079/MAX(K$3:K2079)-1,"")</f>
        <v/>
      </c>
      <c r="O2079" s="16" t="str">
        <f t="shared" si="305"/>
        <v/>
      </c>
      <c r="P2079" s="16" t="str">
        <f t="shared" si="305"/>
        <v/>
      </c>
      <c r="Q2079" s="16" t="str">
        <f t="shared" si="305"/>
        <v/>
      </c>
      <c r="R2079" s="5" t="str">
        <f t="shared" si="304"/>
        <v/>
      </c>
      <c r="S2079" s="5" t="str">
        <f t="shared" si="308"/>
        <v/>
      </c>
      <c r="T2079" s="5" t="str">
        <f t="shared" si="311"/>
        <v/>
      </c>
      <c r="U2079" s="5" t="str">
        <f t="shared" si="311"/>
        <v/>
      </c>
    </row>
    <row r="2080" spans="7:21" x14ac:dyDescent="0.2">
      <c r="G2080" s="8"/>
      <c r="H2080" s="5"/>
      <c r="J2080" s="10" t="str">
        <f t="shared" si="306"/>
        <v/>
      </c>
      <c r="K2080" s="10" t="str">
        <f t="shared" si="307"/>
        <v/>
      </c>
      <c r="L2080" s="11" t="str">
        <f t="shared" si="309"/>
        <v/>
      </c>
      <c r="M2080" s="9" t="str">
        <f>IF(G2080&lt;&gt;"",J2080/MAX(J$3:J2080)-1,"")</f>
        <v/>
      </c>
      <c r="N2080" s="9" t="str">
        <f>IF(G2080&lt;&gt;"",K2080/MAX(K$3:K2080)-1,"")</f>
        <v/>
      </c>
      <c r="O2080" s="16" t="str">
        <f t="shared" si="305"/>
        <v/>
      </c>
      <c r="P2080" s="16" t="str">
        <f t="shared" si="305"/>
        <v/>
      </c>
      <c r="Q2080" s="16" t="str">
        <f t="shared" si="305"/>
        <v/>
      </c>
      <c r="R2080" s="5" t="str">
        <f t="shared" si="304"/>
        <v/>
      </c>
      <c r="S2080" s="5" t="str">
        <f t="shared" si="308"/>
        <v/>
      </c>
      <c r="T2080" s="5" t="str">
        <f t="shared" si="311"/>
        <v/>
      </c>
      <c r="U2080" s="5" t="str">
        <f t="shared" si="311"/>
        <v/>
      </c>
    </row>
    <row r="2081" spans="7:21" x14ac:dyDescent="0.2">
      <c r="G2081" s="8"/>
      <c r="H2081" s="5"/>
      <c r="J2081" s="10" t="str">
        <f t="shared" si="306"/>
        <v/>
      </c>
      <c r="K2081" s="10" t="str">
        <f t="shared" si="307"/>
        <v/>
      </c>
      <c r="L2081" s="11" t="str">
        <f t="shared" si="309"/>
        <v/>
      </c>
      <c r="M2081" s="9" t="str">
        <f>IF(G2081&lt;&gt;"",J2081/MAX(J$3:J2081)-1,"")</f>
        <v/>
      </c>
      <c r="N2081" s="9" t="str">
        <f>IF(G2081&lt;&gt;"",K2081/MAX(K$3:K2081)-1,"")</f>
        <v/>
      </c>
      <c r="O2081" s="16" t="str">
        <f t="shared" si="305"/>
        <v/>
      </c>
      <c r="P2081" s="16" t="str">
        <f t="shared" si="305"/>
        <v/>
      </c>
      <c r="Q2081" s="16" t="str">
        <f t="shared" si="305"/>
        <v/>
      </c>
      <c r="R2081" s="5" t="str">
        <f t="shared" si="304"/>
        <v/>
      </c>
      <c r="S2081" s="5" t="str">
        <f t="shared" si="308"/>
        <v/>
      </c>
      <c r="T2081" s="5" t="str">
        <f t="shared" si="311"/>
        <v/>
      </c>
      <c r="U2081" s="5" t="str">
        <f t="shared" si="311"/>
        <v/>
      </c>
    </row>
    <row r="2082" spans="7:21" x14ac:dyDescent="0.2">
      <c r="G2082" s="8"/>
      <c r="H2082" s="5"/>
      <c r="J2082" s="10" t="str">
        <f t="shared" si="306"/>
        <v/>
      </c>
      <c r="K2082" s="10" t="str">
        <f t="shared" si="307"/>
        <v/>
      </c>
      <c r="L2082" s="11" t="str">
        <f t="shared" si="309"/>
        <v/>
      </c>
      <c r="M2082" s="9" t="str">
        <f>IF(G2082&lt;&gt;"",J2082/MAX(J$3:J2082)-1,"")</f>
        <v/>
      </c>
      <c r="N2082" s="9" t="str">
        <f>IF(G2082&lt;&gt;"",K2082/MAX(K$3:K2082)-1,"")</f>
        <v/>
      </c>
      <c r="O2082" s="16" t="str">
        <f t="shared" si="305"/>
        <v/>
      </c>
      <c r="P2082" s="16" t="str">
        <f t="shared" si="305"/>
        <v/>
      </c>
      <c r="Q2082" s="16" t="str">
        <f t="shared" si="305"/>
        <v/>
      </c>
      <c r="R2082" s="5" t="str">
        <f t="shared" si="304"/>
        <v/>
      </c>
      <c r="S2082" s="5" t="str">
        <f t="shared" si="308"/>
        <v/>
      </c>
      <c r="T2082" s="5" t="str">
        <f t="shared" si="311"/>
        <v/>
      </c>
      <c r="U2082" s="5" t="str">
        <f t="shared" si="311"/>
        <v/>
      </c>
    </row>
    <row r="2083" spans="7:21" x14ac:dyDescent="0.2">
      <c r="G2083" s="8"/>
      <c r="H2083" s="5"/>
      <c r="J2083" s="10" t="str">
        <f t="shared" si="306"/>
        <v/>
      </c>
      <c r="K2083" s="10" t="str">
        <f t="shared" si="307"/>
        <v/>
      </c>
      <c r="L2083" s="11" t="str">
        <f t="shared" si="309"/>
        <v/>
      </c>
      <c r="M2083" s="9" t="str">
        <f>IF(G2083&lt;&gt;"",J2083/MAX(J$3:J2083)-1,"")</f>
        <v/>
      </c>
      <c r="N2083" s="9" t="str">
        <f>IF(G2083&lt;&gt;"",K2083/MAX(K$3:K2083)-1,"")</f>
        <v/>
      </c>
      <c r="O2083" s="16" t="str">
        <f t="shared" si="305"/>
        <v/>
      </c>
      <c r="P2083" s="16" t="str">
        <f t="shared" si="305"/>
        <v/>
      </c>
      <c r="Q2083" s="16" t="str">
        <f t="shared" si="305"/>
        <v/>
      </c>
      <c r="R2083" s="5" t="str">
        <f t="shared" si="304"/>
        <v/>
      </c>
      <c r="S2083" s="5" t="str">
        <f t="shared" si="308"/>
        <v/>
      </c>
      <c r="T2083" s="5" t="str">
        <f t="shared" si="311"/>
        <v/>
      </c>
      <c r="U2083" s="5" t="str">
        <f t="shared" si="311"/>
        <v/>
      </c>
    </row>
    <row r="2084" spans="7:21" x14ac:dyDescent="0.2">
      <c r="G2084" s="8"/>
      <c r="H2084" s="5"/>
      <c r="J2084" s="10" t="str">
        <f t="shared" si="306"/>
        <v/>
      </c>
      <c r="K2084" s="10" t="str">
        <f t="shared" si="307"/>
        <v/>
      </c>
      <c r="L2084" s="11" t="str">
        <f t="shared" si="309"/>
        <v/>
      </c>
      <c r="M2084" s="9" t="str">
        <f>IF(G2084&lt;&gt;"",J2084/MAX(J$3:J2084)-1,"")</f>
        <v/>
      </c>
      <c r="N2084" s="9" t="str">
        <f>IF(G2084&lt;&gt;"",K2084/MAX(K$3:K2084)-1,"")</f>
        <v/>
      </c>
      <c r="O2084" s="16" t="str">
        <f t="shared" si="305"/>
        <v/>
      </c>
      <c r="P2084" s="16" t="str">
        <f t="shared" si="305"/>
        <v/>
      </c>
      <c r="Q2084" s="16" t="str">
        <f t="shared" si="305"/>
        <v/>
      </c>
      <c r="R2084" s="5" t="str">
        <f t="shared" si="304"/>
        <v/>
      </c>
      <c r="S2084" s="5" t="str">
        <f t="shared" si="308"/>
        <v/>
      </c>
      <c r="T2084" s="5" t="str">
        <f t="shared" si="311"/>
        <v/>
      </c>
      <c r="U2084" s="5" t="str">
        <f t="shared" si="311"/>
        <v/>
      </c>
    </row>
    <row r="2085" spans="7:21" x14ac:dyDescent="0.2">
      <c r="G2085" s="8"/>
      <c r="H2085" s="5"/>
      <c r="J2085" s="10" t="str">
        <f t="shared" si="306"/>
        <v/>
      </c>
      <c r="K2085" s="10" t="str">
        <f t="shared" si="307"/>
        <v/>
      </c>
      <c r="L2085" s="11" t="str">
        <f t="shared" si="309"/>
        <v/>
      </c>
      <c r="M2085" s="9" t="str">
        <f>IF(G2085&lt;&gt;"",J2085/MAX(J$3:J2085)-1,"")</f>
        <v/>
      </c>
      <c r="N2085" s="9" t="str">
        <f>IF(G2085&lt;&gt;"",K2085/MAX(K$3:K2085)-1,"")</f>
        <v/>
      </c>
      <c r="O2085" s="16" t="str">
        <f t="shared" si="305"/>
        <v/>
      </c>
      <c r="P2085" s="16" t="str">
        <f t="shared" si="305"/>
        <v/>
      </c>
      <c r="Q2085" s="16" t="str">
        <f t="shared" si="305"/>
        <v/>
      </c>
      <c r="R2085" s="5" t="str">
        <f t="shared" si="304"/>
        <v/>
      </c>
      <c r="S2085" s="5" t="str">
        <f t="shared" si="308"/>
        <v/>
      </c>
      <c r="T2085" s="5" t="str">
        <f t="shared" si="311"/>
        <v/>
      </c>
      <c r="U2085" s="5" t="str">
        <f t="shared" si="311"/>
        <v/>
      </c>
    </row>
    <row r="2086" spans="7:21" x14ac:dyDescent="0.2">
      <c r="G2086" s="8"/>
      <c r="H2086" s="5"/>
      <c r="J2086" s="10" t="str">
        <f t="shared" si="306"/>
        <v/>
      </c>
      <c r="K2086" s="10" t="str">
        <f t="shared" si="307"/>
        <v/>
      </c>
      <c r="L2086" s="11" t="str">
        <f t="shared" si="309"/>
        <v/>
      </c>
      <c r="M2086" s="9" t="str">
        <f>IF(G2086&lt;&gt;"",J2086/MAX(J$3:J2086)-1,"")</f>
        <v/>
      </c>
      <c r="N2086" s="9" t="str">
        <f>IF(G2086&lt;&gt;"",K2086/MAX(K$3:K2086)-1,"")</f>
        <v/>
      </c>
      <c r="O2086" s="16" t="str">
        <f t="shared" si="305"/>
        <v/>
      </c>
      <c r="P2086" s="16" t="str">
        <f t="shared" si="305"/>
        <v/>
      </c>
      <c r="Q2086" s="16" t="str">
        <f t="shared" si="305"/>
        <v/>
      </c>
      <c r="R2086" s="5" t="str">
        <f t="shared" si="304"/>
        <v/>
      </c>
      <c r="S2086" s="5" t="str">
        <f t="shared" si="308"/>
        <v/>
      </c>
      <c r="T2086" s="5" t="str">
        <f t="shared" si="311"/>
        <v/>
      </c>
      <c r="U2086" s="5" t="str">
        <f t="shared" si="311"/>
        <v/>
      </c>
    </row>
    <row r="2087" spans="7:21" x14ac:dyDescent="0.2">
      <c r="G2087" s="8"/>
      <c r="H2087" s="5"/>
      <c r="J2087" s="10" t="str">
        <f t="shared" si="306"/>
        <v/>
      </c>
      <c r="K2087" s="10" t="str">
        <f t="shared" si="307"/>
        <v/>
      </c>
      <c r="L2087" s="11" t="str">
        <f t="shared" si="309"/>
        <v/>
      </c>
      <c r="M2087" s="9" t="str">
        <f>IF(G2087&lt;&gt;"",J2087/MAX(J$3:J2087)-1,"")</f>
        <v/>
      </c>
      <c r="N2087" s="9" t="str">
        <f>IF(G2087&lt;&gt;"",K2087/MAX(K$3:K2087)-1,"")</f>
        <v/>
      </c>
      <c r="O2087" s="16" t="str">
        <f t="shared" si="305"/>
        <v/>
      </c>
      <c r="P2087" s="16" t="str">
        <f t="shared" si="305"/>
        <v/>
      </c>
      <c r="Q2087" s="16" t="str">
        <f t="shared" si="305"/>
        <v/>
      </c>
      <c r="R2087" s="5" t="str">
        <f t="shared" si="304"/>
        <v/>
      </c>
      <c r="S2087" s="5" t="str">
        <f t="shared" si="308"/>
        <v/>
      </c>
      <c r="T2087" s="5" t="str">
        <f t="shared" si="311"/>
        <v/>
      </c>
      <c r="U2087" s="5" t="str">
        <f t="shared" si="311"/>
        <v/>
      </c>
    </row>
    <row r="2088" spans="7:21" x14ac:dyDescent="0.2">
      <c r="G2088" s="8"/>
      <c r="H2088" s="5"/>
      <c r="J2088" s="10" t="str">
        <f t="shared" si="306"/>
        <v/>
      </c>
      <c r="K2088" s="10" t="str">
        <f t="shared" si="307"/>
        <v/>
      </c>
      <c r="L2088" s="11" t="str">
        <f t="shared" si="309"/>
        <v/>
      </c>
      <c r="M2088" s="9" t="str">
        <f>IF(G2088&lt;&gt;"",J2088/MAX(J$3:J2088)-1,"")</f>
        <v/>
      </c>
      <c r="N2088" s="9" t="str">
        <f>IF(G2088&lt;&gt;"",K2088/MAX(K$3:K2088)-1,"")</f>
        <v/>
      </c>
      <c r="O2088" s="16" t="str">
        <f t="shared" si="305"/>
        <v/>
      </c>
      <c r="P2088" s="16" t="str">
        <f t="shared" si="305"/>
        <v/>
      </c>
      <c r="Q2088" s="16" t="str">
        <f t="shared" si="305"/>
        <v/>
      </c>
      <c r="R2088" s="5" t="str">
        <f t="shared" si="304"/>
        <v/>
      </c>
      <c r="S2088" s="5" t="str">
        <f t="shared" si="308"/>
        <v/>
      </c>
      <c r="T2088" s="5" t="str">
        <f t="shared" ref="T2088:U2103" si="312">IF($G2088&lt;&gt;"",_xlfn.STDEV.S(O1844:O2088),"")</f>
        <v/>
      </c>
      <c r="U2088" s="5" t="str">
        <f t="shared" si="312"/>
        <v/>
      </c>
    </row>
    <row r="2089" spans="7:21" x14ac:dyDescent="0.2">
      <c r="G2089" s="8"/>
      <c r="H2089" s="5"/>
      <c r="J2089" s="10" t="str">
        <f t="shared" si="306"/>
        <v/>
      </c>
      <c r="K2089" s="10" t="str">
        <f t="shared" si="307"/>
        <v/>
      </c>
      <c r="L2089" s="11" t="str">
        <f t="shared" si="309"/>
        <v/>
      </c>
      <c r="M2089" s="9" t="str">
        <f>IF(G2089&lt;&gt;"",J2089/MAX(J$3:J2089)-1,"")</f>
        <v/>
      </c>
      <c r="N2089" s="9" t="str">
        <f>IF(G2089&lt;&gt;"",K2089/MAX(K$3:K2089)-1,"")</f>
        <v/>
      </c>
      <c r="O2089" s="16" t="str">
        <f t="shared" si="305"/>
        <v/>
      </c>
      <c r="P2089" s="16" t="str">
        <f t="shared" si="305"/>
        <v/>
      </c>
      <c r="Q2089" s="16" t="str">
        <f t="shared" si="305"/>
        <v/>
      </c>
      <c r="R2089" s="5" t="str">
        <f t="shared" si="304"/>
        <v/>
      </c>
      <c r="S2089" s="5" t="str">
        <f t="shared" si="308"/>
        <v/>
      </c>
      <c r="T2089" s="5" t="str">
        <f t="shared" si="312"/>
        <v/>
      </c>
      <c r="U2089" s="5" t="str">
        <f t="shared" si="312"/>
        <v/>
      </c>
    </row>
    <row r="2090" spans="7:21" x14ac:dyDescent="0.2">
      <c r="G2090" s="8"/>
      <c r="H2090" s="5"/>
      <c r="J2090" s="10" t="str">
        <f t="shared" si="306"/>
        <v/>
      </c>
      <c r="K2090" s="10" t="str">
        <f t="shared" si="307"/>
        <v/>
      </c>
      <c r="L2090" s="11" t="str">
        <f t="shared" si="309"/>
        <v/>
      </c>
      <c r="M2090" s="9" t="str">
        <f>IF(G2090&lt;&gt;"",J2090/MAX(J$3:J2090)-1,"")</f>
        <v/>
      </c>
      <c r="N2090" s="9" t="str">
        <f>IF(G2090&lt;&gt;"",K2090/MAX(K$3:K2090)-1,"")</f>
        <v/>
      </c>
      <c r="O2090" s="16" t="str">
        <f t="shared" si="305"/>
        <v/>
      </c>
      <c r="P2090" s="16" t="str">
        <f t="shared" si="305"/>
        <v/>
      </c>
      <c r="Q2090" s="16" t="str">
        <f t="shared" si="305"/>
        <v/>
      </c>
      <c r="R2090" s="5" t="str">
        <f t="shared" si="304"/>
        <v/>
      </c>
      <c r="S2090" s="5" t="str">
        <f t="shared" si="308"/>
        <v/>
      </c>
      <c r="T2090" s="5" t="str">
        <f t="shared" si="312"/>
        <v/>
      </c>
      <c r="U2090" s="5" t="str">
        <f t="shared" si="312"/>
        <v/>
      </c>
    </row>
    <row r="2091" spans="7:21" x14ac:dyDescent="0.2">
      <c r="G2091" s="8"/>
      <c r="H2091" s="5"/>
      <c r="J2091" s="10" t="str">
        <f t="shared" si="306"/>
        <v/>
      </c>
      <c r="K2091" s="10" t="str">
        <f t="shared" si="307"/>
        <v/>
      </c>
      <c r="L2091" s="11" t="str">
        <f t="shared" si="309"/>
        <v/>
      </c>
      <c r="M2091" s="9" t="str">
        <f>IF(G2091&lt;&gt;"",J2091/MAX(J$3:J2091)-1,"")</f>
        <v/>
      </c>
      <c r="N2091" s="9" t="str">
        <f>IF(G2091&lt;&gt;"",K2091/MAX(K$3:K2091)-1,"")</f>
        <v/>
      </c>
      <c r="O2091" s="16" t="str">
        <f t="shared" si="305"/>
        <v/>
      </c>
      <c r="P2091" s="16" t="str">
        <f t="shared" si="305"/>
        <v/>
      </c>
      <c r="Q2091" s="16" t="str">
        <f t="shared" si="305"/>
        <v/>
      </c>
      <c r="R2091" s="5" t="str">
        <f t="shared" si="304"/>
        <v/>
      </c>
      <c r="S2091" s="5" t="str">
        <f t="shared" si="308"/>
        <v/>
      </c>
      <c r="T2091" s="5" t="str">
        <f t="shared" si="312"/>
        <v/>
      </c>
      <c r="U2091" s="5" t="str">
        <f t="shared" si="312"/>
        <v/>
      </c>
    </row>
    <row r="2092" spans="7:21" x14ac:dyDescent="0.2">
      <c r="G2092" s="8"/>
      <c r="H2092" s="5"/>
      <c r="J2092" s="10" t="str">
        <f t="shared" si="306"/>
        <v/>
      </c>
      <c r="K2092" s="10" t="str">
        <f t="shared" si="307"/>
        <v/>
      </c>
      <c r="L2092" s="11" t="str">
        <f t="shared" si="309"/>
        <v/>
      </c>
      <c r="M2092" s="9" t="str">
        <f>IF(G2092&lt;&gt;"",J2092/MAX(J$3:J2092)-1,"")</f>
        <v/>
      </c>
      <c r="N2092" s="9" t="str">
        <f>IF(G2092&lt;&gt;"",K2092/MAX(K$3:K2092)-1,"")</f>
        <v/>
      </c>
      <c r="O2092" s="16" t="str">
        <f t="shared" si="305"/>
        <v/>
      </c>
      <c r="P2092" s="16" t="str">
        <f t="shared" si="305"/>
        <v/>
      </c>
      <c r="Q2092" s="16" t="str">
        <f t="shared" si="305"/>
        <v/>
      </c>
      <c r="R2092" s="5" t="str">
        <f t="shared" si="304"/>
        <v/>
      </c>
      <c r="S2092" s="5" t="str">
        <f t="shared" si="308"/>
        <v/>
      </c>
      <c r="T2092" s="5" t="str">
        <f t="shared" si="312"/>
        <v/>
      </c>
      <c r="U2092" s="5" t="str">
        <f t="shared" si="312"/>
        <v/>
      </c>
    </row>
    <row r="2093" spans="7:21" x14ac:dyDescent="0.2">
      <c r="G2093" s="8"/>
      <c r="H2093" s="5"/>
      <c r="J2093" s="10" t="str">
        <f t="shared" si="306"/>
        <v/>
      </c>
      <c r="K2093" s="10" t="str">
        <f t="shared" si="307"/>
        <v/>
      </c>
      <c r="L2093" s="11" t="str">
        <f t="shared" si="309"/>
        <v/>
      </c>
      <c r="M2093" s="9" t="str">
        <f>IF(G2093&lt;&gt;"",J2093/MAX(J$3:J2093)-1,"")</f>
        <v/>
      </c>
      <c r="N2093" s="9" t="str">
        <f>IF(G2093&lt;&gt;"",K2093/MAX(K$3:K2093)-1,"")</f>
        <v/>
      </c>
      <c r="O2093" s="16" t="str">
        <f t="shared" si="305"/>
        <v/>
      </c>
      <c r="P2093" s="16" t="str">
        <f t="shared" si="305"/>
        <v/>
      </c>
      <c r="Q2093" s="16" t="str">
        <f t="shared" si="305"/>
        <v/>
      </c>
      <c r="R2093" s="5" t="str">
        <f t="shared" si="304"/>
        <v/>
      </c>
      <c r="S2093" s="5" t="str">
        <f t="shared" si="308"/>
        <v/>
      </c>
      <c r="T2093" s="5" t="str">
        <f t="shared" si="312"/>
        <v/>
      </c>
      <c r="U2093" s="5" t="str">
        <f t="shared" si="312"/>
        <v/>
      </c>
    </row>
    <row r="2094" spans="7:21" x14ac:dyDescent="0.2">
      <c r="G2094" s="8"/>
      <c r="H2094" s="5"/>
      <c r="J2094" s="10" t="str">
        <f t="shared" si="306"/>
        <v/>
      </c>
      <c r="K2094" s="10" t="str">
        <f t="shared" si="307"/>
        <v/>
      </c>
      <c r="L2094" s="11" t="str">
        <f t="shared" si="309"/>
        <v/>
      </c>
      <c r="M2094" s="9" t="str">
        <f>IF(G2094&lt;&gt;"",J2094/MAX(J$3:J2094)-1,"")</f>
        <v/>
      </c>
      <c r="N2094" s="9" t="str">
        <f>IF(G2094&lt;&gt;"",K2094/MAX(K$3:K2094)-1,"")</f>
        <v/>
      </c>
      <c r="O2094" s="16" t="str">
        <f t="shared" si="305"/>
        <v/>
      </c>
      <c r="P2094" s="16" t="str">
        <f t="shared" si="305"/>
        <v/>
      </c>
      <c r="Q2094" s="16" t="str">
        <f t="shared" si="305"/>
        <v/>
      </c>
      <c r="R2094" s="5" t="str">
        <f t="shared" si="304"/>
        <v/>
      </c>
      <c r="S2094" s="5" t="str">
        <f t="shared" si="308"/>
        <v/>
      </c>
      <c r="T2094" s="5" t="str">
        <f t="shared" si="312"/>
        <v/>
      </c>
      <c r="U2094" s="5" t="str">
        <f t="shared" si="312"/>
        <v/>
      </c>
    </row>
    <row r="2095" spans="7:21" x14ac:dyDescent="0.2">
      <c r="G2095" s="8"/>
      <c r="H2095" s="5"/>
      <c r="J2095" s="10" t="str">
        <f t="shared" si="306"/>
        <v/>
      </c>
      <c r="K2095" s="10" t="str">
        <f t="shared" si="307"/>
        <v/>
      </c>
      <c r="L2095" s="11" t="str">
        <f t="shared" si="309"/>
        <v/>
      </c>
      <c r="M2095" s="9" t="str">
        <f>IF(G2095&lt;&gt;"",J2095/MAX(J$3:J2095)-1,"")</f>
        <v/>
      </c>
      <c r="N2095" s="9" t="str">
        <f>IF(G2095&lt;&gt;"",K2095/MAX(K$3:K2095)-1,"")</f>
        <v/>
      </c>
      <c r="O2095" s="16" t="str">
        <f t="shared" si="305"/>
        <v/>
      </c>
      <c r="P2095" s="16" t="str">
        <f t="shared" si="305"/>
        <v/>
      </c>
      <c r="Q2095" s="16" t="str">
        <f t="shared" si="305"/>
        <v/>
      </c>
      <c r="R2095" s="5" t="str">
        <f t="shared" si="304"/>
        <v/>
      </c>
      <c r="S2095" s="5" t="str">
        <f t="shared" si="308"/>
        <v/>
      </c>
      <c r="T2095" s="5" t="str">
        <f t="shared" si="312"/>
        <v/>
      </c>
      <c r="U2095" s="5" t="str">
        <f t="shared" si="312"/>
        <v/>
      </c>
    </row>
    <row r="2096" spans="7:21" x14ac:dyDescent="0.2">
      <c r="G2096" s="8"/>
      <c r="H2096" s="5"/>
      <c r="J2096" s="10" t="str">
        <f t="shared" si="306"/>
        <v/>
      </c>
      <c r="K2096" s="10" t="str">
        <f t="shared" si="307"/>
        <v/>
      </c>
      <c r="L2096" s="11" t="str">
        <f t="shared" si="309"/>
        <v/>
      </c>
      <c r="M2096" s="9" t="str">
        <f>IF(G2096&lt;&gt;"",J2096/MAX(J$3:J2096)-1,"")</f>
        <v/>
      </c>
      <c r="N2096" s="9" t="str">
        <f>IF(G2096&lt;&gt;"",K2096/MAX(K$3:K2096)-1,"")</f>
        <v/>
      </c>
      <c r="O2096" s="16" t="str">
        <f t="shared" si="305"/>
        <v/>
      </c>
      <c r="P2096" s="16" t="str">
        <f t="shared" si="305"/>
        <v/>
      </c>
      <c r="Q2096" s="16" t="str">
        <f t="shared" si="305"/>
        <v/>
      </c>
      <c r="R2096" s="5" t="str">
        <f t="shared" si="304"/>
        <v/>
      </c>
      <c r="S2096" s="5" t="str">
        <f t="shared" si="308"/>
        <v/>
      </c>
      <c r="T2096" s="5" t="str">
        <f t="shared" si="312"/>
        <v/>
      </c>
      <c r="U2096" s="5" t="str">
        <f t="shared" si="312"/>
        <v/>
      </c>
    </row>
    <row r="2097" spans="7:21" x14ac:dyDescent="0.2">
      <c r="G2097" s="8"/>
      <c r="H2097" s="5"/>
      <c r="J2097" s="10" t="str">
        <f t="shared" si="306"/>
        <v/>
      </c>
      <c r="K2097" s="10" t="str">
        <f t="shared" si="307"/>
        <v/>
      </c>
      <c r="L2097" s="11" t="str">
        <f t="shared" si="309"/>
        <v/>
      </c>
      <c r="M2097" s="9" t="str">
        <f>IF(G2097&lt;&gt;"",J2097/MAX(J$3:J2097)-1,"")</f>
        <v/>
      </c>
      <c r="N2097" s="9" t="str">
        <f>IF(G2097&lt;&gt;"",K2097/MAX(K$3:K2097)-1,"")</f>
        <v/>
      </c>
      <c r="O2097" s="16" t="str">
        <f t="shared" si="305"/>
        <v/>
      </c>
      <c r="P2097" s="16" t="str">
        <f t="shared" si="305"/>
        <v/>
      </c>
      <c r="Q2097" s="16" t="str">
        <f t="shared" si="305"/>
        <v/>
      </c>
      <c r="R2097" s="5" t="str">
        <f t="shared" si="304"/>
        <v/>
      </c>
      <c r="S2097" s="5" t="str">
        <f t="shared" si="308"/>
        <v/>
      </c>
      <c r="T2097" s="5" t="str">
        <f t="shared" si="312"/>
        <v/>
      </c>
      <c r="U2097" s="5" t="str">
        <f t="shared" si="312"/>
        <v/>
      </c>
    </row>
    <row r="2098" spans="7:21" x14ac:dyDescent="0.2">
      <c r="G2098" s="8"/>
      <c r="H2098" s="5"/>
      <c r="J2098" s="10" t="str">
        <f t="shared" si="306"/>
        <v/>
      </c>
      <c r="K2098" s="10" t="str">
        <f t="shared" si="307"/>
        <v/>
      </c>
      <c r="L2098" s="11" t="str">
        <f t="shared" si="309"/>
        <v/>
      </c>
      <c r="M2098" s="9" t="str">
        <f>IF(G2098&lt;&gt;"",J2098/MAX(J$3:J2098)-1,"")</f>
        <v/>
      </c>
      <c r="N2098" s="9" t="str">
        <f>IF(G2098&lt;&gt;"",K2098/MAX(K$3:K2098)-1,"")</f>
        <v/>
      </c>
      <c r="O2098" s="16" t="str">
        <f t="shared" si="305"/>
        <v/>
      </c>
      <c r="P2098" s="16" t="str">
        <f t="shared" si="305"/>
        <v/>
      </c>
      <c r="Q2098" s="16" t="str">
        <f t="shared" si="305"/>
        <v/>
      </c>
      <c r="R2098" s="5" t="str">
        <f t="shared" si="304"/>
        <v/>
      </c>
      <c r="S2098" s="5" t="str">
        <f t="shared" si="308"/>
        <v/>
      </c>
      <c r="T2098" s="5" t="str">
        <f t="shared" si="312"/>
        <v/>
      </c>
      <c r="U2098" s="5" t="str">
        <f t="shared" si="312"/>
        <v/>
      </c>
    </row>
    <row r="2099" spans="7:21" x14ac:dyDescent="0.2">
      <c r="G2099" s="8"/>
      <c r="H2099" s="5"/>
      <c r="J2099" s="10" t="str">
        <f t="shared" si="306"/>
        <v/>
      </c>
      <c r="K2099" s="10" t="str">
        <f t="shared" si="307"/>
        <v/>
      </c>
      <c r="L2099" s="11" t="str">
        <f t="shared" si="309"/>
        <v/>
      </c>
      <c r="M2099" s="9" t="str">
        <f>IF(G2099&lt;&gt;"",J2099/MAX(J$3:J2099)-1,"")</f>
        <v/>
      </c>
      <c r="N2099" s="9" t="str">
        <f>IF(G2099&lt;&gt;"",K2099/MAX(K$3:K2099)-1,"")</f>
        <v/>
      </c>
      <c r="O2099" s="16" t="str">
        <f t="shared" si="305"/>
        <v/>
      </c>
      <c r="P2099" s="16" t="str">
        <f t="shared" si="305"/>
        <v/>
      </c>
      <c r="Q2099" s="16" t="str">
        <f t="shared" si="305"/>
        <v/>
      </c>
      <c r="R2099" s="5" t="str">
        <f t="shared" si="304"/>
        <v/>
      </c>
      <c r="S2099" s="5" t="str">
        <f t="shared" si="308"/>
        <v/>
      </c>
      <c r="T2099" s="5" t="str">
        <f t="shared" si="312"/>
        <v/>
      </c>
      <c r="U2099" s="5" t="str">
        <f t="shared" si="312"/>
        <v/>
      </c>
    </row>
    <row r="2100" spans="7:21" x14ac:dyDescent="0.2">
      <c r="G2100" s="8"/>
      <c r="H2100" s="5"/>
      <c r="J2100" s="10" t="str">
        <f t="shared" si="306"/>
        <v/>
      </c>
      <c r="K2100" s="10" t="str">
        <f t="shared" si="307"/>
        <v/>
      </c>
      <c r="L2100" s="11" t="str">
        <f t="shared" si="309"/>
        <v/>
      </c>
      <c r="M2100" s="9" t="str">
        <f>IF(G2100&lt;&gt;"",J2100/MAX(J$3:J2100)-1,"")</f>
        <v/>
      </c>
      <c r="N2100" s="9" t="str">
        <f>IF(G2100&lt;&gt;"",K2100/MAX(K$3:K2100)-1,"")</f>
        <v/>
      </c>
      <c r="O2100" s="16" t="str">
        <f t="shared" si="305"/>
        <v/>
      </c>
      <c r="P2100" s="16" t="str">
        <f t="shared" si="305"/>
        <v/>
      </c>
      <c r="Q2100" s="16" t="str">
        <f t="shared" si="305"/>
        <v/>
      </c>
      <c r="R2100" s="5" t="str">
        <f t="shared" si="304"/>
        <v/>
      </c>
      <c r="S2100" s="5" t="str">
        <f t="shared" si="308"/>
        <v/>
      </c>
      <c r="T2100" s="5" t="str">
        <f t="shared" si="312"/>
        <v/>
      </c>
      <c r="U2100" s="5" t="str">
        <f t="shared" si="312"/>
        <v/>
      </c>
    </row>
    <row r="2101" spans="7:21" x14ac:dyDescent="0.2">
      <c r="G2101" s="8"/>
      <c r="H2101" s="5"/>
      <c r="J2101" s="10" t="str">
        <f t="shared" si="306"/>
        <v/>
      </c>
      <c r="K2101" s="10" t="str">
        <f t="shared" si="307"/>
        <v/>
      </c>
      <c r="L2101" s="11" t="str">
        <f t="shared" si="309"/>
        <v/>
      </c>
      <c r="M2101" s="9" t="str">
        <f>IF(G2101&lt;&gt;"",J2101/MAX(J$3:J2101)-1,"")</f>
        <v/>
      </c>
      <c r="N2101" s="9" t="str">
        <f>IF(G2101&lt;&gt;"",K2101/MAX(K$3:K2101)-1,"")</f>
        <v/>
      </c>
      <c r="O2101" s="16" t="str">
        <f t="shared" si="305"/>
        <v/>
      </c>
      <c r="P2101" s="16" t="str">
        <f t="shared" si="305"/>
        <v/>
      </c>
      <c r="Q2101" s="16" t="str">
        <f t="shared" si="305"/>
        <v/>
      </c>
      <c r="R2101" s="5" t="str">
        <f t="shared" si="304"/>
        <v/>
      </c>
      <c r="S2101" s="5" t="str">
        <f t="shared" si="308"/>
        <v/>
      </c>
      <c r="T2101" s="5" t="str">
        <f t="shared" si="312"/>
        <v/>
      </c>
      <c r="U2101" s="5" t="str">
        <f t="shared" si="312"/>
        <v/>
      </c>
    </row>
    <row r="2102" spans="7:21" x14ac:dyDescent="0.2">
      <c r="G2102" s="8"/>
      <c r="H2102" s="5"/>
      <c r="J2102" s="10" t="str">
        <f t="shared" si="306"/>
        <v/>
      </c>
      <c r="K2102" s="10" t="str">
        <f t="shared" si="307"/>
        <v/>
      </c>
      <c r="L2102" s="11" t="str">
        <f t="shared" si="309"/>
        <v/>
      </c>
      <c r="M2102" s="9" t="str">
        <f>IF(G2102&lt;&gt;"",J2102/MAX(J$3:J2102)-1,"")</f>
        <v/>
      </c>
      <c r="N2102" s="9" t="str">
        <f>IF(G2102&lt;&gt;"",K2102/MAX(K$3:K2102)-1,"")</f>
        <v/>
      </c>
      <c r="O2102" s="16" t="str">
        <f t="shared" si="305"/>
        <v/>
      </c>
      <c r="P2102" s="16" t="str">
        <f t="shared" si="305"/>
        <v/>
      </c>
      <c r="Q2102" s="16" t="str">
        <f t="shared" si="305"/>
        <v/>
      </c>
      <c r="R2102" s="5" t="str">
        <f t="shared" si="304"/>
        <v/>
      </c>
      <c r="S2102" s="5" t="str">
        <f t="shared" si="308"/>
        <v/>
      </c>
      <c r="T2102" s="5" t="str">
        <f t="shared" si="312"/>
        <v/>
      </c>
      <c r="U2102" s="5" t="str">
        <f t="shared" si="312"/>
        <v/>
      </c>
    </row>
    <row r="2103" spans="7:21" x14ac:dyDescent="0.2">
      <c r="G2103" s="8"/>
      <c r="H2103" s="5"/>
      <c r="J2103" s="10" t="str">
        <f t="shared" si="306"/>
        <v/>
      </c>
      <c r="K2103" s="10" t="str">
        <f t="shared" si="307"/>
        <v/>
      </c>
      <c r="L2103" s="11" t="str">
        <f t="shared" si="309"/>
        <v/>
      </c>
      <c r="M2103" s="9" t="str">
        <f>IF(G2103&lt;&gt;"",J2103/MAX(J$3:J2103)-1,"")</f>
        <v/>
      </c>
      <c r="N2103" s="9" t="str">
        <f>IF(G2103&lt;&gt;"",K2103/MAX(K$3:K2103)-1,"")</f>
        <v/>
      </c>
      <c r="O2103" s="16" t="str">
        <f t="shared" si="305"/>
        <v/>
      </c>
      <c r="P2103" s="16" t="str">
        <f t="shared" si="305"/>
        <v/>
      </c>
      <c r="Q2103" s="16" t="str">
        <f t="shared" si="305"/>
        <v/>
      </c>
      <c r="R2103" s="5" t="str">
        <f t="shared" si="304"/>
        <v/>
      </c>
      <c r="S2103" s="5" t="str">
        <f t="shared" si="308"/>
        <v/>
      </c>
      <c r="T2103" s="5" t="str">
        <f t="shared" si="312"/>
        <v/>
      </c>
      <c r="U2103" s="5" t="str">
        <f t="shared" si="312"/>
        <v/>
      </c>
    </row>
    <row r="2104" spans="7:21" x14ac:dyDescent="0.2">
      <c r="G2104" s="8"/>
      <c r="H2104" s="5"/>
      <c r="J2104" s="10" t="str">
        <f t="shared" si="306"/>
        <v/>
      </c>
      <c r="K2104" s="10" t="str">
        <f t="shared" si="307"/>
        <v/>
      </c>
      <c r="L2104" s="11" t="str">
        <f t="shared" si="309"/>
        <v/>
      </c>
      <c r="M2104" s="9" t="str">
        <f>IF(G2104&lt;&gt;"",J2104/MAX(J$3:J2104)-1,"")</f>
        <v/>
      </c>
      <c r="N2104" s="9" t="str">
        <f>IF(G2104&lt;&gt;"",K2104/MAX(K$3:K2104)-1,"")</f>
        <v/>
      </c>
      <c r="O2104" s="16" t="str">
        <f t="shared" si="305"/>
        <v/>
      </c>
      <c r="P2104" s="16" t="str">
        <f t="shared" si="305"/>
        <v/>
      </c>
      <c r="Q2104" s="16" t="str">
        <f t="shared" si="305"/>
        <v/>
      </c>
      <c r="R2104" s="5" t="str">
        <f t="shared" si="304"/>
        <v/>
      </c>
      <c r="S2104" s="5" t="str">
        <f t="shared" si="308"/>
        <v/>
      </c>
      <c r="T2104" s="5" t="str">
        <f t="shared" ref="T2104:U2119" si="313">IF($G2104&lt;&gt;"",_xlfn.STDEV.S(O1860:O2104),"")</f>
        <v/>
      </c>
      <c r="U2104" s="5" t="str">
        <f t="shared" si="313"/>
        <v/>
      </c>
    </row>
    <row r="2105" spans="7:21" x14ac:dyDescent="0.2">
      <c r="G2105" s="8"/>
      <c r="H2105" s="5"/>
      <c r="J2105" s="10" t="str">
        <f t="shared" si="306"/>
        <v/>
      </c>
      <c r="K2105" s="10" t="str">
        <f t="shared" si="307"/>
        <v/>
      </c>
      <c r="L2105" s="11" t="str">
        <f t="shared" si="309"/>
        <v/>
      </c>
      <c r="M2105" s="9" t="str">
        <f>IF(G2105&lt;&gt;"",J2105/MAX(J$3:J2105)-1,"")</f>
        <v/>
      </c>
      <c r="N2105" s="9" t="str">
        <f>IF(G2105&lt;&gt;"",K2105/MAX(K$3:K2105)-1,"")</f>
        <v/>
      </c>
      <c r="O2105" s="16" t="str">
        <f t="shared" si="305"/>
        <v/>
      </c>
      <c r="P2105" s="16" t="str">
        <f t="shared" si="305"/>
        <v/>
      </c>
      <c r="Q2105" s="16" t="str">
        <f t="shared" si="305"/>
        <v/>
      </c>
      <c r="R2105" s="5" t="str">
        <f t="shared" si="304"/>
        <v/>
      </c>
      <c r="S2105" s="5" t="str">
        <f t="shared" si="308"/>
        <v/>
      </c>
      <c r="T2105" s="5" t="str">
        <f t="shared" si="313"/>
        <v/>
      </c>
      <c r="U2105" s="5" t="str">
        <f t="shared" si="313"/>
        <v/>
      </c>
    </row>
    <row r="2106" spans="7:21" x14ac:dyDescent="0.2">
      <c r="G2106" s="8"/>
      <c r="H2106" s="5"/>
      <c r="J2106" s="10" t="str">
        <f t="shared" si="306"/>
        <v/>
      </c>
      <c r="K2106" s="10" t="str">
        <f t="shared" si="307"/>
        <v/>
      </c>
      <c r="L2106" s="11" t="str">
        <f t="shared" si="309"/>
        <v/>
      </c>
      <c r="M2106" s="9" t="str">
        <f>IF(G2106&lt;&gt;"",J2106/MAX(J$3:J2106)-1,"")</f>
        <v/>
      </c>
      <c r="N2106" s="9" t="str">
        <f>IF(G2106&lt;&gt;"",K2106/MAX(K$3:K2106)-1,"")</f>
        <v/>
      </c>
      <c r="O2106" s="16" t="str">
        <f t="shared" si="305"/>
        <v/>
      </c>
      <c r="P2106" s="16" t="str">
        <f t="shared" si="305"/>
        <v/>
      </c>
      <c r="Q2106" s="16" t="str">
        <f t="shared" si="305"/>
        <v/>
      </c>
      <c r="R2106" s="5" t="str">
        <f t="shared" si="304"/>
        <v/>
      </c>
      <c r="S2106" s="5" t="str">
        <f t="shared" si="308"/>
        <v/>
      </c>
      <c r="T2106" s="5" t="str">
        <f t="shared" si="313"/>
        <v/>
      </c>
      <c r="U2106" s="5" t="str">
        <f t="shared" si="313"/>
        <v/>
      </c>
    </row>
    <row r="2107" spans="7:21" x14ac:dyDescent="0.2">
      <c r="G2107" s="8"/>
      <c r="H2107" s="5"/>
      <c r="J2107" s="10" t="str">
        <f t="shared" si="306"/>
        <v/>
      </c>
      <c r="K2107" s="10" t="str">
        <f t="shared" si="307"/>
        <v/>
      </c>
      <c r="L2107" s="11" t="str">
        <f t="shared" si="309"/>
        <v/>
      </c>
      <c r="M2107" s="9" t="str">
        <f>IF(G2107&lt;&gt;"",J2107/MAX(J$3:J2107)-1,"")</f>
        <v/>
      </c>
      <c r="N2107" s="9" t="str">
        <f>IF(G2107&lt;&gt;"",K2107/MAX(K$3:K2107)-1,"")</f>
        <v/>
      </c>
      <c r="O2107" s="16" t="str">
        <f t="shared" si="305"/>
        <v/>
      </c>
      <c r="P2107" s="16" t="str">
        <f t="shared" si="305"/>
        <v/>
      </c>
      <c r="Q2107" s="16" t="str">
        <f t="shared" si="305"/>
        <v/>
      </c>
      <c r="R2107" s="5" t="str">
        <f t="shared" si="304"/>
        <v/>
      </c>
      <c r="S2107" s="5" t="str">
        <f t="shared" si="308"/>
        <v/>
      </c>
      <c r="T2107" s="5" t="str">
        <f t="shared" si="313"/>
        <v/>
      </c>
      <c r="U2107" s="5" t="str">
        <f t="shared" si="313"/>
        <v/>
      </c>
    </row>
    <row r="2108" spans="7:21" x14ac:dyDescent="0.2">
      <c r="G2108" s="8"/>
      <c r="H2108" s="5"/>
      <c r="J2108" s="10" t="str">
        <f t="shared" si="306"/>
        <v/>
      </c>
      <c r="K2108" s="10" t="str">
        <f t="shared" si="307"/>
        <v/>
      </c>
      <c r="L2108" s="11" t="str">
        <f t="shared" si="309"/>
        <v/>
      </c>
      <c r="M2108" s="9" t="str">
        <f>IF(G2108&lt;&gt;"",J2108/MAX(J$3:J2108)-1,"")</f>
        <v/>
      </c>
      <c r="N2108" s="9" t="str">
        <f>IF(G2108&lt;&gt;"",K2108/MAX(K$3:K2108)-1,"")</f>
        <v/>
      </c>
      <c r="O2108" s="16" t="str">
        <f t="shared" si="305"/>
        <v/>
      </c>
      <c r="P2108" s="16" t="str">
        <f t="shared" si="305"/>
        <v/>
      </c>
      <c r="Q2108" s="16" t="str">
        <f t="shared" si="305"/>
        <v/>
      </c>
      <c r="R2108" s="5" t="str">
        <f t="shared" si="304"/>
        <v/>
      </c>
      <c r="S2108" s="5" t="str">
        <f t="shared" si="308"/>
        <v/>
      </c>
      <c r="T2108" s="5" t="str">
        <f t="shared" si="313"/>
        <v/>
      </c>
      <c r="U2108" s="5" t="str">
        <f t="shared" si="313"/>
        <v/>
      </c>
    </row>
    <row r="2109" spans="7:21" x14ac:dyDescent="0.2">
      <c r="G2109" s="8"/>
      <c r="H2109" s="5"/>
      <c r="J2109" s="10" t="str">
        <f t="shared" si="306"/>
        <v/>
      </c>
      <c r="K2109" s="10" t="str">
        <f t="shared" si="307"/>
        <v/>
      </c>
      <c r="L2109" s="11" t="str">
        <f t="shared" si="309"/>
        <v/>
      </c>
      <c r="M2109" s="9" t="str">
        <f>IF(G2109&lt;&gt;"",J2109/MAX(J$3:J2109)-1,"")</f>
        <v/>
      </c>
      <c r="N2109" s="9" t="str">
        <f>IF(G2109&lt;&gt;"",K2109/MAX(K$3:K2109)-1,"")</f>
        <v/>
      </c>
      <c r="O2109" s="16" t="str">
        <f t="shared" si="305"/>
        <v/>
      </c>
      <c r="P2109" s="16" t="str">
        <f t="shared" si="305"/>
        <v/>
      </c>
      <c r="Q2109" s="16" t="str">
        <f t="shared" si="305"/>
        <v/>
      </c>
      <c r="R2109" s="5" t="str">
        <f t="shared" ref="R2109:R2172" si="314">IF(G2109&lt;&gt;"",_xlfn.STDEV.S(Q1988:Q2109)*SQRT($B$5),"")</f>
        <v/>
      </c>
      <c r="S2109" s="5" t="str">
        <f t="shared" si="308"/>
        <v/>
      </c>
      <c r="T2109" s="5" t="str">
        <f t="shared" si="313"/>
        <v/>
      </c>
      <c r="U2109" s="5" t="str">
        <f t="shared" si="313"/>
        <v/>
      </c>
    </row>
    <row r="2110" spans="7:21" x14ac:dyDescent="0.2">
      <c r="G2110" s="8"/>
      <c r="H2110" s="5"/>
      <c r="J2110" s="10" t="str">
        <f t="shared" si="306"/>
        <v/>
      </c>
      <c r="K2110" s="10" t="str">
        <f t="shared" si="307"/>
        <v/>
      </c>
      <c r="L2110" s="11" t="str">
        <f t="shared" si="309"/>
        <v/>
      </c>
      <c r="M2110" s="9" t="str">
        <f>IF(G2110&lt;&gt;"",J2110/MAX(J$3:J2110)-1,"")</f>
        <v/>
      </c>
      <c r="N2110" s="9" t="str">
        <f>IF(G2110&lt;&gt;"",K2110/MAX(K$3:K2110)-1,"")</f>
        <v/>
      </c>
      <c r="O2110" s="16" t="str">
        <f t="shared" si="305"/>
        <v/>
      </c>
      <c r="P2110" s="16" t="str">
        <f t="shared" si="305"/>
        <v/>
      </c>
      <c r="Q2110" s="16" t="str">
        <f t="shared" si="305"/>
        <v/>
      </c>
      <c r="R2110" s="5" t="str">
        <f t="shared" si="314"/>
        <v/>
      </c>
      <c r="S2110" s="5" t="str">
        <f t="shared" si="308"/>
        <v/>
      </c>
      <c r="T2110" s="5" t="str">
        <f t="shared" si="313"/>
        <v/>
      </c>
      <c r="U2110" s="5" t="str">
        <f t="shared" si="313"/>
        <v/>
      </c>
    </row>
    <row r="2111" spans="7:21" x14ac:dyDescent="0.2">
      <c r="G2111" s="8"/>
      <c r="H2111" s="5"/>
      <c r="J2111" s="10" t="str">
        <f t="shared" si="306"/>
        <v/>
      </c>
      <c r="K2111" s="10" t="str">
        <f t="shared" si="307"/>
        <v/>
      </c>
      <c r="L2111" s="11" t="str">
        <f t="shared" si="309"/>
        <v/>
      </c>
      <c r="M2111" s="9" t="str">
        <f>IF(G2111&lt;&gt;"",J2111/MAX(J$3:J2111)-1,"")</f>
        <v/>
      </c>
      <c r="N2111" s="9" t="str">
        <f>IF(G2111&lt;&gt;"",K2111/MAX(K$3:K2111)-1,"")</f>
        <v/>
      </c>
      <c r="O2111" s="16" t="str">
        <f t="shared" si="305"/>
        <v/>
      </c>
      <c r="P2111" s="16" t="str">
        <f t="shared" si="305"/>
        <v/>
      </c>
      <c r="Q2111" s="16" t="str">
        <f t="shared" si="305"/>
        <v/>
      </c>
      <c r="R2111" s="5" t="str">
        <f t="shared" si="314"/>
        <v/>
      </c>
      <c r="S2111" s="5" t="str">
        <f t="shared" si="308"/>
        <v/>
      </c>
      <c r="T2111" s="5" t="str">
        <f t="shared" si="313"/>
        <v/>
      </c>
      <c r="U2111" s="5" t="str">
        <f t="shared" si="313"/>
        <v/>
      </c>
    </row>
    <row r="2112" spans="7:21" x14ac:dyDescent="0.2">
      <c r="G2112" s="8"/>
      <c r="H2112" s="5"/>
      <c r="J2112" s="10" t="str">
        <f t="shared" si="306"/>
        <v/>
      </c>
      <c r="K2112" s="10" t="str">
        <f t="shared" si="307"/>
        <v/>
      </c>
      <c r="L2112" s="11" t="str">
        <f t="shared" si="309"/>
        <v/>
      </c>
      <c r="M2112" s="9" t="str">
        <f>IF(G2112&lt;&gt;"",J2112/MAX(J$3:J2112)-1,"")</f>
        <v/>
      </c>
      <c r="N2112" s="9" t="str">
        <f>IF(G2112&lt;&gt;"",K2112/MAX(K$3:K2112)-1,"")</f>
        <v/>
      </c>
      <c r="O2112" s="16" t="str">
        <f t="shared" si="305"/>
        <v/>
      </c>
      <c r="P2112" s="16" t="str">
        <f t="shared" si="305"/>
        <v/>
      </c>
      <c r="Q2112" s="16" t="str">
        <f t="shared" si="305"/>
        <v/>
      </c>
      <c r="R2112" s="5" t="str">
        <f t="shared" si="314"/>
        <v/>
      </c>
      <c r="S2112" s="5" t="str">
        <f t="shared" si="308"/>
        <v/>
      </c>
      <c r="T2112" s="5" t="str">
        <f t="shared" si="313"/>
        <v/>
      </c>
      <c r="U2112" s="5" t="str">
        <f t="shared" si="313"/>
        <v/>
      </c>
    </row>
    <row r="2113" spans="7:21" x14ac:dyDescent="0.2">
      <c r="G2113" s="8"/>
      <c r="H2113" s="5"/>
      <c r="J2113" s="10" t="str">
        <f t="shared" si="306"/>
        <v/>
      </c>
      <c r="K2113" s="10" t="str">
        <f t="shared" si="307"/>
        <v/>
      </c>
      <c r="L2113" s="11" t="str">
        <f t="shared" si="309"/>
        <v/>
      </c>
      <c r="M2113" s="9" t="str">
        <f>IF(G2113&lt;&gt;"",J2113/MAX(J$3:J2113)-1,"")</f>
        <v/>
      </c>
      <c r="N2113" s="9" t="str">
        <f>IF(G2113&lt;&gt;"",K2113/MAX(K$3:K2113)-1,"")</f>
        <v/>
      </c>
      <c r="O2113" s="16" t="str">
        <f t="shared" si="305"/>
        <v/>
      </c>
      <c r="P2113" s="16" t="str">
        <f t="shared" si="305"/>
        <v/>
      </c>
      <c r="Q2113" s="16" t="str">
        <f t="shared" si="305"/>
        <v/>
      </c>
      <c r="R2113" s="5" t="str">
        <f t="shared" si="314"/>
        <v/>
      </c>
      <c r="S2113" s="5" t="str">
        <f t="shared" si="308"/>
        <v/>
      </c>
      <c r="T2113" s="5" t="str">
        <f t="shared" si="313"/>
        <v/>
      </c>
      <c r="U2113" s="5" t="str">
        <f t="shared" si="313"/>
        <v/>
      </c>
    </row>
    <row r="2114" spans="7:21" x14ac:dyDescent="0.2">
      <c r="G2114" s="8"/>
      <c r="H2114" s="5"/>
      <c r="J2114" s="10" t="str">
        <f t="shared" si="306"/>
        <v/>
      </c>
      <c r="K2114" s="10" t="str">
        <f t="shared" si="307"/>
        <v/>
      </c>
      <c r="L2114" s="11" t="str">
        <f t="shared" si="309"/>
        <v/>
      </c>
      <c r="M2114" s="9" t="str">
        <f>IF(G2114&lt;&gt;"",J2114/MAX(J$3:J2114)-1,"")</f>
        <v/>
      </c>
      <c r="N2114" s="9" t="str">
        <f>IF(G2114&lt;&gt;"",K2114/MAX(K$3:K2114)-1,"")</f>
        <v/>
      </c>
      <c r="O2114" s="16" t="str">
        <f t="shared" ref="O2114:Q2177" si="315">IF($G2114&lt;&gt;"",J2114/J2113-1,"")</f>
        <v/>
      </c>
      <c r="P2114" s="16" t="str">
        <f t="shared" si="315"/>
        <v/>
      </c>
      <c r="Q2114" s="16" t="str">
        <f t="shared" si="315"/>
        <v/>
      </c>
      <c r="R2114" s="5" t="str">
        <f t="shared" si="314"/>
        <v/>
      </c>
      <c r="S2114" s="5" t="str">
        <f t="shared" si="308"/>
        <v/>
      </c>
      <c r="T2114" s="5" t="str">
        <f t="shared" si="313"/>
        <v/>
      </c>
      <c r="U2114" s="5" t="str">
        <f t="shared" si="313"/>
        <v/>
      </c>
    </row>
    <row r="2115" spans="7:21" x14ac:dyDescent="0.2">
      <c r="G2115" s="8"/>
      <c r="H2115" s="5"/>
      <c r="J2115" s="10" t="str">
        <f t="shared" si="306"/>
        <v/>
      </c>
      <c r="K2115" s="10" t="str">
        <f t="shared" si="307"/>
        <v/>
      </c>
      <c r="L2115" s="11" t="str">
        <f t="shared" si="309"/>
        <v/>
      </c>
      <c r="M2115" s="9" t="str">
        <f>IF(G2115&lt;&gt;"",J2115/MAX(J$3:J2115)-1,"")</f>
        <v/>
      </c>
      <c r="N2115" s="9" t="str">
        <f>IF(G2115&lt;&gt;"",K2115/MAX(K$3:K2115)-1,"")</f>
        <v/>
      </c>
      <c r="O2115" s="16" t="str">
        <f t="shared" si="315"/>
        <v/>
      </c>
      <c r="P2115" s="16" t="str">
        <f t="shared" si="315"/>
        <v/>
      </c>
      <c r="Q2115" s="16" t="str">
        <f t="shared" si="315"/>
        <v/>
      </c>
      <c r="R2115" s="5" t="str">
        <f t="shared" si="314"/>
        <v/>
      </c>
      <c r="S2115" s="5" t="str">
        <f t="shared" si="308"/>
        <v/>
      </c>
      <c r="T2115" s="5" t="str">
        <f t="shared" si="313"/>
        <v/>
      </c>
      <c r="U2115" s="5" t="str">
        <f t="shared" si="313"/>
        <v/>
      </c>
    </row>
    <row r="2116" spans="7:21" x14ac:dyDescent="0.2">
      <c r="G2116" s="8"/>
      <c r="H2116" s="5"/>
      <c r="J2116" s="10" t="str">
        <f t="shared" ref="J2116:J2179" si="316">IF(G2116&lt;&gt;"",1+H2116,"")</f>
        <v/>
      </c>
      <c r="K2116" s="10" t="str">
        <f t="shared" ref="K2116:K2179" si="317">IF(G2116&lt;&gt;"",1+I2116,"")</f>
        <v/>
      </c>
      <c r="L2116" s="11" t="str">
        <f t="shared" si="309"/>
        <v/>
      </c>
      <c r="M2116" s="9" t="str">
        <f>IF(G2116&lt;&gt;"",J2116/MAX(J$3:J2116)-1,"")</f>
        <v/>
      </c>
      <c r="N2116" s="9" t="str">
        <f>IF(G2116&lt;&gt;"",K2116/MAX(K$3:K2116)-1,"")</f>
        <v/>
      </c>
      <c r="O2116" s="16" t="str">
        <f t="shared" si="315"/>
        <v/>
      </c>
      <c r="P2116" s="16" t="str">
        <f t="shared" si="315"/>
        <v/>
      </c>
      <c r="Q2116" s="16" t="str">
        <f t="shared" si="315"/>
        <v/>
      </c>
      <c r="R2116" s="5" t="str">
        <f t="shared" si="314"/>
        <v/>
      </c>
      <c r="S2116" s="5" t="str">
        <f t="shared" ref="S2116:S2179" si="318">IF(R2116&lt;&gt;"",B$12,"")</f>
        <v/>
      </c>
      <c r="T2116" s="5" t="str">
        <f t="shared" si="313"/>
        <v/>
      </c>
      <c r="U2116" s="5" t="str">
        <f t="shared" si="313"/>
        <v/>
      </c>
    </row>
    <row r="2117" spans="7:21" x14ac:dyDescent="0.2">
      <c r="G2117" s="8"/>
      <c r="H2117" s="5"/>
      <c r="J2117" s="10" t="str">
        <f t="shared" si="316"/>
        <v/>
      </c>
      <c r="K2117" s="10" t="str">
        <f t="shared" si="317"/>
        <v/>
      </c>
      <c r="L2117" s="11" t="str">
        <f t="shared" ref="L2117:L2180" si="319">IF(G2117&lt;&gt;"",J2117/K2117,"")</f>
        <v/>
      </c>
      <c r="M2117" s="9" t="str">
        <f>IF(G2117&lt;&gt;"",J2117/MAX(J$3:J2117)-1,"")</f>
        <v/>
      </c>
      <c r="N2117" s="9" t="str">
        <f>IF(G2117&lt;&gt;"",K2117/MAX(K$3:K2117)-1,"")</f>
        <v/>
      </c>
      <c r="O2117" s="16" t="str">
        <f t="shared" si="315"/>
        <v/>
      </c>
      <c r="P2117" s="16" t="str">
        <f t="shared" si="315"/>
        <v/>
      </c>
      <c r="Q2117" s="16" t="str">
        <f t="shared" si="315"/>
        <v/>
      </c>
      <c r="R2117" s="5" t="str">
        <f t="shared" si="314"/>
        <v/>
      </c>
      <c r="S2117" s="5" t="str">
        <f t="shared" si="318"/>
        <v/>
      </c>
      <c r="T2117" s="5" t="str">
        <f t="shared" si="313"/>
        <v/>
      </c>
      <c r="U2117" s="5" t="str">
        <f t="shared" si="313"/>
        <v/>
      </c>
    </row>
    <row r="2118" spans="7:21" x14ac:dyDescent="0.2">
      <c r="G2118" s="8"/>
      <c r="H2118" s="5"/>
      <c r="J2118" s="10" t="str">
        <f t="shared" si="316"/>
        <v/>
      </c>
      <c r="K2118" s="10" t="str">
        <f t="shared" si="317"/>
        <v/>
      </c>
      <c r="L2118" s="11" t="str">
        <f t="shared" si="319"/>
        <v/>
      </c>
      <c r="M2118" s="9" t="str">
        <f>IF(G2118&lt;&gt;"",J2118/MAX(J$3:J2118)-1,"")</f>
        <v/>
      </c>
      <c r="N2118" s="9" t="str">
        <f>IF(G2118&lt;&gt;"",K2118/MAX(K$3:K2118)-1,"")</f>
        <v/>
      </c>
      <c r="O2118" s="16" t="str">
        <f t="shared" si="315"/>
        <v/>
      </c>
      <c r="P2118" s="16" t="str">
        <f t="shared" si="315"/>
        <v/>
      </c>
      <c r="Q2118" s="16" t="str">
        <f t="shared" si="315"/>
        <v/>
      </c>
      <c r="R2118" s="5" t="str">
        <f t="shared" si="314"/>
        <v/>
      </c>
      <c r="S2118" s="5" t="str">
        <f t="shared" si="318"/>
        <v/>
      </c>
      <c r="T2118" s="5" t="str">
        <f t="shared" si="313"/>
        <v/>
      </c>
      <c r="U2118" s="5" t="str">
        <f t="shared" si="313"/>
        <v/>
      </c>
    </row>
    <row r="2119" spans="7:21" x14ac:dyDescent="0.2">
      <c r="G2119" s="8"/>
      <c r="H2119" s="5"/>
      <c r="J2119" s="10" t="str">
        <f t="shared" si="316"/>
        <v/>
      </c>
      <c r="K2119" s="10" t="str">
        <f t="shared" si="317"/>
        <v/>
      </c>
      <c r="L2119" s="11" t="str">
        <f t="shared" si="319"/>
        <v/>
      </c>
      <c r="M2119" s="9" t="str">
        <f>IF(G2119&lt;&gt;"",J2119/MAX(J$3:J2119)-1,"")</f>
        <v/>
      </c>
      <c r="N2119" s="9" t="str">
        <f>IF(G2119&lt;&gt;"",K2119/MAX(K$3:K2119)-1,"")</f>
        <v/>
      </c>
      <c r="O2119" s="16" t="str">
        <f t="shared" si="315"/>
        <v/>
      </c>
      <c r="P2119" s="16" t="str">
        <f t="shared" si="315"/>
        <v/>
      </c>
      <c r="Q2119" s="16" t="str">
        <f t="shared" si="315"/>
        <v/>
      </c>
      <c r="R2119" s="5" t="str">
        <f t="shared" si="314"/>
        <v/>
      </c>
      <c r="S2119" s="5" t="str">
        <f t="shared" si="318"/>
        <v/>
      </c>
      <c r="T2119" s="5" t="str">
        <f t="shared" si="313"/>
        <v/>
      </c>
      <c r="U2119" s="5" t="str">
        <f t="shared" si="313"/>
        <v/>
      </c>
    </row>
    <row r="2120" spans="7:21" x14ac:dyDescent="0.2">
      <c r="G2120" s="8"/>
      <c r="H2120" s="5"/>
      <c r="J2120" s="10" t="str">
        <f t="shared" si="316"/>
        <v/>
      </c>
      <c r="K2120" s="10" t="str">
        <f t="shared" si="317"/>
        <v/>
      </c>
      <c r="L2120" s="11" t="str">
        <f t="shared" si="319"/>
        <v/>
      </c>
      <c r="M2120" s="9" t="str">
        <f>IF(G2120&lt;&gt;"",J2120/MAX(J$3:J2120)-1,"")</f>
        <v/>
      </c>
      <c r="N2120" s="9" t="str">
        <f>IF(G2120&lt;&gt;"",K2120/MAX(K$3:K2120)-1,"")</f>
        <v/>
      </c>
      <c r="O2120" s="16" t="str">
        <f t="shared" si="315"/>
        <v/>
      </c>
      <c r="P2120" s="16" t="str">
        <f t="shared" si="315"/>
        <v/>
      </c>
      <c r="Q2120" s="16" t="str">
        <f t="shared" si="315"/>
        <v/>
      </c>
      <c r="R2120" s="5" t="str">
        <f t="shared" si="314"/>
        <v/>
      </c>
      <c r="S2120" s="5" t="str">
        <f t="shared" si="318"/>
        <v/>
      </c>
      <c r="T2120" s="5" t="str">
        <f t="shared" ref="T2120:U2135" si="320">IF($G2120&lt;&gt;"",_xlfn.STDEV.S(O1876:O2120),"")</f>
        <v/>
      </c>
      <c r="U2120" s="5" t="str">
        <f t="shared" si="320"/>
        <v/>
      </c>
    </row>
    <row r="2121" spans="7:21" x14ac:dyDescent="0.2">
      <c r="G2121" s="8"/>
      <c r="H2121" s="5"/>
      <c r="J2121" s="10" t="str">
        <f t="shared" si="316"/>
        <v/>
      </c>
      <c r="K2121" s="10" t="str">
        <f t="shared" si="317"/>
        <v/>
      </c>
      <c r="L2121" s="11" t="str">
        <f t="shared" si="319"/>
        <v/>
      </c>
      <c r="M2121" s="9" t="str">
        <f>IF(G2121&lt;&gt;"",J2121/MAX(J$3:J2121)-1,"")</f>
        <v/>
      </c>
      <c r="N2121" s="9" t="str">
        <f>IF(G2121&lt;&gt;"",K2121/MAX(K$3:K2121)-1,"")</f>
        <v/>
      </c>
      <c r="O2121" s="16" t="str">
        <f t="shared" si="315"/>
        <v/>
      </c>
      <c r="P2121" s="16" t="str">
        <f t="shared" si="315"/>
        <v/>
      </c>
      <c r="Q2121" s="16" t="str">
        <f t="shared" si="315"/>
        <v/>
      </c>
      <c r="R2121" s="5" t="str">
        <f t="shared" si="314"/>
        <v/>
      </c>
      <c r="S2121" s="5" t="str">
        <f t="shared" si="318"/>
        <v/>
      </c>
      <c r="T2121" s="5" t="str">
        <f t="shared" si="320"/>
        <v/>
      </c>
      <c r="U2121" s="5" t="str">
        <f t="shared" si="320"/>
        <v/>
      </c>
    </row>
    <row r="2122" spans="7:21" x14ac:dyDescent="0.2">
      <c r="G2122" s="8"/>
      <c r="H2122" s="5"/>
      <c r="J2122" s="10" t="str">
        <f t="shared" si="316"/>
        <v/>
      </c>
      <c r="K2122" s="10" t="str">
        <f t="shared" si="317"/>
        <v/>
      </c>
      <c r="L2122" s="11" t="str">
        <f t="shared" si="319"/>
        <v/>
      </c>
      <c r="M2122" s="9" t="str">
        <f>IF(G2122&lt;&gt;"",J2122/MAX(J$3:J2122)-1,"")</f>
        <v/>
      </c>
      <c r="N2122" s="9" t="str">
        <f>IF(G2122&lt;&gt;"",K2122/MAX(K$3:K2122)-1,"")</f>
        <v/>
      </c>
      <c r="O2122" s="16" t="str">
        <f t="shared" si="315"/>
        <v/>
      </c>
      <c r="P2122" s="16" t="str">
        <f t="shared" si="315"/>
        <v/>
      </c>
      <c r="Q2122" s="16" t="str">
        <f t="shared" si="315"/>
        <v/>
      </c>
      <c r="R2122" s="5" t="str">
        <f t="shared" si="314"/>
        <v/>
      </c>
      <c r="S2122" s="5" t="str">
        <f t="shared" si="318"/>
        <v/>
      </c>
      <c r="T2122" s="5" t="str">
        <f t="shared" si="320"/>
        <v/>
      </c>
      <c r="U2122" s="5" t="str">
        <f t="shared" si="320"/>
        <v/>
      </c>
    </row>
    <row r="2123" spans="7:21" x14ac:dyDescent="0.2">
      <c r="G2123" s="8"/>
      <c r="H2123" s="5"/>
      <c r="J2123" s="10" t="str">
        <f t="shared" si="316"/>
        <v/>
      </c>
      <c r="K2123" s="10" t="str">
        <f t="shared" si="317"/>
        <v/>
      </c>
      <c r="L2123" s="11" t="str">
        <f t="shared" si="319"/>
        <v/>
      </c>
      <c r="M2123" s="9" t="str">
        <f>IF(G2123&lt;&gt;"",J2123/MAX(J$3:J2123)-1,"")</f>
        <v/>
      </c>
      <c r="N2123" s="9" t="str">
        <f>IF(G2123&lt;&gt;"",K2123/MAX(K$3:K2123)-1,"")</f>
        <v/>
      </c>
      <c r="O2123" s="16" t="str">
        <f t="shared" si="315"/>
        <v/>
      </c>
      <c r="P2123" s="16" t="str">
        <f t="shared" si="315"/>
        <v/>
      </c>
      <c r="Q2123" s="16" t="str">
        <f t="shared" si="315"/>
        <v/>
      </c>
      <c r="R2123" s="5" t="str">
        <f t="shared" si="314"/>
        <v/>
      </c>
      <c r="S2123" s="5" t="str">
        <f t="shared" si="318"/>
        <v/>
      </c>
      <c r="T2123" s="5" t="str">
        <f t="shared" si="320"/>
        <v/>
      </c>
      <c r="U2123" s="5" t="str">
        <f t="shared" si="320"/>
        <v/>
      </c>
    </row>
    <row r="2124" spans="7:21" x14ac:dyDescent="0.2">
      <c r="G2124" s="8"/>
      <c r="H2124" s="5"/>
      <c r="J2124" s="10" t="str">
        <f t="shared" si="316"/>
        <v/>
      </c>
      <c r="K2124" s="10" t="str">
        <f t="shared" si="317"/>
        <v/>
      </c>
      <c r="L2124" s="11" t="str">
        <f t="shared" si="319"/>
        <v/>
      </c>
      <c r="M2124" s="9" t="str">
        <f>IF(G2124&lt;&gt;"",J2124/MAX(J$3:J2124)-1,"")</f>
        <v/>
      </c>
      <c r="N2124" s="9" t="str">
        <f>IF(G2124&lt;&gt;"",K2124/MAX(K$3:K2124)-1,"")</f>
        <v/>
      </c>
      <c r="O2124" s="16" t="str">
        <f t="shared" si="315"/>
        <v/>
      </c>
      <c r="P2124" s="16" t="str">
        <f t="shared" si="315"/>
        <v/>
      </c>
      <c r="Q2124" s="16" t="str">
        <f t="shared" si="315"/>
        <v/>
      </c>
      <c r="R2124" s="5" t="str">
        <f t="shared" si="314"/>
        <v/>
      </c>
      <c r="S2124" s="5" t="str">
        <f t="shared" si="318"/>
        <v/>
      </c>
      <c r="T2124" s="5" t="str">
        <f t="shared" si="320"/>
        <v/>
      </c>
      <c r="U2124" s="5" t="str">
        <f t="shared" si="320"/>
        <v/>
      </c>
    </row>
    <row r="2125" spans="7:21" x14ac:dyDescent="0.2">
      <c r="G2125" s="8"/>
      <c r="H2125" s="5"/>
      <c r="J2125" s="10" t="str">
        <f t="shared" si="316"/>
        <v/>
      </c>
      <c r="K2125" s="10" t="str">
        <f t="shared" si="317"/>
        <v/>
      </c>
      <c r="L2125" s="11" t="str">
        <f t="shared" si="319"/>
        <v/>
      </c>
      <c r="M2125" s="9" t="str">
        <f>IF(G2125&lt;&gt;"",J2125/MAX(J$3:J2125)-1,"")</f>
        <v/>
      </c>
      <c r="N2125" s="9" t="str">
        <f>IF(G2125&lt;&gt;"",K2125/MAX(K$3:K2125)-1,"")</f>
        <v/>
      </c>
      <c r="O2125" s="16" t="str">
        <f t="shared" si="315"/>
        <v/>
      </c>
      <c r="P2125" s="16" t="str">
        <f t="shared" si="315"/>
        <v/>
      </c>
      <c r="Q2125" s="16" t="str">
        <f t="shared" si="315"/>
        <v/>
      </c>
      <c r="R2125" s="5" t="str">
        <f t="shared" si="314"/>
        <v/>
      </c>
      <c r="S2125" s="5" t="str">
        <f t="shared" si="318"/>
        <v/>
      </c>
      <c r="T2125" s="5" t="str">
        <f t="shared" si="320"/>
        <v/>
      </c>
      <c r="U2125" s="5" t="str">
        <f t="shared" si="320"/>
        <v/>
      </c>
    </row>
    <row r="2126" spans="7:21" x14ac:dyDescent="0.2">
      <c r="G2126" s="8"/>
      <c r="H2126" s="5"/>
      <c r="J2126" s="10" t="str">
        <f t="shared" si="316"/>
        <v/>
      </c>
      <c r="K2126" s="10" t="str">
        <f t="shared" si="317"/>
        <v/>
      </c>
      <c r="L2126" s="11" t="str">
        <f t="shared" si="319"/>
        <v/>
      </c>
      <c r="M2126" s="9" t="str">
        <f>IF(G2126&lt;&gt;"",J2126/MAX(J$3:J2126)-1,"")</f>
        <v/>
      </c>
      <c r="N2126" s="9" t="str">
        <f>IF(G2126&lt;&gt;"",K2126/MAX(K$3:K2126)-1,"")</f>
        <v/>
      </c>
      <c r="O2126" s="16" t="str">
        <f t="shared" si="315"/>
        <v/>
      </c>
      <c r="P2126" s="16" t="str">
        <f t="shared" si="315"/>
        <v/>
      </c>
      <c r="Q2126" s="16" t="str">
        <f t="shared" si="315"/>
        <v/>
      </c>
      <c r="R2126" s="5" t="str">
        <f t="shared" si="314"/>
        <v/>
      </c>
      <c r="S2126" s="5" t="str">
        <f t="shared" si="318"/>
        <v/>
      </c>
      <c r="T2126" s="5" t="str">
        <f t="shared" si="320"/>
        <v/>
      </c>
      <c r="U2126" s="5" t="str">
        <f t="shared" si="320"/>
        <v/>
      </c>
    </row>
    <row r="2127" spans="7:21" x14ac:dyDescent="0.2">
      <c r="G2127" s="8"/>
      <c r="H2127" s="5"/>
      <c r="J2127" s="10" t="str">
        <f t="shared" si="316"/>
        <v/>
      </c>
      <c r="K2127" s="10" t="str">
        <f t="shared" si="317"/>
        <v/>
      </c>
      <c r="L2127" s="11" t="str">
        <f t="shared" si="319"/>
        <v/>
      </c>
      <c r="M2127" s="9" t="str">
        <f>IF(G2127&lt;&gt;"",J2127/MAX(J$3:J2127)-1,"")</f>
        <v/>
      </c>
      <c r="N2127" s="9" t="str">
        <f>IF(G2127&lt;&gt;"",K2127/MAX(K$3:K2127)-1,"")</f>
        <v/>
      </c>
      <c r="O2127" s="16" t="str">
        <f t="shared" si="315"/>
        <v/>
      </c>
      <c r="P2127" s="16" t="str">
        <f t="shared" si="315"/>
        <v/>
      </c>
      <c r="Q2127" s="16" t="str">
        <f t="shared" si="315"/>
        <v/>
      </c>
      <c r="R2127" s="5" t="str">
        <f t="shared" si="314"/>
        <v/>
      </c>
      <c r="S2127" s="5" t="str">
        <f t="shared" si="318"/>
        <v/>
      </c>
      <c r="T2127" s="5" t="str">
        <f t="shared" si="320"/>
        <v/>
      </c>
      <c r="U2127" s="5" t="str">
        <f t="shared" si="320"/>
        <v/>
      </c>
    </row>
    <row r="2128" spans="7:21" x14ac:dyDescent="0.2">
      <c r="G2128" s="8"/>
      <c r="H2128" s="5"/>
      <c r="J2128" s="10" t="str">
        <f t="shared" si="316"/>
        <v/>
      </c>
      <c r="K2128" s="10" t="str">
        <f t="shared" si="317"/>
        <v/>
      </c>
      <c r="L2128" s="11" t="str">
        <f t="shared" si="319"/>
        <v/>
      </c>
      <c r="M2128" s="9" t="str">
        <f>IF(G2128&lt;&gt;"",J2128/MAX(J$3:J2128)-1,"")</f>
        <v/>
      </c>
      <c r="N2128" s="9" t="str">
        <f>IF(G2128&lt;&gt;"",K2128/MAX(K$3:K2128)-1,"")</f>
        <v/>
      </c>
      <c r="O2128" s="16" t="str">
        <f t="shared" si="315"/>
        <v/>
      </c>
      <c r="P2128" s="16" t="str">
        <f t="shared" si="315"/>
        <v/>
      </c>
      <c r="Q2128" s="16" t="str">
        <f t="shared" si="315"/>
        <v/>
      </c>
      <c r="R2128" s="5" t="str">
        <f t="shared" si="314"/>
        <v/>
      </c>
      <c r="S2128" s="5" t="str">
        <f t="shared" si="318"/>
        <v/>
      </c>
      <c r="T2128" s="5" t="str">
        <f t="shared" si="320"/>
        <v/>
      </c>
      <c r="U2128" s="5" t="str">
        <f t="shared" si="320"/>
        <v/>
      </c>
    </row>
    <row r="2129" spans="7:21" x14ac:dyDescent="0.2">
      <c r="G2129" s="8"/>
      <c r="H2129" s="5"/>
      <c r="J2129" s="10" t="str">
        <f t="shared" si="316"/>
        <v/>
      </c>
      <c r="K2129" s="10" t="str">
        <f t="shared" si="317"/>
        <v/>
      </c>
      <c r="L2129" s="11" t="str">
        <f t="shared" si="319"/>
        <v/>
      </c>
      <c r="M2129" s="9" t="str">
        <f>IF(G2129&lt;&gt;"",J2129/MAX(J$3:J2129)-1,"")</f>
        <v/>
      </c>
      <c r="N2129" s="9" t="str">
        <f>IF(G2129&lt;&gt;"",K2129/MAX(K$3:K2129)-1,"")</f>
        <v/>
      </c>
      <c r="O2129" s="16" t="str">
        <f t="shared" si="315"/>
        <v/>
      </c>
      <c r="P2129" s="16" t="str">
        <f t="shared" si="315"/>
        <v/>
      </c>
      <c r="Q2129" s="16" t="str">
        <f t="shared" si="315"/>
        <v/>
      </c>
      <c r="R2129" s="5" t="str">
        <f t="shared" si="314"/>
        <v/>
      </c>
      <c r="S2129" s="5" t="str">
        <f t="shared" si="318"/>
        <v/>
      </c>
      <c r="T2129" s="5" t="str">
        <f t="shared" si="320"/>
        <v/>
      </c>
      <c r="U2129" s="5" t="str">
        <f t="shared" si="320"/>
        <v/>
      </c>
    </row>
    <row r="2130" spans="7:21" x14ac:dyDescent="0.2">
      <c r="G2130" s="8"/>
      <c r="H2130" s="5"/>
      <c r="J2130" s="10" t="str">
        <f t="shared" si="316"/>
        <v/>
      </c>
      <c r="K2130" s="10" t="str">
        <f t="shared" si="317"/>
        <v/>
      </c>
      <c r="L2130" s="11" t="str">
        <f t="shared" si="319"/>
        <v/>
      </c>
      <c r="M2130" s="9" t="str">
        <f>IF(G2130&lt;&gt;"",J2130/MAX(J$3:J2130)-1,"")</f>
        <v/>
      </c>
      <c r="N2130" s="9" t="str">
        <f>IF(G2130&lt;&gt;"",K2130/MAX(K$3:K2130)-1,"")</f>
        <v/>
      </c>
      <c r="O2130" s="16" t="str">
        <f t="shared" si="315"/>
        <v/>
      </c>
      <c r="P2130" s="16" t="str">
        <f t="shared" si="315"/>
        <v/>
      </c>
      <c r="Q2130" s="16" t="str">
        <f t="shared" si="315"/>
        <v/>
      </c>
      <c r="R2130" s="5" t="str">
        <f t="shared" si="314"/>
        <v/>
      </c>
      <c r="S2130" s="5" t="str">
        <f t="shared" si="318"/>
        <v/>
      </c>
      <c r="T2130" s="5" t="str">
        <f t="shared" si="320"/>
        <v/>
      </c>
      <c r="U2130" s="5" t="str">
        <f t="shared" si="320"/>
        <v/>
      </c>
    </row>
    <row r="2131" spans="7:21" x14ac:dyDescent="0.2">
      <c r="G2131" s="8"/>
      <c r="H2131" s="5"/>
      <c r="J2131" s="10" t="str">
        <f t="shared" si="316"/>
        <v/>
      </c>
      <c r="K2131" s="10" t="str">
        <f t="shared" si="317"/>
        <v/>
      </c>
      <c r="L2131" s="11" t="str">
        <f t="shared" si="319"/>
        <v/>
      </c>
      <c r="M2131" s="9" t="str">
        <f>IF(G2131&lt;&gt;"",J2131/MAX(J$3:J2131)-1,"")</f>
        <v/>
      </c>
      <c r="N2131" s="9" t="str">
        <f>IF(G2131&lt;&gt;"",K2131/MAX(K$3:K2131)-1,"")</f>
        <v/>
      </c>
      <c r="O2131" s="16" t="str">
        <f t="shared" si="315"/>
        <v/>
      </c>
      <c r="P2131" s="16" t="str">
        <f t="shared" si="315"/>
        <v/>
      </c>
      <c r="Q2131" s="16" t="str">
        <f t="shared" si="315"/>
        <v/>
      </c>
      <c r="R2131" s="5" t="str">
        <f t="shared" si="314"/>
        <v/>
      </c>
      <c r="S2131" s="5" t="str">
        <f t="shared" si="318"/>
        <v/>
      </c>
      <c r="T2131" s="5" t="str">
        <f t="shared" si="320"/>
        <v/>
      </c>
      <c r="U2131" s="5" t="str">
        <f t="shared" si="320"/>
        <v/>
      </c>
    </row>
    <row r="2132" spans="7:21" x14ac:dyDescent="0.2">
      <c r="G2132" s="8"/>
      <c r="H2132" s="5"/>
      <c r="J2132" s="10" t="str">
        <f t="shared" si="316"/>
        <v/>
      </c>
      <c r="K2132" s="10" t="str">
        <f t="shared" si="317"/>
        <v/>
      </c>
      <c r="L2132" s="11" t="str">
        <f t="shared" si="319"/>
        <v/>
      </c>
      <c r="M2132" s="9" t="str">
        <f>IF(G2132&lt;&gt;"",J2132/MAX(J$3:J2132)-1,"")</f>
        <v/>
      </c>
      <c r="N2132" s="9" t="str">
        <f>IF(G2132&lt;&gt;"",K2132/MAX(K$3:K2132)-1,"")</f>
        <v/>
      </c>
      <c r="O2132" s="16" t="str">
        <f t="shared" si="315"/>
        <v/>
      </c>
      <c r="P2132" s="16" t="str">
        <f t="shared" si="315"/>
        <v/>
      </c>
      <c r="Q2132" s="16" t="str">
        <f t="shared" si="315"/>
        <v/>
      </c>
      <c r="R2132" s="5" t="str">
        <f t="shared" si="314"/>
        <v/>
      </c>
      <c r="S2132" s="5" t="str">
        <f t="shared" si="318"/>
        <v/>
      </c>
      <c r="T2132" s="5" t="str">
        <f t="shared" si="320"/>
        <v/>
      </c>
      <c r="U2132" s="5" t="str">
        <f t="shared" si="320"/>
        <v/>
      </c>
    </row>
    <row r="2133" spans="7:21" x14ac:dyDescent="0.2">
      <c r="G2133" s="8"/>
      <c r="H2133" s="5"/>
      <c r="J2133" s="10" t="str">
        <f t="shared" si="316"/>
        <v/>
      </c>
      <c r="K2133" s="10" t="str">
        <f t="shared" si="317"/>
        <v/>
      </c>
      <c r="L2133" s="11" t="str">
        <f t="shared" si="319"/>
        <v/>
      </c>
      <c r="M2133" s="9" t="str">
        <f>IF(G2133&lt;&gt;"",J2133/MAX(J$3:J2133)-1,"")</f>
        <v/>
      </c>
      <c r="N2133" s="9" t="str">
        <f>IF(G2133&lt;&gt;"",K2133/MAX(K$3:K2133)-1,"")</f>
        <v/>
      </c>
      <c r="O2133" s="16" t="str">
        <f t="shared" si="315"/>
        <v/>
      </c>
      <c r="P2133" s="16" t="str">
        <f t="shared" si="315"/>
        <v/>
      </c>
      <c r="Q2133" s="16" t="str">
        <f t="shared" si="315"/>
        <v/>
      </c>
      <c r="R2133" s="5" t="str">
        <f t="shared" si="314"/>
        <v/>
      </c>
      <c r="S2133" s="5" t="str">
        <f t="shared" si="318"/>
        <v/>
      </c>
      <c r="T2133" s="5" t="str">
        <f t="shared" si="320"/>
        <v/>
      </c>
      <c r="U2133" s="5" t="str">
        <f t="shared" si="320"/>
        <v/>
      </c>
    </row>
    <row r="2134" spans="7:21" x14ac:dyDescent="0.2">
      <c r="G2134" s="8"/>
      <c r="H2134" s="5"/>
      <c r="J2134" s="10" t="str">
        <f t="shared" si="316"/>
        <v/>
      </c>
      <c r="K2134" s="10" t="str">
        <f t="shared" si="317"/>
        <v/>
      </c>
      <c r="L2134" s="11" t="str">
        <f t="shared" si="319"/>
        <v/>
      </c>
      <c r="M2134" s="9" t="str">
        <f>IF(G2134&lt;&gt;"",J2134/MAX(J$3:J2134)-1,"")</f>
        <v/>
      </c>
      <c r="N2134" s="9" t="str">
        <f>IF(G2134&lt;&gt;"",K2134/MAX(K$3:K2134)-1,"")</f>
        <v/>
      </c>
      <c r="O2134" s="16" t="str">
        <f t="shared" si="315"/>
        <v/>
      </c>
      <c r="P2134" s="16" t="str">
        <f t="shared" si="315"/>
        <v/>
      </c>
      <c r="Q2134" s="16" t="str">
        <f t="shared" si="315"/>
        <v/>
      </c>
      <c r="R2134" s="5" t="str">
        <f t="shared" si="314"/>
        <v/>
      </c>
      <c r="S2134" s="5" t="str">
        <f t="shared" si="318"/>
        <v/>
      </c>
      <c r="T2134" s="5" t="str">
        <f t="shared" si="320"/>
        <v/>
      </c>
      <c r="U2134" s="5" t="str">
        <f t="shared" si="320"/>
        <v/>
      </c>
    </row>
    <row r="2135" spans="7:21" x14ac:dyDescent="0.2">
      <c r="G2135" s="8"/>
      <c r="H2135" s="5"/>
      <c r="J2135" s="10" t="str">
        <f t="shared" si="316"/>
        <v/>
      </c>
      <c r="K2135" s="10" t="str">
        <f t="shared" si="317"/>
        <v/>
      </c>
      <c r="L2135" s="11" t="str">
        <f t="shared" si="319"/>
        <v/>
      </c>
      <c r="M2135" s="9" t="str">
        <f>IF(G2135&lt;&gt;"",J2135/MAX(J$3:J2135)-1,"")</f>
        <v/>
      </c>
      <c r="N2135" s="9" t="str">
        <f>IF(G2135&lt;&gt;"",K2135/MAX(K$3:K2135)-1,"")</f>
        <v/>
      </c>
      <c r="O2135" s="16" t="str">
        <f t="shared" si="315"/>
        <v/>
      </c>
      <c r="P2135" s="16" t="str">
        <f t="shared" si="315"/>
        <v/>
      </c>
      <c r="Q2135" s="16" t="str">
        <f t="shared" si="315"/>
        <v/>
      </c>
      <c r="R2135" s="5" t="str">
        <f t="shared" si="314"/>
        <v/>
      </c>
      <c r="S2135" s="5" t="str">
        <f t="shared" si="318"/>
        <v/>
      </c>
      <c r="T2135" s="5" t="str">
        <f t="shared" si="320"/>
        <v/>
      </c>
      <c r="U2135" s="5" t="str">
        <f t="shared" si="320"/>
        <v/>
      </c>
    </row>
    <row r="2136" spans="7:21" x14ac:dyDescent="0.2">
      <c r="G2136" s="8"/>
      <c r="H2136" s="5"/>
      <c r="J2136" s="10" t="str">
        <f t="shared" si="316"/>
        <v/>
      </c>
      <c r="K2136" s="10" t="str">
        <f t="shared" si="317"/>
        <v/>
      </c>
      <c r="L2136" s="11" t="str">
        <f t="shared" si="319"/>
        <v/>
      </c>
      <c r="M2136" s="9" t="str">
        <f>IF(G2136&lt;&gt;"",J2136/MAX(J$3:J2136)-1,"")</f>
        <v/>
      </c>
      <c r="N2136" s="9" t="str">
        <f>IF(G2136&lt;&gt;"",K2136/MAX(K$3:K2136)-1,"")</f>
        <v/>
      </c>
      <c r="O2136" s="16" t="str">
        <f t="shared" si="315"/>
        <v/>
      </c>
      <c r="P2136" s="16" t="str">
        <f t="shared" si="315"/>
        <v/>
      </c>
      <c r="Q2136" s="16" t="str">
        <f t="shared" si="315"/>
        <v/>
      </c>
      <c r="R2136" s="5" t="str">
        <f t="shared" si="314"/>
        <v/>
      </c>
      <c r="S2136" s="5" t="str">
        <f t="shared" si="318"/>
        <v/>
      </c>
      <c r="T2136" s="5" t="str">
        <f t="shared" ref="T2136:U2151" si="321">IF($G2136&lt;&gt;"",_xlfn.STDEV.S(O1892:O2136),"")</f>
        <v/>
      </c>
      <c r="U2136" s="5" t="str">
        <f t="shared" si="321"/>
        <v/>
      </c>
    </row>
    <row r="2137" spans="7:21" x14ac:dyDescent="0.2">
      <c r="G2137" s="8"/>
      <c r="H2137" s="5"/>
      <c r="J2137" s="10" t="str">
        <f t="shared" si="316"/>
        <v/>
      </c>
      <c r="K2137" s="10" t="str">
        <f t="shared" si="317"/>
        <v/>
      </c>
      <c r="L2137" s="11" t="str">
        <f t="shared" si="319"/>
        <v/>
      </c>
      <c r="M2137" s="9" t="str">
        <f>IF(G2137&lt;&gt;"",J2137/MAX(J$3:J2137)-1,"")</f>
        <v/>
      </c>
      <c r="N2137" s="9" t="str">
        <f>IF(G2137&lt;&gt;"",K2137/MAX(K$3:K2137)-1,"")</f>
        <v/>
      </c>
      <c r="O2137" s="16" t="str">
        <f t="shared" si="315"/>
        <v/>
      </c>
      <c r="P2137" s="16" t="str">
        <f t="shared" si="315"/>
        <v/>
      </c>
      <c r="Q2137" s="16" t="str">
        <f t="shared" si="315"/>
        <v/>
      </c>
      <c r="R2137" s="5" t="str">
        <f t="shared" si="314"/>
        <v/>
      </c>
      <c r="S2137" s="5" t="str">
        <f t="shared" si="318"/>
        <v/>
      </c>
      <c r="T2137" s="5" t="str">
        <f t="shared" si="321"/>
        <v/>
      </c>
      <c r="U2137" s="5" t="str">
        <f t="shared" si="321"/>
        <v/>
      </c>
    </row>
    <row r="2138" spans="7:21" x14ac:dyDescent="0.2">
      <c r="G2138" s="8"/>
      <c r="H2138" s="5"/>
      <c r="J2138" s="10" t="str">
        <f t="shared" si="316"/>
        <v/>
      </c>
      <c r="K2138" s="10" t="str">
        <f t="shared" si="317"/>
        <v/>
      </c>
      <c r="L2138" s="11" t="str">
        <f t="shared" si="319"/>
        <v/>
      </c>
      <c r="M2138" s="9" t="str">
        <f>IF(G2138&lt;&gt;"",J2138/MAX(J$3:J2138)-1,"")</f>
        <v/>
      </c>
      <c r="N2138" s="9" t="str">
        <f>IF(G2138&lt;&gt;"",K2138/MAX(K$3:K2138)-1,"")</f>
        <v/>
      </c>
      <c r="O2138" s="16" t="str">
        <f t="shared" si="315"/>
        <v/>
      </c>
      <c r="P2138" s="16" t="str">
        <f t="shared" si="315"/>
        <v/>
      </c>
      <c r="Q2138" s="16" t="str">
        <f t="shared" si="315"/>
        <v/>
      </c>
      <c r="R2138" s="5" t="str">
        <f t="shared" si="314"/>
        <v/>
      </c>
      <c r="S2138" s="5" t="str">
        <f t="shared" si="318"/>
        <v/>
      </c>
      <c r="T2138" s="5" t="str">
        <f t="shared" si="321"/>
        <v/>
      </c>
      <c r="U2138" s="5" t="str">
        <f t="shared" si="321"/>
        <v/>
      </c>
    </row>
    <row r="2139" spans="7:21" x14ac:dyDescent="0.2">
      <c r="G2139" s="8"/>
      <c r="H2139" s="5"/>
      <c r="J2139" s="10" t="str">
        <f t="shared" si="316"/>
        <v/>
      </c>
      <c r="K2139" s="10" t="str">
        <f t="shared" si="317"/>
        <v/>
      </c>
      <c r="L2139" s="11" t="str">
        <f t="shared" si="319"/>
        <v/>
      </c>
      <c r="M2139" s="9" t="str">
        <f>IF(G2139&lt;&gt;"",J2139/MAX(J$3:J2139)-1,"")</f>
        <v/>
      </c>
      <c r="N2139" s="9" t="str">
        <f>IF(G2139&lt;&gt;"",K2139/MAX(K$3:K2139)-1,"")</f>
        <v/>
      </c>
      <c r="O2139" s="16" t="str">
        <f t="shared" si="315"/>
        <v/>
      </c>
      <c r="P2139" s="16" t="str">
        <f t="shared" si="315"/>
        <v/>
      </c>
      <c r="Q2139" s="16" t="str">
        <f t="shared" si="315"/>
        <v/>
      </c>
      <c r="R2139" s="5" t="str">
        <f t="shared" si="314"/>
        <v/>
      </c>
      <c r="S2139" s="5" t="str">
        <f t="shared" si="318"/>
        <v/>
      </c>
      <c r="T2139" s="5" t="str">
        <f t="shared" si="321"/>
        <v/>
      </c>
      <c r="U2139" s="5" t="str">
        <f t="shared" si="321"/>
        <v/>
      </c>
    </row>
    <row r="2140" spans="7:21" x14ac:dyDescent="0.2">
      <c r="G2140" s="8"/>
      <c r="H2140" s="5"/>
      <c r="J2140" s="10" t="str">
        <f t="shared" si="316"/>
        <v/>
      </c>
      <c r="K2140" s="10" t="str">
        <f t="shared" si="317"/>
        <v/>
      </c>
      <c r="L2140" s="11" t="str">
        <f t="shared" si="319"/>
        <v/>
      </c>
      <c r="M2140" s="9" t="str">
        <f>IF(G2140&lt;&gt;"",J2140/MAX(J$3:J2140)-1,"")</f>
        <v/>
      </c>
      <c r="N2140" s="9" t="str">
        <f>IF(G2140&lt;&gt;"",K2140/MAX(K$3:K2140)-1,"")</f>
        <v/>
      </c>
      <c r="O2140" s="16" t="str">
        <f t="shared" si="315"/>
        <v/>
      </c>
      <c r="P2140" s="16" t="str">
        <f t="shared" si="315"/>
        <v/>
      </c>
      <c r="Q2140" s="16" t="str">
        <f t="shared" si="315"/>
        <v/>
      </c>
      <c r="R2140" s="5" t="str">
        <f t="shared" si="314"/>
        <v/>
      </c>
      <c r="S2140" s="5" t="str">
        <f t="shared" si="318"/>
        <v/>
      </c>
      <c r="T2140" s="5" t="str">
        <f t="shared" si="321"/>
        <v/>
      </c>
      <c r="U2140" s="5" t="str">
        <f t="shared" si="321"/>
        <v/>
      </c>
    </row>
    <row r="2141" spans="7:21" x14ac:dyDescent="0.2">
      <c r="G2141" s="8"/>
      <c r="H2141" s="5"/>
      <c r="J2141" s="10" t="str">
        <f t="shared" si="316"/>
        <v/>
      </c>
      <c r="K2141" s="10" t="str">
        <f t="shared" si="317"/>
        <v/>
      </c>
      <c r="L2141" s="11" t="str">
        <f t="shared" si="319"/>
        <v/>
      </c>
      <c r="M2141" s="9" t="str">
        <f>IF(G2141&lt;&gt;"",J2141/MAX(J$3:J2141)-1,"")</f>
        <v/>
      </c>
      <c r="N2141" s="9" t="str">
        <f>IF(G2141&lt;&gt;"",K2141/MAX(K$3:K2141)-1,"")</f>
        <v/>
      </c>
      <c r="O2141" s="16" t="str">
        <f t="shared" si="315"/>
        <v/>
      </c>
      <c r="P2141" s="16" t="str">
        <f t="shared" si="315"/>
        <v/>
      </c>
      <c r="Q2141" s="16" t="str">
        <f t="shared" si="315"/>
        <v/>
      </c>
      <c r="R2141" s="5" t="str">
        <f t="shared" si="314"/>
        <v/>
      </c>
      <c r="S2141" s="5" t="str">
        <f t="shared" si="318"/>
        <v/>
      </c>
      <c r="T2141" s="5" t="str">
        <f t="shared" si="321"/>
        <v/>
      </c>
      <c r="U2141" s="5" t="str">
        <f t="shared" si="321"/>
        <v/>
      </c>
    </row>
    <row r="2142" spans="7:21" x14ac:dyDescent="0.2">
      <c r="G2142" s="8"/>
      <c r="H2142" s="5"/>
      <c r="J2142" s="10" t="str">
        <f t="shared" si="316"/>
        <v/>
      </c>
      <c r="K2142" s="10" t="str">
        <f t="shared" si="317"/>
        <v/>
      </c>
      <c r="L2142" s="11" t="str">
        <f t="shared" si="319"/>
        <v/>
      </c>
      <c r="M2142" s="9" t="str">
        <f>IF(G2142&lt;&gt;"",J2142/MAX(J$3:J2142)-1,"")</f>
        <v/>
      </c>
      <c r="N2142" s="9" t="str">
        <f>IF(G2142&lt;&gt;"",K2142/MAX(K$3:K2142)-1,"")</f>
        <v/>
      </c>
      <c r="O2142" s="16" t="str">
        <f t="shared" si="315"/>
        <v/>
      </c>
      <c r="P2142" s="16" t="str">
        <f t="shared" si="315"/>
        <v/>
      </c>
      <c r="Q2142" s="16" t="str">
        <f t="shared" si="315"/>
        <v/>
      </c>
      <c r="R2142" s="5" t="str">
        <f t="shared" si="314"/>
        <v/>
      </c>
      <c r="S2142" s="5" t="str">
        <f t="shared" si="318"/>
        <v/>
      </c>
      <c r="T2142" s="5" t="str">
        <f t="shared" si="321"/>
        <v/>
      </c>
      <c r="U2142" s="5" t="str">
        <f t="shared" si="321"/>
        <v/>
      </c>
    </row>
    <row r="2143" spans="7:21" x14ac:dyDescent="0.2">
      <c r="G2143" s="8"/>
      <c r="H2143" s="5"/>
      <c r="J2143" s="10" t="str">
        <f t="shared" si="316"/>
        <v/>
      </c>
      <c r="K2143" s="10" t="str">
        <f t="shared" si="317"/>
        <v/>
      </c>
      <c r="L2143" s="11" t="str">
        <f t="shared" si="319"/>
        <v/>
      </c>
      <c r="M2143" s="9" t="str">
        <f>IF(G2143&lt;&gt;"",J2143/MAX(J$3:J2143)-1,"")</f>
        <v/>
      </c>
      <c r="N2143" s="9" t="str">
        <f>IF(G2143&lt;&gt;"",K2143/MAX(K$3:K2143)-1,"")</f>
        <v/>
      </c>
      <c r="O2143" s="16" t="str">
        <f t="shared" si="315"/>
        <v/>
      </c>
      <c r="P2143" s="16" t="str">
        <f t="shared" si="315"/>
        <v/>
      </c>
      <c r="Q2143" s="16" t="str">
        <f t="shared" si="315"/>
        <v/>
      </c>
      <c r="R2143" s="5" t="str">
        <f t="shared" si="314"/>
        <v/>
      </c>
      <c r="S2143" s="5" t="str">
        <f t="shared" si="318"/>
        <v/>
      </c>
      <c r="T2143" s="5" t="str">
        <f t="shared" si="321"/>
        <v/>
      </c>
      <c r="U2143" s="5" t="str">
        <f t="shared" si="321"/>
        <v/>
      </c>
    </row>
    <row r="2144" spans="7:21" x14ac:dyDescent="0.2">
      <c r="G2144" s="8"/>
      <c r="H2144" s="5"/>
      <c r="J2144" s="10" t="str">
        <f t="shared" si="316"/>
        <v/>
      </c>
      <c r="K2144" s="10" t="str">
        <f t="shared" si="317"/>
        <v/>
      </c>
      <c r="L2144" s="11" t="str">
        <f t="shared" si="319"/>
        <v/>
      </c>
      <c r="M2144" s="9" t="str">
        <f>IF(G2144&lt;&gt;"",J2144/MAX(J$3:J2144)-1,"")</f>
        <v/>
      </c>
      <c r="N2144" s="9" t="str">
        <f>IF(G2144&lt;&gt;"",K2144/MAX(K$3:K2144)-1,"")</f>
        <v/>
      </c>
      <c r="O2144" s="16" t="str">
        <f t="shared" si="315"/>
        <v/>
      </c>
      <c r="P2144" s="16" t="str">
        <f t="shared" si="315"/>
        <v/>
      </c>
      <c r="Q2144" s="16" t="str">
        <f t="shared" si="315"/>
        <v/>
      </c>
      <c r="R2144" s="5" t="str">
        <f t="shared" si="314"/>
        <v/>
      </c>
      <c r="S2144" s="5" t="str">
        <f t="shared" si="318"/>
        <v/>
      </c>
      <c r="T2144" s="5" t="str">
        <f t="shared" si="321"/>
        <v/>
      </c>
      <c r="U2144" s="5" t="str">
        <f t="shared" si="321"/>
        <v/>
      </c>
    </row>
    <row r="2145" spans="7:21" x14ac:dyDescent="0.2">
      <c r="G2145" s="8"/>
      <c r="H2145" s="5"/>
      <c r="J2145" s="10" t="str">
        <f t="shared" si="316"/>
        <v/>
      </c>
      <c r="K2145" s="10" t="str">
        <f t="shared" si="317"/>
        <v/>
      </c>
      <c r="L2145" s="11" t="str">
        <f t="shared" si="319"/>
        <v/>
      </c>
      <c r="M2145" s="9" t="str">
        <f>IF(G2145&lt;&gt;"",J2145/MAX(J$3:J2145)-1,"")</f>
        <v/>
      </c>
      <c r="N2145" s="9" t="str">
        <f>IF(G2145&lt;&gt;"",K2145/MAX(K$3:K2145)-1,"")</f>
        <v/>
      </c>
      <c r="O2145" s="16" t="str">
        <f t="shared" si="315"/>
        <v/>
      </c>
      <c r="P2145" s="16" t="str">
        <f t="shared" si="315"/>
        <v/>
      </c>
      <c r="Q2145" s="16" t="str">
        <f t="shared" si="315"/>
        <v/>
      </c>
      <c r="R2145" s="5" t="str">
        <f t="shared" si="314"/>
        <v/>
      </c>
      <c r="S2145" s="5" t="str">
        <f t="shared" si="318"/>
        <v/>
      </c>
      <c r="T2145" s="5" t="str">
        <f t="shared" si="321"/>
        <v/>
      </c>
      <c r="U2145" s="5" t="str">
        <f t="shared" si="321"/>
        <v/>
      </c>
    </row>
    <row r="2146" spans="7:21" x14ac:dyDescent="0.2">
      <c r="G2146" s="8"/>
      <c r="H2146" s="5"/>
      <c r="J2146" s="10" t="str">
        <f t="shared" si="316"/>
        <v/>
      </c>
      <c r="K2146" s="10" t="str">
        <f t="shared" si="317"/>
        <v/>
      </c>
      <c r="L2146" s="11" t="str">
        <f t="shared" si="319"/>
        <v/>
      </c>
      <c r="M2146" s="9" t="str">
        <f>IF(G2146&lt;&gt;"",J2146/MAX(J$3:J2146)-1,"")</f>
        <v/>
      </c>
      <c r="N2146" s="9" t="str">
        <f>IF(G2146&lt;&gt;"",K2146/MAX(K$3:K2146)-1,"")</f>
        <v/>
      </c>
      <c r="O2146" s="16" t="str">
        <f t="shared" si="315"/>
        <v/>
      </c>
      <c r="P2146" s="16" t="str">
        <f t="shared" si="315"/>
        <v/>
      </c>
      <c r="Q2146" s="16" t="str">
        <f t="shared" si="315"/>
        <v/>
      </c>
      <c r="R2146" s="5" t="str">
        <f t="shared" si="314"/>
        <v/>
      </c>
      <c r="S2146" s="5" t="str">
        <f t="shared" si="318"/>
        <v/>
      </c>
      <c r="T2146" s="5" t="str">
        <f t="shared" si="321"/>
        <v/>
      </c>
      <c r="U2146" s="5" t="str">
        <f t="shared" si="321"/>
        <v/>
      </c>
    </row>
    <row r="2147" spans="7:21" x14ac:dyDescent="0.2">
      <c r="G2147" s="8"/>
      <c r="H2147" s="5"/>
      <c r="J2147" s="10" t="str">
        <f t="shared" si="316"/>
        <v/>
      </c>
      <c r="K2147" s="10" t="str">
        <f t="shared" si="317"/>
        <v/>
      </c>
      <c r="L2147" s="11" t="str">
        <f t="shared" si="319"/>
        <v/>
      </c>
      <c r="M2147" s="9" t="str">
        <f>IF(G2147&lt;&gt;"",J2147/MAX(J$3:J2147)-1,"")</f>
        <v/>
      </c>
      <c r="N2147" s="9" t="str">
        <f>IF(G2147&lt;&gt;"",K2147/MAX(K$3:K2147)-1,"")</f>
        <v/>
      </c>
      <c r="O2147" s="16" t="str">
        <f t="shared" si="315"/>
        <v/>
      </c>
      <c r="P2147" s="16" t="str">
        <f t="shared" si="315"/>
        <v/>
      </c>
      <c r="Q2147" s="16" t="str">
        <f t="shared" si="315"/>
        <v/>
      </c>
      <c r="R2147" s="5" t="str">
        <f t="shared" si="314"/>
        <v/>
      </c>
      <c r="S2147" s="5" t="str">
        <f t="shared" si="318"/>
        <v/>
      </c>
      <c r="T2147" s="5" t="str">
        <f t="shared" si="321"/>
        <v/>
      </c>
      <c r="U2147" s="5" t="str">
        <f t="shared" si="321"/>
        <v/>
      </c>
    </row>
    <row r="2148" spans="7:21" x14ac:dyDescent="0.2">
      <c r="G2148" s="8"/>
      <c r="H2148" s="5"/>
      <c r="J2148" s="10" t="str">
        <f t="shared" si="316"/>
        <v/>
      </c>
      <c r="K2148" s="10" t="str">
        <f t="shared" si="317"/>
        <v/>
      </c>
      <c r="L2148" s="11" t="str">
        <f t="shared" si="319"/>
        <v/>
      </c>
      <c r="M2148" s="9" t="str">
        <f>IF(G2148&lt;&gt;"",J2148/MAX(J$3:J2148)-1,"")</f>
        <v/>
      </c>
      <c r="N2148" s="9" t="str">
        <f>IF(G2148&lt;&gt;"",K2148/MAX(K$3:K2148)-1,"")</f>
        <v/>
      </c>
      <c r="O2148" s="16" t="str">
        <f t="shared" si="315"/>
        <v/>
      </c>
      <c r="P2148" s="16" t="str">
        <f t="shared" si="315"/>
        <v/>
      </c>
      <c r="Q2148" s="16" t="str">
        <f t="shared" si="315"/>
        <v/>
      </c>
      <c r="R2148" s="5" t="str">
        <f t="shared" si="314"/>
        <v/>
      </c>
      <c r="S2148" s="5" t="str">
        <f t="shared" si="318"/>
        <v/>
      </c>
      <c r="T2148" s="5" t="str">
        <f t="shared" si="321"/>
        <v/>
      </c>
      <c r="U2148" s="5" t="str">
        <f t="shared" si="321"/>
        <v/>
      </c>
    </row>
    <row r="2149" spans="7:21" x14ac:dyDescent="0.2">
      <c r="G2149" s="8"/>
      <c r="H2149" s="5"/>
      <c r="J2149" s="10" t="str">
        <f t="shared" si="316"/>
        <v/>
      </c>
      <c r="K2149" s="10" t="str">
        <f t="shared" si="317"/>
        <v/>
      </c>
      <c r="L2149" s="11" t="str">
        <f t="shared" si="319"/>
        <v/>
      </c>
      <c r="M2149" s="9" t="str">
        <f>IF(G2149&lt;&gt;"",J2149/MAX(J$3:J2149)-1,"")</f>
        <v/>
      </c>
      <c r="N2149" s="9" t="str">
        <f>IF(G2149&lt;&gt;"",K2149/MAX(K$3:K2149)-1,"")</f>
        <v/>
      </c>
      <c r="O2149" s="16" t="str">
        <f t="shared" si="315"/>
        <v/>
      </c>
      <c r="P2149" s="16" t="str">
        <f t="shared" si="315"/>
        <v/>
      </c>
      <c r="Q2149" s="16" t="str">
        <f t="shared" si="315"/>
        <v/>
      </c>
      <c r="R2149" s="5" t="str">
        <f t="shared" si="314"/>
        <v/>
      </c>
      <c r="S2149" s="5" t="str">
        <f t="shared" si="318"/>
        <v/>
      </c>
      <c r="T2149" s="5" t="str">
        <f t="shared" si="321"/>
        <v/>
      </c>
      <c r="U2149" s="5" t="str">
        <f t="shared" si="321"/>
        <v/>
      </c>
    </row>
    <row r="2150" spans="7:21" x14ac:dyDescent="0.2">
      <c r="G2150" s="8"/>
      <c r="H2150" s="5"/>
      <c r="J2150" s="10" t="str">
        <f t="shared" si="316"/>
        <v/>
      </c>
      <c r="K2150" s="10" t="str">
        <f t="shared" si="317"/>
        <v/>
      </c>
      <c r="L2150" s="11" t="str">
        <f t="shared" si="319"/>
        <v/>
      </c>
      <c r="M2150" s="9" t="str">
        <f>IF(G2150&lt;&gt;"",J2150/MAX(J$3:J2150)-1,"")</f>
        <v/>
      </c>
      <c r="N2150" s="9" t="str">
        <f>IF(G2150&lt;&gt;"",K2150/MAX(K$3:K2150)-1,"")</f>
        <v/>
      </c>
      <c r="O2150" s="16" t="str">
        <f t="shared" si="315"/>
        <v/>
      </c>
      <c r="P2150" s="16" t="str">
        <f t="shared" si="315"/>
        <v/>
      </c>
      <c r="Q2150" s="16" t="str">
        <f t="shared" si="315"/>
        <v/>
      </c>
      <c r="R2150" s="5" t="str">
        <f t="shared" si="314"/>
        <v/>
      </c>
      <c r="S2150" s="5" t="str">
        <f t="shared" si="318"/>
        <v/>
      </c>
      <c r="T2150" s="5" t="str">
        <f t="shared" si="321"/>
        <v/>
      </c>
      <c r="U2150" s="5" t="str">
        <f t="shared" si="321"/>
        <v/>
      </c>
    </row>
    <row r="2151" spans="7:21" x14ac:dyDescent="0.2">
      <c r="G2151" s="8"/>
      <c r="H2151" s="5"/>
      <c r="J2151" s="10" t="str">
        <f t="shared" si="316"/>
        <v/>
      </c>
      <c r="K2151" s="10" t="str">
        <f t="shared" si="317"/>
        <v/>
      </c>
      <c r="L2151" s="11" t="str">
        <f t="shared" si="319"/>
        <v/>
      </c>
      <c r="M2151" s="9" t="str">
        <f>IF(G2151&lt;&gt;"",J2151/MAX(J$3:J2151)-1,"")</f>
        <v/>
      </c>
      <c r="N2151" s="9" t="str">
        <f>IF(G2151&lt;&gt;"",K2151/MAX(K$3:K2151)-1,"")</f>
        <v/>
      </c>
      <c r="O2151" s="16" t="str">
        <f t="shared" si="315"/>
        <v/>
      </c>
      <c r="P2151" s="16" t="str">
        <f t="shared" si="315"/>
        <v/>
      </c>
      <c r="Q2151" s="16" t="str">
        <f t="shared" si="315"/>
        <v/>
      </c>
      <c r="R2151" s="5" t="str">
        <f t="shared" si="314"/>
        <v/>
      </c>
      <c r="S2151" s="5" t="str">
        <f t="shared" si="318"/>
        <v/>
      </c>
      <c r="T2151" s="5" t="str">
        <f t="shared" si="321"/>
        <v/>
      </c>
      <c r="U2151" s="5" t="str">
        <f t="shared" si="321"/>
        <v/>
      </c>
    </row>
    <row r="2152" spans="7:21" x14ac:dyDescent="0.2">
      <c r="G2152" s="8"/>
      <c r="H2152" s="5"/>
      <c r="J2152" s="10" t="str">
        <f t="shared" si="316"/>
        <v/>
      </c>
      <c r="K2152" s="10" t="str">
        <f t="shared" si="317"/>
        <v/>
      </c>
      <c r="L2152" s="11" t="str">
        <f t="shared" si="319"/>
        <v/>
      </c>
      <c r="M2152" s="9" t="str">
        <f>IF(G2152&lt;&gt;"",J2152/MAX(J$3:J2152)-1,"")</f>
        <v/>
      </c>
      <c r="N2152" s="9" t="str">
        <f>IF(G2152&lt;&gt;"",K2152/MAX(K$3:K2152)-1,"")</f>
        <v/>
      </c>
      <c r="O2152" s="16" t="str">
        <f t="shared" si="315"/>
        <v/>
      </c>
      <c r="P2152" s="16" t="str">
        <f t="shared" si="315"/>
        <v/>
      </c>
      <c r="Q2152" s="16" t="str">
        <f t="shared" si="315"/>
        <v/>
      </c>
      <c r="R2152" s="5" t="str">
        <f t="shared" si="314"/>
        <v/>
      </c>
      <c r="S2152" s="5" t="str">
        <f t="shared" si="318"/>
        <v/>
      </c>
      <c r="T2152" s="5" t="str">
        <f t="shared" ref="T2152:U2167" si="322">IF($G2152&lt;&gt;"",_xlfn.STDEV.S(O1908:O2152),"")</f>
        <v/>
      </c>
      <c r="U2152" s="5" t="str">
        <f t="shared" si="322"/>
        <v/>
      </c>
    </row>
    <row r="2153" spans="7:21" x14ac:dyDescent="0.2">
      <c r="G2153" s="8"/>
      <c r="H2153" s="5"/>
      <c r="J2153" s="10" t="str">
        <f t="shared" si="316"/>
        <v/>
      </c>
      <c r="K2153" s="10" t="str">
        <f t="shared" si="317"/>
        <v/>
      </c>
      <c r="L2153" s="11" t="str">
        <f t="shared" si="319"/>
        <v/>
      </c>
      <c r="M2153" s="9" t="str">
        <f>IF(G2153&lt;&gt;"",J2153/MAX(J$3:J2153)-1,"")</f>
        <v/>
      </c>
      <c r="N2153" s="9" t="str">
        <f>IF(G2153&lt;&gt;"",K2153/MAX(K$3:K2153)-1,"")</f>
        <v/>
      </c>
      <c r="O2153" s="16" t="str">
        <f t="shared" si="315"/>
        <v/>
      </c>
      <c r="P2153" s="16" t="str">
        <f t="shared" si="315"/>
        <v/>
      </c>
      <c r="Q2153" s="16" t="str">
        <f t="shared" si="315"/>
        <v/>
      </c>
      <c r="R2153" s="5" t="str">
        <f t="shared" si="314"/>
        <v/>
      </c>
      <c r="S2153" s="5" t="str">
        <f t="shared" si="318"/>
        <v/>
      </c>
      <c r="T2153" s="5" t="str">
        <f t="shared" si="322"/>
        <v/>
      </c>
      <c r="U2153" s="5" t="str">
        <f t="shared" si="322"/>
        <v/>
      </c>
    </row>
    <row r="2154" spans="7:21" x14ac:dyDescent="0.2">
      <c r="G2154" s="8"/>
      <c r="H2154" s="5"/>
      <c r="J2154" s="10" t="str">
        <f t="shared" si="316"/>
        <v/>
      </c>
      <c r="K2154" s="10" t="str">
        <f t="shared" si="317"/>
        <v/>
      </c>
      <c r="L2154" s="11" t="str">
        <f t="shared" si="319"/>
        <v/>
      </c>
      <c r="M2154" s="9" t="str">
        <f>IF(G2154&lt;&gt;"",J2154/MAX(J$3:J2154)-1,"")</f>
        <v/>
      </c>
      <c r="N2154" s="9" t="str">
        <f>IF(G2154&lt;&gt;"",K2154/MAX(K$3:K2154)-1,"")</f>
        <v/>
      </c>
      <c r="O2154" s="16" t="str">
        <f t="shared" si="315"/>
        <v/>
      </c>
      <c r="P2154" s="16" t="str">
        <f t="shared" si="315"/>
        <v/>
      </c>
      <c r="Q2154" s="16" t="str">
        <f t="shared" si="315"/>
        <v/>
      </c>
      <c r="R2154" s="5" t="str">
        <f t="shared" si="314"/>
        <v/>
      </c>
      <c r="S2154" s="5" t="str">
        <f t="shared" si="318"/>
        <v/>
      </c>
      <c r="T2154" s="5" t="str">
        <f t="shared" si="322"/>
        <v/>
      </c>
      <c r="U2154" s="5" t="str">
        <f t="shared" si="322"/>
        <v/>
      </c>
    </row>
    <row r="2155" spans="7:21" x14ac:dyDescent="0.2">
      <c r="G2155" s="8"/>
      <c r="H2155" s="5"/>
      <c r="J2155" s="10" t="str">
        <f t="shared" si="316"/>
        <v/>
      </c>
      <c r="K2155" s="10" t="str">
        <f t="shared" si="317"/>
        <v/>
      </c>
      <c r="L2155" s="11" t="str">
        <f t="shared" si="319"/>
        <v/>
      </c>
      <c r="M2155" s="9" t="str">
        <f>IF(G2155&lt;&gt;"",J2155/MAX(J$3:J2155)-1,"")</f>
        <v/>
      </c>
      <c r="N2155" s="9" t="str">
        <f>IF(G2155&lt;&gt;"",K2155/MAX(K$3:K2155)-1,"")</f>
        <v/>
      </c>
      <c r="O2155" s="16" t="str">
        <f t="shared" si="315"/>
        <v/>
      </c>
      <c r="P2155" s="16" t="str">
        <f t="shared" si="315"/>
        <v/>
      </c>
      <c r="Q2155" s="16" t="str">
        <f t="shared" si="315"/>
        <v/>
      </c>
      <c r="R2155" s="5" t="str">
        <f t="shared" si="314"/>
        <v/>
      </c>
      <c r="S2155" s="5" t="str">
        <f t="shared" si="318"/>
        <v/>
      </c>
      <c r="T2155" s="5" t="str">
        <f t="shared" si="322"/>
        <v/>
      </c>
      <c r="U2155" s="5" t="str">
        <f t="shared" si="322"/>
        <v/>
      </c>
    </row>
    <row r="2156" spans="7:21" x14ac:dyDescent="0.2">
      <c r="G2156" s="8"/>
      <c r="H2156" s="5"/>
      <c r="J2156" s="10" t="str">
        <f t="shared" si="316"/>
        <v/>
      </c>
      <c r="K2156" s="10" t="str">
        <f t="shared" si="317"/>
        <v/>
      </c>
      <c r="L2156" s="11" t="str">
        <f t="shared" si="319"/>
        <v/>
      </c>
      <c r="M2156" s="9" t="str">
        <f>IF(G2156&lt;&gt;"",J2156/MAX(J$3:J2156)-1,"")</f>
        <v/>
      </c>
      <c r="N2156" s="9" t="str">
        <f>IF(G2156&lt;&gt;"",K2156/MAX(K$3:K2156)-1,"")</f>
        <v/>
      </c>
      <c r="O2156" s="16" t="str">
        <f t="shared" si="315"/>
        <v/>
      </c>
      <c r="P2156" s="16" t="str">
        <f t="shared" si="315"/>
        <v/>
      </c>
      <c r="Q2156" s="16" t="str">
        <f t="shared" si="315"/>
        <v/>
      </c>
      <c r="R2156" s="5" t="str">
        <f t="shared" si="314"/>
        <v/>
      </c>
      <c r="S2156" s="5" t="str">
        <f t="shared" si="318"/>
        <v/>
      </c>
      <c r="T2156" s="5" t="str">
        <f t="shared" si="322"/>
        <v/>
      </c>
      <c r="U2156" s="5" t="str">
        <f t="shared" si="322"/>
        <v/>
      </c>
    </row>
    <row r="2157" spans="7:21" x14ac:dyDescent="0.2">
      <c r="G2157" s="8"/>
      <c r="H2157" s="5"/>
      <c r="J2157" s="10" t="str">
        <f t="shared" si="316"/>
        <v/>
      </c>
      <c r="K2157" s="10" t="str">
        <f t="shared" si="317"/>
        <v/>
      </c>
      <c r="L2157" s="11" t="str">
        <f t="shared" si="319"/>
        <v/>
      </c>
      <c r="M2157" s="9" t="str">
        <f>IF(G2157&lt;&gt;"",J2157/MAX(J$3:J2157)-1,"")</f>
        <v/>
      </c>
      <c r="N2157" s="9" t="str">
        <f>IF(G2157&lt;&gt;"",K2157/MAX(K$3:K2157)-1,"")</f>
        <v/>
      </c>
      <c r="O2157" s="16" t="str">
        <f t="shared" si="315"/>
        <v/>
      </c>
      <c r="P2157" s="16" t="str">
        <f t="shared" si="315"/>
        <v/>
      </c>
      <c r="Q2157" s="16" t="str">
        <f t="shared" si="315"/>
        <v/>
      </c>
      <c r="R2157" s="5" t="str">
        <f t="shared" si="314"/>
        <v/>
      </c>
      <c r="S2157" s="5" t="str">
        <f t="shared" si="318"/>
        <v/>
      </c>
      <c r="T2157" s="5" t="str">
        <f t="shared" si="322"/>
        <v/>
      </c>
      <c r="U2157" s="5" t="str">
        <f t="shared" si="322"/>
        <v/>
      </c>
    </row>
    <row r="2158" spans="7:21" x14ac:dyDescent="0.2">
      <c r="G2158" s="8"/>
      <c r="H2158" s="5"/>
      <c r="J2158" s="10" t="str">
        <f t="shared" si="316"/>
        <v/>
      </c>
      <c r="K2158" s="10" t="str">
        <f t="shared" si="317"/>
        <v/>
      </c>
      <c r="L2158" s="11" t="str">
        <f t="shared" si="319"/>
        <v/>
      </c>
      <c r="M2158" s="9" t="str">
        <f>IF(G2158&lt;&gt;"",J2158/MAX(J$3:J2158)-1,"")</f>
        <v/>
      </c>
      <c r="N2158" s="9" t="str">
        <f>IF(G2158&lt;&gt;"",K2158/MAX(K$3:K2158)-1,"")</f>
        <v/>
      </c>
      <c r="O2158" s="16" t="str">
        <f t="shared" si="315"/>
        <v/>
      </c>
      <c r="P2158" s="16" t="str">
        <f t="shared" si="315"/>
        <v/>
      </c>
      <c r="Q2158" s="16" t="str">
        <f t="shared" si="315"/>
        <v/>
      </c>
      <c r="R2158" s="5" t="str">
        <f t="shared" si="314"/>
        <v/>
      </c>
      <c r="S2158" s="5" t="str">
        <f t="shared" si="318"/>
        <v/>
      </c>
      <c r="T2158" s="5" t="str">
        <f t="shared" si="322"/>
        <v/>
      </c>
      <c r="U2158" s="5" t="str">
        <f t="shared" si="322"/>
        <v/>
      </c>
    </row>
    <row r="2159" spans="7:21" x14ac:dyDescent="0.2">
      <c r="G2159" s="8"/>
      <c r="H2159" s="5"/>
      <c r="J2159" s="10" t="str">
        <f t="shared" si="316"/>
        <v/>
      </c>
      <c r="K2159" s="10" t="str">
        <f t="shared" si="317"/>
        <v/>
      </c>
      <c r="L2159" s="11" t="str">
        <f t="shared" si="319"/>
        <v/>
      </c>
      <c r="M2159" s="9" t="str">
        <f>IF(G2159&lt;&gt;"",J2159/MAX(J$3:J2159)-1,"")</f>
        <v/>
      </c>
      <c r="N2159" s="9" t="str">
        <f>IF(G2159&lt;&gt;"",K2159/MAX(K$3:K2159)-1,"")</f>
        <v/>
      </c>
      <c r="O2159" s="16" t="str">
        <f t="shared" si="315"/>
        <v/>
      </c>
      <c r="P2159" s="16" t="str">
        <f t="shared" si="315"/>
        <v/>
      </c>
      <c r="Q2159" s="16" t="str">
        <f t="shared" si="315"/>
        <v/>
      </c>
      <c r="R2159" s="5" t="str">
        <f t="shared" si="314"/>
        <v/>
      </c>
      <c r="S2159" s="5" t="str">
        <f t="shared" si="318"/>
        <v/>
      </c>
      <c r="T2159" s="5" t="str">
        <f t="shared" si="322"/>
        <v/>
      </c>
      <c r="U2159" s="5" t="str">
        <f t="shared" si="322"/>
        <v/>
      </c>
    </row>
    <row r="2160" spans="7:21" x14ac:dyDescent="0.2">
      <c r="G2160" s="8"/>
      <c r="H2160" s="5"/>
      <c r="J2160" s="10" t="str">
        <f t="shared" si="316"/>
        <v/>
      </c>
      <c r="K2160" s="10" t="str">
        <f t="shared" si="317"/>
        <v/>
      </c>
      <c r="L2160" s="11" t="str">
        <f t="shared" si="319"/>
        <v/>
      </c>
      <c r="M2160" s="9" t="str">
        <f>IF(G2160&lt;&gt;"",J2160/MAX(J$3:J2160)-1,"")</f>
        <v/>
      </c>
      <c r="N2160" s="9" t="str">
        <f>IF(G2160&lt;&gt;"",K2160/MAX(K$3:K2160)-1,"")</f>
        <v/>
      </c>
      <c r="O2160" s="16" t="str">
        <f t="shared" si="315"/>
        <v/>
      </c>
      <c r="P2160" s="16" t="str">
        <f t="shared" si="315"/>
        <v/>
      </c>
      <c r="Q2160" s="16" t="str">
        <f t="shared" si="315"/>
        <v/>
      </c>
      <c r="R2160" s="5" t="str">
        <f t="shared" si="314"/>
        <v/>
      </c>
      <c r="S2160" s="5" t="str">
        <f t="shared" si="318"/>
        <v/>
      </c>
      <c r="T2160" s="5" t="str">
        <f t="shared" si="322"/>
        <v/>
      </c>
      <c r="U2160" s="5" t="str">
        <f t="shared" si="322"/>
        <v/>
      </c>
    </row>
    <row r="2161" spans="7:21" x14ac:dyDescent="0.2">
      <c r="G2161" s="8"/>
      <c r="H2161" s="5"/>
      <c r="J2161" s="10" t="str">
        <f t="shared" si="316"/>
        <v/>
      </c>
      <c r="K2161" s="10" t="str">
        <f t="shared" si="317"/>
        <v/>
      </c>
      <c r="L2161" s="11" t="str">
        <f t="shared" si="319"/>
        <v/>
      </c>
      <c r="M2161" s="9" t="str">
        <f>IF(G2161&lt;&gt;"",J2161/MAX(J$3:J2161)-1,"")</f>
        <v/>
      </c>
      <c r="N2161" s="9" t="str">
        <f>IF(G2161&lt;&gt;"",K2161/MAX(K$3:K2161)-1,"")</f>
        <v/>
      </c>
      <c r="O2161" s="16" t="str">
        <f t="shared" si="315"/>
        <v/>
      </c>
      <c r="P2161" s="16" t="str">
        <f t="shared" si="315"/>
        <v/>
      </c>
      <c r="Q2161" s="16" t="str">
        <f t="shared" si="315"/>
        <v/>
      </c>
      <c r="R2161" s="5" t="str">
        <f t="shared" si="314"/>
        <v/>
      </c>
      <c r="S2161" s="5" t="str">
        <f t="shared" si="318"/>
        <v/>
      </c>
      <c r="T2161" s="5" t="str">
        <f t="shared" si="322"/>
        <v/>
      </c>
      <c r="U2161" s="5" t="str">
        <f t="shared" si="322"/>
        <v/>
      </c>
    </row>
    <row r="2162" spans="7:21" x14ac:dyDescent="0.2">
      <c r="G2162" s="8"/>
      <c r="H2162" s="5"/>
      <c r="J2162" s="10" t="str">
        <f t="shared" si="316"/>
        <v/>
      </c>
      <c r="K2162" s="10" t="str">
        <f t="shared" si="317"/>
        <v/>
      </c>
      <c r="L2162" s="11" t="str">
        <f t="shared" si="319"/>
        <v/>
      </c>
      <c r="M2162" s="9" t="str">
        <f>IF(G2162&lt;&gt;"",J2162/MAX(J$3:J2162)-1,"")</f>
        <v/>
      </c>
      <c r="N2162" s="9" t="str">
        <f>IF(G2162&lt;&gt;"",K2162/MAX(K$3:K2162)-1,"")</f>
        <v/>
      </c>
      <c r="O2162" s="16" t="str">
        <f t="shared" si="315"/>
        <v/>
      </c>
      <c r="P2162" s="16" t="str">
        <f t="shared" si="315"/>
        <v/>
      </c>
      <c r="Q2162" s="16" t="str">
        <f t="shared" si="315"/>
        <v/>
      </c>
      <c r="R2162" s="5" t="str">
        <f t="shared" si="314"/>
        <v/>
      </c>
      <c r="S2162" s="5" t="str">
        <f t="shared" si="318"/>
        <v/>
      </c>
      <c r="T2162" s="5" t="str">
        <f t="shared" si="322"/>
        <v/>
      </c>
      <c r="U2162" s="5" t="str">
        <f t="shared" si="322"/>
        <v/>
      </c>
    </row>
    <row r="2163" spans="7:21" x14ac:dyDescent="0.2">
      <c r="G2163" s="8"/>
      <c r="H2163" s="5"/>
      <c r="J2163" s="10" t="str">
        <f t="shared" si="316"/>
        <v/>
      </c>
      <c r="K2163" s="10" t="str">
        <f t="shared" si="317"/>
        <v/>
      </c>
      <c r="L2163" s="11" t="str">
        <f t="shared" si="319"/>
        <v/>
      </c>
      <c r="M2163" s="9" t="str">
        <f>IF(G2163&lt;&gt;"",J2163/MAX(J$3:J2163)-1,"")</f>
        <v/>
      </c>
      <c r="N2163" s="9" t="str">
        <f>IF(G2163&lt;&gt;"",K2163/MAX(K$3:K2163)-1,"")</f>
        <v/>
      </c>
      <c r="O2163" s="16" t="str">
        <f t="shared" si="315"/>
        <v/>
      </c>
      <c r="P2163" s="16" t="str">
        <f t="shared" si="315"/>
        <v/>
      </c>
      <c r="Q2163" s="16" t="str">
        <f t="shared" si="315"/>
        <v/>
      </c>
      <c r="R2163" s="5" t="str">
        <f t="shared" si="314"/>
        <v/>
      </c>
      <c r="S2163" s="5" t="str">
        <f t="shared" si="318"/>
        <v/>
      </c>
      <c r="T2163" s="5" t="str">
        <f t="shared" si="322"/>
        <v/>
      </c>
      <c r="U2163" s="5" t="str">
        <f t="shared" si="322"/>
        <v/>
      </c>
    </row>
    <row r="2164" spans="7:21" x14ac:dyDescent="0.2">
      <c r="G2164" s="8"/>
      <c r="H2164" s="5"/>
      <c r="J2164" s="10" t="str">
        <f t="shared" si="316"/>
        <v/>
      </c>
      <c r="K2164" s="10" t="str">
        <f t="shared" si="317"/>
        <v/>
      </c>
      <c r="L2164" s="11" t="str">
        <f t="shared" si="319"/>
        <v/>
      </c>
      <c r="M2164" s="9" t="str">
        <f>IF(G2164&lt;&gt;"",J2164/MAX(J$3:J2164)-1,"")</f>
        <v/>
      </c>
      <c r="N2164" s="9" t="str">
        <f>IF(G2164&lt;&gt;"",K2164/MAX(K$3:K2164)-1,"")</f>
        <v/>
      </c>
      <c r="O2164" s="16" t="str">
        <f t="shared" si="315"/>
        <v/>
      </c>
      <c r="P2164" s="16" t="str">
        <f t="shared" si="315"/>
        <v/>
      </c>
      <c r="Q2164" s="16" t="str">
        <f t="shared" si="315"/>
        <v/>
      </c>
      <c r="R2164" s="5" t="str">
        <f t="shared" si="314"/>
        <v/>
      </c>
      <c r="S2164" s="5" t="str">
        <f t="shared" si="318"/>
        <v/>
      </c>
      <c r="T2164" s="5" t="str">
        <f t="shared" si="322"/>
        <v/>
      </c>
      <c r="U2164" s="5" t="str">
        <f t="shared" si="322"/>
        <v/>
      </c>
    </row>
    <row r="2165" spans="7:21" x14ac:dyDescent="0.2">
      <c r="G2165" s="8"/>
      <c r="H2165" s="5"/>
      <c r="J2165" s="10" t="str">
        <f t="shared" si="316"/>
        <v/>
      </c>
      <c r="K2165" s="10" t="str">
        <f t="shared" si="317"/>
        <v/>
      </c>
      <c r="L2165" s="11" t="str">
        <f t="shared" si="319"/>
        <v/>
      </c>
      <c r="M2165" s="9" t="str">
        <f>IF(G2165&lt;&gt;"",J2165/MAX(J$3:J2165)-1,"")</f>
        <v/>
      </c>
      <c r="N2165" s="9" t="str">
        <f>IF(G2165&lt;&gt;"",K2165/MAX(K$3:K2165)-1,"")</f>
        <v/>
      </c>
      <c r="O2165" s="16" t="str">
        <f t="shared" si="315"/>
        <v/>
      </c>
      <c r="P2165" s="16" t="str">
        <f t="shared" si="315"/>
        <v/>
      </c>
      <c r="Q2165" s="16" t="str">
        <f t="shared" si="315"/>
        <v/>
      </c>
      <c r="R2165" s="5" t="str">
        <f t="shared" si="314"/>
        <v/>
      </c>
      <c r="S2165" s="5" t="str">
        <f t="shared" si="318"/>
        <v/>
      </c>
      <c r="T2165" s="5" t="str">
        <f t="shared" si="322"/>
        <v/>
      </c>
      <c r="U2165" s="5" t="str">
        <f t="shared" si="322"/>
        <v/>
      </c>
    </row>
    <row r="2166" spans="7:21" x14ac:dyDescent="0.2">
      <c r="G2166" s="8"/>
      <c r="H2166" s="5"/>
      <c r="J2166" s="10" t="str">
        <f t="shared" si="316"/>
        <v/>
      </c>
      <c r="K2166" s="10" t="str">
        <f t="shared" si="317"/>
        <v/>
      </c>
      <c r="L2166" s="11" t="str">
        <f t="shared" si="319"/>
        <v/>
      </c>
      <c r="M2166" s="9" t="str">
        <f>IF(G2166&lt;&gt;"",J2166/MAX(J$3:J2166)-1,"")</f>
        <v/>
      </c>
      <c r="N2166" s="9" t="str">
        <f>IF(G2166&lt;&gt;"",K2166/MAX(K$3:K2166)-1,"")</f>
        <v/>
      </c>
      <c r="O2166" s="16" t="str">
        <f t="shared" si="315"/>
        <v/>
      </c>
      <c r="P2166" s="16" t="str">
        <f t="shared" si="315"/>
        <v/>
      </c>
      <c r="Q2166" s="16" t="str">
        <f t="shared" si="315"/>
        <v/>
      </c>
      <c r="R2166" s="5" t="str">
        <f t="shared" si="314"/>
        <v/>
      </c>
      <c r="S2166" s="5" t="str">
        <f t="shared" si="318"/>
        <v/>
      </c>
      <c r="T2166" s="5" t="str">
        <f t="shared" si="322"/>
        <v/>
      </c>
      <c r="U2166" s="5" t="str">
        <f t="shared" si="322"/>
        <v/>
      </c>
    </row>
    <row r="2167" spans="7:21" x14ac:dyDescent="0.2">
      <c r="G2167" s="8"/>
      <c r="H2167" s="5"/>
      <c r="J2167" s="10" t="str">
        <f t="shared" si="316"/>
        <v/>
      </c>
      <c r="K2167" s="10" t="str">
        <f t="shared" si="317"/>
        <v/>
      </c>
      <c r="L2167" s="11" t="str">
        <f t="shared" si="319"/>
        <v/>
      </c>
      <c r="M2167" s="9" t="str">
        <f>IF(G2167&lt;&gt;"",J2167/MAX(J$3:J2167)-1,"")</f>
        <v/>
      </c>
      <c r="N2167" s="9" t="str">
        <f>IF(G2167&lt;&gt;"",K2167/MAX(K$3:K2167)-1,"")</f>
        <v/>
      </c>
      <c r="O2167" s="16" t="str">
        <f t="shared" si="315"/>
        <v/>
      </c>
      <c r="P2167" s="16" t="str">
        <f t="shared" si="315"/>
        <v/>
      </c>
      <c r="Q2167" s="16" t="str">
        <f t="shared" si="315"/>
        <v/>
      </c>
      <c r="R2167" s="5" t="str">
        <f t="shared" si="314"/>
        <v/>
      </c>
      <c r="S2167" s="5" t="str">
        <f t="shared" si="318"/>
        <v/>
      </c>
      <c r="T2167" s="5" t="str">
        <f t="shared" si="322"/>
        <v/>
      </c>
      <c r="U2167" s="5" t="str">
        <f t="shared" si="322"/>
        <v/>
      </c>
    </row>
    <row r="2168" spans="7:21" x14ac:dyDescent="0.2">
      <c r="G2168" s="8"/>
      <c r="H2168" s="5"/>
      <c r="J2168" s="10" t="str">
        <f t="shared" si="316"/>
        <v/>
      </c>
      <c r="K2168" s="10" t="str">
        <f t="shared" si="317"/>
        <v/>
      </c>
      <c r="L2168" s="11" t="str">
        <f t="shared" si="319"/>
        <v/>
      </c>
      <c r="M2168" s="9" t="str">
        <f>IF(G2168&lt;&gt;"",J2168/MAX(J$3:J2168)-1,"")</f>
        <v/>
      </c>
      <c r="N2168" s="9" t="str">
        <f>IF(G2168&lt;&gt;"",K2168/MAX(K$3:K2168)-1,"")</f>
        <v/>
      </c>
      <c r="O2168" s="16" t="str">
        <f t="shared" si="315"/>
        <v/>
      </c>
      <c r="P2168" s="16" t="str">
        <f t="shared" si="315"/>
        <v/>
      </c>
      <c r="Q2168" s="16" t="str">
        <f t="shared" si="315"/>
        <v/>
      </c>
      <c r="R2168" s="5" t="str">
        <f t="shared" si="314"/>
        <v/>
      </c>
      <c r="S2168" s="5" t="str">
        <f t="shared" si="318"/>
        <v/>
      </c>
      <c r="T2168" s="5" t="str">
        <f t="shared" ref="T2168:U2183" si="323">IF($G2168&lt;&gt;"",_xlfn.STDEV.S(O1924:O2168),"")</f>
        <v/>
      </c>
      <c r="U2168" s="5" t="str">
        <f t="shared" si="323"/>
        <v/>
      </c>
    </row>
    <row r="2169" spans="7:21" x14ac:dyDescent="0.2">
      <c r="G2169" s="8"/>
      <c r="H2169" s="5"/>
      <c r="J2169" s="10" t="str">
        <f t="shared" si="316"/>
        <v/>
      </c>
      <c r="K2169" s="10" t="str">
        <f t="shared" si="317"/>
        <v/>
      </c>
      <c r="L2169" s="11" t="str">
        <f t="shared" si="319"/>
        <v/>
      </c>
      <c r="M2169" s="9" t="str">
        <f>IF(G2169&lt;&gt;"",J2169/MAX(J$3:J2169)-1,"")</f>
        <v/>
      </c>
      <c r="N2169" s="9" t="str">
        <f>IF(G2169&lt;&gt;"",K2169/MAX(K$3:K2169)-1,"")</f>
        <v/>
      </c>
      <c r="O2169" s="16" t="str">
        <f t="shared" si="315"/>
        <v/>
      </c>
      <c r="P2169" s="16" t="str">
        <f t="shared" si="315"/>
        <v/>
      </c>
      <c r="Q2169" s="16" t="str">
        <f t="shared" si="315"/>
        <v/>
      </c>
      <c r="R2169" s="5" t="str">
        <f t="shared" si="314"/>
        <v/>
      </c>
      <c r="S2169" s="5" t="str">
        <f t="shared" si="318"/>
        <v/>
      </c>
      <c r="T2169" s="5" t="str">
        <f t="shared" si="323"/>
        <v/>
      </c>
      <c r="U2169" s="5" t="str">
        <f t="shared" si="323"/>
        <v/>
      </c>
    </row>
    <row r="2170" spans="7:21" x14ac:dyDescent="0.2">
      <c r="G2170" s="8"/>
      <c r="H2170" s="5"/>
      <c r="J2170" s="10" t="str">
        <f t="shared" si="316"/>
        <v/>
      </c>
      <c r="K2170" s="10" t="str">
        <f t="shared" si="317"/>
        <v/>
      </c>
      <c r="L2170" s="11" t="str">
        <f t="shared" si="319"/>
        <v/>
      </c>
      <c r="M2170" s="9" t="str">
        <f>IF(G2170&lt;&gt;"",J2170/MAX(J$3:J2170)-1,"")</f>
        <v/>
      </c>
      <c r="N2170" s="9" t="str">
        <f>IF(G2170&lt;&gt;"",K2170/MAX(K$3:K2170)-1,"")</f>
        <v/>
      </c>
      <c r="O2170" s="16" t="str">
        <f t="shared" si="315"/>
        <v/>
      </c>
      <c r="P2170" s="16" t="str">
        <f t="shared" si="315"/>
        <v/>
      </c>
      <c r="Q2170" s="16" t="str">
        <f t="shared" si="315"/>
        <v/>
      </c>
      <c r="R2170" s="5" t="str">
        <f t="shared" si="314"/>
        <v/>
      </c>
      <c r="S2170" s="5" t="str">
        <f t="shared" si="318"/>
        <v/>
      </c>
      <c r="T2170" s="5" t="str">
        <f t="shared" si="323"/>
        <v/>
      </c>
      <c r="U2170" s="5" t="str">
        <f t="shared" si="323"/>
        <v/>
      </c>
    </row>
    <row r="2171" spans="7:21" x14ac:dyDescent="0.2">
      <c r="G2171" s="8"/>
      <c r="H2171" s="5"/>
      <c r="J2171" s="10" t="str">
        <f t="shared" si="316"/>
        <v/>
      </c>
      <c r="K2171" s="10" t="str">
        <f t="shared" si="317"/>
        <v/>
      </c>
      <c r="L2171" s="11" t="str">
        <f t="shared" si="319"/>
        <v/>
      </c>
      <c r="M2171" s="9" t="str">
        <f>IF(G2171&lt;&gt;"",J2171/MAX(J$3:J2171)-1,"")</f>
        <v/>
      </c>
      <c r="N2171" s="9" t="str">
        <f>IF(G2171&lt;&gt;"",K2171/MAX(K$3:K2171)-1,"")</f>
        <v/>
      </c>
      <c r="O2171" s="16" t="str">
        <f t="shared" si="315"/>
        <v/>
      </c>
      <c r="P2171" s="16" t="str">
        <f t="shared" si="315"/>
        <v/>
      </c>
      <c r="Q2171" s="16" t="str">
        <f t="shared" si="315"/>
        <v/>
      </c>
      <c r="R2171" s="5" t="str">
        <f t="shared" si="314"/>
        <v/>
      </c>
      <c r="S2171" s="5" t="str">
        <f t="shared" si="318"/>
        <v/>
      </c>
      <c r="T2171" s="5" t="str">
        <f t="shared" si="323"/>
        <v/>
      </c>
      <c r="U2171" s="5" t="str">
        <f t="shared" si="323"/>
        <v/>
      </c>
    </row>
    <row r="2172" spans="7:21" x14ac:dyDescent="0.2">
      <c r="G2172" s="8"/>
      <c r="H2172" s="5"/>
      <c r="J2172" s="10" t="str">
        <f t="shared" si="316"/>
        <v/>
      </c>
      <c r="K2172" s="10" t="str">
        <f t="shared" si="317"/>
        <v/>
      </c>
      <c r="L2172" s="11" t="str">
        <f t="shared" si="319"/>
        <v/>
      </c>
      <c r="M2172" s="9" t="str">
        <f>IF(G2172&lt;&gt;"",J2172/MAX(J$3:J2172)-1,"")</f>
        <v/>
      </c>
      <c r="N2172" s="9" t="str">
        <f>IF(G2172&lt;&gt;"",K2172/MAX(K$3:K2172)-1,"")</f>
        <v/>
      </c>
      <c r="O2172" s="16" t="str">
        <f t="shared" si="315"/>
        <v/>
      </c>
      <c r="P2172" s="16" t="str">
        <f t="shared" si="315"/>
        <v/>
      </c>
      <c r="Q2172" s="16" t="str">
        <f t="shared" si="315"/>
        <v/>
      </c>
      <c r="R2172" s="5" t="str">
        <f t="shared" si="314"/>
        <v/>
      </c>
      <c r="S2172" s="5" t="str">
        <f t="shared" si="318"/>
        <v/>
      </c>
      <c r="T2172" s="5" t="str">
        <f t="shared" si="323"/>
        <v/>
      </c>
      <c r="U2172" s="5" t="str">
        <f t="shared" si="323"/>
        <v/>
      </c>
    </row>
    <row r="2173" spans="7:21" x14ac:dyDescent="0.2">
      <c r="G2173" s="8"/>
      <c r="H2173" s="5"/>
      <c r="J2173" s="10" t="str">
        <f t="shared" si="316"/>
        <v/>
      </c>
      <c r="K2173" s="10" t="str">
        <f t="shared" si="317"/>
        <v/>
      </c>
      <c r="L2173" s="11" t="str">
        <f t="shared" si="319"/>
        <v/>
      </c>
      <c r="M2173" s="9" t="str">
        <f>IF(G2173&lt;&gt;"",J2173/MAX(J$3:J2173)-1,"")</f>
        <v/>
      </c>
      <c r="N2173" s="9" t="str">
        <f>IF(G2173&lt;&gt;"",K2173/MAX(K$3:K2173)-1,"")</f>
        <v/>
      </c>
      <c r="O2173" s="16" t="str">
        <f t="shared" si="315"/>
        <v/>
      </c>
      <c r="P2173" s="16" t="str">
        <f t="shared" si="315"/>
        <v/>
      </c>
      <c r="Q2173" s="16" t="str">
        <f t="shared" si="315"/>
        <v/>
      </c>
      <c r="R2173" s="5" t="str">
        <f t="shared" ref="R2173:R2236" si="324">IF(G2173&lt;&gt;"",_xlfn.STDEV.S(Q2052:Q2173)*SQRT($B$5),"")</f>
        <v/>
      </c>
      <c r="S2173" s="5" t="str">
        <f t="shared" si="318"/>
        <v/>
      </c>
      <c r="T2173" s="5" t="str">
        <f t="shared" si="323"/>
        <v/>
      </c>
      <c r="U2173" s="5" t="str">
        <f t="shared" si="323"/>
        <v/>
      </c>
    </row>
    <row r="2174" spans="7:21" x14ac:dyDescent="0.2">
      <c r="G2174" s="8"/>
      <c r="H2174" s="5"/>
      <c r="J2174" s="10" t="str">
        <f t="shared" si="316"/>
        <v/>
      </c>
      <c r="K2174" s="10" t="str">
        <f t="shared" si="317"/>
        <v/>
      </c>
      <c r="L2174" s="11" t="str">
        <f t="shared" si="319"/>
        <v/>
      </c>
      <c r="M2174" s="9" t="str">
        <f>IF(G2174&lt;&gt;"",J2174/MAX(J$3:J2174)-1,"")</f>
        <v/>
      </c>
      <c r="N2174" s="9" t="str">
        <f>IF(G2174&lt;&gt;"",K2174/MAX(K$3:K2174)-1,"")</f>
        <v/>
      </c>
      <c r="O2174" s="16" t="str">
        <f t="shared" si="315"/>
        <v/>
      </c>
      <c r="P2174" s="16" t="str">
        <f t="shared" si="315"/>
        <v/>
      </c>
      <c r="Q2174" s="16" t="str">
        <f t="shared" si="315"/>
        <v/>
      </c>
      <c r="R2174" s="5" t="str">
        <f t="shared" si="324"/>
        <v/>
      </c>
      <c r="S2174" s="5" t="str">
        <f t="shared" si="318"/>
        <v/>
      </c>
      <c r="T2174" s="5" t="str">
        <f t="shared" si="323"/>
        <v/>
      </c>
      <c r="U2174" s="5" t="str">
        <f t="shared" si="323"/>
        <v/>
      </c>
    </row>
    <row r="2175" spans="7:21" x14ac:dyDescent="0.2">
      <c r="G2175" s="8"/>
      <c r="H2175" s="5"/>
      <c r="J2175" s="10" t="str">
        <f t="shared" si="316"/>
        <v/>
      </c>
      <c r="K2175" s="10" t="str">
        <f t="shared" si="317"/>
        <v/>
      </c>
      <c r="L2175" s="11" t="str">
        <f t="shared" si="319"/>
        <v/>
      </c>
      <c r="M2175" s="9" t="str">
        <f>IF(G2175&lt;&gt;"",J2175/MAX(J$3:J2175)-1,"")</f>
        <v/>
      </c>
      <c r="N2175" s="9" t="str">
        <f>IF(G2175&lt;&gt;"",K2175/MAX(K$3:K2175)-1,"")</f>
        <v/>
      </c>
      <c r="O2175" s="16" t="str">
        <f t="shared" si="315"/>
        <v/>
      </c>
      <c r="P2175" s="16" t="str">
        <f t="shared" si="315"/>
        <v/>
      </c>
      <c r="Q2175" s="16" t="str">
        <f t="shared" si="315"/>
        <v/>
      </c>
      <c r="R2175" s="5" t="str">
        <f t="shared" si="324"/>
        <v/>
      </c>
      <c r="S2175" s="5" t="str">
        <f t="shared" si="318"/>
        <v/>
      </c>
      <c r="T2175" s="5" t="str">
        <f t="shared" si="323"/>
        <v/>
      </c>
      <c r="U2175" s="5" t="str">
        <f t="shared" si="323"/>
        <v/>
      </c>
    </row>
    <row r="2176" spans="7:21" x14ac:dyDescent="0.2">
      <c r="G2176" s="8"/>
      <c r="H2176" s="5"/>
      <c r="J2176" s="10" t="str">
        <f t="shared" si="316"/>
        <v/>
      </c>
      <c r="K2176" s="10" t="str">
        <f t="shared" si="317"/>
        <v/>
      </c>
      <c r="L2176" s="11" t="str">
        <f t="shared" si="319"/>
        <v/>
      </c>
      <c r="M2176" s="9" t="str">
        <f>IF(G2176&lt;&gt;"",J2176/MAX(J$3:J2176)-1,"")</f>
        <v/>
      </c>
      <c r="N2176" s="9" t="str">
        <f>IF(G2176&lt;&gt;"",K2176/MAX(K$3:K2176)-1,"")</f>
        <v/>
      </c>
      <c r="O2176" s="16" t="str">
        <f t="shared" si="315"/>
        <v/>
      </c>
      <c r="P2176" s="16" t="str">
        <f t="shared" si="315"/>
        <v/>
      </c>
      <c r="Q2176" s="16" t="str">
        <f t="shared" si="315"/>
        <v/>
      </c>
      <c r="R2176" s="5" t="str">
        <f t="shared" si="324"/>
        <v/>
      </c>
      <c r="S2176" s="5" t="str">
        <f t="shared" si="318"/>
        <v/>
      </c>
      <c r="T2176" s="5" t="str">
        <f t="shared" si="323"/>
        <v/>
      </c>
      <c r="U2176" s="5" t="str">
        <f t="shared" si="323"/>
        <v/>
      </c>
    </row>
    <row r="2177" spans="7:21" x14ac:dyDescent="0.2">
      <c r="G2177" s="8"/>
      <c r="H2177" s="5"/>
      <c r="J2177" s="10" t="str">
        <f t="shared" si="316"/>
        <v/>
      </c>
      <c r="K2177" s="10" t="str">
        <f t="shared" si="317"/>
        <v/>
      </c>
      <c r="L2177" s="11" t="str">
        <f t="shared" si="319"/>
        <v/>
      </c>
      <c r="M2177" s="9" t="str">
        <f>IF(G2177&lt;&gt;"",J2177/MAX(J$3:J2177)-1,"")</f>
        <v/>
      </c>
      <c r="N2177" s="9" t="str">
        <f>IF(G2177&lt;&gt;"",K2177/MAX(K$3:K2177)-1,"")</f>
        <v/>
      </c>
      <c r="O2177" s="16" t="str">
        <f t="shared" si="315"/>
        <v/>
      </c>
      <c r="P2177" s="16" t="str">
        <f t="shared" si="315"/>
        <v/>
      </c>
      <c r="Q2177" s="16" t="str">
        <f t="shared" si="315"/>
        <v/>
      </c>
      <c r="R2177" s="5" t="str">
        <f t="shared" si="324"/>
        <v/>
      </c>
      <c r="S2177" s="5" t="str">
        <f t="shared" si="318"/>
        <v/>
      </c>
      <c r="T2177" s="5" t="str">
        <f t="shared" si="323"/>
        <v/>
      </c>
      <c r="U2177" s="5" t="str">
        <f t="shared" si="323"/>
        <v/>
      </c>
    </row>
    <row r="2178" spans="7:21" x14ac:dyDescent="0.2">
      <c r="G2178" s="8"/>
      <c r="H2178" s="5"/>
      <c r="J2178" s="10" t="str">
        <f t="shared" si="316"/>
        <v/>
      </c>
      <c r="K2178" s="10" t="str">
        <f t="shared" si="317"/>
        <v/>
      </c>
      <c r="L2178" s="11" t="str">
        <f t="shared" si="319"/>
        <v/>
      </c>
      <c r="M2178" s="9" t="str">
        <f>IF(G2178&lt;&gt;"",J2178/MAX(J$3:J2178)-1,"")</f>
        <v/>
      </c>
      <c r="N2178" s="9" t="str">
        <f>IF(G2178&lt;&gt;"",K2178/MAX(K$3:K2178)-1,"")</f>
        <v/>
      </c>
      <c r="O2178" s="16" t="str">
        <f t="shared" ref="O2178:Q2241" si="325">IF($G2178&lt;&gt;"",J2178/J2177-1,"")</f>
        <v/>
      </c>
      <c r="P2178" s="16" t="str">
        <f t="shared" si="325"/>
        <v/>
      </c>
      <c r="Q2178" s="16" t="str">
        <f t="shared" si="325"/>
        <v/>
      </c>
      <c r="R2178" s="5" t="str">
        <f t="shared" si="324"/>
        <v/>
      </c>
      <c r="S2178" s="5" t="str">
        <f t="shared" si="318"/>
        <v/>
      </c>
      <c r="T2178" s="5" t="str">
        <f t="shared" si="323"/>
        <v/>
      </c>
      <c r="U2178" s="5" t="str">
        <f t="shared" si="323"/>
        <v/>
      </c>
    </row>
    <row r="2179" spans="7:21" x14ac:dyDescent="0.2">
      <c r="G2179" s="8"/>
      <c r="H2179" s="5"/>
      <c r="J2179" s="10" t="str">
        <f t="shared" si="316"/>
        <v/>
      </c>
      <c r="K2179" s="10" t="str">
        <f t="shared" si="317"/>
        <v/>
      </c>
      <c r="L2179" s="11" t="str">
        <f t="shared" si="319"/>
        <v/>
      </c>
      <c r="M2179" s="9" t="str">
        <f>IF(G2179&lt;&gt;"",J2179/MAX(J$3:J2179)-1,"")</f>
        <v/>
      </c>
      <c r="N2179" s="9" t="str">
        <f>IF(G2179&lt;&gt;"",K2179/MAX(K$3:K2179)-1,"")</f>
        <v/>
      </c>
      <c r="O2179" s="16" t="str">
        <f t="shared" si="325"/>
        <v/>
      </c>
      <c r="P2179" s="16" t="str">
        <f t="shared" si="325"/>
        <v/>
      </c>
      <c r="Q2179" s="16" t="str">
        <f t="shared" si="325"/>
        <v/>
      </c>
      <c r="R2179" s="5" t="str">
        <f t="shared" si="324"/>
        <v/>
      </c>
      <c r="S2179" s="5" t="str">
        <f t="shared" si="318"/>
        <v/>
      </c>
      <c r="T2179" s="5" t="str">
        <f t="shared" si="323"/>
        <v/>
      </c>
      <c r="U2179" s="5" t="str">
        <f t="shared" si="323"/>
        <v/>
      </c>
    </row>
    <row r="2180" spans="7:21" x14ac:dyDescent="0.2">
      <c r="G2180" s="8"/>
      <c r="H2180" s="5"/>
      <c r="J2180" s="10" t="str">
        <f t="shared" ref="J2180:J2243" si="326">IF(G2180&lt;&gt;"",1+H2180,"")</f>
        <v/>
      </c>
      <c r="K2180" s="10" t="str">
        <f t="shared" ref="K2180:K2243" si="327">IF(G2180&lt;&gt;"",1+I2180,"")</f>
        <v/>
      </c>
      <c r="L2180" s="11" t="str">
        <f t="shared" si="319"/>
        <v/>
      </c>
      <c r="M2180" s="9" t="str">
        <f>IF(G2180&lt;&gt;"",J2180/MAX(J$3:J2180)-1,"")</f>
        <v/>
      </c>
      <c r="N2180" s="9" t="str">
        <f>IF(G2180&lt;&gt;"",K2180/MAX(K$3:K2180)-1,"")</f>
        <v/>
      </c>
      <c r="O2180" s="16" t="str">
        <f t="shared" si="325"/>
        <v/>
      </c>
      <c r="P2180" s="16" t="str">
        <f t="shared" si="325"/>
        <v/>
      </c>
      <c r="Q2180" s="16" t="str">
        <f t="shared" si="325"/>
        <v/>
      </c>
      <c r="R2180" s="5" t="str">
        <f t="shared" si="324"/>
        <v/>
      </c>
      <c r="S2180" s="5" t="str">
        <f t="shared" ref="S2180:S2243" si="328">IF(R2180&lt;&gt;"",B$12,"")</f>
        <v/>
      </c>
      <c r="T2180" s="5" t="str">
        <f t="shared" si="323"/>
        <v/>
      </c>
      <c r="U2180" s="5" t="str">
        <f t="shared" si="323"/>
        <v/>
      </c>
    </row>
    <row r="2181" spans="7:21" x14ac:dyDescent="0.2">
      <c r="G2181" s="8"/>
      <c r="H2181" s="5"/>
      <c r="J2181" s="10" t="str">
        <f t="shared" si="326"/>
        <v/>
      </c>
      <c r="K2181" s="10" t="str">
        <f t="shared" si="327"/>
        <v/>
      </c>
      <c r="L2181" s="11" t="str">
        <f t="shared" ref="L2181:L2244" si="329">IF(G2181&lt;&gt;"",J2181/K2181,"")</f>
        <v/>
      </c>
      <c r="M2181" s="9" t="str">
        <f>IF(G2181&lt;&gt;"",J2181/MAX(J$3:J2181)-1,"")</f>
        <v/>
      </c>
      <c r="N2181" s="9" t="str">
        <f>IF(G2181&lt;&gt;"",K2181/MAX(K$3:K2181)-1,"")</f>
        <v/>
      </c>
      <c r="O2181" s="16" t="str">
        <f t="shared" si="325"/>
        <v/>
      </c>
      <c r="P2181" s="16" t="str">
        <f t="shared" si="325"/>
        <v/>
      </c>
      <c r="Q2181" s="16" t="str">
        <f t="shared" si="325"/>
        <v/>
      </c>
      <c r="R2181" s="5" t="str">
        <f t="shared" si="324"/>
        <v/>
      </c>
      <c r="S2181" s="5" t="str">
        <f t="shared" si="328"/>
        <v/>
      </c>
      <c r="T2181" s="5" t="str">
        <f t="shared" si="323"/>
        <v/>
      </c>
      <c r="U2181" s="5" t="str">
        <f t="shared" si="323"/>
        <v/>
      </c>
    </row>
    <row r="2182" spans="7:21" x14ac:dyDescent="0.2">
      <c r="G2182" s="8"/>
      <c r="H2182" s="5"/>
      <c r="J2182" s="10" t="str">
        <f t="shared" si="326"/>
        <v/>
      </c>
      <c r="K2182" s="10" t="str">
        <f t="shared" si="327"/>
        <v/>
      </c>
      <c r="L2182" s="11" t="str">
        <f t="shared" si="329"/>
        <v/>
      </c>
      <c r="M2182" s="9" t="str">
        <f>IF(G2182&lt;&gt;"",J2182/MAX(J$3:J2182)-1,"")</f>
        <v/>
      </c>
      <c r="N2182" s="9" t="str">
        <f>IF(G2182&lt;&gt;"",K2182/MAX(K$3:K2182)-1,"")</f>
        <v/>
      </c>
      <c r="O2182" s="16" t="str">
        <f t="shared" si="325"/>
        <v/>
      </c>
      <c r="P2182" s="16" t="str">
        <f t="shared" si="325"/>
        <v/>
      </c>
      <c r="Q2182" s="16" t="str">
        <f t="shared" si="325"/>
        <v/>
      </c>
      <c r="R2182" s="5" t="str">
        <f t="shared" si="324"/>
        <v/>
      </c>
      <c r="S2182" s="5" t="str">
        <f t="shared" si="328"/>
        <v/>
      </c>
      <c r="T2182" s="5" t="str">
        <f t="shared" si="323"/>
        <v/>
      </c>
      <c r="U2182" s="5" t="str">
        <f t="shared" si="323"/>
        <v/>
      </c>
    </row>
    <row r="2183" spans="7:21" x14ac:dyDescent="0.2">
      <c r="G2183" s="8"/>
      <c r="H2183" s="5"/>
      <c r="J2183" s="10" t="str">
        <f t="shared" si="326"/>
        <v/>
      </c>
      <c r="K2183" s="10" t="str">
        <f t="shared" si="327"/>
        <v/>
      </c>
      <c r="L2183" s="11" t="str">
        <f t="shared" si="329"/>
        <v/>
      </c>
      <c r="M2183" s="9" t="str">
        <f>IF(G2183&lt;&gt;"",J2183/MAX(J$3:J2183)-1,"")</f>
        <v/>
      </c>
      <c r="N2183" s="9" t="str">
        <f>IF(G2183&lt;&gt;"",K2183/MAX(K$3:K2183)-1,"")</f>
        <v/>
      </c>
      <c r="O2183" s="16" t="str">
        <f t="shared" si="325"/>
        <v/>
      </c>
      <c r="P2183" s="16" t="str">
        <f t="shared" si="325"/>
        <v/>
      </c>
      <c r="Q2183" s="16" t="str">
        <f t="shared" si="325"/>
        <v/>
      </c>
      <c r="R2183" s="5" t="str">
        <f t="shared" si="324"/>
        <v/>
      </c>
      <c r="S2183" s="5" t="str">
        <f t="shared" si="328"/>
        <v/>
      </c>
      <c r="T2183" s="5" t="str">
        <f t="shared" si="323"/>
        <v/>
      </c>
      <c r="U2183" s="5" t="str">
        <f t="shared" si="323"/>
        <v/>
      </c>
    </row>
    <row r="2184" spans="7:21" x14ac:dyDescent="0.2">
      <c r="G2184" s="8"/>
      <c r="H2184" s="5"/>
      <c r="J2184" s="10" t="str">
        <f t="shared" si="326"/>
        <v/>
      </c>
      <c r="K2184" s="10" t="str">
        <f t="shared" si="327"/>
        <v/>
      </c>
      <c r="L2184" s="11" t="str">
        <f t="shared" si="329"/>
        <v/>
      </c>
      <c r="M2184" s="9" t="str">
        <f>IF(G2184&lt;&gt;"",J2184/MAX(J$3:J2184)-1,"")</f>
        <v/>
      </c>
      <c r="N2184" s="9" t="str">
        <f>IF(G2184&lt;&gt;"",K2184/MAX(K$3:K2184)-1,"")</f>
        <v/>
      </c>
      <c r="O2184" s="16" t="str">
        <f t="shared" si="325"/>
        <v/>
      </c>
      <c r="P2184" s="16" t="str">
        <f t="shared" si="325"/>
        <v/>
      </c>
      <c r="Q2184" s="16" t="str">
        <f t="shared" si="325"/>
        <v/>
      </c>
      <c r="R2184" s="5" t="str">
        <f t="shared" si="324"/>
        <v/>
      </c>
      <c r="S2184" s="5" t="str">
        <f t="shared" si="328"/>
        <v/>
      </c>
      <c r="T2184" s="5" t="str">
        <f t="shared" ref="T2184:U2199" si="330">IF($G2184&lt;&gt;"",_xlfn.STDEV.S(O1940:O2184),"")</f>
        <v/>
      </c>
      <c r="U2184" s="5" t="str">
        <f t="shared" si="330"/>
        <v/>
      </c>
    </row>
    <row r="2185" spans="7:21" x14ac:dyDescent="0.2">
      <c r="G2185" s="8"/>
      <c r="H2185" s="5"/>
      <c r="J2185" s="10" t="str">
        <f t="shared" si="326"/>
        <v/>
      </c>
      <c r="K2185" s="10" t="str">
        <f t="shared" si="327"/>
        <v/>
      </c>
      <c r="L2185" s="11" t="str">
        <f t="shared" si="329"/>
        <v/>
      </c>
      <c r="M2185" s="9" t="str">
        <f>IF(G2185&lt;&gt;"",J2185/MAX(J$3:J2185)-1,"")</f>
        <v/>
      </c>
      <c r="N2185" s="9" t="str">
        <f>IF(G2185&lt;&gt;"",K2185/MAX(K$3:K2185)-1,"")</f>
        <v/>
      </c>
      <c r="O2185" s="16" t="str">
        <f t="shared" si="325"/>
        <v/>
      </c>
      <c r="P2185" s="16" t="str">
        <f t="shared" si="325"/>
        <v/>
      </c>
      <c r="Q2185" s="16" t="str">
        <f t="shared" si="325"/>
        <v/>
      </c>
      <c r="R2185" s="5" t="str">
        <f t="shared" si="324"/>
        <v/>
      </c>
      <c r="S2185" s="5" t="str">
        <f t="shared" si="328"/>
        <v/>
      </c>
      <c r="T2185" s="5" t="str">
        <f t="shared" si="330"/>
        <v/>
      </c>
      <c r="U2185" s="5" t="str">
        <f t="shared" si="330"/>
        <v/>
      </c>
    </row>
    <row r="2186" spans="7:21" x14ac:dyDescent="0.2">
      <c r="G2186" s="8"/>
      <c r="H2186" s="5"/>
      <c r="J2186" s="10" t="str">
        <f t="shared" si="326"/>
        <v/>
      </c>
      <c r="K2186" s="10" t="str">
        <f t="shared" si="327"/>
        <v/>
      </c>
      <c r="L2186" s="11" t="str">
        <f t="shared" si="329"/>
        <v/>
      </c>
      <c r="M2186" s="9" t="str">
        <f>IF(G2186&lt;&gt;"",J2186/MAX(J$3:J2186)-1,"")</f>
        <v/>
      </c>
      <c r="N2186" s="9" t="str">
        <f>IF(G2186&lt;&gt;"",K2186/MAX(K$3:K2186)-1,"")</f>
        <v/>
      </c>
      <c r="O2186" s="16" t="str">
        <f t="shared" si="325"/>
        <v/>
      </c>
      <c r="P2186" s="16" t="str">
        <f t="shared" si="325"/>
        <v/>
      </c>
      <c r="Q2186" s="16" t="str">
        <f t="shared" si="325"/>
        <v/>
      </c>
      <c r="R2186" s="5" t="str">
        <f t="shared" si="324"/>
        <v/>
      </c>
      <c r="S2186" s="5" t="str">
        <f t="shared" si="328"/>
        <v/>
      </c>
      <c r="T2186" s="5" t="str">
        <f t="shared" si="330"/>
        <v/>
      </c>
      <c r="U2186" s="5" t="str">
        <f t="shared" si="330"/>
        <v/>
      </c>
    </row>
    <row r="2187" spans="7:21" x14ac:dyDescent="0.2">
      <c r="G2187" s="8"/>
      <c r="H2187" s="5"/>
      <c r="J2187" s="10" t="str">
        <f t="shared" si="326"/>
        <v/>
      </c>
      <c r="K2187" s="10" t="str">
        <f t="shared" si="327"/>
        <v/>
      </c>
      <c r="L2187" s="11" t="str">
        <f t="shared" si="329"/>
        <v/>
      </c>
      <c r="M2187" s="9" t="str">
        <f>IF(G2187&lt;&gt;"",J2187/MAX(J$3:J2187)-1,"")</f>
        <v/>
      </c>
      <c r="N2187" s="9" t="str">
        <f>IF(G2187&lt;&gt;"",K2187/MAX(K$3:K2187)-1,"")</f>
        <v/>
      </c>
      <c r="O2187" s="16" t="str">
        <f t="shared" si="325"/>
        <v/>
      </c>
      <c r="P2187" s="16" t="str">
        <f t="shared" si="325"/>
        <v/>
      </c>
      <c r="Q2187" s="16" t="str">
        <f t="shared" si="325"/>
        <v/>
      </c>
      <c r="R2187" s="5" t="str">
        <f t="shared" si="324"/>
        <v/>
      </c>
      <c r="S2187" s="5" t="str">
        <f t="shared" si="328"/>
        <v/>
      </c>
      <c r="T2187" s="5" t="str">
        <f t="shared" si="330"/>
        <v/>
      </c>
      <c r="U2187" s="5" t="str">
        <f t="shared" si="330"/>
        <v/>
      </c>
    </row>
    <row r="2188" spans="7:21" x14ac:dyDescent="0.2">
      <c r="G2188" s="8"/>
      <c r="H2188" s="5"/>
      <c r="J2188" s="10" t="str">
        <f t="shared" si="326"/>
        <v/>
      </c>
      <c r="K2188" s="10" t="str">
        <f t="shared" si="327"/>
        <v/>
      </c>
      <c r="L2188" s="11" t="str">
        <f t="shared" si="329"/>
        <v/>
      </c>
      <c r="M2188" s="9" t="str">
        <f>IF(G2188&lt;&gt;"",J2188/MAX(J$3:J2188)-1,"")</f>
        <v/>
      </c>
      <c r="N2188" s="9" t="str">
        <f>IF(G2188&lt;&gt;"",K2188/MAX(K$3:K2188)-1,"")</f>
        <v/>
      </c>
      <c r="O2188" s="16" t="str">
        <f t="shared" si="325"/>
        <v/>
      </c>
      <c r="P2188" s="16" t="str">
        <f t="shared" si="325"/>
        <v/>
      </c>
      <c r="Q2188" s="16" t="str">
        <f t="shared" si="325"/>
        <v/>
      </c>
      <c r="R2188" s="5" t="str">
        <f t="shared" si="324"/>
        <v/>
      </c>
      <c r="S2188" s="5" t="str">
        <f t="shared" si="328"/>
        <v/>
      </c>
      <c r="T2188" s="5" t="str">
        <f t="shared" si="330"/>
        <v/>
      </c>
      <c r="U2188" s="5" t="str">
        <f t="shared" si="330"/>
        <v/>
      </c>
    </row>
    <row r="2189" spans="7:21" x14ac:dyDescent="0.2">
      <c r="G2189" s="8"/>
      <c r="H2189" s="5"/>
      <c r="J2189" s="10" t="str">
        <f t="shared" si="326"/>
        <v/>
      </c>
      <c r="K2189" s="10" t="str">
        <f t="shared" si="327"/>
        <v/>
      </c>
      <c r="L2189" s="11" t="str">
        <f t="shared" si="329"/>
        <v/>
      </c>
      <c r="M2189" s="9" t="str">
        <f>IF(G2189&lt;&gt;"",J2189/MAX(J$3:J2189)-1,"")</f>
        <v/>
      </c>
      <c r="N2189" s="9" t="str">
        <f>IF(G2189&lt;&gt;"",K2189/MAX(K$3:K2189)-1,"")</f>
        <v/>
      </c>
      <c r="O2189" s="16" t="str">
        <f t="shared" si="325"/>
        <v/>
      </c>
      <c r="P2189" s="16" t="str">
        <f t="shared" si="325"/>
        <v/>
      </c>
      <c r="Q2189" s="16" t="str">
        <f t="shared" si="325"/>
        <v/>
      </c>
      <c r="R2189" s="5" t="str">
        <f t="shared" si="324"/>
        <v/>
      </c>
      <c r="S2189" s="5" t="str">
        <f t="shared" si="328"/>
        <v/>
      </c>
      <c r="T2189" s="5" t="str">
        <f t="shared" si="330"/>
        <v/>
      </c>
      <c r="U2189" s="5" t="str">
        <f t="shared" si="330"/>
        <v/>
      </c>
    </row>
    <row r="2190" spans="7:21" x14ac:dyDescent="0.2">
      <c r="G2190" s="8"/>
      <c r="H2190" s="5"/>
      <c r="J2190" s="10" t="str">
        <f t="shared" si="326"/>
        <v/>
      </c>
      <c r="K2190" s="10" t="str">
        <f t="shared" si="327"/>
        <v/>
      </c>
      <c r="L2190" s="11" t="str">
        <f t="shared" si="329"/>
        <v/>
      </c>
      <c r="M2190" s="9" t="str">
        <f>IF(G2190&lt;&gt;"",J2190/MAX(J$3:J2190)-1,"")</f>
        <v/>
      </c>
      <c r="N2190" s="9" t="str">
        <f>IF(G2190&lt;&gt;"",K2190/MAX(K$3:K2190)-1,"")</f>
        <v/>
      </c>
      <c r="O2190" s="16" t="str">
        <f t="shared" si="325"/>
        <v/>
      </c>
      <c r="P2190" s="16" t="str">
        <f t="shared" si="325"/>
        <v/>
      </c>
      <c r="Q2190" s="16" t="str">
        <f t="shared" si="325"/>
        <v/>
      </c>
      <c r="R2190" s="5" t="str">
        <f t="shared" si="324"/>
        <v/>
      </c>
      <c r="S2190" s="5" t="str">
        <f t="shared" si="328"/>
        <v/>
      </c>
      <c r="T2190" s="5" t="str">
        <f t="shared" si="330"/>
        <v/>
      </c>
      <c r="U2190" s="5" t="str">
        <f t="shared" si="330"/>
        <v/>
      </c>
    </row>
    <row r="2191" spans="7:21" x14ac:dyDescent="0.2">
      <c r="G2191" s="8"/>
      <c r="H2191" s="5"/>
      <c r="J2191" s="10" t="str">
        <f t="shared" si="326"/>
        <v/>
      </c>
      <c r="K2191" s="10" t="str">
        <f t="shared" si="327"/>
        <v/>
      </c>
      <c r="L2191" s="11" t="str">
        <f t="shared" si="329"/>
        <v/>
      </c>
      <c r="M2191" s="9" t="str">
        <f>IF(G2191&lt;&gt;"",J2191/MAX(J$3:J2191)-1,"")</f>
        <v/>
      </c>
      <c r="N2191" s="9" t="str">
        <f>IF(G2191&lt;&gt;"",K2191/MAX(K$3:K2191)-1,"")</f>
        <v/>
      </c>
      <c r="O2191" s="16" t="str">
        <f t="shared" si="325"/>
        <v/>
      </c>
      <c r="P2191" s="16" t="str">
        <f t="shared" si="325"/>
        <v/>
      </c>
      <c r="Q2191" s="16" t="str">
        <f t="shared" si="325"/>
        <v/>
      </c>
      <c r="R2191" s="5" t="str">
        <f t="shared" si="324"/>
        <v/>
      </c>
      <c r="S2191" s="5" t="str">
        <f t="shared" si="328"/>
        <v/>
      </c>
      <c r="T2191" s="5" t="str">
        <f t="shared" si="330"/>
        <v/>
      </c>
      <c r="U2191" s="5" t="str">
        <f t="shared" si="330"/>
        <v/>
      </c>
    </row>
    <row r="2192" spans="7:21" x14ac:dyDescent="0.2">
      <c r="G2192" s="8"/>
      <c r="H2192" s="5"/>
      <c r="J2192" s="10" t="str">
        <f t="shared" si="326"/>
        <v/>
      </c>
      <c r="K2192" s="10" t="str">
        <f t="shared" si="327"/>
        <v/>
      </c>
      <c r="L2192" s="11" t="str">
        <f t="shared" si="329"/>
        <v/>
      </c>
      <c r="M2192" s="9" t="str">
        <f>IF(G2192&lt;&gt;"",J2192/MAX(J$3:J2192)-1,"")</f>
        <v/>
      </c>
      <c r="N2192" s="9" t="str">
        <f>IF(G2192&lt;&gt;"",K2192/MAX(K$3:K2192)-1,"")</f>
        <v/>
      </c>
      <c r="O2192" s="16" t="str">
        <f t="shared" si="325"/>
        <v/>
      </c>
      <c r="P2192" s="16" t="str">
        <f t="shared" si="325"/>
        <v/>
      </c>
      <c r="Q2192" s="16" t="str">
        <f t="shared" si="325"/>
        <v/>
      </c>
      <c r="R2192" s="5" t="str">
        <f t="shared" si="324"/>
        <v/>
      </c>
      <c r="S2192" s="5" t="str">
        <f t="shared" si="328"/>
        <v/>
      </c>
      <c r="T2192" s="5" t="str">
        <f t="shared" si="330"/>
        <v/>
      </c>
      <c r="U2192" s="5" t="str">
        <f t="shared" si="330"/>
        <v/>
      </c>
    </row>
    <row r="2193" spans="7:21" x14ac:dyDescent="0.2">
      <c r="G2193" s="8"/>
      <c r="H2193" s="5"/>
      <c r="J2193" s="10" t="str">
        <f t="shared" si="326"/>
        <v/>
      </c>
      <c r="K2193" s="10" t="str">
        <f t="shared" si="327"/>
        <v/>
      </c>
      <c r="L2193" s="11" t="str">
        <f t="shared" si="329"/>
        <v/>
      </c>
      <c r="M2193" s="9" t="str">
        <f>IF(G2193&lt;&gt;"",J2193/MAX(J$3:J2193)-1,"")</f>
        <v/>
      </c>
      <c r="N2193" s="9" t="str">
        <f>IF(G2193&lt;&gt;"",K2193/MAX(K$3:K2193)-1,"")</f>
        <v/>
      </c>
      <c r="O2193" s="16" t="str">
        <f t="shared" si="325"/>
        <v/>
      </c>
      <c r="P2193" s="16" t="str">
        <f t="shared" si="325"/>
        <v/>
      </c>
      <c r="Q2193" s="16" t="str">
        <f t="shared" si="325"/>
        <v/>
      </c>
      <c r="R2193" s="5" t="str">
        <f t="shared" si="324"/>
        <v/>
      </c>
      <c r="S2193" s="5" t="str">
        <f t="shared" si="328"/>
        <v/>
      </c>
      <c r="T2193" s="5" t="str">
        <f t="shared" si="330"/>
        <v/>
      </c>
      <c r="U2193" s="5" t="str">
        <f t="shared" si="330"/>
        <v/>
      </c>
    </row>
    <row r="2194" spans="7:21" x14ac:dyDescent="0.2">
      <c r="G2194" s="8"/>
      <c r="H2194" s="5"/>
      <c r="J2194" s="10" t="str">
        <f t="shared" si="326"/>
        <v/>
      </c>
      <c r="K2194" s="10" t="str">
        <f t="shared" si="327"/>
        <v/>
      </c>
      <c r="L2194" s="11" t="str">
        <f t="shared" si="329"/>
        <v/>
      </c>
      <c r="M2194" s="9" t="str">
        <f>IF(G2194&lt;&gt;"",J2194/MAX(J$3:J2194)-1,"")</f>
        <v/>
      </c>
      <c r="N2194" s="9" t="str">
        <f>IF(G2194&lt;&gt;"",K2194/MAX(K$3:K2194)-1,"")</f>
        <v/>
      </c>
      <c r="O2194" s="16" t="str">
        <f t="shared" si="325"/>
        <v/>
      </c>
      <c r="P2194" s="16" t="str">
        <f t="shared" si="325"/>
        <v/>
      </c>
      <c r="Q2194" s="16" t="str">
        <f t="shared" si="325"/>
        <v/>
      </c>
      <c r="R2194" s="5" t="str">
        <f t="shared" si="324"/>
        <v/>
      </c>
      <c r="S2194" s="5" t="str">
        <f t="shared" si="328"/>
        <v/>
      </c>
      <c r="T2194" s="5" t="str">
        <f t="shared" si="330"/>
        <v/>
      </c>
      <c r="U2194" s="5" t="str">
        <f t="shared" si="330"/>
        <v/>
      </c>
    </row>
    <row r="2195" spans="7:21" x14ac:dyDescent="0.2">
      <c r="G2195" s="8"/>
      <c r="H2195" s="5"/>
      <c r="J2195" s="10" t="str">
        <f t="shared" si="326"/>
        <v/>
      </c>
      <c r="K2195" s="10" t="str">
        <f t="shared" si="327"/>
        <v/>
      </c>
      <c r="L2195" s="11" t="str">
        <f t="shared" si="329"/>
        <v/>
      </c>
      <c r="M2195" s="9" t="str">
        <f>IF(G2195&lt;&gt;"",J2195/MAX(J$3:J2195)-1,"")</f>
        <v/>
      </c>
      <c r="N2195" s="9" t="str">
        <f>IF(G2195&lt;&gt;"",K2195/MAX(K$3:K2195)-1,"")</f>
        <v/>
      </c>
      <c r="O2195" s="16" t="str">
        <f t="shared" si="325"/>
        <v/>
      </c>
      <c r="P2195" s="16" t="str">
        <f t="shared" si="325"/>
        <v/>
      </c>
      <c r="Q2195" s="16" t="str">
        <f t="shared" si="325"/>
        <v/>
      </c>
      <c r="R2195" s="5" t="str">
        <f t="shared" si="324"/>
        <v/>
      </c>
      <c r="S2195" s="5" t="str">
        <f t="shared" si="328"/>
        <v/>
      </c>
      <c r="T2195" s="5" t="str">
        <f t="shared" si="330"/>
        <v/>
      </c>
      <c r="U2195" s="5" t="str">
        <f t="shared" si="330"/>
        <v/>
      </c>
    </row>
    <row r="2196" spans="7:21" x14ac:dyDescent="0.2">
      <c r="G2196" s="8"/>
      <c r="H2196" s="5"/>
      <c r="J2196" s="10" t="str">
        <f t="shared" si="326"/>
        <v/>
      </c>
      <c r="K2196" s="10" t="str">
        <f t="shared" si="327"/>
        <v/>
      </c>
      <c r="L2196" s="11" t="str">
        <f t="shared" si="329"/>
        <v/>
      </c>
      <c r="M2196" s="9" t="str">
        <f>IF(G2196&lt;&gt;"",J2196/MAX(J$3:J2196)-1,"")</f>
        <v/>
      </c>
      <c r="N2196" s="9" t="str">
        <f>IF(G2196&lt;&gt;"",K2196/MAX(K$3:K2196)-1,"")</f>
        <v/>
      </c>
      <c r="O2196" s="16" t="str">
        <f t="shared" si="325"/>
        <v/>
      </c>
      <c r="P2196" s="16" t="str">
        <f t="shared" si="325"/>
        <v/>
      </c>
      <c r="Q2196" s="16" t="str">
        <f t="shared" si="325"/>
        <v/>
      </c>
      <c r="R2196" s="5" t="str">
        <f t="shared" si="324"/>
        <v/>
      </c>
      <c r="S2196" s="5" t="str">
        <f t="shared" si="328"/>
        <v/>
      </c>
      <c r="T2196" s="5" t="str">
        <f t="shared" si="330"/>
        <v/>
      </c>
      <c r="U2196" s="5" t="str">
        <f t="shared" si="330"/>
        <v/>
      </c>
    </row>
    <row r="2197" spans="7:21" x14ac:dyDescent="0.2">
      <c r="G2197" s="8"/>
      <c r="H2197" s="5"/>
      <c r="J2197" s="10" t="str">
        <f t="shared" si="326"/>
        <v/>
      </c>
      <c r="K2197" s="10" t="str">
        <f t="shared" si="327"/>
        <v/>
      </c>
      <c r="L2197" s="11" t="str">
        <f t="shared" si="329"/>
        <v/>
      </c>
      <c r="M2197" s="9" t="str">
        <f>IF(G2197&lt;&gt;"",J2197/MAX(J$3:J2197)-1,"")</f>
        <v/>
      </c>
      <c r="N2197" s="9" t="str">
        <f>IF(G2197&lt;&gt;"",K2197/MAX(K$3:K2197)-1,"")</f>
        <v/>
      </c>
      <c r="O2197" s="16" t="str">
        <f t="shared" si="325"/>
        <v/>
      </c>
      <c r="P2197" s="16" t="str">
        <f t="shared" si="325"/>
        <v/>
      </c>
      <c r="Q2197" s="16" t="str">
        <f t="shared" si="325"/>
        <v/>
      </c>
      <c r="R2197" s="5" t="str">
        <f t="shared" si="324"/>
        <v/>
      </c>
      <c r="S2197" s="5" t="str">
        <f t="shared" si="328"/>
        <v/>
      </c>
      <c r="T2197" s="5" t="str">
        <f t="shared" si="330"/>
        <v/>
      </c>
      <c r="U2197" s="5" t="str">
        <f t="shared" si="330"/>
        <v/>
      </c>
    </row>
    <row r="2198" spans="7:21" x14ac:dyDescent="0.2">
      <c r="G2198" s="8"/>
      <c r="H2198" s="5"/>
      <c r="J2198" s="10" t="str">
        <f t="shared" si="326"/>
        <v/>
      </c>
      <c r="K2198" s="10" t="str">
        <f t="shared" si="327"/>
        <v/>
      </c>
      <c r="L2198" s="11" t="str">
        <f t="shared" si="329"/>
        <v/>
      </c>
      <c r="M2198" s="9" t="str">
        <f>IF(G2198&lt;&gt;"",J2198/MAX(J$3:J2198)-1,"")</f>
        <v/>
      </c>
      <c r="N2198" s="9" t="str">
        <f>IF(G2198&lt;&gt;"",K2198/MAX(K$3:K2198)-1,"")</f>
        <v/>
      </c>
      <c r="O2198" s="16" t="str">
        <f t="shared" si="325"/>
        <v/>
      </c>
      <c r="P2198" s="16" t="str">
        <f t="shared" si="325"/>
        <v/>
      </c>
      <c r="Q2198" s="16" t="str">
        <f t="shared" si="325"/>
        <v/>
      </c>
      <c r="R2198" s="5" t="str">
        <f t="shared" si="324"/>
        <v/>
      </c>
      <c r="S2198" s="5" t="str">
        <f t="shared" si="328"/>
        <v/>
      </c>
      <c r="T2198" s="5" t="str">
        <f t="shared" si="330"/>
        <v/>
      </c>
      <c r="U2198" s="5" t="str">
        <f t="shared" si="330"/>
        <v/>
      </c>
    </row>
    <row r="2199" spans="7:21" x14ac:dyDescent="0.2">
      <c r="G2199" s="8"/>
      <c r="H2199" s="5"/>
      <c r="J2199" s="10" t="str">
        <f t="shared" si="326"/>
        <v/>
      </c>
      <c r="K2199" s="10" t="str">
        <f t="shared" si="327"/>
        <v/>
      </c>
      <c r="L2199" s="11" t="str">
        <f t="shared" si="329"/>
        <v/>
      </c>
      <c r="M2199" s="9" t="str">
        <f>IF(G2199&lt;&gt;"",J2199/MAX(J$3:J2199)-1,"")</f>
        <v/>
      </c>
      <c r="N2199" s="9" t="str">
        <f>IF(G2199&lt;&gt;"",K2199/MAX(K$3:K2199)-1,"")</f>
        <v/>
      </c>
      <c r="O2199" s="16" t="str">
        <f t="shared" si="325"/>
        <v/>
      </c>
      <c r="P2199" s="16" t="str">
        <f t="shared" si="325"/>
        <v/>
      </c>
      <c r="Q2199" s="16" t="str">
        <f t="shared" si="325"/>
        <v/>
      </c>
      <c r="R2199" s="5" t="str">
        <f t="shared" si="324"/>
        <v/>
      </c>
      <c r="S2199" s="5" t="str">
        <f t="shared" si="328"/>
        <v/>
      </c>
      <c r="T2199" s="5" t="str">
        <f t="shared" si="330"/>
        <v/>
      </c>
      <c r="U2199" s="5" t="str">
        <f t="shared" si="330"/>
        <v/>
      </c>
    </row>
    <row r="2200" spans="7:21" x14ac:dyDescent="0.2">
      <c r="G2200" s="8"/>
      <c r="H2200" s="5"/>
      <c r="J2200" s="10" t="str">
        <f t="shared" si="326"/>
        <v/>
      </c>
      <c r="K2200" s="10" t="str">
        <f t="shared" si="327"/>
        <v/>
      </c>
      <c r="L2200" s="11" t="str">
        <f t="shared" si="329"/>
        <v/>
      </c>
      <c r="M2200" s="9" t="str">
        <f>IF(G2200&lt;&gt;"",J2200/MAX(J$3:J2200)-1,"")</f>
        <v/>
      </c>
      <c r="N2200" s="9" t="str">
        <f>IF(G2200&lt;&gt;"",K2200/MAX(K$3:K2200)-1,"")</f>
        <v/>
      </c>
      <c r="O2200" s="16" t="str">
        <f t="shared" si="325"/>
        <v/>
      </c>
      <c r="P2200" s="16" t="str">
        <f t="shared" si="325"/>
        <v/>
      </c>
      <c r="Q2200" s="16" t="str">
        <f t="shared" si="325"/>
        <v/>
      </c>
      <c r="R2200" s="5" t="str">
        <f t="shared" si="324"/>
        <v/>
      </c>
      <c r="S2200" s="5" t="str">
        <f t="shared" si="328"/>
        <v/>
      </c>
      <c r="T2200" s="5" t="str">
        <f t="shared" ref="T2200:U2215" si="331">IF($G2200&lt;&gt;"",_xlfn.STDEV.S(O1956:O2200),"")</f>
        <v/>
      </c>
      <c r="U2200" s="5" t="str">
        <f t="shared" si="331"/>
        <v/>
      </c>
    </row>
    <row r="2201" spans="7:21" x14ac:dyDescent="0.2">
      <c r="G2201" s="8"/>
      <c r="H2201" s="5"/>
      <c r="J2201" s="10" t="str">
        <f t="shared" si="326"/>
        <v/>
      </c>
      <c r="K2201" s="10" t="str">
        <f t="shared" si="327"/>
        <v/>
      </c>
      <c r="L2201" s="11" t="str">
        <f t="shared" si="329"/>
        <v/>
      </c>
      <c r="M2201" s="9" t="str">
        <f>IF(G2201&lt;&gt;"",J2201/MAX(J$3:J2201)-1,"")</f>
        <v/>
      </c>
      <c r="N2201" s="9" t="str">
        <f>IF(G2201&lt;&gt;"",K2201/MAX(K$3:K2201)-1,"")</f>
        <v/>
      </c>
      <c r="O2201" s="16" t="str">
        <f t="shared" si="325"/>
        <v/>
      </c>
      <c r="P2201" s="16" t="str">
        <f t="shared" si="325"/>
        <v/>
      </c>
      <c r="Q2201" s="16" t="str">
        <f t="shared" si="325"/>
        <v/>
      </c>
      <c r="R2201" s="5" t="str">
        <f t="shared" si="324"/>
        <v/>
      </c>
      <c r="S2201" s="5" t="str">
        <f t="shared" si="328"/>
        <v/>
      </c>
      <c r="T2201" s="5" t="str">
        <f t="shared" si="331"/>
        <v/>
      </c>
      <c r="U2201" s="5" t="str">
        <f t="shared" si="331"/>
        <v/>
      </c>
    </row>
    <row r="2202" spans="7:21" x14ac:dyDescent="0.2">
      <c r="G2202" s="8"/>
      <c r="H2202" s="5"/>
      <c r="J2202" s="10" t="str">
        <f t="shared" si="326"/>
        <v/>
      </c>
      <c r="K2202" s="10" t="str">
        <f t="shared" si="327"/>
        <v/>
      </c>
      <c r="L2202" s="11" t="str">
        <f t="shared" si="329"/>
        <v/>
      </c>
      <c r="M2202" s="9" t="str">
        <f>IF(G2202&lt;&gt;"",J2202/MAX(J$3:J2202)-1,"")</f>
        <v/>
      </c>
      <c r="N2202" s="9" t="str">
        <f>IF(G2202&lt;&gt;"",K2202/MAX(K$3:K2202)-1,"")</f>
        <v/>
      </c>
      <c r="O2202" s="16" t="str">
        <f t="shared" si="325"/>
        <v/>
      </c>
      <c r="P2202" s="16" t="str">
        <f t="shared" si="325"/>
        <v/>
      </c>
      <c r="Q2202" s="16" t="str">
        <f t="shared" si="325"/>
        <v/>
      </c>
      <c r="R2202" s="5" t="str">
        <f t="shared" si="324"/>
        <v/>
      </c>
      <c r="S2202" s="5" t="str">
        <f t="shared" si="328"/>
        <v/>
      </c>
      <c r="T2202" s="5" t="str">
        <f t="shared" si="331"/>
        <v/>
      </c>
      <c r="U2202" s="5" t="str">
        <f t="shared" si="331"/>
        <v/>
      </c>
    </row>
    <row r="2203" spans="7:21" x14ac:dyDescent="0.2">
      <c r="G2203" s="8"/>
      <c r="H2203" s="5"/>
      <c r="J2203" s="10" t="str">
        <f t="shared" si="326"/>
        <v/>
      </c>
      <c r="K2203" s="10" t="str">
        <f t="shared" si="327"/>
        <v/>
      </c>
      <c r="L2203" s="11" t="str">
        <f t="shared" si="329"/>
        <v/>
      </c>
      <c r="M2203" s="9" t="str">
        <f>IF(G2203&lt;&gt;"",J2203/MAX(J$3:J2203)-1,"")</f>
        <v/>
      </c>
      <c r="N2203" s="9" t="str">
        <f>IF(G2203&lt;&gt;"",K2203/MAX(K$3:K2203)-1,"")</f>
        <v/>
      </c>
      <c r="O2203" s="16" t="str">
        <f t="shared" si="325"/>
        <v/>
      </c>
      <c r="P2203" s="16" t="str">
        <f t="shared" si="325"/>
        <v/>
      </c>
      <c r="Q2203" s="16" t="str">
        <f t="shared" si="325"/>
        <v/>
      </c>
      <c r="R2203" s="5" t="str">
        <f t="shared" si="324"/>
        <v/>
      </c>
      <c r="S2203" s="5" t="str">
        <f t="shared" si="328"/>
        <v/>
      </c>
      <c r="T2203" s="5" t="str">
        <f t="shared" si="331"/>
        <v/>
      </c>
      <c r="U2203" s="5" t="str">
        <f t="shared" si="331"/>
        <v/>
      </c>
    </row>
    <row r="2204" spans="7:21" x14ac:dyDescent="0.2">
      <c r="G2204" s="8"/>
      <c r="H2204" s="5"/>
      <c r="J2204" s="10" t="str">
        <f t="shared" si="326"/>
        <v/>
      </c>
      <c r="K2204" s="10" t="str">
        <f t="shared" si="327"/>
        <v/>
      </c>
      <c r="L2204" s="11" t="str">
        <f t="shared" si="329"/>
        <v/>
      </c>
      <c r="M2204" s="9" t="str">
        <f>IF(G2204&lt;&gt;"",J2204/MAX(J$3:J2204)-1,"")</f>
        <v/>
      </c>
      <c r="N2204" s="9" t="str">
        <f>IF(G2204&lt;&gt;"",K2204/MAX(K$3:K2204)-1,"")</f>
        <v/>
      </c>
      <c r="O2204" s="16" t="str">
        <f t="shared" si="325"/>
        <v/>
      </c>
      <c r="P2204" s="16" t="str">
        <f t="shared" si="325"/>
        <v/>
      </c>
      <c r="Q2204" s="16" t="str">
        <f t="shared" si="325"/>
        <v/>
      </c>
      <c r="R2204" s="5" t="str">
        <f t="shared" si="324"/>
        <v/>
      </c>
      <c r="S2204" s="5" t="str">
        <f t="shared" si="328"/>
        <v/>
      </c>
      <c r="T2204" s="5" t="str">
        <f t="shared" si="331"/>
        <v/>
      </c>
      <c r="U2204" s="5" t="str">
        <f t="shared" si="331"/>
        <v/>
      </c>
    </row>
    <row r="2205" spans="7:21" x14ac:dyDescent="0.2">
      <c r="G2205" s="8"/>
      <c r="H2205" s="5"/>
      <c r="J2205" s="10" t="str">
        <f t="shared" si="326"/>
        <v/>
      </c>
      <c r="K2205" s="10" t="str">
        <f t="shared" si="327"/>
        <v/>
      </c>
      <c r="L2205" s="11" t="str">
        <f t="shared" si="329"/>
        <v/>
      </c>
      <c r="M2205" s="9" t="str">
        <f>IF(G2205&lt;&gt;"",J2205/MAX(J$3:J2205)-1,"")</f>
        <v/>
      </c>
      <c r="N2205" s="9" t="str">
        <f>IF(G2205&lt;&gt;"",K2205/MAX(K$3:K2205)-1,"")</f>
        <v/>
      </c>
      <c r="O2205" s="16" t="str">
        <f t="shared" si="325"/>
        <v/>
      </c>
      <c r="P2205" s="16" t="str">
        <f t="shared" si="325"/>
        <v/>
      </c>
      <c r="Q2205" s="16" t="str">
        <f t="shared" si="325"/>
        <v/>
      </c>
      <c r="R2205" s="5" t="str">
        <f t="shared" si="324"/>
        <v/>
      </c>
      <c r="S2205" s="5" t="str">
        <f t="shared" si="328"/>
        <v/>
      </c>
      <c r="T2205" s="5" t="str">
        <f t="shared" si="331"/>
        <v/>
      </c>
      <c r="U2205" s="5" t="str">
        <f t="shared" si="331"/>
        <v/>
      </c>
    </row>
    <row r="2206" spans="7:21" x14ac:dyDescent="0.2">
      <c r="G2206" s="8"/>
      <c r="H2206" s="5"/>
      <c r="J2206" s="10" t="str">
        <f t="shared" si="326"/>
        <v/>
      </c>
      <c r="K2206" s="10" t="str">
        <f t="shared" si="327"/>
        <v/>
      </c>
      <c r="L2206" s="11" t="str">
        <f t="shared" si="329"/>
        <v/>
      </c>
      <c r="M2206" s="9" t="str">
        <f>IF(G2206&lt;&gt;"",J2206/MAX(J$3:J2206)-1,"")</f>
        <v/>
      </c>
      <c r="N2206" s="9" t="str">
        <f>IF(G2206&lt;&gt;"",K2206/MAX(K$3:K2206)-1,"")</f>
        <v/>
      </c>
      <c r="O2206" s="16" t="str">
        <f t="shared" si="325"/>
        <v/>
      </c>
      <c r="P2206" s="16" t="str">
        <f t="shared" si="325"/>
        <v/>
      </c>
      <c r="Q2206" s="16" t="str">
        <f t="shared" si="325"/>
        <v/>
      </c>
      <c r="R2206" s="5" t="str">
        <f t="shared" si="324"/>
        <v/>
      </c>
      <c r="S2206" s="5" t="str">
        <f t="shared" si="328"/>
        <v/>
      </c>
      <c r="T2206" s="5" t="str">
        <f t="shared" si="331"/>
        <v/>
      </c>
      <c r="U2206" s="5" t="str">
        <f t="shared" si="331"/>
        <v/>
      </c>
    </row>
    <row r="2207" spans="7:21" x14ac:dyDescent="0.2">
      <c r="G2207" s="8"/>
      <c r="H2207" s="5"/>
      <c r="J2207" s="10" t="str">
        <f t="shared" si="326"/>
        <v/>
      </c>
      <c r="K2207" s="10" t="str">
        <f t="shared" si="327"/>
        <v/>
      </c>
      <c r="L2207" s="11" t="str">
        <f t="shared" si="329"/>
        <v/>
      </c>
      <c r="M2207" s="9" t="str">
        <f>IF(G2207&lt;&gt;"",J2207/MAX(J$3:J2207)-1,"")</f>
        <v/>
      </c>
      <c r="N2207" s="9" t="str">
        <f>IF(G2207&lt;&gt;"",K2207/MAX(K$3:K2207)-1,"")</f>
        <v/>
      </c>
      <c r="O2207" s="16" t="str">
        <f t="shared" si="325"/>
        <v/>
      </c>
      <c r="P2207" s="16" t="str">
        <f t="shared" si="325"/>
        <v/>
      </c>
      <c r="Q2207" s="16" t="str">
        <f t="shared" si="325"/>
        <v/>
      </c>
      <c r="R2207" s="5" t="str">
        <f t="shared" si="324"/>
        <v/>
      </c>
      <c r="S2207" s="5" t="str">
        <f t="shared" si="328"/>
        <v/>
      </c>
      <c r="T2207" s="5" t="str">
        <f t="shared" si="331"/>
        <v/>
      </c>
      <c r="U2207" s="5" t="str">
        <f t="shared" si="331"/>
        <v/>
      </c>
    </row>
    <row r="2208" spans="7:21" x14ac:dyDescent="0.2">
      <c r="G2208" s="8"/>
      <c r="H2208" s="5"/>
      <c r="J2208" s="10" t="str">
        <f t="shared" si="326"/>
        <v/>
      </c>
      <c r="K2208" s="10" t="str">
        <f t="shared" si="327"/>
        <v/>
      </c>
      <c r="L2208" s="11" t="str">
        <f t="shared" si="329"/>
        <v/>
      </c>
      <c r="M2208" s="9" t="str">
        <f>IF(G2208&lt;&gt;"",J2208/MAX(J$3:J2208)-1,"")</f>
        <v/>
      </c>
      <c r="N2208" s="9" t="str">
        <f>IF(G2208&lt;&gt;"",K2208/MAX(K$3:K2208)-1,"")</f>
        <v/>
      </c>
      <c r="O2208" s="16" t="str">
        <f t="shared" si="325"/>
        <v/>
      </c>
      <c r="P2208" s="16" t="str">
        <f t="shared" si="325"/>
        <v/>
      </c>
      <c r="Q2208" s="16" t="str">
        <f t="shared" si="325"/>
        <v/>
      </c>
      <c r="R2208" s="5" t="str">
        <f t="shared" si="324"/>
        <v/>
      </c>
      <c r="S2208" s="5" t="str">
        <f t="shared" si="328"/>
        <v/>
      </c>
      <c r="T2208" s="5" t="str">
        <f t="shared" si="331"/>
        <v/>
      </c>
      <c r="U2208" s="5" t="str">
        <f t="shared" si="331"/>
        <v/>
      </c>
    </row>
    <row r="2209" spans="7:21" x14ac:dyDescent="0.2">
      <c r="G2209" s="8"/>
      <c r="H2209" s="5"/>
      <c r="J2209" s="10" t="str">
        <f t="shared" si="326"/>
        <v/>
      </c>
      <c r="K2209" s="10" t="str">
        <f t="shared" si="327"/>
        <v/>
      </c>
      <c r="L2209" s="11" t="str">
        <f t="shared" si="329"/>
        <v/>
      </c>
      <c r="M2209" s="9" t="str">
        <f>IF(G2209&lt;&gt;"",J2209/MAX(J$3:J2209)-1,"")</f>
        <v/>
      </c>
      <c r="N2209" s="9" t="str">
        <f>IF(G2209&lt;&gt;"",K2209/MAX(K$3:K2209)-1,"")</f>
        <v/>
      </c>
      <c r="O2209" s="16" t="str">
        <f t="shared" si="325"/>
        <v/>
      </c>
      <c r="P2209" s="16" t="str">
        <f t="shared" si="325"/>
        <v/>
      </c>
      <c r="Q2209" s="16" t="str">
        <f t="shared" si="325"/>
        <v/>
      </c>
      <c r="R2209" s="5" t="str">
        <f t="shared" si="324"/>
        <v/>
      </c>
      <c r="S2209" s="5" t="str">
        <f t="shared" si="328"/>
        <v/>
      </c>
      <c r="T2209" s="5" t="str">
        <f t="shared" si="331"/>
        <v/>
      </c>
      <c r="U2209" s="5" t="str">
        <f t="shared" si="331"/>
        <v/>
      </c>
    </row>
    <row r="2210" spans="7:21" x14ac:dyDescent="0.2">
      <c r="G2210" s="8"/>
      <c r="H2210" s="5"/>
      <c r="J2210" s="10" t="str">
        <f t="shared" si="326"/>
        <v/>
      </c>
      <c r="K2210" s="10" t="str">
        <f t="shared" si="327"/>
        <v/>
      </c>
      <c r="L2210" s="11" t="str">
        <f t="shared" si="329"/>
        <v/>
      </c>
      <c r="M2210" s="9" t="str">
        <f>IF(G2210&lt;&gt;"",J2210/MAX(J$3:J2210)-1,"")</f>
        <v/>
      </c>
      <c r="N2210" s="9" t="str">
        <f>IF(G2210&lt;&gt;"",K2210/MAX(K$3:K2210)-1,"")</f>
        <v/>
      </c>
      <c r="O2210" s="16" t="str">
        <f t="shared" si="325"/>
        <v/>
      </c>
      <c r="P2210" s="16" t="str">
        <f t="shared" si="325"/>
        <v/>
      </c>
      <c r="Q2210" s="16" t="str">
        <f t="shared" si="325"/>
        <v/>
      </c>
      <c r="R2210" s="5" t="str">
        <f t="shared" si="324"/>
        <v/>
      </c>
      <c r="S2210" s="5" t="str">
        <f t="shared" si="328"/>
        <v/>
      </c>
      <c r="T2210" s="5" t="str">
        <f t="shared" si="331"/>
        <v/>
      </c>
      <c r="U2210" s="5" t="str">
        <f t="shared" si="331"/>
        <v/>
      </c>
    </row>
    <row r="2211" spans="7:21" x14ac:dyDescent="0.2">
      <c r="G2211" s="8"/>
      <c r="H2211" s="5"/>
      <c r="J2211" s="10" t="str">
        <f t="shared" si="326"/>
        <v/>
      </c>
      <c r="K2211" s="10" t="str">
        <f t="shared" si="327"/>
        <v/>
      </c>
      <c r="L2211" s="11" t="str">
        <f t="shared" si="329"/>
        <v/>
      </c>
      <c r="M2211" s="9" t="str">
        <f>IF(G2211&lt;&gt;"",J2211/MAX(J$3:J2211)-1,"")</f>
        <v/>
      </c>
      <c r="N2211" s="9" t="str">
        <f>IF(G2211&lt;&gt;"",K2211/MAX(K$3:K2211)-1,"")</f>
        <v/>
      </c>
      <c r="O2211" s="16" t="str">
        <f t="shared" si="325"/>
        <v/>
      </c>
      <c r="P2211" s="16" t="str">
        <f t="shared" si="325"/>
        <v/>
      </c>
      <c r="Q2211" s="16" t="str">
        <f t="shared" si="325"/>
        <v/>
      </c>
      <c r="R2211" s="5" t="str">
        <f t="shared" si="324"/>
        <v/>
      </c>
      <c r="S2211" s="5" t="str">
        <f t="shared" si="328"/>
        <v/>
      </c>
      <c r="T2211" s="5" t="str">
        <f t="shared" si="331"/>
        <v/>
      </c>
      <c r="U2211" s="5" t="str">
        <f t="shared" si="331"/>
        <v/>
      </c>
    </row>
    <row r="2212" spans="7:21" x14ac:dyDescent="0.2">
      <c r="G2212" s="8"/>
      <c r="H2212" s="5"/>
      <c r="J2212" s="10" t="str">
        <f t="shared" si="326"/>
        <v/>
      </c>
      <c r="K2212" s="10" t="str">
        <f t="shared" si="327"/>
        <v/>
      </c>
      <c r="L2212" s="11" t="str">
        <f t="shared" si="329"/>
        <v/>
      </c>
      <c r="M2212" s="9" t="str">
        <f>IF(G2212&lt;&gt;"",J2212/MAX(J$3:J2212)-1,"")</f>
        <v/>
      </c>
      <c r="N2212" s="9" t="str">
        <f>IF(G2212&lt;&gt;"",K2212/MAX(K$3:K2212)-1,"")</f>
        <v/>
      </c>
      <c r="O2212" s="16" t="str">
        <f t="shared" si="325"/>
        <v/>
      </c>
      <c r="P2212" s="16" t="str">
        <f t="shared" si="325"/>
        <v/>
      </c>
      <c r="Q2212" s="16" t="str">
        <f t="shared" si="325"/>
        <v/>
      </c>
      <c r="R2212" s="5" t="str">
        <f t="shared" si="324"/>
        <v/>
      </c>
      <c r="S2212" s="5" t="str">
        <f t="shared" si="328"/>
        <v/>
      </c>
      <c r="T2212" s="5" t="str">
        <f t="shared" si="331"/>
        <v/>
      </c>
      <c r="U2212" s="5" t="str">
        <f t="shared" si="331"/>
        <v/>
      </c>
    </row>
    <row r="2213" spans="7:21" x14ac:dyDescent="0.2">
      <c r="G2213" s="8"/>
      <c r="H2213" s="5"/>
      <c r="J2213" s="10" t="str">
        <f t="shared" si="326"/>
        <v/>
      </c>
      <c r="K2213" s="10" t="str">
        <f t="shared" si="327"/>
        <v/>
      </c>
      <c r="L2213" s="11" t="str">
        <f t="shared" si="329"/>
        <v/>
      </c>
      <c r="M2213" s="9" t="str">
        <f>IF(G2213&lt;&gt;"",J2213/MAX(J$3:J2213)-1,"")</f>
        <v/>
      </c>
      <c r="N2213" s="9" t="str">
        <f>IF(G2213&lt;&gt;"",K2213/MAX(K$3:K2213)-1,"")</f>
        <v/>
      </c>
      <c r="O2213" s="16" t="str">
        <f t="shared" si="325"/>
        <v/>
      </c>
      <c r="P2213" s="16" t="str">
        <f t="shared" si="325"/>
        <v/>
      </c>
      <c r="Q2213" s="16" t="str">
        <f t="shared" si="325"/>
        <v/>
      </c>
      <c r="R2213" s="5" t="str">
        <f t="shared" si="324"/>
        <v/>
      </c>
      <c r="S2213" s="5" t="str">
        <f t="shared" si="328"/>
        <v/>
      </c>
      <c r="T2213" s="5" t="str">
        <f t="shared" si="331"/>
        <v/>
      </c>
      <c r="U2213" s="5" t="str">
        <f t="shared" si="331"/>
        <v/>
      </c>
    </row>
    <row r="2214" spans="7:21" x14ac:dyDescent="0.2">
      <c r="G2214" s="8"/>
      <c r="H2214" s="5"/>
      <c r="J2214" s="10" t="str">
        <f t="shared" si="326"/>
        <v/>
      </c>
      <c r="K2214" s="10" t="str">
        <f t="shared" si="327"/>
        <v/>
      </c>
      <c r="L2214" s="11" t="str">
        <f t="shared" si="329"/>
        <v/>
      </c>
      <c r="M2214" s="9" t="str">
        <f>IF(G2214&lt;&gt;"",J2214/MAX(J$3:J2214)-1,"")</f>
        <v/>
      </c>
      <c r="N2214" s="9" t="str">
        <f>IF(G2214&lt;&gt;"",K2214/MAX(K$3:K2214)-1,"")</f>
        <v/>
      </c>
      <c r="O2214" s="16" t="str">
        <f t="shared" si="325"/>
        <v/>
      </c>
      <c r="P2214" s="16" t="str">
        <f t="shared" si="325"/>
        <v/>
      </c>
      <c r="Q2214" s="16" t="str">
        <f t="shared" si="325"/>
        <v/>
      </c>
      <c r="R2214" s="5" t="str">
        <f t="shared" si="324"/>
        <v/>
      </c>
      <c r="S2214" s="5" t="str">
        <f t="shared" si="328"/>
        <v/>
      </c>
      <c r="T2214" s="5" t="str">
        <f t="shared" si="331"/>
        <v/>
      </c>
      <c r="U2214" s="5" t="str">
        <f t="shared" si="331"/>
        <v/>
      </c>
    </row>
    <row r="2215" spans="7:21" x14ac:dyDescent="0.2">
      <c r="G2215" s="8"/>
      <c r="H2215" s="5"/>
      <c r="J2215" s="10" t="str">
        <f t="shared" si="326"/>
        <v/>
      </c>
      <c r="K2215" s="10" t="str">
        <f t="shared" si="327"/>
        <v/>
      </c>
      <c r="L2215" s="11" t="str">
        <f t="shared" si="329"/>
        <v/>
      </c>
      <c r="M2215" s="9" t="str">
        <f>IF(G2215&lt;&gt;"",J2215/MAX(J$3:J2215)-1,"")</f>
        <v/>
      </c>
      <c r="N2215" s="9" t="str">
        <f>IF(G2215&lt;&gt;"",K2215/MAX(K$3:K2215)-1,"")</f>
        <v/>
      </c>
      <c r="O2215" s="16" t="str">
        <f t="shared" si="325"/>
        <v/>
      </c>
      <c r="P2215" s="16" t="str">
        <f t="shared" si="325"/>
        <v/>
      </c>
      <c r="Q2215" s="16" t="str">
        <f t="shared" si="325"/>
        <v/>
      </c>
      <c r="R2215" s="5" t="str">
        <f t="shared" si="324"/>
        <v/>
      </c>
      <c r="S2215" s="5" t="str">
        <f t="shared" si="328"/>
        <v/>
      </c>
      <c r="T2215" s="5" t="str">
        <f t="shared" si="331"/>
        <v/>
      </c>
      <c r="U2215" s="5" t="str">
        <f t="shared" si="331"/>
        <v/>
      </c>
    </row>
    <row r="2216" spans="7:21" x14ac:dyDescent="0.2">
      <c r="G2216" s="8"/>
      <c r="H2216" s="5"/>
      <c r="J2216" s="10" t="str">
        <f t="shared" si="326"/>
        <v/>
      </c>
      <c r="K2216" s="10" t="str">
        <f t="shared" si="327"/>
        <v/>
      </c>
      <c r="L2216" s="11" t="str">
        <f t="shared" si="329"/>
        <v/>
      </c>
      <c r="M2216" s="9" t="str">
        <f>IF(G2216&lt;&gt;"",J2216/MAX(J$3:J2216)-1,"")</f>
        <v/>
      </c>
      <c r="N2216" s="9" t="str">
        <f>IF(G2216&lt;&gt;"",K2216/MAX(K$3:K2216)-1,"")</f>
        <v/>
      </c>
      <c r="O2216" s="16" t="str">
        <f t="shared" si="325"/>
        <v/>
      </c>
      <c r="P2216" s="16" t="str">
        <f t="shared" si="325"/>
        <v/>
      </c>
      <c r="Q2216" s="16" t="str">
        <f t="shared" si="325"/>
        <v/>
      </c>
      <c r="R2216" s="5" t="str">
        <f t="shared" si="324"/>
        <v/>
      </c>
      <c r="S2216" s="5" t="str">
        <f t="shared" si="328"/>
        <v/>
      </c>
      <c r="T2216" s="5" t="str">
        <f t="shared" ref="T2216:U2231" si="332">IF($G2216&lt;&gt;"",_xlfn.STDEV.S(O1972:O2216),"")</f>
        <v/>
      </c>
      <c r="U2216" s="5" t="str">
        <f t="shared" si="332"/>
        <v/>
      </c>
    </row>
    <row r="2217" spans="7:21" x14ac:dyDescent="0.2">
      <c r="G2217" s="8"/>
      <c r="H2217" s="5"/>
      <c r="J2217" s="10" t="str">
        <f t="shared" si="326"/>
        <v/>
      </c>
      <c r="K2217" s="10" t="str">
        <f t="shared" si="327"/>
        <v/>
      </c>
      <c r="L2217" s="11" t="str">
        <f t="shared" si="329"/>
        <v/>
      </c>
      <c r="M2217" s="9" t="str">
        <f>IF(G2217&lt;&gt;"",J2217/MAX(J$3:J2217)-1,"")</f>
        <v/>
      </c>
      <c r="N2217" s="9" t="str">
        <f>IF(G2217&lt;&gt;"",K2217/MAX(K$3:K2217)-1,"")</f>
        <v/>
      </c>
      <c r="O2217" s="16" t="str">
        <f t="shared" si="325"/>
        <v/>
      </c>
      <c r="P2217" s="16" t="str">
        <f t="shared" si="325"/>
        <v/>
      </c>
      <c r="Q2217" s="16" t="str">
        <f t="shared" si="325"/>
        <v/>
      </c>
      <c r="R2217" s="5" t="str">
        <f t="shared" si="324"/>
        <v/>
      </c>
      <c r="S2217" s="5" t="str">
        <f t="shared" si="328"/>
        <v/>
      </c>
      <c r="T2217" s="5" t="str">
        <f t="shared" si="332"/>
        <v/>
      </c>
      <c r="U2217" s="5" t="str">
        <f t="shared" si="332"/>
        <v/>
      </c>
    </row>
    <row r="2218" spans="7:21" x14ac:dyDescent="0.2">
      <c r="G2218" s="8"/>
      <c r="H2218" s="5"/>
      <c r="J2218" s="10" t="str">
        <f t="shared" si="326"/>
        <v/>
      </c>
      <c r="K2218" s="10" t="str">
        <f t="shared" si="327"/>
        <v/>
      </c>
      <c r="L2218" s="11" t="str">
        <f t="shared" si="329"/>
        <v/>
      </c>
      <c r="M2218" s="9" t="str">
        <f>IF(G2218&lt;&gt;"",J2218/MAX(J$3:J2218)-1,"")</f>
        <v/>
      </c>
      <c r="N2218" s="9" t="str">
        <f>IF(G2218&lt;&gt;"",K2218/MAX(K$3:K2218)-1,"")</f>
        <v/>
      </c>
      <c r="O2218" s="16" t="str">
        <f t="shared" si="325"/>
        <v/>
      </c>
      <c r="P2218" s="16" t="str">
        <f t="shared" si="325"/>
        <v/>
      </c>
      <c r="Q2218" s="16" t="str">
        <f t="shared" si="325"/>
        <v/>
      </c>
      <c r="R2218" s="5" t="str">
        <f t="shared" si="324"/>
        <v/>
      </c>
      <c r="S2218" s="5" t="str">
        <f t="shared" si="328"/>
        <v/>
      </c>
      <c r="T2218" s="5" t="str">
        <f t="shared" si="332"/>
        <v/>
      </c>
      <c r="U2218" s="5" t="str">
        <f t="shared" si="332"/>
        <v/>
      </c>
    </row>
    <row r="2219" spans="7:21" x14ac:dyDescent="0.2">
      <c r="G2219" s="8"/>
      <c r="H2219" s="5"/>
      <c r="J2219" s="10" t="str">
        <f t="shared" si="326"/>
        <v/>
      </c>
      <c r="K2219" s="10" t="str">
        <f t="shared" si="327"/>
        <v/>
      </c>
      <c r="L2219" s="11" t="str">
        <f t="shared" si="329"/>
        <v/>
      </c>
      <c r="M2219" s="9" t="str">
        <f>IF(G2219&lt;&gt;"",J2219/MAX(J$3:J2219)-1,"")</f>
        <v/>
      </c>
      <c r="N2219" s="9" t="str">
        <f>IF(G2219&lt;&gt;"",K2219/MAX(K$3:K2219)-1,"")</f>
        <v/>
      </c>
      <c r="O2219" s="16" t="str">
        <f t="shared" si="325"/>
        <v/>
      </c>
      <c r="P2219" s="16" t="str">
        <f t="shared" si="325"/>
        <v/>
      </c>
      <c r="Q2219" s="16" t="str">
        <f t="shared" si="325"/>
        <v/>
      </c>
      <c r="R2219" s="5" t="str">
        <f t="shared" si="324"/>
        <v/>
      </c>
      <c r="S2219" s="5" t="str">
        <f t="shared" si="328"/>
        <v/>
      </c>
      <c r="T2219" s="5" t="str">
        <f t="shared" si="332"/>
        <v/>
      </c>
      <c r="U2219" s="5" t="str">
        <f t="shared" si="332"/>
        <v/>
      </c>
    </row>
    <row r="2220" spans="7:21" x14ac:dyDescent="0.2">
      <c r="G2220" s="8"/>
      <c r="H2220" s="5"/>
      <c r="J2220" s="10" t="str">
        <f t="shared" si="326"/>
        <v/>
      </c>
      <c r="K2220" s="10" t="str">
        <f t="shared" si="327"/>
        <v/>
      </c>
      <c r="L2220" s="11" t="str">
        <f t="shared" si="329"/>
        <v/>
      </c>
      <c r="M2220" s="9" t="str">
        <f>IF(G2220&lt;&gt;"",J2220/MAX(J$3:J2220)-1,"")</f>
        <v/>
      </c>
      <c r="N2220" s="9" t="str">
        <f>IF(G2220&lt;&gt;"",K2220/MAX(K$3:K2220)-1,"")</f>
        <v/>
      </c>
      <c r="O2220" s="16" t="str">
        <f t="shared" si="325"/>
        <v/>
      </c>
      <c r="P2220" s="16" t="str">
        <f t="shared" si="325"/>
        <v/>
      </c>
      <c r="Q2220" s="16" t="str">
        <f t="shared" si="325"/>
        <v/>
      </c>
      <c r="R2220" s="5" t="str">
        <f t="shared" si="324"/>
        <v/>
      </c>
      <c r="S2220" s="5" t="str">
        <f t="shared" si="328"/>
        <v/>
      </c>
      <c r="T2220" s="5" t="str">
        <f t="shared" si="332"/>
        <v/>
      </c>
      <c r="U2220" s="5" t="str">
        <f t="shared" si="332"/>
        <v/>
      </c>
    </row>
    <row r="2221" spans="7:21" x14ac:dyDescent="0.2">
      <c r="G2221" s="8"/>
      <c r="H2221" s="5"/>
      <c r="J2221" s="10" t="str">
        <f t="shared" si="326"/>
        <v/>
      </c>
      <c r="K2221" s="10" t="str">
        <f t="shared" si="327"/>
        <v/>
      </c>
      <c r="L2221" s="11" t="str">
        <f t="shared" si="329"/>
        <v/>
      </c>
      <c r="M2221" s="9" t="str">
        <f>IF(G2221&lt;&gt;"",J2221/MAX(J$3:J2221)-1,"")</f>
        <v/>
      </c>
      <c r="N2221" s="9" t="str">
        <f>IF(G2221&lt;&gt;"",K2221/MAX(K$3:K2221)-1,"")</f>
        <v/>
      </c>
      <c r="O2221" s="16" t="str">
        <f t="shared" si="325"/>
        <v/>
      </c>
      <c r="P2221" s="16" t="str">
        <f t="shared" si="325"/>
        <v/>
      </c>
      <c r="Q2221" s="16" t="str">
        <f t="shared" si="325"/>
        <v/>
      </c>
      <c r="R2221" s="5" t="str">
        <f t="shared" si="324"/>
        <v/>
      </c>
      <c r="S2221" s="5" t="str">
        <f t="shared" si="328"/>
        <v/>
      </c>
      <c r="T2221" s="5" t="str">
        <f t="shared" si="332"/>
        <v/>
      </c>
      <c r="U2221" s="5" t="str">
        <f t="shared" si="332"/>
        <v/>
      </c>
    </row>
    <row r="2222" spans="7:21" x14ac:dyDescent="0.2">
      <c r="G2222" s="8"/>
      <c r="H2222" s="5"/>
      <c r="J2222" s="10" t="str">
        <f t="shared" si="326"/>
        <v/>
      </c>
      <c r="K2222" s="10" t="str">
        <f t="shared" si="327"/>
        <v/>
      </c>
      <c r="L2222" s="11" t="str">
        <f t="shared" si="329"/>
        <v/>
      </c>
      <c r="M2222" s="9" t="str">
        <f>IF(G2222&lt;&gt;"",J2222/MAX(J$3:J2222)-1,"")</f>
        <v/>
      </c>
      <c r="N2222" s="9" t="str">
        <f>IF(G2222&lt;&gt;"",K2222/MAX(K$3:K2222)-1,"")</f>
        <v/>
      </c>
      <c r="O2222" s="16" t="str">
        <f t="shared" si="325"/>
        <v/>
      </c>
      <c r="P2222" s="16" t="str">
        <f t="shared" si="325"/>
        <v/>
      </c>
      <c r="Q2222" s="16" t="str">
        <f t="shared" si="325"/>
        <v/>
      </c>
      <c r="R2222" s="5" t="str">
        <f t="shared" si="324"/>
        <v/>
      </c>
      <c r="S2222" s="5" t="str">
        <f t="shared" si="328"/>
        <v/>
      </c>
      <c r="T2222" s="5" t="str">
        <f t="shared" si="332"/>
        <v/>
      </c>
      <c r="U2222" s="5" t="str">
        <f t="shared" si="332"/>
        <v/>
      </c>
    </row>
    <row r="2223" spans="7:21" x14ac:dyDescent="0.2">
      <c r="G2223" s="8"/>
      <c r="H2223" s="5"/>
      <c r="J2223" s="10" t="str">
        <f t="shared" si="326"/>
        <v/>
      </c>
      <c r="K2223" s="10" t="str">
        <f t="shared" si="327"/>
        <v/>
      </c>
      <c r="L2223" s="11" t="str">
        <f t="shared" si="329"/>
        <v/>
      </c>
      <c r="M2223" s="9" t="str">
        <f>IF(G2223&lt;&gt;"",J2223/MAX(J$3:J2223)-1,"")</f>
        <v/>
      </c>
      <c r="N2223" s="9" t="str">
        <f>IF(G2223&lt;&gt;"",K2223/MAX(K$3:K2223)-1,"")</f>
        <v/>
      </c>
      <c r="O2223" s="16" t="str">
        <f t="shared" si="325"/>
        <v/>
      </c>
      <c r="P2223" s="16" t="str">
        <f t="shared" si="325"/>
        <v/>
      </c>
      <c r="Q2223" s="16" t="str">
        <f t="shared" si="325"/>
        <v/>
      </c>
      <c r="R2223" s="5" t="str">
        <f t="shared" si="324"/>
        <v/>
      </c>
      <c r="S2223" s="5" t="str">
        <f t="shared" si="328"/>
        <v/>
      </c>
      <c r="T2223" s="5" t="str">
        <f t="shared" si="332"/>
        <v/>
      </c>
      <c r="U2223" s="5" t="str">
        <f t="shared" si="332"/>
        <v/>
      </c>
    </row>
    <row r="2224" spans="7:21" x14ac:dyDescent="0.2">
      <c r="G2224" s="8"/>
      <c r="H2224" s="5"/>
      <c r="J2224" s="10" t="str">
        <f t="shared" si="326"/>
        <v/>
      </c>
      <c r="K2224" s="10" t="str">
        <f t="shared" si="327"/>
        <v/>
      </c>
      <c r="L2224" s="11" t="str">
        <f t="shared" si="329"/>
        <v/>
      </c>
      <c r="M2224" s="9" t="str">
        <f>IF(G2224&lt;&gt;"",J2224/MAX(J$3:J2224)-1,"")</f>
        <v/>
      </c>
      <c r="N2224" s="9" t="str">
        <f>IF(G2224&lt;&gt;"",K2224/MAX(K$3:K2224)-1,"")</f>
        <v/>
      </c>
      <c r="O2224" s="16" t="str">
        <f t="shared" si="325"/>
        <v/>
      </c>
      <c r="P2224" s="16" t="str">
        <f t="shared" si="325"/>
        <v/>
      </c>
      <c r="Q2224" s="16" t="str">
        <f t="shared" si="325"/>
        <v/>
      </c>
      <c r="R2224" s="5" t="str">
        <f t="shared" si="324"/>
        <v/>
      </c>
      <c r="S2224" s="5" t="str">
        <f t="shared" si="328"/>
        <v/>
      </c>
      <c r="T2224" s="5" t="str">
        <f t="shared" si="332"/>
        <v/>
      </c>
      <c r="U2224" s="5" t="str">
        <f t="shared" si="332"/>
        <v/>
      </c>
    </row>
    <row r="2225" spans="7:21" x14ac:dyDescent="0.2">
      <c r="G2225" s="8"/>
      <c r="H2225" s="5"/>
      <c r="J2225" s="10" t="str">
        <f t="shared" si="326"/>
        <v/>
      </c>
      <c r="K2225" s="10" t="str">
        <f t="shared" si="327"/>
        <v/>
      </c>
      <c r="L2225" s="11" t="str">
        <f t="shared" si="329"/>
        <v/>
      </c>
      <c r="M2225" s="9" t="str">
        <f>IF(G2225&lt;&gt;"",J2225/MAX(J$3:J2225)-1,"")</f>
        <v/>
      </c>
      <c r="N2225" s="9" t="str">
        <f>IF(G2225&lt;&gt;"",K2225/MAX(K$3:K2225)-1,"")</f>
        <v/>
      </c>
      <c r="O2225" s="16" t="str">
        <f t="shared" si="325"/>
        <v/>
      </c>
      <c r="P2225" s="16" t="str">
        <f t="shared" si="325"/>
        <v/>
      </c>
      <c r="Q2225" s="16" t="str">
        <f t="shared" si="325"/>
        <v/>
      </c>
      <c r="R2225" s="5" t="str">
        <f t="shared" si="324"/>
        <v/>
      </c>
      <c r="S2225" s="5" t="str">
        <f t="shared" si="328"/>
        <v/>
      </c>
      <c r="T2225" s="5" t="str">
        <f t="shared" si="332"/>
        <v/>
      </c>
      <c r="U2225" s="5" t="str">
        <f t="shared" si="332"/>
        <v/>
      </c>
    </row>
    <row r="2226" spans="7:21" x14ac:dyDescent="0.2">
      <c r="G2226" s="8"/>
      <c r="H2226" s="5"/>
      <c r="J2226" s="10" t="str">
        <f t="shared" si="326"/>
        <v/>
      </c>
      <c r="K2226" s="10" t="str">
        <f t="shared" si="327"/>
        <v/>
      </c>
      <c r="L2226" s="11" t="str">
        <f t="shared" si="329"/>
        <v/>
      </c>
      <c r="M2226" s="9" t="str">
        <f>IF(G2226&lt;&gt;"",J2226/MAX(J$3:J2226)-1,"")</f>
        <v/>
      </c>
      <c r="N2226" s="9" t="str">
        <f>IF(G2226&lt;&gt;"",K2226/MAX(K$3:K2226)-1,"")</f>
        <v/>
      </c>
      <c r="O2226" s="16" t="str">
        <f t="shared" si="325"/>
        <v/>
      </c>
      <c r="P2226" s="16" t="str">
        <f t="shared" si="325"/>
        <v/>
      </c>
      <c r="Q2226" s="16" t="str">
        <f t="shared" si="325"/>
        <v/>
      </c>
      <c r="R2226" s="5" t="str">
        <f t="shared" si="324"/>
        <v/>
      </c>
      <c r="S2226" s="5" t="str">
        <f t="shared" si="328"/>
        <v/>
      </c>
      <c r="T2226" s="5" t="str">
        <f t="shared" si="332"/>
        <v/>
      </c>
      <c r="U2226" s="5" t="str">
        <f t="shared" si="332"/>
        <v/>
      </c>
    </row>
    <row r="2227" spans="7:21" x14ac:dyDescent="0.2">
      <c r="G2227" s="8"/>
      <c r="H2227" s="5"/>
      <c r="J2227" s="10" t="str">
        <f t="shared" si="326"/>
        <v/>
      </c>
      <c r="K2227" s="10" t="str">
        <f t="shared" si="327"/>
        <v/>
      </c>
      <c r="L2227" s="11" t="str">
        <f t="shared" si="329"/>
        <v/>
      </c>
      <c r="M2227" s="9" t="str">
        <f>IF(G2227&lt;&gt;"",J2227/MAX(J$3:J2227)-1,"")</f>
        <v/>
      </c>
      <c r="N2227" s="9" t="str">
        <f>IF(G2227&lt;&gt;"",K2227/MAX(K$3:K2227)-1,"")</f>
        <v/>
      </c>
      <c r="O2227" s="16" t="str">
        <f t="shared" si="325"/>
        <v/>
      </c>
      <c r="P2227" s="16" t="str">
        <f t="shared" si="325"/>
        <v/>
      </c>
      <c r="Q2227" s="16" t="str">
        <f t="shared" si="325"/>
        <v/>
      </c>
      <c r="R2227" s="5" t="str">
        <f t="shared" si="324"/>
        <v/>
      </c>
      <c r="S2227" s="5" t="str">
        <f t="shared" si="328"/>
        <v/>
      </c>
      <c r="T2227" s="5" t="str">
        <f t="shared" si="332"/>
        <v/>
      </c>
      <c r="U2227" s="5" t="str">
        <f t="shared" si="332"/>
        <v/>
      </c>
    </row>
    <row r="2228" spans="7:21" x14ac:dyDescent="0.2">
      <c r="G2228" s="8"/>
      <c r="H2228" s="5"/>
      <c r="J2228" s="10" t="str">
        <f t="shared" si="326"/>
        <v/>
      </c>
      <c r="K2228" s="10" t="str">
        <f t="shared" si="327"/>
        <v/>
      </c>
      <c r="L2228" s="11" t="str">
        <f t="shared" si="329"/>
        <v/>
      </c>
      <c r="M2228" s="9" t="str">
        <f>IF(G2228&lt;&gt;"",J2228/MAX(J$3:J2228)-1,"")</f>
        <v/>
      </c>
      <c r="N2228" s="9" t="str">
        <f>IF(G2228&lt;&gt;"",K2228/MAX(K$3:K2228)-1,"")</f>
        <v/>
      </c>
      <c r="O2228" s="16" t="str">
        <f t="shared" si="325"/>
        <v/>
      </c>
      <c r="P2228" s="16" t="str">
        <f t="shared" si="325"/>
        <v/>
      </c>
      <c r="Q2228" s="16" t="str">
        <f t="shared" si="325"/>
        <v/>
      </c>
      <c r="R2228" s="5" t="str">
        <f t="shared" si="324"/>
        <v/>
      </c>
      <c r="S2228" s="5" t="str">
        <f t="shared" si="328"/>
        <v/>
      </c>
      <c r="T2228" s="5" t="str">
        <f t="shared" si="332"/>
        <v/>
      </c>
      <c r="U2228" s="5" t="str">
        <f t="shared" si="332"/>
        <v/>
      </c>
    </row>
    <row r="2229" spans="7:21" x14ac:dyDescent="0.2">
      <c r="G2229" s="8"/>
      <c r="H2229" s="5"/>
      <c r="J2229" s="10" t="str">
        <f t="shared" si="326"/>
        <v/>
      </c>
      <c r="K2229" s="10" t="str">
        <f t="shared" si="327"/>
        <v/>
      </c>
      <c r="L2229" s="11" t="str">
        <f t="shared" si="329"/>
        <v/>
      </c>
      <c r="M2229" s="9" t="str">
        <f>IF(G2229&lt;&gt;"",J2229/MAX(J$3:J2229)-1,"")</f>
        <v/>
      </c>
      <c r="N2229" s="9" t="str">
        <f>IF(G2229&lt;&gt;"",K2229/MAX(K$3:K2229)-1,"")</f>
        <v/>
      </c>
      <c r="O2229" s="16" t="str">
        <f t="shared" si="325"/>
        <v/>
      </c>
      <c r="P2229" s="16" t="str">
        <f t="shared" si="325"/>
        <v/>
      </c>
      <c r="Q2229" s="16" t="str">
        <f t="shared" si="325"/>
        <v/>
      </c>
      <c r="R2229" s="5" t="str">
        <f t="shared" si="324"/>
        <v/>
      </c>
      <c r="S2229" s="5" t="str">
        <f t="shared" si="328"/>
        <v/>
      </c>
      <c r="T2229" s="5" t="str">
        <f t="shared" si="332"/>
        <v/>
      </c>
      <c r="U2229" s="5" t="str">
        <f t="shared" si="332"/>
        <v/>
      </c>
    </row>
    <row r="2230" spans="7:21" x14ac:dyDescent="0.2">
      <c r="G2230" s="8"/>
      <c r="H2230" s="5"/>
      <c r="J2230" s="10" t="str">
        <f t="shared" si="326"/>
        <v/>
      </c>
      <c r="K2230" s="10" t="str">
        <f t="shared" si="327"/>
        <v/>
      </c>
      <c r="L2230" s="11" t="str">
        <f t="shared" si="329"/>
        <v/>
      </c>
      <c r="M2230" s="9" t="str">
        <f>IF(G2230&lt;&gt;"",J2230/MAX(J$3:J2230)-1,"")</f>
        <v/>
      </c>
      <c r="N2230" s="9" t="str">
        <f>IF(G2230&lt;&gt;"",K2230/MAX(K$3:K2230)-1,"")</f>
        <v/>
      </c>
      <c r="O2230" s="16" t="str">
        <f t="shared" si="325"/>
        <v/>
      </c>
      <c r="P2230" s="16" t="str">
        <f t="shared" si="325"/>
        <v/>
      </c>
      <c r="Q2230" s="16" t="str">
        <f t="shared" si="325"/>
        <v/>
      </c>
      <c r="R2230" s="5" t="str">
        <f t="shared" si="324"/>
        <v/>
      </c>
      <c r="S2230" s="5" t="str">
        <f t="shared" si="328"/>
        <v/>
      </c>
      <c r="T2230" s="5" t="str">
        <f t="shared" si="332"/>
        <v/>
      </c>
      <c r="U2230" s="5" t="str">
        <f t="shared" si="332"/>
        <v/>
      </c>
    </row>
    <row r="2231" spans="7:21" x14ac:dyDescent="0.2">
      <c r="G2231" s="8"/>
      <c r="H2231" s="5"/>
      <c r="J2231" s="10" t="str">
        <f t="shared" si="326"/>
        <v/>
      </c>
      <c r="K2231" s="10" t="str">
        <f t="shared" si="327"/>
        <v/>
      </c>
      <c r="L2231" s="11" t="str">
        <f t="shared" si="329"/>
        <v/>
      </c>
      <c r="M2231" s="9" t="str">
        <f>IF(G2231&lt;&gt;"",J2231/MAX(J$3:J2231)-1,"")</f>
        <v/>
      </c>
      <c r="N2231" s="9" t="str">
        <f>IF(G2231&lt;&gt;"",K2231/MAX(K$3:K2231)-1,"")</f>
        <v/>
      </c>
      <c r="O2231" s="16" t="str">
        <f t="shared" si="325"/>
        <v/>
      </c>
      <c r="P2231" s="16" t="str">
        <f t="shared" si="325"/>
        <v/>
      </c>
      <c r="Q2231" s="16" t="str">
        <f t="shared" si="325"/>
        <v/>
      </c>
      <c r="R2231" s="5" t="str">
        <f t="shared" si="324"/>
        <v/>
      </c>
      <c r="S2231" s="5" t="str">
        <f t="shared" si="328"/>
        <v/>
      </c>
      <c r="T2231" s="5" t="str">
        <f t="shared" si="332"/>
        <v/>
      </c>
      <c r="U2231" s="5" t="str">
        <f t="shared" si="332"/>
        <v/>
      </c>
    </row>
    <row r="2232" spans="7:21" x14ac:dyDescent="0.2">
      <c r="G2232" s="8"/>
      <c r="H2232" s="5"/>
      <c r="J2232" s="10" t="str">
        <f t="shared" si="326"/>
        <v/>
      </c>
      <c r="K2232" s="10" t="str">
        <f t="shared" si="327"/>
        <v/>
      </c>
      <c r="L2232" s="11" t="str">
        <f t="shared" si="329"/>
        <v/>
      </c>
      <c r="M2232" s="9" t="str">
        <f>IF(G2232&lt;&gt;"",J2232/MAX(J$3:J2232)-1,"")</f>
        <v/>
      </c>
      <c r="N2232" s="9" t="str">
        <f>IF(G2232&lt;&gt;"",K2232/MAX(K$3:K2232)-1,"")</f>
        <v/>
      </c>
      <c r="O2232" s="16" t="str">
        <f t="shared" si="325"/>
        <v/>
      </c>
      <c r="P2232" s="16" t="str">
        <f t="shared" si="325"/>
        <v/>
      </c>
      <c r="Q2232" s="16" t="str">
        <f t="shared" si="325"/>
        <v/>
      </c>
      <c r="R2232" s="5" t="str">
        <f t="shared" si="324"/>
        <v/>
      </c>
      <c r="S2232" s="5" t="str">
        <f t="shared" si="328"/>
        <v/>
      </c>
      <c r="T2232" s="5" t="str">
        <f t="shared" ref="T2232:U2247" si="333">IF($G2232&lt;&gt;"",_xlfn.STDEV.S(O1988:O2232),"")</f>
        <v/>
      </c>
      <c r="U2232" s="5" t="str">
        <f t="shared" si="333"/>
        <v/>
      </c>
    </row>
    <row r="2233" spans="7:21" x14ac:dyDescent="0.2">
      <c r="G2233" s="8"/>
      <c r="H2233" s="5"/>
      <c r="J2233" s="10" t="str">
        <f t="shared" si="326"/>
        <v/>
      </c>
      <c r="K2233" s="10" t="str">
        <f t="shared" si="327"/>
        <v/>
      </c>
      <c r="L2233" s="11" t="str">
        <f t="shared" si="329"/>
        <v/>
      </c>
      <c r="M2233" s="9" t="str">
        <f>IF(G2233&lt;&gt;"",J2233/MAX(J$3:J2233)-1,"")</f>
        <v/>
      </c>
      <c r="N2233" s="9" t="str">
        <f>IF(G2233&lt;&gt;"",K2233/MAX(K$3:K2233)-1,"")</f>
        <v/>
      </c>
      <c r="O2233" s="16" t="str">
        <f t="shared" si="325"/>
        <v/>
      </c>
      <c r="P2233" s="16" t="str">
        <f t="shared" si="325"/>
        <v/>
      </c>
      <c r="Q2233" s="16" t="str">
        <f t="shared" si="325"/>
        <v/>
      </c>
      <c r="R2233" s="5" t="str">
        <f t="shared" si="324"/>
        <v/>
      </c>
      <c r="S2233" s="5" t="str">
        <f t="shared" si="328"/>
        <v/>
      </c>
      <c r="T2233" s="5" t="str">
        <f t="shared" si="333"/>
        <v/>
      </c>
      <c r="U2233" s="5" t="str">
        <f t="shared" si="333"/>
        <v/>
      </c>
    </row>
    <row r="2234" spans="7:21" x14ac:dyDescent="0.2">
      <c r="G2234" s="8"/>
      <c r="H2234" s="5"/>
      <c r="J2234" s="10" t="str">
        <f t="shared" si="326"/>
        <v/>
      </c>
      <c r="K2234" s="10" t="str">
        <f t="shared" si="327"/>
        <v/>
      </c>
      <c r="L2234" s="11" t="str">
        <f t="shared" si="329"/>
        <v/>
      </c>
      <c r="M2234" s="9" t="str">
        <f>IF(G2234&lt;&gt;"",J2234/MAX(J$3:J2234)-1,"")</f>
        <v/>
      </c>
      <c r="N2234" s="9" t="str">
        <f>IF(G2234&lt;&gt;"",K2234/MAX(K$3:K2234)-1,"")</f>
        <v/>
      </c>
      <c r="O2234" s="16" t="str">
        <f t="shared" si="325"/>
        <v/>
      </c>
      <c r="P2234" s="16" t="str">
        <f t="shared" si="325"/>
        <v/>
      </c>
      <c r="Q2234" s="16" t="str">
        <f t="shared" si="325"/>
        <v/>
      </c>
      <c r="R2234" s="5" t="str">
        <f t="shared" si="324"/>
        <v/>
      </c>
      <c r="S2234" s="5" t="str">
        <f t="shared" si="328"/>
        <v/>
      </c>
      <c r="T2234" s="5" t="str">
        <f t="shared" si="333"/>
        <v/>
      </c>
      <c r="U2234" s="5" t="str">
        <f t="shared" si="333"/>
        <v/>
      </c>
    </row>
    <row r="2235" spans="7:21" x14ac:dyDescent="0.2">
      <c r="G2235" s="8"/>
      <c r="H2235" s="5"/>
      <c r="J2235" s="10" t="str">
        <f t="shared" si="326"/>
        <v/>
      </c>
      <c r="K2235" s="10" t="str">
        <f t="shared" si="327"/>
        <v/>
      </c>
      <c r="L2235" s="11" t="str">
        <f t="shared" si="329"/>
        <v/>
      </c>
      <c r="M2235" s="9" t="str">
        <f>IF(G2235&lt;&gt;"",J2235/MAX(J$3:J2235)-1,"")</f>
        <v/>
      </c>
      <c r="N2235" s="9" t="str">
        <f>IF(G2235&lt;&gt;"",K2235/MAX(K$3:K2235)-1,"")</f>
        <v/>
      </c>
      <c r="O2235" s="16" t="str">
        <f t="shared" si="325"/>
        <v/>
      </c>
      <c r="P2235" s="16" t="str">
        <f t="shared" si="325"/>
        <v/>
      </c>
      <c r="Q2235" s="16" t="str">
        <f t="shared" si="325"/>
        <v/>
      </c>
      <c r="R2235" s="5" t="str">
        <f t="shared" si="324"/>
        <v/>
      </c>
      <c r="S2235" s="5" t="str">
        <f t="shared" si="328"/>
        <v/>
      </c>
      <c r="T2235" s="5" t="str">
        <f t="shared" si="333"/>
        <v/>
      </c>
      <c r="U2235" s="5" t="str">
        <f t="shared" si="333"/>
        <v/>
      </c>
    </row>
    <row r="2236" spans="7:21" x14ac:dyDescent="0.2">
      <c r="G2236" s="8"/>
      <c r="H2236" s="5"/>
      <c r="J2236" s="10" t="str">
        <f t="shared" si="326"/>
        <v/>
      </c>
      <c r="K2236" s="10" t="str">
        <f t="shared" si="327"/>
        <v/>
      </c>
      <c r="L2236" s="11" t="str">
        <f t="shared" si="329"/>
        <v/>
      </c>
      <c r="M2236" s="9" t="str">
        <f>IF(G2236&lt;&gt;"",J2236/MAX(J$3:J2236)-1,"")</f>
        <v/>
      </c>
      <c r="N2236" s="9" t="str">
        <f>IF(G2236&lt;&gt;"",K2236/MAX(K$3:K2236)-1,"")</f>
        <v/>
      </c>
      <c r="O2236" s="16" t="str">
        <f t="shared" si="325"/>
        <v/>
      </c>
      <c r="P2236" s="16" t="str">
        <f t="shared" si="325"/>
        <v/>
      </c>
      <c r="Q2236" s="16" t="str">
        <f t="shared" si="325"/>
        <v/>
      </c>
      <c r="R2236" s="5" t="str">
        <f t="shared" si="324"/>
        <v/>
      </c>
      <c r="S2236" s="5" t="str">
        <f t="shared" si="328"/>
        <v/>
      </c>
      <c r="T2236" s="5" t="str">
        <f t="shared" si="333"/>
        <v/>
      </c>
      <c r="U2236" s="5" t="str">
        <f t="shared" si="333"/>
        <v/>
      </c>
    </row>
    <row r="2237" spans="7:21" x14ac:dyDescent="0.2">
      <c r="G2237" s="8"/>
      <c r="H2237" s="5"/>
      <c r="J2237" s="10" t="str">
        <f t="shared" si="326"/>
        <v/>
      </c>
      <c r="K2237" s="10" t="str">
        <f t="shared" si="327"/>
        <v/>
      </c>
      <c r="L2237" s="11" t="str">
        <f t="shared" si="329"/>
        <v/>
      </c>
      <c r="M2237" s="9" t="str">
        <f>IF(G2237&lt;&gt;"",J2237/MAX(J$3:J2237)-1,"")</f>
        <v/>
      </c>
      <c r="N2237" s="9" t="str">
        <f>IF(G2237&lt;&gt;"",K2237/MAX(K$3:K2237)-1,"")</f>
        <v/>
      </c>
      <c r="O2237" s="16" t="str">
        <f t="shared" si="325"/>
        <v/>
      </c>
      <c r="P2237" s="16" t="str">
        <f t="shared" si="325"/>
        <v/>
      </c>
      <c r="Q2237" s="16" t="str">
        <f t="shared" si="325"/>
        <v/>
      </c>
      <c r="R2237" s="5" t="str">
        <f t="shared" ref="R2237:R2300" si="334">IF(G2237&lt;&gt;"",_xlfn.STDEV.S(Q2116:Q2237)*SQRT($B$5),"")</f>
        <v/>
      </c>
      <c r="S2237" s="5" t="str">
        <f t="shared" si="328"/>
        <v/>
      </c>
      <c r="T2237" s="5" t="str">
        <f t="shared" si="333"/>
        <v/>
      </c>
      <c r="U2237" s="5" t="str">
        <f t="shared" si="333"/>
        <v/>
      </c>
    </row>
    <row r="2238" spans="7:21" x14ac:dyDescent="0.2">
      <c r="G2238" s="8"/>
      <c r="H2238" s="5"/>
      <c r="J2238" s="10" t="str">
        <f t="shared" si="326"/>
        <v/>
      </c>
      <c r="K2238" s="10" t="str">
        <f t="shared" si="327"/>
        <v/>
      </c>
      <c r="L2238" s="11" t="str">
        <f t="shared" si="329"/>
        <v/>
      </c>
      <c r="M2238" s="9" t="str">
        <f>IF(G2238&lt;&gt;"",J2238/MAX(J$3:J2238)-1,"")</f>
        <v/>
      </c>
      <c r="N2238" s="9" t="str">
        <f>IF(G2238&lt;&gt;"",K2238/MAX(K$3:K2238)-1,"")</f>
        <v/>
      </c>
      <c r="O2238" s="16" t="str">
        <f t="shared" si="325"/>
        <v/>
      </c>
      <c r="P2238" s="16" t="str">
        <f t="shared" si="325"/>
        <v/>
      </c>
      <c r="Q2238" s="16" t="str">
        <f t="shared" si="325"/>
        <v/>
      </c>
      <c r="R2238" s="5" t="str">
        <f t="shared" si="334"/>
        <v/>
      </c>
      <c r="S2238" s="5" t="str">
        <f t="shared" si="328"/>
        <v/>
      </c>
      <c r="T2238" s="5" t="str">
        <f t="shared" si="333"/>
        <v/>
      </c>
      <c r="U2238" s="5" t="str">
        <f t="shared" si="333"/>
        <v/>
      </c>
    </row>
    <row r="2239" spans="7:21" x14ac:dyDescent="0.2">
      <c r="G2239" s="8"/>
      <c r="H2239" s="5"/>
      <c r="J2239" s="10" t="str">
        <f t="shared" si="326"/>
        <v/>
      </c>
      <c r="K2239" s="10" t="str">
        <f t="shared" si="327"/>
        <v/>
      </c>
      <c r="L2239" s="11" t="str">
        <f t="shared" si="329"/>
        <v/>
      </c>
      <c r="M2239" s="9" t="str">
        <f>IF(G2239&lt;&gt;"",J2239/MAX(J$3:J2239)-1,"")</f>
        <v/>
      </c>
      <c r="N2239" s="9" t="str">
        <f>IF(G2239&lt;&gt;"",K2239/MAX(K$3:K2239)-1,"")</f>
        <v/>
      </c>
      <c r="O2239" s="16" t="str">
        <f t="shared" si="325"/>
        <v/>
      </c>
      <c r="P2239" s="16" t="str">
        <f t="shared" si="325"/>
        <v/>
      </c>
      <c r="Q2239" s="16" t="str">
        <f t="shared" si="325"/>
        <v/>
      </c>
      <c r="R2239" s="5" t="str">
        <f t="shared" si="334"/>
        <v/>
      </c>
      <c r="S2239" s="5" t="str">
        <f t="shared" si="328"/>
        <v/>
      </c>
      <c r="T2239" s="5" t="str">
        <f t="shared" si="333"/>
        <v/>
      </c>
      <c r="U2239" s="5" t="str">
        <f t="shared" si="333"/>
        <v/>
      </c>
    </row>
    <row r="2240" spans="7:21" x14ac:dyDescent="0.2">
      <c r="G2240" s="8"/>
      <c r="H2240" s="5"/>
      <c r="J2240" s="10" t="str">
        <f t="shared" si="326"/>
        <v/>
      </c>
      <c r="K2240" s="10" t="str">
        <f t="shared" si="327"/>
        <v/>
      </c>
      <c r="L2240" s="11" t="str">
        <f t="shared" si="329"/>
        <v/>
      </c>
      <c r="M2240" s="9" t="str">
        <f>IF(G2240&lt;&gt;"",J2240/MAX(J$3:J2240)-1,"")</f>
        <v/>
      </c>
      <c r="N2240" s="9" t="str">
        <f>IF(G2240&lt;&gt;"",K2240/MAX(K$3:K2240)-1,"")</f>
        <v/>
      </c>
      <c r="O2240" s="16" t="str">
        <f t="shared" si="325"/>
        <v/>
      </c>
      <c r="P2240" s="16" t="str">
        <f t="shared" si="325"/>
        <v/>
      </c>
      <c r="Q2240" s="16" t="str">
        <f t="shared" si="325"/>
        <v/>
      </c>
      <c r="R2240" s="5" t="str">
        <f t="shared" si="334"/>
        <v/>
      </c>
      <c r="S2240" s="5" t="str">
        <f t="shared" si="328"/>
        <v/>
      </c>
      <c r="T2240" s="5" t="str">
        <f t="shared" si="333"/>
        <v/>
      </c>
      <c r="U2240" s="5" t="str">
        <f t="shared" si="333"/>
        <v/>
      </c>
    </row>
    <row r="2241" spans="7:21" x14ac:dyDescent="0.2">
      <c r="G2241" s="8"/>
      <c r="H2241" s="5"/>
      <c r="J2241" s="10" t="str">
        <f t="shared" si="326"/>
        <v/>
      </c>
      <c r="K2241" s="10" t="str">
        <f t="shared" si="327"/>
        <v/>
      </c>
      <c r="L2241" s="11" t="str">
        <f t="shared" si="329"/>
        <v/>
      </c>
      <c r="M2241" s="9" t="str">
        <f>IF(G2241&lt;&gt;"",J2241/MAX(J$3:J2241)-1,"")</f>
        <v/>
      </c>
      <c r="N2241" s="9" t="str">
        <f>IF(G2241&lt;&gt;"",K2241/MAX(K$3:K2241)-1,"")</f>
        <v/>
      </c>
      <c r="O2241" s="16" t="str">
        <f t="shared" si="325"/>
        <v/>
      </c>
      <c r="P2241" s="16" t="str">
        <f t="shared" si="325"/>
        <v/>
      </c>
      <c r="Q2241" s="16" t="str">
        <f t="shared" si="325"/>
        <v/>
      </c>
      <c r="R2241" s="5" t="str">
        <f t="shared" si="334"/>
        <v/>
      </c>
      <c r="S2241" s="5" t="str">
        <f t="shared" si="328"/>
        <v/>
      </c>
      <c r="T2241" s="5" t="str">
        <f t="shared" si="333"/>
        <v/>
      </c>
      <c r="U2241" s="5" t="str">
        <f t="shared" si="333"/>
        <v/>
      </c>
    </row>
    <row r="2242" spans="7:21" x14ac:dyDescent="0.2">
      <c r="G2242" s="8"/>
      <c r="H2242" s="5"/>
      <c r="J2242" s="10" t="str">
        <f t="shared" si="326"/>
        <v/>
      </c>
      <c r="K2242" s="10" t="str">
        <f t="shared" si="327"/>
        <v/>
      </c>
      <c r="L2242" s="11" t="str">
        <f t="shared" si="329"/>
        <v/>
      </c>
      <c r="M2242" s="9" t="str">
        <f>IF(G2242&lt;&gt;"",J2242/MAX(J$3:J2242)-1,"")</f>
        <v/>
      </c>
      <c r="N2242" s="9" t="str">
        <f>IF(G2242&lt;&gt;"",K2242/MAX(K$3:K2242)-1,"")</f>
        <v/>
      </c>
      <c r="O2242" s="16" t="str">
        <f t="shared" ref="O2242:Q2305" si="335">IF($G2242&lt;&gt;"",J2242/J2241-1,"")</f>
        <v/>
      </c>
      <c r="P2242" s="16" t="str">
        <f t="shared" si="335"/>
        <v/>
      </c>
      <c r="Q2242" s="16" t="str">
        <f t="shared" si="335"/>
        <v/>
      </c>
      <c r="R2242" s="5" t="str">
        <f t="shared" si="334"/>
        <v/>
      </c>
      <c r="S2242" s="5" t="str">
        <f t="shared" si="328"/>
        <v/>
      </c>
      <c r="T2242" s="5" t="str">
        <f t="shared" si="333"/>
        <v/>
      </c>
      <c r="U2242" s="5" t="str">
        <f t="shared" si="333"/>
        <v/>
      </c>
    </row>
    <row r="2243" spans="7:21" x14ac:dyDescent="0.2">
      <c r="G2243" s="8"/>
      <c r="H2243" s="5"/>
      <c r="J2243" s="10" t="str">
        <f t="shared" si="326"/>
        <v/>
      </c>
      <c r="K2243" s="10" t="str">
        <f t="shared" si="327"/>
        <v/>
      </c>
      <c r="L2243" s="11" t="str">
        <f t="shared" si="329"/>
        <v/>
      </c>
      <c r="M2243" s="9" t="str">
        <f>IF(G2243&lt;&gt;"",J2243/MAX(J$3:J2243)-1,"")</f>
        <v/>
      </c>
      <c r="N2243" s="9" t="str">
        <f>IF(G2243&lt;&gt;"",K2243/MAX(K$3:K2243)-1,"")</f>
        <v/>
      </c>
      <c r="O2243" s="16" t="str">
        <f t="shared" si="335"/>
        <v/>
      </c>
      <c r="P2243" s="16" t="str">
        <f t="shared" si="335"/>
        <v/>
      </c>
      <c r="Q2243" s="16" t="str">
        <f t="shared" si="335"/>
        <v/>
      </c>
      <c r="R2243" s="5" t="str">
        <f t="shared" si="334"/>
        <v/>
      </c>
      <c r="S2243" s="5" t="str">
        <f t="shared" si="328"/>
        <v/>
      </c>
      <c r="T2243" s="5" t="str">
        <f t="shared" si="333"/>
        <v/>
      </c>
      <c r="U2243" s="5" t="str">
        <f t="shared" si="333"/>
        <v/>
      </c>
    </row>
    <row r="2244" spans="7:21" x14ac:dyDescent="0.2">
      <c r="G2244" s="8"/>
      <c r="H2244" s="5"/>
      <c r="J2244" s="10" t="str">
        <f t="shared" ref="J2244:J2307" si="336">IF(G2244&lt;&gt;"",1+H2244,"")</f>
        <v/>
      </c>
      <c r="K2244" s="10" t="str">
        <f t="shared" ref="K2244:K2307" si="337">IF(G2244&lt;&gt;"",1+I2244,"")</f>
        <v/>
      </c>
      <c r="L2244" s="11" t="str">
        <f t="shared" si="329"/>
        <v/>
      </c>
      <c r="M2244" s="9" t="str">
        <f>IF(G2244&lt;&gt;"",J2244/MAX(J$3:J2244)-1,"")</f>
        <v/>
      </c>
      <c r="N2244" s="9" t="str">
        <f>IF(G2244&lt;&gt;"",K2244/MAX(K$3:K2244)-1,"")</f>
        <v/>
      </c>
      <c r="O2244" s="16" t="str">
        <f t="shared" si="335"/>
        <v/>
      </c>
      <c r="P2244" s="16" t="str">
        <f t="shared" si="335"/>
        <v/>
      </c>
      <c r="Q2244" s="16" t="str">
        <f t="shared" si="335"/>
        <v/>
      </c>
      <c r="R2244" s="5" t="str">
        <f t="shared" si="334"/>
        <v/>
      </c>
      <c r="S2244" s="5" t="str">
        <f t="shared" ref="S2244:S2307" si="338">IF(R2244&lt;&gt;"",B$12,"")</f>
        <v/>
      </c>
      <c r="T2244" s="5" t="str">
        <f t="shared" si="333"/>
        <v/>
      </c>
      <c r="U2244" s="5" t="str">
        <f t="shared" si="333"/>
        <v/>
      </c>
    </row>
    <row r="2245" spans="7:21" x14ac:dyDescent="0.2">
      <c r="G2245" s="8"/>
      <c r="H2245" s="5"/>
      <c r="J2245" s="10" t="str">
        <f t="shared" si="336"/>
        <v/>
      </c>
      <c r="K2245" s="10" t="str">
        <f t="shared" si="337"/>
        <v/>
      </c>
      <c r="L2245" s="11" t="str">
        <f t="shared" ref="L2245:L2308" si="339">IF(G2245&lt;&gt;"",J2245/K2245,"")</f>
        <v/>
      </c>
      <c r="M2245" s="9" t="str">
        <f>IF(G2245&lt;&gt;"",J2245/MAX(J$3:J2245)-1,"")</f>
        <v/>
      </c>
      <c r="N2245" s="9" t="str">
        <f>IF(G2245&lt;&gt;"",K2245/MAX(K$3:K2245)-1,"")</f>
        <v/>
      </c>
      <c r="O2245" s="16" t="str">
        <f t="shared" si="335"/>
        <v/>
      </c>
      <c r="P2245" s="16" t="str">
        <f t="shared" si="335"/>
        <v/>
      </c>
      <c r="Q2245" s="16" t="str">
        <f t="shared" si="335"/>
        <v/>
      </c>
      <c r="R2245" s="5" t="str">
        <f t="shared" si="334"/>
        <v/>
      </c>
      <c r="S2245" s="5" t="str">
        <f t="shared" si="338"/>
        <v/>
      </c>
      <c r="T2245" s="5" t="str">
        <f t="shared" si="333"/>
        <v/>
      </c>
      <c r="U2245" s="5" t="str">
        <f t="shared" si="333"/>
        <v/>
      </c>
    </row>
    <row r="2246" spans="7:21" x14ac:dyDescent="0.2">
      <c r="G2246" s="8"/>
      <c r="H2246" s="5"/>
      <c r="J2246" s="10" t="str">
        <f t="shared" si="336"/>
        <v/>
      </c>
      <c r="K2246" s="10" t="str">
        <f t="shared" si="337"/>
        <v/>
      </c>
      <c r="L2246" s="11" t="str">
        <f t="shared" si="339"/>
        <v/>
      </c>
      <c r="M2246" s="9" t="str">
        <f>IF(G2246&lt;&gt;"",J2246/MAX(J$3:J2246)-1,"")</f>
        <v/>
      </c>
      <c r="N2246" s="9" t="str">
        <f>IF(G2246&lt;&gt;"",K2246/MAX(K$3:K2246)-1,"")</f>
        <v/>
      </c>
      <c r="O2246" s="16" t="str">
        <f t="shared" si="335"/>
        <v/>
      </c>
      <c r="P2246" s="16" t="str">
        <f t="shared" si="335"/>
        <v/>
      </c>
      <c r="Q2246" s="16" t="str">
        <f t="shared" si="335"/>
        <v/>
      </c>
      <c r="R2246" s="5" t="str">
        <f t="shared" si="334"/>
        <v/>
      </c>
      <c r="S2246" s="5" t="str">
        <f t="shared" si="338"/>
        <v/>
      </c>
      <c r="T2246" s="5" t="str">
        <f t="shared" si="333"/>
        <v/>
      </c>
      <c r="U2246" s="5" t="str">
        <f t="shared" si="333"/>
        <v/>
      </c>
    </row>
    <row r="2247" spans="7:21" x14ac:dyDescent="0.2">
      <c r="G2247" s="8"/>
      <c r="H2247" s="5"/>
      <c r="J2247" s="10" t="str">
        <f t="shared" si="336"/>
        <v/>
      </c>
      <c r="K2247" s="10" t="str">
        <f t="shared" si="337"/>
        <v/>
      </c>
      <c r="L2247" s="11" t="str">
        <f t="shared" si="339"/>
        <v/>
      </c>
      <c r="M2247" s="9" t="str">
        <f>IF(G2247&lt;&gt;"",J2247/MAX(J$3:J2247)-1,"")</f>
        <v/>
      </c>
      <c r="N2247" s="9" t="str">
        <f>IF(G2247&lt;&gt;"",K2247/MAX(K$3:K2247)-1,"")</f>
        <v/>
      </c>
      <c r="O2247" s="16" t="str">
        <f t="shared" si="335"/>
        <v/>
      </c>
      <c r="P2247" s="16" t="str">
        <f t="shared" si="335"/>
        <v/>
      </c>
      <c r="Q2247" s="16" t="str">
        <f t="shared" si="335"/>
        <v/>
      </c>
      <c r="R2247" s="5" t="str">
        <f t="shared" si="334"/>
        <v/>
      </c>
      <c r="S2247" s="5" t="str">
        <f t="shared" si="338"/>
        <v/>
      </c>
      <c r="T2247" s="5" t="str">
        <f t="shared" si="333"/>
        <v/>
      </c>
      <c r="U2247" s="5" t="str">
        <f t="shared" si="333"/>
        <v/>
      </c>
    </row>
    <row r="2248" spans="7:21" x14ac:dyDescent="0.2">
      <c r="G2248" s="8"/>
      <c r="H2248" s="5"/>
      <c r="J2248" s="10" t="str">
        <f t="shared" si="336"/>
        <v/>
      </c>
      <c r="K2248" s="10" t="str">
        <f t="shared" si="337"/>
        <v/>
      </c>
      <c r="L2248" s="11" t="str">
        <f t="shared" si="339"/>
        <v/>
      </c>
      <c r="M2248" s="9" t="str">
        <f>IF(G2248&lt;&gt;"",J2248/MAX(J$3:J2248)-1,"")</f>
        <v/>
      </c>
      <c r="N2248" s="9" t="str">
        <f>IF(G2248&lt;&gt;"",K2248/MAX(K$3:K2248)-1,"")</f>
        <v/>
      </c>
      <c r="O2248" s="16" t="str">
        <f t="shared" si="335"/>
        <v/>
      </c>
      <c r="P2248" s="16" t="str">
        <f t="shared" si="335"/>
        <v/>
      </c>
      <c r="Q2248" s="16" t="str">
        <f t="shared" si="335"/>
        <v/>
      </c>
      <c r="R2248" s="5" t="str">
        <f t="shared" si="334"/>
        <v/>
      </c>
      <c r="S2248" s="5" t="str">
        <f t="shared" si="338"/>
        <v/>
      </c>
      <c r="T2248" s="5" t="str">
        <f t="shared" ref="T2248:U2263" si="340">IF($G2248&lt;&gt;"",_xlfn.STDEV.S(O2004:O2248),"")</f>
        <v/>
      </c>
      <c r="U2248" s="5" t="str">
        <f t="shared" si="340"/>
        <v/>
      </c>
    </row>
    <row r="2249" spans="7:21" x14ac:dyDescent="0.2">
      <c r="G2249" s="8"/>
      <c r="H2249" s="5"/>
      <c r="J2249" s="10" t="str">
        <f t="shared" si="336"/>
        <v/>
      </c>
      <c r="K2249" s="10" t="str">
        <f t="shared" si="337"/>
        <v/>
      </c>
      <c r="L2249" s="11" t="str">
        <f t="shared" si="339"/>
        <v/>
      </c>
      <c r="M2249" s="9" t="str">
        <f>IF(G2249&lt;&gt;"",J2249/MAX(J$3:J2249)-1,"")</f>
        <v/>
      </c>
      <c r="N2249" s="9" t="str">
        <f>IF(G2249&lt;&gt;"",K2249/MAX(K$3:K2249)-1,"")</f>
        <v/>
      </c>
      <c r="O2249" s="16" t="str">
        <f t="shared" si="335"/>
        <v/>
      </c>
      <c r="P2249" s="16" t="str">
        <f t="shared" si="335"/>
        <v/>
      </c>
      <c r="Q2249" s="16" t="str">
        <f t="shared" si="335"/>
        <v/>
      </c>
      <c r="R2249" s="5" t="str">
        <f t="shared" si="334"/>
        <v/>
      </c>
      <c r="S2249" s="5" t="str">
        <f t="shared" si="338"/>
        <v/>
      </c>
      <c r="T2249" s="5" t="str">
        <f t="shared" si="340"/>
        <v/>
      </c>
      <c r="U2249" s="5" t="str">
        <f t="shared" si="340"/>
        <v/>
      </c>
    </row>
    <row r="2250" spans="7:21" x14ac:dyDescent="0.2">
      <c r="G2250" s="8"/>
      <c r="H2250" s="5"/>
      <c r="J2250" s="10" t="str">
        <f t="shared" si="336"/>
        <v/>
      </c>
      <c r="K2250" s="10" t="str">
        <f t="shared" si="337"/>
        <v/>
      </c>
      <c r="L2250" s="11" t="str">
        <f t="shared" si="339"/>
        <v/>
      </c>
      <c r="M2250" s="9" t="str">
        <f>IF(G2250&lt;&gt;"",J2250/MAX(J$3:J2250)-1,"")</f>
        <v/>
      </c>
      <c r="N2250" s="9" t="str">
        <f>IF(G2250&lt;&gt;"",K2250/MAX(K$3:K2250)-1,"")</f>
        <v/>
      </c>
      <c r="O2250" s="16" t="str">
        <f t="shared" si="335"/>
        <v/>
      </c>
      <c r="P2250" s="16" t="str">
        <f t="shared" si="335"/>
        <v/>
      </c>
      <c r="Q2250" s="16" t="str">
        <f t="shared" si="335"/>
        <v/>
      </c>
      <c r="R2250" s="5" t="str">
        <f t="shared" si="334"/>
        <v/>
      </c>
      <c r="S2250" s="5" t="str">
        <f t="shared" si="338"/>
        <v/>
      </c>
      <c r="T2250" s="5" t="str">
        <f t="shared" si="340"/>
        <v/>
      </c>
      <c r="U2250" s="5" t="str">
        <f t="shared" si="340"/>
        <v/>
      </c>
    </row>
    <row r="2251" spans="7:21" x14ac:dyDescent="0.2">
      <c r="G2251" s="8"/>
      <c r="H2251" s="5"/>
      <c r="J2251" s="10" t="str">
        <f t="shared" si="336"/>
        <v/>
      </c>
      <c r="K2251" s="10" t="str">
        <f t="shared" si="337"/>
        <v/>
      </c>
      <c r="L2251" s="11" t="str">
        <f t="shared" si="339"/>
        <v/>
      </c>
      <c r="M2251" s="9" t="str">
        <f>IF(G2251&lt;&gt;"",J2251/MAX(J$3:J2251)-1,"")</f>
        <v/>
      </c>
      <c r="N2251" s="9" t="str">
        <f>IF(G2251&lt;&gt;"",K2251/MAX(K$3:K2251)-1,"")</f>
        <v/>
      </c>
      <c r="O2251" s="16" t="str">
        <f t="shared" si="335"/>
        <v/>
      </c>
      <c r="P2251" s="16" t="str">
        <f t="shared" si="335"/>
        <v/>
      </c>
      <c r="Q2251" s="16" t="str">
        <f t="shared" si="335"/>
        <v/>
      </c>
      <c r="R2251" s="5" t="str">
        <f t="shared" si="334"/>
        <v/>
      </c>
      <c r="S2251" s="5" t="str">
        <f t="shared" si="338"/>
        <v/>
      </c>
      <c r="T2251" s="5" t="str">
        <f t="shared" si="340"/>
        <v/>
      </c>
      <c r="U2251" s="5" t="str">
        <f t="shared" si="340"/>
        <v/>
      </c>
    </row>
    <row r="2252" spans="7:21" x14ac:dyDescent="0.2">
      <c r="G2252" s="8"/>
      <c r="H2252" s="5"/>
      <c r="J2252" s="10" t="str">
        <f t="shared" si="336"/>
        <v/>
      </c>
      <c r="K2252" s="10" t="str">
        <f t="shared" si="337"/>
        <v/>
      </c>
      <c r="L2252" s="11" t="str">
        <f t="shared" si="339"/>
        <v/>
      </c>
      <c r="M2252" s="9" t="str">
        <f>IF(G2252&lt;&gt;"",J2252/MAX(J$3:J2252)-1,"")</f>
        <v/>
      </c>
      <c r="N2252" s="9" t="str">
        <f>IF(G2252&lt;&gt;"",K2252/MAX(K$3:K2252)-1,"")</f>
        <v/>
      </c>
      <c r="O2252" s="16" t="str">
        <f t="shared" si="335"/>
        <v/>
      </c>
      <c r="P2252" s="16" t="str">
        <f t="shared" si="335"/>
        <v/>
      </c>
      <c r="Q2252" s="16" t="str">
        <f t="shared" si="335"/>
        <v/>
      </c>
      <c r="R2252" s="5" t="str">
        <f t="shared" si="334"/>
        <v/>
      </c>
      <c r="S2252" s="5" t="str">
        <f t="shared" si="338"/>
        <v/>
      </c>
      <c r="T2252" s="5" t="str">
        <f t="shared" si="340"/>
        <v/>
      </c>
      <c r="U2252" s="5" t="str">
        <f t="shared" si="340"/>
        <v/>
      </c>
    </row>
    <row r="2253" spans="7:21" x14ac:dyDescent="0.2">
      <c r="G2253" s="8"/>
      <c r="H2253" s="5"/>
      <c r="J2253" s="10" t="str">
        <f t="shared" si="336"/>
        <v/>
      </c>
      <c r="K2253" s="10" t="str">
        <f t="shared" si="337"/>
        <v/>
      </c>
      <c r="L2253" s="11" t="str">
        <f t="shared" si="339"/>
        <v/>
      </c>
      <c r="M2253" s="9" t="str">
        <f>IF(G2253&lt;&gt;"",J2253/MAX(J$3:J2253)-1,"")</f>
        <v/>
      </c>
      <c r="N2253" s="9" t="str">
        <f>IF(G2253&lt;&gt;"",K2253/MAX(K$3:K2253)-1,"")</f>
        <v/>
      </c>
      <c r="O2253" s="16" t="str">
        <f t="shared" si="335"/>
        <v/>
      </c>
      <c r="P2253" s="16" t="str">
        <f t="shared" si="335"/>
        <v/>
      </c>
      <c r="Q2253" s="16" t="str">
        <f t="shared" si="335"/>
        <v/>
      </c>
      <c r="R2253" s="5" t="str">
        <f t="shared" si="334"/>
        <v/>
      </c>
      <c r="S2253" s="5" t="str">
        <f t="shared" si="338"/>
        <v/>
      </c>
      <c r="T2253" s="5" t="str">
        <f t="shared" si="340"/>
        <v/>
      </c>
      <c r="U2253" s="5" t="str">
        <f t="shared" si="340"/>
        <v/>
      </c>
    </row>
    <row r="2254" spans="7:21" x14ac:dyDescent="0.2">
      <c r="G2254" s="8"/>
      <c r="H2254" s="5"/>
      <c r="J2254" s="10" t="str">
        <f t="shared" si="336"/>
        <v/>
      </c>
      <c r="K2254" s="10" t="str">
        <f t="shared" si="337"/>
        <v/>
      </c>
      <c r="L2254" s="11" t="str">
        <f t="shared" si="339"/>
        <v/>
      </c>
      <c r="M2254" s="9" t="str">
        <f>IF(G2254&lt;&gt;"",J2254/MAX(J$3:J2254)-1,"")</f>
        <v/>
      </c>
      <c r="N2254" s="9" t="str">
        <f>IF(G2254&lt;&gt;"",K2254/MAX(K$3:K2254)-1,"")</f>
        <v/>
      </c>
      <c r="O2254" s="16" t="str">
        <f t="shared" si="335"/>
        <v/>
      </c>
      <c r="P2254" s="16" t="str">
        <f t="shared" si="335"/>
        <v/>
      </c>
      <c r="Q2254" s="16" t="str">
        <f t="shared" si="335"/>
        <v/>
      </c>
      <c r="R2254" s="5" t="str">
        <f t="shared" si="334"/>
        <v/>
      </c>
      <c r="S2254" s="5" t="str">
        <f t="shared" si="338"/>
        <v/>
      </c>
      <c r="T2254" s="5" t="str">
        <f t="shared" si="340"/>
        <v/>
      </c>
      <c r="U2254" s="5" t="str">
        <f t="shared" si="340"/>
        <v/>
      </c>
    </row>
    <row r="2255" spans="7:21" x14ac:dyDescent="0.2">
      <c r="G2255" s="8"/>
      <c r="H2255" s="5"/>
      <c r="J2255" s="10" t="str">
        <f t="shared" si="336"/>
        <v/>
      </c>
      <c r="K2255" s="10" t="str">
        <f t="shared" si="337"/>
        <v/>
      </c>
      <c r="L2255" s="11" t="str">
        <f t="shared" si="339"/>
        <v/>
      </c>
      <c r="M2255" s="9" t="str">
        <f>IF(G2255&lt;&gt;"",J2255/MAX(J$3:J2255)-1,"")</f>
        <v/>
      </c>
      <c r="N2255" s="9" t="str">
        <f>IF(G2255&lt;&gt;"",K2255/MAX(K$3:K2255)-1,"")</f>
        <v/>
      </c>
      <c r="O2255" s="16" t="str">
        <f t="shared" si="335"/>
        <v/>
      </c>
      <c r="P2255" s="16" t="str">
        <f t="shared" si="335"/>
        <v/>
      </c>
      <c r="Q2255" s="16" t="str">
        <f t="shared" si="335"/>
        <v/>
      </c>
      <c r="R2255" s="5" t="str">
        <f t="shared" si="334"/>
        <v/>
      </c>
      <c r="S2255" s="5" t="str">
        <f t="shared" si="338"/>
        <v/>
      </c>
      <c r="T2255" s="5" t="str">
        <f t="shared" si="340"/>
        <v/>
      </c>
      <c r="U2255" s="5" t="str">
        <f t="shared" si="340"/>
        <v/>
      </c>
    </row>
    <row r="2256" spans="7:21" x14ac:dyDescent="0.2">
      <c r="G2256" s="8"/>
      <c r="H2256" s="5"/>
      <c r="J2256" s="10" t="str">
        <f t="shared" si="336"/>
        <v/>
      </c>
      <c r="K2256" s="10" t="str">
        <f t="shared" si="337"/>
        <v/>
      </c>
      <c r="L2256" s="11" t="str">
        <f t="shared" si="339"/>
        <v/>
      </c>
      <c r="M2256" s="9" t="str">
        <f>IF(G2256&lt;&gt;"",J2256/MAX(J$3:J2256)-1,"")</f>
        <v/>
      </c>
      <c r="N2256" s="9" t="str">
        <f>IF(G2256&lt;&gt;"",K2256/MAX(K$3:K2256)-1,"")</f>
        <v/>
      </c>
      <c r="O2256" s="16" t="str">
        <f t="shared" si="335"/>
        <v/>
      </c>
      <c r="P2256" s="16" t="str">
        <f t="shared" si="335"/>
        <v/>
      </c>
      <c r="Q2256" s="16" t="str">
        <f t="shared" si="335"/>
        <v/>
      </c>
      <c r="R2256" s="5" t="str">
        <f t="shared" si="334"/>
        <v/>
      </c>
      <c r="S2256" s="5" t="str">
        <f t="shared" si="338"/>
        <v/>
      </c>
      <c r="T2256" s="5" t="str">
        <f t="shared" si="340"/>
        <v/>
      </c>
      <c r="U2256" s="5" t="str">
        <f t="shared" si="340"/>
        <v/>
      </c>
    </row>
    <row r="2257" spans="7:21" x14ac:dyDescent="0.2">
      <c r="G2257" s="8"/>
      <c r="H2257" s="5"/>
      <c r="J2257" s="10" t="str">
        <f t="shared" si="336"/>
        <v/>
      </c>
      <c r="K2257" s="10" t="str">
        <f t="shared" si="337"/>
        <v/>
      </c>
      <c r="L2257" s="11" t="str">
        <f t="shared" si="339"/>
        <v/>
      </c>
      <c r="M2257" s="9" t="str">
        <f>IF(G2257&lt;&gt;"",J2257/MAX(J$3:J2257)-1,"")</f>
        <v/>
      </c>
      <c r="N2257" s="9" t="str">
        <f>IF(G2257&lt;&gt;"",K2257/MAX(K$3:K2257)-1,"")</f>
        <v/>
      </c>
      <c r="O2257" s="16" t="str">
        <f t="shared" si="335"/>
        <v/>
      </c>
      <c r="P2257" s="16" t="str">
        <f t="shared" si="335"/>
        <v/>
      </c>
      <c r="Q2257" s="16" t="str">
        <f t="shared" si="335"/>
        <v/>
      </c>
      <c r="R2257" s="5" t="str">
        <f t="shared" si="334"/>
        <v/>
      </c>
      <c r="S2257" s="5" t="str">
        <f t="shared" si="338"/>
        <v/>
      </c>
      <c r="T2257" s="5" t="str">
        <f t="shared" si="340"/>
        <v/>
      </c>
      <c r="U2257" s="5" t="str">
        <f t="shared" si="340"/>
        <v/>
      </c>
    </row>
    <row r="2258" spans="7:21" x14ac:dyDescent="0.2">
      <c r="G2258" s="8"/>
      <c r="H2258" s="5"/>
      <c r="J2258" s="10" t="str">
        <f t="shared" si="336"/>
        <v/>
      </c>
      <c r="K2258" s="10" t="str">
        <f t="shared" si="337"/>
        <v/>
      </c>
      <c r="L2258" s="11" t="str">
        <f t="shared" si="339"/>
        <v/>
      </c>
      <c r="M2258" s="9" t="str">
        <f>IF(G2258&lt;&gt;"",J2258/MAX(J$3:J2258)-1,"")</f>
        <v/>
      </c>
      <c r="N2258" s="9" t="str">
        <f>IF(G2258&lt;&gt;"",K2258/MAX(K$3:K2258)-1,"")</f>
        <v/>
      </c>
      <c r="O2258" s="16" t="str">
        <f t="shared" si="335"/>
        <v/>
      </c>
      <c r="P2258" s="16" t="str">
        <f t="shared" si="335"/>
        <v/>
      </c>
      <c r="Q2258" s="16" t="str">
        <f t="shared" si="335"/>
        <v/>
      </c>
      <c r="R2258" s="5" t="str">
        <f t="shared" si="334"/>
        <v/>
      </c>
      <c r="S2258" s="5" t="str">
        <f t="shared" si="338"/>
        <v/>
      </c>
      <c r="T2258" s="5" t="str">
        <f t="shared" si="340"/>
        <v/>
      </c>
      <c r="U2258" s="5" t="str">
        <f t="shared" si="340"/>
        <v/>
      </c>
    </row>
    <row r="2259" spans="7:21" x14ac:dyDescent="0.2">
      <c r="G2259" s="8"/>
      <c r="H2259" s="5"/>
      <c r="J2259" s="10" t="str">
        <f t="shared" si="336"/>
        <v/>
      </c>
      <c r="K2259" s="10" t="str">
        <f t="shared" si="337"/>
        <v/>
      </c>
      <c r="L2259" s="11" t="str">
        <f t="shared" si="339"/>
        <v/>
      </c>
      <c r="M2259" s="9" t="str">
        <f>IF(G2259&lt;&gt;"",J2259/MAX(J$3:J2259)-1,"")</f>
        <v/>
      </c>
      <c r="N2259" s="9" t="str">
        <f>IF(G2259&lt;&gt;"",K2259/MAX(K$3:K2259)-1,"")</f>
        <v/>
      </c>
      <c r="O2259" s="16" t="str">
        <f t="shared" si="335"/>
        <v/>
      </c>
      <c r="P2259" s="16" t="str">
        <f t="shared" si="335"/>
        <v/>
      </c>
      <c r="Q2259" s="16" t="str">
        <f t="shared" si="335"/>
        <v/>
      </c>
      <c r="R2259" s="5" t="str">
        <f t="shared" si="334"/>
        <v/>
      </c>
      <c r="S2259" s="5" t="str">
        <f t="shared" si="338"/>
        <v/>
      </c>
      <c r="T2259" s="5" t="str">
        <f t="shared" si="340"/>
        <v/>
      </c>
      <c r="U2259" s="5" t="str">
        <f t="shared" si="340"/>
        <v/>
      </c>
    </row>
    <row r="2260" spans="7:21" x14ac:dyDescent="0.2">
      <c r="G2260" s="8"/>
      <c r="H2260" s="5"/>
      <c r="J2260" s="10" t="str">
        <f t="shared" si="336"/>
        <v/>
      </c>
      <c r="K2260" s="10" t="str">
        <f t="shared" si="337"/>
        <v/>
      </c>
      <c r="L2260" s="11" t="str">
        <f t="shared" si="339"/>
        <v/>
      </c>
      <c r="M2260" s="9" t="str">
        <f>IF(G2260&lt;&gt;"",J2260/MAX(J$3:J2260)-1,"")</f>
        <v/>
      </c>
      <c r="N2260" s="9" t="str">
        <f>IF(G2260&lt;&gt;"",K2260/MAX(K$3:K2260)-1,"")</f>
        <v/>
      </c>
      <c r="O2260" s="16" t="str">
        <f t="shared" si="335"/>
        <v/>
      </c>
      <c r="P2260" s="16" t="str">
        <f t="shared" si="335"/>
        <v/>
      </c>
      <c r="Q2260" s="16" t="str">
        <f t="shared" si="335"/>
        <v/>
      </c>
      <c r="R2260" s="5" t="str">
        <f t="shared" si="334"/>
        <v/>
      </c>
      <c r="S2260" s="5" t="str">
        <f t="shared" si="338"/>
        <v/>
      </c>
      <c r="T2260" s="5" t="str">
        <f t="shared" si="340"/>
        <v/>
      </c>
      <c r="U2260" s="5" t="str">
        <f t="shared" si="340"/>
        <v/>
      </c>
    </row>
    <row r="2261" spans="7:21" x14ac:dyDescent="0.2">
      <c r="G2261" s="8"/>
      <c r="H2261" s="5"/>
      <c r="J2261" s="10" t="str">
        <f t="shared" si="336"/>
        <v/>
      </c>
      <c r="K2261" s="10" t="str">
        <f t="shared" si="337"/>
        <v/>
      </c>
      <c r="L2261" s="11" t="str">
        <f t="shared" si="339"/>
        <v/>
      </c>
      <c r="M2261" s="9" t="str">
        <f>IF(G2261&lt;&gt;"",J2261/MAX(J$3:J2261)-1,"")</f>
        <v/>
      </c>
      <c r="N2261" s="9" t="str">
        <f>IF(G2261&lt;&gt;"",K2261/MAX(K$3:K2261)-1,"")</f>
        <v/>
      </c>
      <c r="O2261" s="16" t="str">
        <f t="shared" si="335"/>
        <v/>
      </c>
      <c r="P2261" s="16" t="str">
        <f t="shared" si="335"/>
        <v/>
      </c>
      <c r="Q2261" s="16" t="str">
        <f t="shared" si="335"/>
        <v/>
      </c>
      <c r="R2261" s="5" t="str">
        <f t="shared" si="334"/>
        <v/>
      </c>
      <c r="S2261" s="5" t="str">
        <f t="shared" si="338"/>
        <v/>
      </c>
      <c r="T2261" s="5" t="str">
        <f t="shared" si="340"/>
        <v/>
      </c>
      <c r="U2261" s="5" t="str">
        <f t="shared" si="340"/>
        <v/>
      </c>
    </row>
    <row r="2262" spans="7:21" x14ac:dyDescent="0.2">
      <c r="G2262" s="8"/>
      <c r="H2262" s="5"/>
      <c r="J2262" s="10" t="str">
        <f t="shared" si="336"/>
        <v/>
      </c>
      <c r="K2262" s="10" t="str">
        <f t="shared" si="337"/>
        <v/>
      </c>
      <c r="L2262" s="11" t="str">
        <f t="shared" si="339"/>
        <v/>
      </c>
      <c r="M2262" s="9" t="str">
        <f>IF(G2262&lt;&gt;"",J2262/MAX(J$3:J2262)-1,"")</f>
        <v/>
      </c>
      <c r="N2262" s="9" t="str">
        <f>IF(G2262&lt;&gt;"",K2262/MAX(K$3:K2262)-1,"")</f>
        <v/>
      </c>
      <c r="O2262" s="16" t="str">
        <f t="shared" si="335"/>
        <v/>
      </c>
      <c r="P2262" s="16" t="str">
        <f t="shared" si="335"/>
        <v/>
      </c>
      <c r="Q2262" s="16" t="str">
        <f t="shared" si="335"/>
        <v/>
      </c>
      <c r="R2262" s="5" t="str">
        <f t="shared" si="334"/>
        <v/>
      </c>
      <c r="S2262" s="5" t="str">
        <f t="shared" si="338"/>
        <v/>
      </c>
      <c r="T2262" s="5" t="str">
        <f t="shared" si="340"/>
        <v/>
      </c>
      <c r="U2262" s="5" t="str">
        <f t="shared" si="340"/>
        <v/>
      </c>
    </row>
    <row r="2263" spans="7:21" x14ac:dyDescent="0.2">
      <c r="G2263" s="8"/>
      <c r="H2263" s="5"/>
      <c r="J2263" s="10" t="str">
        <f t="shared" si="336"/>
        <v/>
      </c>
      <c r="K2263" s="10" t="str">
        <f t="shared" si="337"/>
        <v/>
      </c>
      <c r="L2263" s="11" t="str">
        <f t="shared" si="339"/>
        <v/>
      </c>
      <c r="M2263" s="9" t="str">
        <f>IF(G2263&lt;&gt;"",J2263/MAX(J$3:J2263)-1,"")</f>
        <v/>
      </c>
      <c r="N2263" s="9" t="str">
        <f>IF(G2263&lt;&gt;"",K2263/MAX(K$3:K2263)-1,"")</f>
        <v/>
      </c>
      <c r="O2263" s="16" t="str">
        <f t="shared" si="335"/>
        <v/>
      </c>
      <c r="P2263" s="16" t="str">
        <f t="shared" si="335"/>
        <v/>
      </c>
      <c r="Q2263" s="16" t="str">
        <f t="shared" si="335"/>
        <v/>
      </c>
      <c r="R2263" s="5" t="str">
        <f t="shared" si="334"/>
        <v/>
      </c>
      <c r="S2263" s="5" t="str">
        <f t="shared" si="338"/>
        <v/>
      </c>
      <c r="T2263" s="5" t="str">
        <f t="shared" si="340"/>
        <v/>
      </c>
      <c r="U2263" s="5" t="str">
        <f t="shared" si="340"/>
        <v/>
      </c>
    </row>
    <row r="2264" spans="7:21" x14ac:dyDescent="0.2">
      <c r="G2264" s="8"/>
      <c r="H2264" s="5"/>
      <c r="J2264" s="10" t="str">
        <f t="shared" si="336"/>
        <v/>
      </c>
      <c r="K2264" s="10" t="str">
        <f t="shared" si="337"/>
        <v/>
      </c>
      <c r="L2264" s="11" t="str">
        <f t="shared" si="339"/>
        <v/>
      </c>
      <c r="M2264" s="9" t="str">
        <f>IF(G2264&lt;&gt;"",J2264/MAX(J$3:J2264)-1,"")</f>
        <v/>
      </c>
      <c r="N2264" s="9" t="str">
        <f>IF(G2264&lt;&gt;"",K2264/MAX(K$3:K2264)-1,"")</f>
        <v/>
      </c>
      <c r="O2264" s="16" t="str">
        <f t="shared" si="335"/>
        <v/>
      </c>
      <c r="P2264" s="16" t="str">
        <f t="shared" si="335"/>
        <v/>
      </c>
      <c r="Q2264" s="16" t="str">
        <f t="shared" si="335"/>
        <v/>
      </c>
      <c r="R2264" s="5" t="str">
        <f t="shared" si="334"/>
        <v/>
      </c>
      <c r="S2264" s="5" t="str">
        <f t="shared" si="338"/>
        <v/>
      </c>
      <c r="T2264" s="5" t="str">
        <f t="shared" ref="T2264:U2279" si="341">IF($G2264&lt;&gt;"",_xlfn.STDEV.S(O2020:O2264),"")</f>
        <v/>
      </c>
      <c r="U2264" s="5" t="str">
        <f t="shared" si="341"/>
        <v/>
      </c>
    </row>
    <row r="2265" spans="7:21" x14ac:dyDescent="0.2">
      <c r="G2265" s="8"/>
      <c r="H2265" s="5"/>
      <c r="J2265" s="10" t="str">
        <f t="shared" si="336"/>
        <v/>
      </c>
      <c r="K2265" s="10" t="str">
        <f t="shared" si="337"/>
        <v/>
      </c>
      <c r="L2265" s="11" t="str">
        <f t="shared" si="339"/>
        <v/>
      </c>
      <c r="M2265" s="9" t="str">
        <f>IF(G2265&lt;&gt;"",J2265/MAX(J$3:J2265)-1,"")</f>
        <v/>
      </c>
      <c r="N2265" s="9" t="str">
        <f>IF(G2265&lt;&gt;"",K2265/MAX(K$3:K2265)-1,"")</f>
        <v/>
      </c>
      <c r="O2265" s="16" t="str">
        <f t="shared" si="335"/>
        <v/>
      </c>
      <c r="P2265" s="16" t="str">
        <f t="shared" si="335"/>
        <v/>
      </c>
      <c r="Q2265" s="16" t="str">
        <f t="shared" si="335"/>
        <v/>
      </c>
      <c r="R2265" s="5" t="str">
        <f t="shared" si="334"/>
        <v/>
      </c>
      <c r="S2265" s="5" t="str">
        <f t="shared" si="338"/>
        <v/>
      </c>
      <c r="T2265" s="5" t="str">
        <f t="shared" si="341"/>
        <v/>
      </c>
      <c r="U2265" s="5" t="str">
        <f t="shared" si="341"/>
        <v/>
      </c>
    </row>
    <row r="2266" spans="7:21" x14ac:dyDescent="0.2">
      <c r="G2266" s="8"/>
      <c r="H2266" s="5"/>
      <c r="J2266" s="10" t="str">
        <f t="shared" si="336"/>
        <v/>
      </c>
      <c r="K2266" s="10" t="str">
        <f t="shared" si="337"/>
        <v/>
      </c>
      <c r="L2266" s="11" t="str">
        <f t="shared" si="339"/>
        <v/>
      </c>
      <c r="M2266" s="9" t="str">
        <f>IF(G2266&lt;&gt;"",J2266/MAX(J$3:J2266)-1,"")</f>
        <v/>
      </c>
      <c r="N2266" s="9" t="str">
        <f>IF(G2266&lt;&gt;"",K2266/MAX(K$3:K2266)-1,"")</f>
        <v/>
      </c>
      <c r="O2266" s="16" t="str">
        <f t="shared" si="335"/>
        <v/>
      </c>
      <c r="P2266" s="16" t="str">
        <f t="shared" si="335"/>
        <v/>
      </c>
      <c r="Q2266" s="16" t="str">
        <f t="shared" si="335"/>
        <v/>
      </c>
      <c r="R2266" s="5" t="str">
        <f t="shared" si="334"/>
        <v/>
      </c>
      <c r="S2266" s="5" t="str">
        <f t="shared" si="338"/>
        <v/>
      </c>
      <c r="T2266" s="5" t="str">
        <f t="shared" si="341"/>
        <v/>
      </c>
      <c r="U2266" s="5" t="str">
        <f t="shared" si="341"/>
        <v/>
      </c>
    </row>
    <row r="2267" spans="7:21" x14ac:dyDescent="0.2">
      <c r="G2267" s="8"/>
      <c r="H2267" s="5"/>
      <c r="J2267" s="10" t="str">
        <f t="shared" si="336"/>
        <v/>
      </c>
      <c r="K2267" s="10" t="str">
        <f t="shared" si="337"/>
        <v/>
      </c>
      <c r="L2267" s="11" t="str">
        <f t="shared" si="339"/>
        <v/>
      </c>
      <c r="M2267" s="9" t="str">
        <f>IF(G2267&lt;&gt;"",J2267/MAX(J$3:J2267)-1,"")</f>
        <v/>
      </c>
      <c r="N2267" s="9" t="str">
        <f>IF(G2267&lt;&gt;"",K2267/MAX(K$3:K2267)-1,"")</f>
        <v/>
      </c>
      <c r="O2267" s="16" t="str">
        <f t="shared" si="335"/>
        <v/>
      </c>
      <c r="P2267" s="16" t="str">
        <f t="shared" si="335"/>
        <v/>
      </c>
      <c r="Q2267" s="16" t="str">
        <f t="shared" si="335"/>
        <v/>
      </c>
      <c r="R2267" s="5" t="str">
        <f t="shared" si="334"/>
        <v/>
      </c>
      <c r="S2267" s="5" t="str">
        <f t="shared" si="338"/>
        <v/>
      </c>
      <c r="T2267" s="5" t="str">
        <f t="shared" si="341"/>
        <v/>
      </c>
      <c r="U2267" s="5" t="str">
        <f t="shared" si="341"/>
        <v/>
      </c>
    </row>
    <row r="2268" spans="7:21" x14ac:dyDescent="0.2">
      <c r="G2268" s="8"/>
      <c r="H2268" s="5"/>
      <c r="J2268" s="10" t="str">
        <f t="shared" si="336"/>
        <v/>
      </c>
      <c r="K2268" s="10" t="str">
        <f t="shared" si="337"/>
        <v/>
      </c>
      <c r="L2268" s="11" t="str">
        <f t="shared" si="339"/>
        <v/>
      </c>
      <c r="M2268" s="9" t="str">
        <f>IF(G2268&lt;&gt;"",J2268/MAX(J$3:J2268)-1,"")</f>
        <v/>
      </c>
      <c r="N2268" s="9" t="str">
        <f>IF(G2268&lt;&gt;"",K2268/MAX(K$3:K2268)-1,"")</f>
        <v/>
      </c>
      <c r="O2268" s="16" t="str">
        <f t="shared" si="335"/>
        <v/>
      </c>
      <c r="P2268" s="16" t="str">
        <f t="shared" si="335"/>
        <v/>
      </c>
      <c r="Q2268" s="16" t="str">
        <f t="shared" si="335"/>
        <v/>
      </c>
      <c r="R2268" s="5" t="str">
        <f t="shared" si="334"/>
        <v/>
      </c>
      <c r="S2268" s="5" t="str">
        <f t="shared" si="338"/>
        <v/>
      </c>
      <c r="T2268" s="5" t="str">
        <f t="shared" si="341"/>
        <v/>
      </c>
      <c r="U2268" s="5" t="str">
        <f t="shared" si="341"/>
        <v/>
      </c>
    </row>
    <row r="2269" spans="7:21" x14ac:dyDescent="0.2">
      <c r="G2269" s="8"/>
      <c r="H2269" s="5"/>
      <c r="J2269" s="10" t="str">
        <f t="shared" si="336"/>
        <v/>
      </c>
      <c r="K2269" s="10" t="str">
        <f t="shared" si="337"/>
        <v/>
      </c>
      <c r="L2269" s="11" t="str">
        <f t="shared" si="339"/>
        <v/>
      </c>
      <c r="M2269" s="9" t="str">
        <f>IF(G2269&lt;&gt;"",J2269/MAX(J$3:J2269)-1,"")</f>
        <v/>
      </c>
      <c r="N2269" s="9" t="str">
        <f>IF(G2269&lt;&gt;"",K2269/MAX(K$3:K2269)-1,"")</f>
        <v/>
      </c>
      <c r="O2269" s="16" t="str">
        <f t="shared" si="335"/>
        <v/>
      </c>
      <c r="P2269" s="16" t="str">
        <f t="shared" si="335"/>
        <v/>
      </c>
      <c r="Q2269" s="16" t="str">
        <f t="shared" si="335"/>
        <v/>
      </c>
      <c r="R2269" s="5" t="str">
        <f t="shared" si="334"/>
        <v/>
      </c>
      <c r="S2269" s="5" t="str">
        <f t="shared" si="338"/>
        <v/>
      </c>
      <c r="T2269" s="5" t="str">
        <f t="shared" si="341"/>
        <v/>
      </c>
      <c r="U2269" s="5" t="str">
        <f t="shared" si="341"/>
        <v/>
      </c>
    </row>
    <row r="2270" spans="7:21" x14ac:dyDescent="0.2">
      <c r="G2270" s="8"/>
      <c r="H2270" s="5"/>
      <c r="J2270" s="10" t="str">
        <f t="shared" si="336"/>
        <v/>
      </c>
      <c r="K2270" s="10" t="str">
        <f t="shared" si="337"/>
        <v/>
      </c>
      <c r="L2270" s="11" t="str">
        <f t="shared" si="339"/>
        <v/>
      </c>
      <c r="M2270" s="9" t="str">
        <f>IF(G2270&lt;&gt;"",J2270/MAX(J$3:J2270)-1,"")</f>
        <v/>
      </c>
      <c r="N2270" s="9" t="str">
        <f>IF(G2270&lt;&gt;"",K2270/MAX(K$3:K2270)-1,"")</f>
        <v/>
      </c>
      <c r="O2270" s="16" t="str">
        <f t="shared" si="335"/>
        <v/>
      </c>
      <c r="P2270" s="16" t="str">
        <f t="shared" si="335"/>
        <v/>
      </c>
      <c r="Q2270" s="16" t="str">
        <f t="shared" si="335"/>
        <v/>
      </c>
      <c r="R2270" s="5" t="str">
        <f t="shared" si="334"/>
        <v/>
      </c>
      <c r="S2270" s="5" t="str">
        <f t="shared" si="338"/>
        <v/>
      </c>
      <c r="T2270" s="5" t="str">
        <f t="shared" si="341"/>
        <v/>
      </c>
      <c r="U2270" s="5" t="str">
        <f t="shared" si="341"/>
        <v/>
      </c>
    </row>
    <row r="2271" spans="7:21" x14ac:dyDescent="0.2">
      <c r="G2271" s="8"/>
      <c r="H2271" s="5"/>
      <c r="J2271" s="10" t="str">
        <f t="shared" si="336"/>
        <v/>
      </c>
      <c r="K2271" s="10" t="str">
        <f t="shared" si="337"/>
        <v/>
      </c>
      <c r="L2271" s="11" t="str">
        <f t="shared" si="339"/>
        <v/>
      </c>
      <c r="M2271" s="9" t="str">
        <f>IF(G2271&lt;&gt;"",J2271/MAX(J$3:J2271)-1,"")</f>
        <v/>
      </c>
      <c r="N2271" s="9" t="str">
        <f>IF(G2271&lt;&gt;"",K2271/MAX(K$3:K2271)-1,"")</f>
        <v/>
      </c>
      <c r="O2271" s="16" t="str">
        <f t="shared" si="335"/>
        <v/>
      </c>
      <c r="P2271" s="16" t="str">
        <f t="shared" si="335"/>
        <v/>
      </c>
      <c r="Q2271" s="16" t="str">
        <f t="shared" si="335"/>
        <v/>
      </c>
      <c r="R2271" s="5" t="str">
        <f t="shared" si="334"/>
        <v/>
      </c>
      <c r="S2271" s="5" t="str">
        <f t="shared" si="338"/>
        <v/>
      </c>
      <c r="T2271" s="5" t="str">
        <f t="shared" si="341"/>
        <v/>
      </c>
      <c r="U2271" s="5" t="str">
        <f t="shared" si="341"/>
        <v/>
      </c>
    </row>
    <row r="2272" spans="7:21" x14ac:dyDescent="0.2">
      <c r="G2272" s="8"/>
      <c r="H2272" s="5"/>
      <c r="J2272" s="10" t="str">
        <f t="shared" si="336"/>
        <v/>
      </c>
      <c r="K2272" s="10" t="str">
        <f t="shared" si="337"/>
        <v/>
      </c>
      <c r="L2272" s="11" t="str">
        <f t="shared" si="339"/>
        <v/>
      </c>
      <c r="M2272" s="9" t="str">
        <f>IF(G2272&lt;&gt;"",J2272/MAX(J$3:J2272)-1,"")</f>
        <v/>
      </c>
      <c r="N2272" s="9" t="str">
        <f>IF(G2272&lt;&gt;"",K2272/MAX(K$3:K2272)-1,"")</f>
        <v/>
      </c>
      <c r="O2272" s="16" t="str">
        <f t="shared" si="335"/>
        <v/>
      </c>
      <c r="P2272" s="16" t="str">
        <f t="shared" si="335"/>
        <v/>
      </c>
      <c r="Q2272" s="16" t="str">
        <f t="shared" si="335"/>
        <v/>
      </c>
      <c r="R2272" s="5" t="str">
        <f t="shared" si="334"/>
        <v/>
      </c>
      <c r="S2272" s="5" t="str">
        <f t="shared" si="338"/>
        <v/>
      </c>
      <c r="T2272" s="5" t="str">
        <f t="shared" si="341"/>
        <v/>
      </c>
      <c r="U2272" s="5" t="str">
        <f t="shared" si="341"/>
        <v/>
      </c>
    </row>
    <row r="2273" spans="7:21" x14ac:dyDescent="0.2">
      <c r="G2273" s="8"/>
      <c r="H2273" s="5"/>
      <c r="J2273" s="10" t="str">
        <f t="shared" si="336"/>
        <v/>
      </c>
      <c r="K2273" s="10" t="str">
        <f t="shared" si="337"/>
        <v/>
      </c>
      <c r="L2273" s="11" t="str">
        <f t="shared" si="339"/>
        <v/>
      </c>
      <c r="M2273" s="9" t="str">
        <f>IF(G2273&lt;&gt;"",J2273/MAX(J$3:J2273)-1,"")</f>
        <v/>
      </c>
      <c r="N2273" s="9" t="str">
        <f>IF(G2273&lt;&gt;"",K2273/MAX(K$3:K2273)-1,"")</f>
        <v/>
      </c>
      <c r="O2273" s="16" t="str">
        <f t="shared" si="335"/>
        <v/>
      </c>
      <c r="P2273" s="16" t="str">
        <f t="shared" si="335"/>
        <v/>
      </c>
      <c r="Q2273" s="16" t="str">
        <f t="shared" si="335"/>
        <v/>
      </c>
      <c r="R2273" s="5" t="str">
        <f t="shared" si="334"/>
        <v/>
      </c>
      <c r="S2273" s="5" t="str">
        <f t="shared" si="338"/>
        <v/>
      </c>
      <c r="T2273" s="5" t="str">
        <f t="shared" si="341"/>
        <v/>
      </c>
      <c r="U2273" s="5" t="str">
        <f t="shared" si="341"/>
        <v/>
      </c>
    </row>
    <row r="2274" spans="7:21" x14ac:dyDescent="0.2">
      <c r="G2274" s="8"/>
      <c r="H2274" s="5"/>
      <c r="J2274" s="10" t="str">
        <f t="shared" si="336"/>
        <v/>
      </c>
      <c r="K2274" s="10" t="str">
        <f t="shared" si="337"/>
        <v/>
      </c>
      <c r="L2274" s="11" t="str">
        <f t="shared" si="339"/>
        <v/>
      </c>
      <c r="M2274" s="9" t="str">
        <f>IF(G2274&lt;&gt;"",J2274/MAX(J$3:J2274)-1,"")</f>
        <v/>
      </c>
      <c r="N2274" s="9" t="str">
        <f>IF(G2274&lt;&gt;"",K2274/MAX(K$3:K2274)-1,"")</f>
        <v/>
      </c>
      <c r="O2274" s="16" t="str">
        <f t="shared" si="335"/>
        <v/>
      </c>
      <c r="P2274" s="16" t="str">
        <f t="shared" si="335"/>
        <v/>
      </c>
      <c r="Q2274" s="16" t="str">
        <f t="shared" si="335"/>
        <v/>
      </c>
      <c r="R2274" s="5" t="str">
        <f t="shared" si="334"/>
        <v/>
      </c>
      <c r="S2274" s="5" t="str">
        <f t="shared" si="338"/>
        <v/>
      </c>
      <c r="T2274" s="5" t="str">
        <f t="shared" si="341"/>
        <v/>
      </c>
      <c r="U2274" s="5" t="str">
        <f t="shared" si="341"/>
        <v/>
      </c>
    </row>
    <row r="2275" spans="7:21" x14ac:dyDescent="0.2">
      <c r="G2275" s="8"/>
      <c r="H2275" s="5"/>
      <c r="J2275" s="10" t="str">
        <f t="shared" si="336"/>
        <v/>
      </c>
      <c r="K2275" s="10" t="str">
        <f t="shared" si="337"/>
        <v/>
      </c>
      <c r="L2275" s="11" t="str">
        <f t="shared" si="339"/>
        <v/>
      </c>
      <c r="M2275" s="9" t="str">
        <f>IF(G2275&lt;&gt;"",J2275/MAX(J$3:J2275)-1,"")</f>
        <v/>
      </c>
      <c r="N2275" s="9" t="str">
        <f>IF(G2275&lt;&gt;"",K2275/MAX(K$3:K2275)-1,"")</f>
        <v/>
      </c>
      <c r="O2275" s="16" t="str">
        <f t="shared" si="335"/>
        <v/>
      </c>
      <c r="P2275" s="16" t="str">
        <f t="shared" si="335"/>
        <v/>
      </c>
      <c r="Q2275" s="16" t="str">
        <f t="shared" si="335"/>
        <v/>
      </c>
      <c r="R2275" s="5" t="str">
        <f t="shared" si="334"/>
        <v/>
      </c>
      <c r="S2275" s="5" t="str">
        <f t="shared" si="338"/>
        <v/>
      </c>
      <c r="T2275" s="5" t="str">
        <f t="shared" si="341"/>
        <v/>
      </c>
      <c r="U2275" s="5" t="str">
        <f t="shared" si="341"/>
        <v/>
      </c>
    </row>
    <row r="2276" spans="7:21" x14ac:dyDescent="0.2">
      <c r="G2276" s="8"/>
      <c r="H2276" s="5"/>
      <c r="J2276" s="10" t="str">
        <f t="shared" si="336"/>
        <v/>
      </c>
      <c r="K2276" s="10" t="str">
        <f t="shared" si="337"/>
        <v/>
      </c>
      <c r="L2276" s="11" t="str">
        <f t="shared" si="339"/>
        <v/>
      </c>
      <c r="M2276" s="9" t="str">
        <f>IF(G2276&lt;&gt;"",J2276/MAX(J$3:J2276)-1,"")</f>
        <v/>
      </c>
      <c r="N2276" s="9" t="str">
        <f>IF(G2276&lt;&gt;"",K2276/MAX(K$3:K2276)-1,"")</f>
        <v/>
      </c>
      <c r="O2276" s="16" t="str">
        <f t="shared" si="335"/>
        <v/>
      </c>
      <c r="P2276" s="16" t="str">
        <f t="shared" si="335"/>
        <v/>
      </c>
      <c r="Q2276" s="16" t="str">
        <f t="shared" si="335"/>
        <v/>
      </c>
      <c r="R2276" s="5" t="str">
        <f t="shared" si="334"/>
        <v/>
      </c>
      <c r="S2276" s="5" t="str">
        <f t="shared" si="338"/>
        <v/>
      </c>
      <c r="T2276" s="5" t="str">
        <f t="shared" si="341"/>
        <v/>
      </c>
      <c r="U2276" s="5" t="str">
        <f t="shared" si="341"/>
        <v/>
      </c>
    </row>
    <row r="2277" spans="7:21" x14ac:dyDescent="0.2">
      <c r="G2277" s="8"/>
      <c r="H2277" s="5"/>
      <c r="J2277" s="10" t="str">
        <f t="shared" si="336"/>
        <v/>
      </c>
      <c r="K2277" s="10" t="str">
        <f t="shared" si="337"/>
        <v/>
      </c>
      <c r="L2277" s="11" t="str">
        <f t="shared" si="339"/>
        <v/>
      </c>
      <c r="M2277" s="9" t="str">
        <f>IF(G2277&lt;&gt;"",J2277/MAX(J$3:J2277)-1,"")</f>
        <v/>
      </c>
      <c r="N2277" s="9" t="str">
        <f>IF(G2277&lt;&gt;"",K2277/MAX(K$3:K2277)-1,"")</f>
        <v/>
      </c>
      <c r="O2277" s="16" t="str">
        <f t="shared" si="335"/>
        <v/>
      </c>
      <c r="P2277" s="16" t="str">
        <f t="shared" si="335"/>
        <v/>
      </c>
      <c r="Q2277" s="16" t="str">
        <f t="shared" si="335"/>
        <v/>
      </c>
      <c r="R2277" s="5" t="str">
        <f t="shared" si="334"/>
        <v/>
      </c>
      <c r="S2277" s="5" t="str">
        <f t="shared" si="338"/>
        <v/>
      </c>
      <c r="T2277" s="5" t="str">
        <f t="shared" si="341"/>
        <v/>
      </c>
      <c r="U2277" s="5" t="str">
        <f t="shared" si="341"/>
        <v/>
      </c>
    </row>
    <row r="2278" spans="7:21" x14ac:dyDescent="0.2">
      <c r="G2278" s="8"/>
      <c r="H2278" s="5"/>
      <c r="J2278" s="10" t="str">
        <f t="shared" si="336"/>
        <v/>
      </c>
      <c r="K2278" s="10" t="str">
        <f t="shared" si="337"/>
        <v/>
      </c>
      <c r="L2278" s="11" t="str">
        <f t="shared" si="339"/>
        <v/>
      </c>
      <c r="M2278" s="9" t="str">
        <f>IF(G2278&lt;&gt;"",J2278/MAX(J$3:J2278)-1,"")</f>
        <v/>
      </c>
      <c r="N2278" s="9" t="str">
        <f>IF(G2278&lt;&gt;"",K2278/MAX(K$3:K2278)-1,"")</f>
        <v/>
      </c>
      <c r="O2278" s="16" t="str">
        <f t="shared" si="335"/>
        <v/>
      </c>
      <c r="P2278" s="16" t="str">
        <f t="shared" si="335"/>
        <v/>
      </c>
      <c r="Q2278" s="16" t="str">
        <f t="shared" si="335"/>
        <v/>
      </c>
      <c r="R2278" s="5" t="str">
        <f t="shared" si="334"/>
        <v/>
      </c>
      <c r="S2278" s="5" t="str">
        <f t="shared" si="338"/>
        <v/>
      </c>
      <c r="T2278" s="5" t="str">
        <f t="shared" si="341"/>
        <v/>
      </c>
      <c r="U2278" s="5" t="str">
        <f t="shared" si="341"/>
        <v/>
      </c>
    </row>
    <row r="2279" spans="7:21" x14ac:dyDescent="0.2">
      <c r="G2279" s="8"/>
      <c r="H2279" s="5"/>
      <c r="J2279" s="10" t="str">
        <f t="shared" si="336"/>
        <v/>
      </c>
      <c r="K2279" s="10" t="str">
        <f t="shared" si="337"/>
        <v/>
      </c>
      <c r="L2279" s="11" t="str">
        <f t="shared" si="339"/>
        <v/>
      </c>
      <c r="M2279" s="9" t="str">
        <f>IF(G2279&lt;&gt;"",J2279/MAX(J$3:J2279)-1,"")</f>
        <v/>
      </c>
      <c r="N2279" s="9" t="str">
        <f>IF(G2279&lt;&gt;"",K2279/MAX(K$3:K2279)-1,"")</f>
        <v/>
      </c>
      <c r="O2279" s="16" t="str">
        <f t="shared" si="335"/>
        <v/>
      </c>
      <c r="P2279" s="16" t="str">
        <f t="shared" si="335"/>
        <v/>
      </c>
      <c r="Q2279" s="16" t="str">
        <f t="shared" si="335"/>
        <v/>
      </c>
      <c r="R2279" s="5" t="str">
        <f t="shared" si="334"/>
        <v/>
      </c>
      <c r="S2279" s="5" t="str">
        <f t="shared" si="338"/>
        <v/>
      </c>
      <c r="T2279" s="5" t="str">
        <f t="shared" si="341"/>
        <v/>
      </c>
      <c r="U2279" s="5" t="str">
        <f t="shared" si="341"/>
        <v/>
      </c>
    </row>
    <row r="2280" spans="7:21" x14ac:dyDescent="0.2">
      <c r="G2280" s="8"/>
      <c r="H2280" s="5"/>
      <c r="J2280" s="10" t="str">
        <f t="shared" si="336"/>
        <v/>
      </c>
      <c r="K2280" s="10" t="str">
        <f t="shared" si="337"/>
        <v/>
      </c>
      <c r="L2280" s="11" t="str">
        <f t="shared" si="339"/>
        <v/>
      </c>
      <c r="M2280" s="9" t="str">
        <f>IF(G2280&lt;&gt;"",J2280/MAX(J$3:J2280)-1,"")</f>
        <v/>
      </c>
      <c r="N2280" s="9" t="str">
        <f>IF(G2280&lt;&gt;"",K2280/MAX(K$3:K2280)-1,"")</f>
        <v/>
      </c>
      <c r="O2280" s="16" t="str">
        <f t="shared" si="335"/>
        <v/>
      </c>
      <c r="P2280" s="16" t="str">
        <f t="shared" si="335"/>
        <v/>
      </c>
      <c r="Q2280" s="16" t="str">
        <f t="shared" si="335"/>
        <v/>
      </c>
      <c r="R2280" s="5" t="str">
        <f t="shared" si="334"/>
        <v/>
      </c>
      <c r="S2280" s="5" t="str">
        <f t="shared" si="338"/>
        <v/>
      </c>
      <c r="T2280" s="5" t="str">
        <f t="shared" ref="T2280:U2295" si="342">IF($G2280&lt;&gt;"",_xlfn.STDEV.S(O2036:O2280),"")</f>
        <v/>
      </c>
      <c r="U2280" s="5" t="str">
        <f t="shared" si="342"/>
        <v/>
      </c>
    </row>
    <row r="2281" spans="7:21" x14ac:dyDescent="0.2">
      <c r="G2281" s="8"/>
      <c r="H2281" s="5"/>
      <c r="J2281" s="10" t="str">
        <f t="shared" si="336"/>
        <v/>
      </c>
      <c r="K2281" s="10" t="str">
        <f t="shared" si="337"/>
        <v/>
      </c>
      <c r="L2281" s="11" t="str">
        <f t="shared" si="339"/>
        <v/>
      </c>
      <c r="M2281" s="9" t="str">
        <f>IF(G2281&lt;&gt;"",J2281/MAX(J$3:J2281)-1,"")</f>
        <v/>
      </c>
      <c r="N2281" s="9" t="str">
        <f>IF(G2281&lt;&gt;"",K2281/MAX(K$3:K2281)-1,"")</f>
        <v/>
      </c>
      <c r="O2281" s="16" t="str">
        <f t="shared" si="335"/>
        <v/>
      </c>
      <c r="P2281" s="16" t="str">
        <f t="shared" si="335"/>
        <v/>
      </c>
      <c r="Q2281" s="16" t="str">
        <f t="shared" si="335"/>
        <v/>
      </c>
      <c r="R2281" s="5" t="str">
        <f t="shared" si="334"/>
        <v/>
      </c>
      <c r="S2281" s="5" t="str">
        <f t="shared" si="338"/>
        <v/>
      </c>
      <c r="T2281" s="5" t="str">
        <f t="shared" si="342"/>
        <v/>
      </c>
      <c r="U2281" s="5" t="str">
        <f t="shared" si="342"/>
        <v/>
      </c>
    </row>
    <row r="2282" spans="7:21" x14ac:dyDescent="0.2">
      <c r="G2282" s="8"/>
      <c r="H2282" s="5"/>
      <c r="J2282" s="10" t="str">
        <f t="shared" si="336"/>
        <v/>
      </c>
      <c r="K2282" s="10" t="str">
        <f t="shared" si="337"/>
        <v/>
      </c>
      <c r="L2282" s="11" t="str">
        <f t="shared" si="339"/>
        <v/>
      </c>
      <c r="M2282" s="9" t="str">
        <f>IF(G2282&lt;&gt;"",J2282/MAX(J$3:J2282)-1,"")</f>
        <v/>
      </c>
      <c r="N2282" s="9" t="str">
        <f>IF(G2282&lt;&gt;"",K2282/MAX(K$3:K2282)-1,"")</f>
        <v/>
      </c>
      <c r="O2282" s="16" t="str">
        <f t="shared" si="335"/>
        <v/>
      </c>
      <c r="P2282" s="16" t="str">
        <f t="shared" si="335"/>
        <v/>
      </c>
      <c r="Q2282" s="16" t="str">
        <f t="shared" si="335"/>
        <v/>
      </c>
      <c r="R2282" s="5" t="str">
        <f t="shared" si="334"/>
        <v/>
      </c>
      <c r="S2282" s="5" t="str">
        <f t="shared" si="338"/>
        <v/>
      </c>
      <c r="T2282" s="5" t="str">
        <f t="shared" si="342"/>
        <v/>
      </c>
      <c r="U2282" s="5" t="str">
        <f t="shared" si="342"/>
        <v/>
      </c>
    </row>
    <row r="2283" spans="7:21" x14ac:dyDescent="0.2">
      <c r="G2283" s="8"/>
      <c r="H2283" s="5"/>
      <c r="J2283" s="10" t="str">
        <f t="shared" si="336"/>
        <v/>
      </c>
      <c r="K2283" s="10" t="str">
        <f t="shared" si="337"/>
        <v/>
      </c>
      <c r="L2283" s="11" t="str">
        <f t="shared" si="339"/>
        <v/>
      </c>
      <c r="M2283" s="9" t="str">
        <f>IF(G2283&lt;&gt;"",J2283/MAX(J$3:J2283)-1,"")</f>
        <v/>
      </c>
      <c r="N2283" s="9" t="str">
        <f>IF(G2283&lt;&gt;"",K2283/MAX(K$3:K2283)-1,"")</f>
        <v/>
      </c>
      <c r="O2283" s="16" t="str">
        <f t="shared" si="335"/>
        <v/>
      </c>
      <c r="P2283" s="16" t="str">
        <f t="shared" si="335"/>
        <v/>
      </c>
      <c r="Q2283" s="16" t="str">
        <f t="shared" si="335"/>
        <v/>
      </c>
      <c r="R2283" s="5" t="str">
        <f t="shared" si="334"/>
        <v/>
      </c>
      <c r="S2283" s="5" t="str">
        <f t="shared" si="338"/>
        <v/>
      </c>
      <c r="T2283" s="5" t="str">
        <f t="shared" si="342"/>
        <v/>
      </c>
      <c r="U2283" s="5" t="str">
        <f t="shared" si="342"/>
        <v/>
      </c>
    </row>
    <row r="2284" spans="7:21" x14ac:dyDescent="0.2">
      <c r="G2284" s="8"/>
      <c r="H2284" s="5"/>
      <c r="J2284" s="10" t="str">
        <f t="shared" si="336"/>
        <v/>
      </c>
      <c r="K2284" s="10" t="str">
        <f t="shared" si="337"/>
        <v/>
      </c>
      <c r="L2284" s="11" t="str">
        <f t="shared" si="339"/>
        <v/>
      </c>
      <c r="M2284" s="9" t="str">
        <f>IF(G2284&lt;&gt;"",J2284/MAX(J$3:J2284)-1,"")</f>
        <v/>
      </c>
      <c r="N2284" s="9" t="str">
        <f>IF(G2284&lt;&gt;"",K2284/MAX(K$3:K2284)-1,"")</f>
        <v/>
      </c>
      <c r="O2284" s="16" t="str">
        <f t="shared" si="335"/>
        <v/>
      </c>
      <c r="P2284" s="16" t="str">
        <f t="shared" si="335"/>
        <v/>
      </c>
      <c r="Q2284" s="16" t="str">
        <f t="shared" si="335"/>
        <v/>
      </c>
      <c r="R2284" s="5" t="str">
        <f t="shared" si="334"/>
        <v/>
      </c>
      <c r="S2284" s="5" t="str">
        <f t="shared" si="338"/>
        <v/>
      </c>
      <c r="T2284" s="5" t="str">
        <f t="shared" si="342"/>
        <v/>
      </c>
      <c r="U2284" s="5" t="str">
        <f t="shared" si="342"/>
        <v/>
      </c>
    </row>
    <row r="2285" spans="7:21" x14ac:dyDescent="0.2">
      <c r="G2285" s="8"/>
      <c r="H2285" s="5"/>
      <c r="J2285" s="10" t="str">
        <f t="shared" si="336"/>
        <v/>
      </c>
      <c r="K2285" s="10" t="str">
        <f t="shared" si="337"/>
        <v/>
      </c>
      <c r="L2285" s="11" t="str">
        <f t="shared" si="339"/>
        <v/>
      </c>
      <c r="M2285" s="9" t="str">
        <f>IF(G2285&lt;&gt;"",J2285/MAX(J$3:J2285)-1,"")</f>
        <v/>
      </c>
      <c r="N2285" s="9" t="str">
        <f>IF(G2285&lt;&gt;"",K2285/MAX(K$3:K2285)-1,"")</f>
        <v/>
      </c>
      <c r="O2285" s="16" t="str">
        <f t="shared" si="335"/>
        <v/>
      </c>
      <c r="P2285" s="16" t="str">
        <f t="shared" si="335"/>
        <v/>
      </c>
      <c r="Q2285" s="16" t="str">
        <f t="shared" si="335"/>
        <v/>
      </c>
      <c r="R2285" s="5" t="str">
        <f t="shared" si="334"/>
        <v/>
      </c>
      <c r="S2285" s="5" t="str">
        <f t="shared" si="338"/>
        <v/>
      </c>
      <c r="T2285" s="5" t="str">
        <f t="shared" si="342"/>
        <v/>
      </c>
      <c r="U2285" s="5" t="str">
        <f t="shared" si="342"/>
        <v/>
      </c>
    </row>
    <row r="2286" spans="7:21" x14ac:dyDescent="0.2">
      <c r="G2286" s="8"/>
      <c r="H2286" s="5"/>
      <c r="J2286" s="10" t="str">
        <f t="shared" si="336"/>
        <v/>
      </c>
      <c r="K2286" s="10" t="str">
        <f t="shared" si="337"/>
        <v/>
      </c>
      <c r="L2286" s="11" t="str">
        <f t="shared" si="339"/>
        <v/>
      </c>
      <c r="M2286" s="9" t="str">
        <f>IF(G2286&lt;&gt;"",J2286/MAX(J$3:J2286)-1,"")</f>
        <v/>
      </c>
      <c r="N2286" s="9" t="str">
        <f>IF(G2286&lt;&gt;"",K2286/MAX(K$3:K2286)-1,"")</f>
        <v/>
      </c>
      <c r="O2286" s="16" t="str">
        <f t="shared" si="335"/>
        <v/>
      </c>
      <c r="P2286" s="16" t="str">
        <f t="shared" si="335"/>
        <v/>
      </c>
      <c r="Q2286" s="16" t="str">
        <f t="shared" si="335"/>
        <v/>
      </c>
      <c r="R2286" s="5" t="str">
        <f t="shared" si="334"/>
        <v/>
      </c>
      <c r="S2286" s="5" t="str">
        <f t="shared" si="338"/>
        <v/>
      </c>
      <c r="T2286" s="5" t="str">
        <f t="shared" si="342"/>
        <v/>
      </c>
      <c r="U2286" s="5" t="str">
        <f t="shared" si="342"/>
        <v/>
      </c>
    </row>
    <row r="2287" spans="7:21" x14ac:dyDescent="0.2">
      <c r="G2287" s="8"/>
      <c r="H2287" s="5"/>
      <c r="J2287" s="10" t="str">
        <f t="shared" si="336"/>
        <v/>
      </c>
      <c r="K2287" s="10" t="str">
        <f t="shared" si="337"/>
        <v/>
      </c>
      <c r="L2287" s="11" t="str">
        <f t="shared" si="339"/>
        <v/>
      </c>
      <c r="M2287" s="9" t="str">
        <f>IF(G2287&lt;&gt;"",J2287/MAX(J$3:J2287)-1,"")</f>
        <v/>
      </c>
      <c r="N2287" s="9" t="str">
        <f>IF(G2287&lt;&gt;"",K2287/MAX(K$3:K2287)-1,"")</f>
        <v/>
      </c>
      <c r="O2287" s="16" t="str">
        <f t="shared" si="335"/>
        <v/>
      </c>
      <c r="P2287" s="16" t="str">
        <f t="shared" si="335"/>
        <v/>
      </c>
      <c r="Q2287" s="16" t="str">
        <f t="shared" si="335"/>
        <v/>
      </c>
      <c r="R2287" s="5" t="str">
        <f t="shared" si="334"/>
        <v/>
      </c>
      <c r="S2287" s="5" t="str">
        <f t="shared" si="338"/>
        <v/>
      </c>
      <c r="T2287" s="5" t="str">
        <f t="shared" si="342"/>
        <v/>
      </c>
      <c r="U2287" s="5" t="str">
        <f t="shared" si="342"/>
        <v/>
      </c>
    </row>
    <row r="2288" spans="7:21" x14ac:dyDescent="0.2">
      <c r="G2288" s="8"/>
      <c r="H2288" s="5"/>
      <c r="J2288" s="10" t="str">
        <f t="shared" si="336"/>
        <v/>
      </c>
      <c r="K2288" s="10" t="str">
        <f t="shared" si="337"/>
        <v/>
      </c>
      <c r="L2288" s="11" t="str">
        <f t="shared" si="339"/>
        <v/>
      </c>
      <c r="M2288" s="9" t="str">
        <f>IF(G2288&lt;&gt;"",J2288/MAX(J$3:J2288)-1,"")</f>
        <v/>
      </c>
      <c r="N2288" s="9" t="str">
        <f>IF(G2288&lt;&gt;"",K2288/MAX(K$3:K2288)-1,"")</f>
        <v/>
      </c>
      <c r="O2288" s="16" t="str">
        <f t="shared" si="335"/>
        <v/>
      </c>
      <c r="P2288" s="16" t="str">
        <f t="shared" si="335"/>
        <v/>
      </c>
      <c r="Q2288" s="16" t="str">
        <f t="shared" si="335"/>
        <v/>
      </c>
      <c r="R2288" s="5" t="str">
        <f t="shared" si="334"/>
        <v/>
      </c>
      <c r="S2288" s="5" t="str">
        <f t="shared" si="338"/>
        <v/>
      </c>
      <c r="T2288" s="5" t="str">
        <f t="shared" si="342"/>
        <v/>
      </c>
      <c r="U2288" s="5" t="str">
        <f t="shared" si="342"/>
        <v/>
      </c>
    </row>
    <row r="2289" spans="7:21" x14ac:dyDescent="0.2">
      <c r="G2289" s="8"/>
      <c r="H2289" s="5"/>
      <c r="J2289" s="10" t="str">
        <f t="shared" si="336"/>
        <v/>
      </c>
      <c r="K2289" s="10" t="str">
        <f t="shared" si="337"/>
        <v/>
      </c>
      <c r="L2289" s="11" t="str">
        <f t="shared" si="339"/>
        <v/>
      </c>
      <c r="M2289" s="9" t="str">
        <f>IF(G2289&lt;&gt;"",J2289/MAX(J$3:J2289)-1,"")</f>
        <v/>
      </c>
      <c r="N2289" s="9" t="str">
        <f>IF(G2289&lt;&gt;"",K2289/MAX(K$3:K2289)-1,"")</f>
        <v/>
      </c>
      <c r="O2289" s="16" t="str">
        <f t="shared" si="335"/>
        <v/>
      </c>
      <c r="P2289" s="16" t="str">
        <f t="shared" si="335"/>
        <v/>
      </c>
      <c r="Q2289" s="16" t="str">
        <f t="shared" si="335"/>
        <v/>
      </c>
      <c r="R2289" s="5" t="str">
        <f t="shared" si="334"/>
        <v/>
      </c>
      <c r="S2289" s="5" t="str">
        <f t="shared" si="338"/>
        <v/>
      </c>
      <c r="T2289" s="5" t="str">
        <f t="shared" si="342"/>
        <v/>
      </c>
      <c r="U2289" s="5" t="str">
        <f t="shared" si="342"/>
        <v/>
      </c>
    </row>
    <row r="2290" spans="7:21" x14ac:dyDescent="0.2">
      <c r="G2290" s="8"/>
      <c r="H2290" s="5"/>
      <c r="J2290" s="10" t="str">
        <f t="shared" si="336"/>
        <v/>
      </c>
      <c r="K2290" s="10" t="str">
        <f t="shared" si="337"/>
        <v/>
      </c>
      <c r="L2290" s="11" t="str">
        <f t="shared" si="339"/>
        <v/>
      </c>
      <c r="M2290" s="9" t="str">
        <f>IF(G2290&lt;&gt;"",J2290/MAX(J$3:J2290)-1,"")</f>
        <v/>
      </c>
      <c r="N2290" s="9" t="str">
        <f>IF(G2290&lt;&gt;"",K2290/MAX(K$3:K2290)-1,"")</f>
        <v/>
      </c>
      <c r="O2290" s="16" t="str">
        <f t="shared" si="335"/>
        <v/>
      </c>
      <c r="P2290" s="16" t="str">
        <f t="shared" si="335"/>
        <v/>
      </c>
      <c r="Q2290" s="16" t="str">
        <f t="shared" si="335"/>
        <v/>
      </c>
      <c r="R2290" s="5" t="str">
        <f t="shared" si="334"/>
        <v/>
      </c>
      <c r="S2290" s="5" t="str">
        <f t="shared" si="338"/>
        <v/>
      </c>
      <c r="T2290" s="5" t="str">
        <f t="shared" si="342"/>
        <v/>
      </c>
      <c r="U2290" s="5" t="str">
        <f t="shared" si="342"/>
        <v/>
      </c>
    </row>
    <row r="2291" spans="7:21" x14ac:dyDescent="0.2">
      <c r="G2291" s="8"/>
      <c r="H2291" s="5"/>
      <c r="J2291" s="10" t="str">
        <f t="shared" si="336"/>
        <v/>
      </c>
      <c r="K2291" s="10" t="str">
        <f t="shared" si="337"/>
        <v/>
      </c>
      <c r="L2291" s="11" t="str">
        <f t="shared" si="339"/>
        <v/>
      </c>
      <c r="M2291" s="9" t="str">
        <f>IF(G2291&lt;&gt;"",J2291/MAX(J$3:J2291)-1,"")</f>
        <v/>
      </c>
      <c r="N2291" s="9" t="str">
        <f>IF(G2291&lt;&gt;"",K2291/MAX(K$3:K2291)-1,"")</f>
        <v/>
      </c>
      <c r="O2291" s="16" t="str">
        <f t="shared" si="335"/>
        <v/>
      </c>
      <c r="P2291" s="16" t="str">
        <f t="shared" si="335"/>
        <v/>
      </c>
      <c r="Q2291" s="16" t="str">
        <f t="shared" si="335"/>
        <v/>
      </c>
      <c r="R2291" s="5" t="str">
        <f t="shared" si="334"/>
        <v/>
      </c>
      <c r="S2291" s="5" t="str">
        <f t="shared" si="338"/>
        <v/>
      </c>
      <c r="T2291" s="5" t="str">
        <f t="shared" si="342"/>
        <v/>
      </c>
      <c r="U2291" s="5" t="str">
        <f t="shared" si="342"/>
        <v/>
      </c>
    </row>
    <row r="2292" spans="7:21" x14ac:dyDescent="0.2">
      <c r="G2292" s="8"/>
      <c r="H2292" s="5"/>
      <c r="J2292" s="10" t="str">
        <f t="shared" si="336"/>
        <v/>
      </c>
      <c r="K2292" s="10" t="str">
        <f t="shared" si="337"/>
        <v/>
      </c>
      <c r="L2292" s="11" t="str">
        <f t="shared" si="339"/>
        <v/>
      </c>
      <c r="M2292" s="9" t="str">
        <f>IF(G2292&lt;&gt;"",J2292/MAX(J$3:J2292)-1,"")</f>
        <v/>
      </c>
      <c r="N2292" s="9" t="str">
        <f>IF(G2292&lt;&gt;"",K2292/MAX(K$3:K2292)-1,"")</f>
        <v/>
      </c>
      <c r="O2292" s="16" t="str">
        <f t="shared" si="335"/>
        <v/>
      </c>
      <c r="P2292" s="16" t="str">
        <f t="shared" si="335"/>
        <v/>
      </c>
      <c r="Q2292" s="16" t="str">
        <f t="shared" si="335"/>
        <v/>
      </c>
      <c r="R2292" s="5" t="str">
        <f t="shared" si="334"/>
        <v/>
      </c>
      <c r="S2292" s="5" t="str">
        <f t="shared" si="338"/>
        <v/>
      </c>
      <c r="T2292" s="5" t="str">
        <f t="shared" si="342"/>
        <v/>
      </c>
      <c r="U2292" s="5" t="str">
        <f t="shared" si="342"/>
        <v/>
      </c>
    </row>
    <row r="2293" spans="7:21" x14ac:dyDescent="0.2">
      <c r="G2293" s="8"/>
      <c r="H2293" s="5"/>
      <c r="J2293" s="10" t="str">
        <f t="shared" si="336"/>
        <v/>
      </c>
      <c r="K2293" s="10" t="str">
        <f t="shared" si="337"/>
        <v/>
      </c>
      <c r="L2293" s="11" t="str">
        <f t="shared" si="339"/>
        <v/>
      </c>
      <c r="M2293" s="9" t="str">
        <f>IF(G2293&lt;&gt;"",J2293/MAX(J$3:J2293)-1,"")</f>
        <v/>
      </c>
      <c r="N2293" s="9" t="str">
        <f>IF(G2293&lt;&gt;"",K2293/MAX(K$3:K2293)-1,"")</f>
        <v/>
      </c>
      <c r="O2293" s="16" t="str">
        <f t="shared" si="335"/>
        <v/>
      </c>
      <c r="P2293" s="16" t="str">
        <f t="shared" si="335"/>
        <v/>
      </c>
      <c r="Q2293" s="16" t="str">
        <f t="shared" si="335"/>
        <v/>
      </c>
      <c r="R2293" s="5" t="str">
        <f t="shared" si="334"/>
        <v/>
      </c>
      <c r="S2293" s="5" t="str">
        <f t="shared" si="338"/>
        <v/>
      </c>
      <c r="T2293" s="5" t="str">
        <f t="shared" si="342"/>
        <v/>
      </c>
      <c r="U2293" s="5" t="str">
        <f t="shared" si="342"/>
        <v/>
      </c>
    </row>
    <row r="2294" spans="7:21" x14ac:dyDescent="0.2">
      <c r="G2294" s="8"/>
      <c r="H2294" s="5"/>
      <c r="J2294" s="10" t="str">
        <f t="shared" si="336"/>
        <v/>
      </c>
      <c r="K2294" s="10" t="str">
        <f t="shared" si="337"/>
        <v/>
      </c>
      <c r="L2294" s="11" t="str">
        <f t="shared" si="339"/>
        <v/>
      </c>
      <c r="M2294" s="9" t="str">
        <f>IF(G2294&lt;&gt;"",J2294/MAX(J$3:J2294)-1,"")</f>
        <v/>
      </c>
      <c r="N2294" s="9" t="str">
        <f>IF(G2294&lt;&gt;"",K2294/MAX(K$3:K2294)-1,"")</f>
        <v/>
      </c>
      <c r="O2294" s="16" t="str">
        <f t="shared" si="335"/>
        <v/>
      </c>
      <c r="P2294" s="16" t="str">
        <f t="shared" si="335"/>
        <v/>
      </c>
      <c r="Q2294" s="16" t="str">
        <f t="shared" si="335"/>
        <v/>
      </c>
      <c r="R2294" s="5" t="str">
        <f t="shared" si="334"/>
        <v/>
      </c>
      <c r="S2294" s="5" t="str">
        <f t="shared" si="338"/>
        <v/>
      </c>
      <c r="T2294" s="5" t="str">
        <f t="shared" si="342"/>
        <v/>
      </c>
      <c r="U2294" s="5" t="str">
        <f t="shared" si="342"/>
        <v/>
      </c>
    </row>
    <row r="2295" spans="7:21" x14ac:dyDescent="0.2">
      <c r="G2295" s="8"/>
      <c r="H2295" s="5"/>
      <c r="J2295" s="10" t="str">
        <f t="shared" si="336"/>
        <v/>
      </c>
      <c r="K2295" s="10" t="str">
        <f t="shared" si="337"/>
        <v/>
      </c>
      <c r="L2295" s="11" t="str">
        <f t="shared" si="339"/>
        <v/>
      </c>
      <c r="M2295" s="9" t="str">
        <f>IF(G2295&lt;&gt;"",J2295/MAX(J$3:J2295)-1,"")</f>
        <v/>
      </c>
      <c r="N2295" s="9" t="str">
        <f>IF(G2295&lt;&gt;"",K2295/MAX(K$3:K2295)-1,"")</f>
        <v/>
      </c>
      <c r="O2295" s="16" t="str">
        <f t="shared" si="335"/>
        <v/>
      </c>
      <c r="P2295" s="16" t="str">
        <f t="shared" si="335"/>
        <v/>
      </c>
      <c r="Q2295" s="16" t="str">
        <f t="shared" si="335"/>
        <v/>
      </c>
      <c r="R2295" s="5" t="str">
        <f t="shared" si="334"/>
        <v/>
      </c>
      <c r="S2295" s="5" t="str">
        <f t="shared" si="338"/>
        <v/>
      </c>
      <c r="T2295" s="5" t="str">
        <f t="shared" si="342"/>
        <v/>
      </c>
      <c r="U2295" s="5" t="str">
        <f t="shared" si="342"/>
        <v/>
      </c>
    </row>
    <row r="2296" spans="7:21" x14ac:dyDescent="0.2">
      <c r="G2296" s="8"/>
      <c r="H2296" s="5"/>
      <c r="J2296" s="10" t="str">
        <f t="shared" si="336"/>
        <v/>
      </c>
      <c r="K2296" s="10" t="str">
        <f t="shared" si="337"/>
        <v/>
      </c>
      <c r="L2296" s="11" t="str">
        <f t="shared" si="339"/>
        <v/>
      </c>
      <c r="M2296" s="9" t="str">
        <f>IF(G2296&lt;&gt;"",J2296/MAX(J$3:J2296)-1,"")</f>
        <v/>
      </c>
      <c r="N2296" s="9" t="str">
        <f>IF(G2296&lt;&gt;"",K2296/MAX(K$3:K2296)-1,"")</f>
        <v/>
      </c>
      <c r="O2296" s="16" t="str">
        <f t="shared" si="335"/>
        <v/>
      </c>
      <c r="P2296" s="16" t="str">
        <f t="shared" si="335"/>
        <v/>
      </c>
      <c r="Q2296" s="16" t="str">
        <f t="shared" si="335"/>
        <v/>
      </c>
      <c r="R2296" s="5" t="str">
        <f t="shared" si="334"/>
        <v/>
      </c>
      <c r="S2296" s="5" t="str">
        <f t="shared" si="338"/>
        <v/>
      </c>
      <c r="T2296" s="5" t="str">
        <f t="shared" ref="T2296:U2311" si="343">IF($G2296&lt;&gt;"",_xlfn.STDEV.S(O2052:O2296),"")</f>
        <v/>
      </c>
      <c r="U2296" s="5" t="str">
        <f t="shared" si="343"/>
        <v/>
      </c>
    </row>
    <row r="2297" spans="7:21" x14ac:dyDescent="0.2">
      <c r="G2297" s="8"/>
      <c r="H2297" s="5"/>
      <c r="J2297" s="10" t="str">
        <f t="shared" si="336"/>
        <v/>
      </c>
      <c r="K2297" s="10" t="str">
        <f t="shared" si="337"/>
        <v/>
      </c>
      <c r="L2297" s="11" t="str">
        <f t="shared" si="339"/>
        <v/>
      </c>
      <c r="M2297" s="9" t="str">
        <f>IF(G2297&lt;&gt;"",J2297/MAX(J$3:J2297)-1,"")</f>
        <v/>
      </c>
      <c r="N2297" s="9" t="str">
        <f>IF(G2297&lt;&gt;"",K2297/MAX(K$3:K2297)-1,"")</f>
        <v/>
      </c>
      <c r="O2297" s="16" t="str">
        <f t="shared" si="335"/>
        <v/>
      </c>
      <c r="P2297" s="16" t="str">
        <f t="shared" si="335"/>
        <v/>
      </c>
      <c r="Q2297" s="16" t="str">
        <f t="shared" si="335"/>
        <v/>
      </c>
      <c r="R2297" s="5" t="str">
        <f t="shared" si="334"/>
        <v/>
      </c>
      <c r="S2297" s="5" t="str">
        <f t="shared" si="338"/>
        <v/>
      </c>
      <c r="T2297" s="5" t="str">
        <f t="shared" si="343"/>
        <v/>
      </c>
      <c r="U2297" s="5" t="str">
        <f t="shared" si="343"/>
        <v/>
      </c>
    </row>
    <row r="2298" spans="7:21" x14ac:dyDescent="0.2">
      <c r="G2298" s="8"/>
      <c r="H2298" s="5"/>
      <c r="J2298" s="10" t="str">
        <f t="shared" si="336"/>
        <v/>
      </c>
      <c r="K2298" s="10" t="str">
        <f t="shared" si="337"/>
        <v/>
      </c>
      <c r="L2298" s="11" t="str">
        <f t="shared" si="339"/>
        <v/>
      </c>
      <c r="M2298" s="9" t="str">
        <f>IF(G2298&lt;&gt;"",J2298/MAX(J$3:J2298)-1,"")</f>
        <v/>
      </c>
      <c r="N2298" s="9" t="str">
        <f>IF(G2298&lt;&gt;"",K2298/MAX(K$3:K2298)-1,"")</f>
        <v/>
      </c>
      <c r="O2298" s="16" t="str">
        <f t="shared" si="335"/>
        <v/>
      </c>
      <c r="P2298" s="16" t="str">
        <f t="shared" si="335"/>
        <v/>
      </c>
      <c r="Q2298" s="16" t="str">
        <f t="shared" si="335"/>
        <v/>
      </c>
      <c r="R2298" s="5" t="str">
        <f t="shared" si="334"/>
        <v/>
      </c>
      <c r="S2298" s="5" t="str">
        <f t="shared" si="338"/>
        <v/>
      </c>
      <c r="T2298" s="5" t="str">
        <f t="shared" si="343"/>
        <v/>
      </c>
      <c r="U2298" s="5" t="str">
        <f t="shared" si="343"/>
        <v/>
      </c>
    </row>
    <row r="2299" spans="7:21" x14ac:dyDescent="0.2">
      <c r="G2299" s="8"/>
      <c r="H2299" s="5"/>
      <c r="J2299" s="10" t="str">
        <f t="shared" si="336"/>
        <v/>
      </c>
      <c r="K2299" s="10" t="str">
        <f t="shared" si="337"/>
        <v/>
      </c>
      <c r="L2299" s="11" t="str">
        <f t="shared" si="339"/>
        <v/>
      </c>
      <c r="M2299" s="9" t="str">
        <f>IF(G2299&lt;&gt;"",J2299/MAX(J$3:J2299)-1,"")</f>
        <v/>
      </c>
      <c r="N2299" s="9" t="str">
        <f>IF(G2299&lt;&gt;"",K2299/MAX(K$3:K2299)-1,"")</f>
        <v/>
      </c>
      <c r="O2299" s="16" t="str">
        <f t="shared" si="335"/>
        <v/>
      </c>
      <c r="P2299" s="16" t="str">
        <f t="shared" si="335"/>
        <v/>
      </c>
      <c r="Q2299" s="16" t="str">
        <f t="shared" si="335"/>
        <v/>
      </c>
      <c r="R2299" s="5" t="str">
        <f t="shared" si="334"/>
        <v/>
      </c>
      <c r="S2299" s="5" t="str">
        <f t="shared" si="338"/>
        <v/>
      </c>
      <c r="T2299" s="5" t="str">
        <f t="shared" si="343"/>
        <v/>
      </c>
      <c r="U2299" s="5" t="str">
        <f t="shared" si="343"/>
        <v/>
      </c>
    </row>
    <row r="2300" spans="7:21" x14ac:dyDescent="0.2">
      <c r="G2300" s="8"/>
      <c r="H2300" s="5"/>
      <c r="J2300" s="10" t="str">
        <f t="shared" si="336"/>
        <v/>
      </c>
      <c r="K2300" s="10" t="str">
        <f t="shared" si="337"/>
        <v/>
      </c>
      <c r="L2300" s="11" t="str">
        <f t="shared" si="339"/>
        <v/>
      </c>
      <c r="M2300" s="9" t="str">
        <f>IF(G2300&lt;&gt;"",J2300/MAX(J$3:J2300)-1,"")</f>
        <v/>
      </c>
      <c r="N2300" s="9" t="str">
        <f>IF(G2300&lt;&gt;"",K2300/MAX(K$3:K2300)-1,"")</f>
        <v/>
      </c>
      <c r="O2300" s="16" t="str">
        <f t="shared" si="335"/>
        <v/>
      </c>
      <c r="P2300" s="16" t="str">
        <f t="shared" si="335"/>
        <v/>
      </c>
      <c r="Q2300" s="16" t="str">
        <f t="shared" si="335"/>
        <v/>
      </c>
      <c r="R2300" s="5" t="str">
        <f t="shared" si="334"/>
        <v/>
      </c>
      <c r="S2300" s="5" t="str">
        <f t="shared" si="338"/>
        <v/>
      </c>
      <c r="T2300" s="5" t="str">
        <f t="shared" si="343"/>
        <v/>
      </c>
      <c r="U2300" s="5" t="str">
        <f t="shared" si="343"/>
        <v/>
      </c>
    </row>
    <row r="2301" spans="7:21" x14ac:dyDescent="0.2">
      <c r="G2301" s="8"/>
      <c r="H2301" s="5"/>
      <c r="J2301" s="10" t="str">
        <f t="shared" si="336"/>
        <v/>
      </c>
      <c r="K2301" s="10" t="str">
        <f t="shared" si="337"/>
        <v/>
      </c>
      <c r="L2301" s="11" t="str">
        <f t="shared" si="339"/>
        <v/>
      </c>
      <c r="M2301" s="9" t="str">
        <f>IF(G2301&lt;&gt;"",J2301/MAX(J$3:J2301)-1,"")</f>
        <v/>
      </c>
      <c r="N2301" s="9" t="str">
        <f>IF(G2301&lt;&gt;"",K2301/MAX(K$3:K2301)-1,"")</f>
        <v/>
      </c>
      <c r="O2301" s="16" t="str">
        <f t="shared" si="335"/>
        <v/>
      </c>
      <c r="P2301" s="16" t="str">
        <f t="shared" si="335"/>
        <v/>
      </c>
      <c r="Q2301" s="16" t="str">
        <f t="shared" si="335"/>
        <v/>
      </c>
      <c r="R2301" s="5" t="str">
        <f t="shared" ref="R2301:R2364" si="344">IF(G2301&lt;&gt;"",_xlfn.STDEV.S(Q2180:Q2301)*SQRT($B$5),"")</f>
        <v/>
      </c>
      <c r="S2301" s="5" t="str">
        <f t="shared" si="338"/>
        <v/>
      </c>
      <c r="T2301" s="5" t="str">
        <f t="shared" si="343"/>
        <v/>
      </c>
      <c r="U2301" s="5" t="str">
        <f t="shared" si="343"/>
        <v/>
      </c>
    </row>
    <row r="2302" spans="7:21" x14ac:dyDescent="0.2">
      <c r="G2302" s="8"/>
      <c r="H2302" s="5"/>
      <c r="J2302" s="10" t="str">
        <f t="shared" si="336"/>
        <v/>
      </c>
      <c r="K2302" s="10" t="str">
        <f t="shared" si="337"/>
        <v/>
      </c>
      <c r="L2302" s="11" t="str">
        <f t="shared" si="339"/>
        <v/>
      </c>
      <c r="M2302" s="9" t="str">
        <f>IF(G2302&lt;&gt;"",J2302/MAX(J$3:J2302)-1,"")</f>
        <v/>
      </c>
      <c r="N2302" s="9" t="str">
        <f>IF(G2302&lt;&gt;"",K2302/MAX(K$3:K2302)-1,"")</f>
        <v/>
      </c>
      <c r="O2302" s="16" t="str">
        <f t="shared" si="335"/>
        <v/>
      </c>
      <c r="P2302" s="16" t="str">
        <f t="shared" si="335"/>
        <v/>
      </c>
      <c r="Q2302" s="16" t="str">
        <f t="shared" si="335"/>
        <v/>
      </c>
      <c r="R2302" s="5" t="str">
        <f t="shared" si="344"/>
        <v/>
      </c>
      <c r="S2302" s="5" t="str">
        <f t="shared" si="338"/>
        <v/>
      </c>
      <c r="T2302" s="5" t="str">
        <f t="shared" si="343"/>
        <v/>
      </c>
      <c r="U2302" s="5" t="str">
        <f t="shared" si="343"/>
        <v/>
      </c>
    </row>
    <row r="2303" spans="7:21" x14ac:dyDescent="0.2">
      <c r="G2303" s="8"/>
      <c r="H2303" s="5"/>
      <c r="J2303" s="10" t="str">
        <f t="shared" si="336"/>
        <v/>
      </c>
      <c r="K2303" s="10" t="str">
        <f t="shared" si="337"/>
        <v/>
      </c>
      <c r="L2303" s="11" t="str">
        <f t="shared" si="339"/>
        <v/>
      </c>
      <c r="M2303" s="9" t="str">
        <f>IF(G2303&lt;&gt;"",J2303/MAX(J$3:J2303)-1,"")</f>
        <v/>
      </c>
      <c r="N2303" s="9" t="str">
        <f>IF(G2303&lt;&gt;"",K2303/MAX(K$3:K2303)-1,"")</f>
        <v/>
      </c>
      <c r="O2303" s="16" t="str">
        <f t="shared" si="335"/>
        <v/>
      </c>
      <c r="P2303" s="16" t="str">
        <f t="shared" si="335"/>
        <v/>
      </c>
      <c r="Q2303" s="16" t="str">
        <f t="shared" si="335"/>
        <v/>
      </c>
      <c r="R2303" s="5" t="str">
        <f t="shared" si="344"/>
        <v/>
      </c>
      <c r="S2303" s="5" t="str">
        <f t="shared" si="338"/>
        <v/>
      </c>
      <c r="T2303" s="5" t="str">
        <f t="shared" si="343"/>
        <v/>
      </c>
      <c r="U2303" s="5" t="str">
        <f t="shared" si="343"/>
        <v/>
      </c>
    </row>
    <row r="2304" spans="7:21" x14ac:dyDescent="0.2">
      <c r="G2304" s="8"/>
      <c r="H2304" s="5"/>
      <c r="J2304" s="10" t="str">
        <f t="shared" si="336"/>
        <v/>
      </c>
      <c r="K2304" s="10" t="str">
        <f t="shared" si="337"/>
        <v/>
      </c>
      <c r="L2304" s="11" t="str">
        <f t="shared" si="339"/>
        <v/>
      </c>
      <c r="M2304" s="9" t="str">
        <f>IF(G2304&lt;&gt;"",J2304/MAX(J$3:J2304)-1,"")</f>
        <v/>
      </c>
      <c r="N2304" s="9" t="str">
        <f>IF(G2304&lt;&gt;"",K2304/MAX(K$3:K2304)-1,"")</f>
        <v/>
      </c>
      <c r="O2304" s="16" t="str">
        <f t="shared" si="335"/>
        <v/>
      </c>
      <c r="P2304" s="16" t="str">
        <f t="shared" si="335"/>
        <v/>
      </c>
      <c r="Q2304" s="16" t="str">
        <f t="shared" si="335"/>
        <v/>
      </c>
      <c r="R2304" s="5" t="str">
        <f t="shared" si="344"/>
        <v/>
      </c>
      <c r="S2304" s="5" t="str">
        <f t="shared" si="338"/>
        <v/>
      </c>
      <c r="T2304" s="5" t="str">
        <f t="shared" si="343"/>
        <v/>
      </c>
      <c r="U2304" s="5" t="str">
        <f t="shared" si="343"/>
        <v/>
      </c>
    </row>
    <row r="2305" spans="7:21" x14ac:dyDescent="0.2">
      <c r="G2305" s="8"/>
      <c r="H2305" s="5"/>
      <c r="J2305" s="10" t="str">
        <f t="shared" si="336"/>
        <v/>
      </c>
      <c r="K2305" s="10" t="str">
        <f t="shared" si="337"/>
        <v/>
      </c>
      <c r="L2305" s="11" t="str">
        <f t="shared" si="339"/>
        <v/>
      </c>
      <c r="M2305" s="9" t="str">
        <f>IF(G2305&lt;&gt;"",J2305/MAX(J$3:J2305)-1,"")</f>
        <v/>
      </c>
      <c r="N2305" s="9" t="str">
        <f>IF(G2305&lt;&gt;"",K2305/MAX(K$3:K2305)-1,"")</f>
        <v/>
      </c>
      <c r="O2305" s="16" t="str">
        <f t="shared" si="335"/>
        <v/>
      </c>
      <c r="P2305" s="16" t="str">
        <f t="shared" si="335"/>
        <v/>
      </c>
      <c r="Q2305" s="16" t="str">
        <f t="shared" si="335"/>
        <v/>
      </c>
      <c r="R2305" s="5" t="str">
        <f t="shared" si="344"/>
        <v/>
      </c>
      <c r="S2305" s="5" t="str">
        <f t="shared" si="338"/>
        <v/>
      </c>
      <c r="T2305" s="5" t="str">
        <f t="shared" si="343"/>
        <v/>
      </c>
      <c r="U2305" s="5" t="str">
        <f t="shared" si="343"/>
        <v/>
      </c>
    </row>
    <row r="2306" spans="7:21" x14ac:dyDescent="0.2">
      <c r="G2306" s="8"/>
      <c r="H2306" s="5"/>
      <c r="J2306" s="10" t="str">
        <f t="shared" si="336"/>
        <v/>
      </c>
      <c r="K2306" s="10" t="str">
        <f t="shared" si="337"/>
        <v/>
      </c>
      <c r="L2306" s="11" t="str">
        <f t="shared" si="339"/>
        <v/>
      </c>
      <c r="M2306" s="9" t="str">
        <f>IF(G2306&lt;&gt;"",J2306/MAX(J$3:J2306)-1,"")</f>
        <v/>
      </c>
      <c r="N2306" s="9" t="str">
        <f>IF(G2306&lt;&gt;"",K2306/MAX(K$3:K2306)-1,"")</f>
        <v/>
      </c>
      <c r="O2306" s="16" t="str">
        <f t="shared" ref="O2306:Q2369" si="345">IF($G2306&lt;&gt;"",J2306/J2305-1,"")</f>
        <v/>
      </c>
      <c r="P2306" s="16" t="str">
        <f t="shared" si="345"/>
        <v/>
      </c>
      <c r="Q2306" s="16" t="str">
        <f t="shared" si="345"/>
        <v/>
      </c>
      <c r="R2306" s="5" t="str">
        <f t="shared" si="344"/>
        <v/>
      </c>
      <c r="S2306" s="5" t="str">
        <f t="shared" si="338"/>
        <v/>
      </c>
      <c r="T2306" s="5" t="str">
        <f t="shared" si="343"/>
        <v/>
      </c>
      <c r="U2306" s="5" t="str">
        <f t="shared" si="343"/>
        <v/>
      </c>
    </row>
    <row r="2307" spans="7:21" x14ac:dyDescent="0.2">
      <c r="G2307" s="8"/>
      <c r="H2307" s="5"/>
      <c r="J2307" s="10" t="str">
        <f t="shared" si="336"/>
        <v/>
      </c>
      <c r="K2307" s="10" t="str">
        <f t="shared" si="337"/>
        <v/>
      </c>
      <c r="L2307" s="11" t="str">
        <f t="shared" si="339"/>
        <v/>
      </c>
      <c r="M2307" s="9" t="str">
        <f>IF(G2307&lt;&gt;"",J2307/MAX(J$3:J2307)-1,"")</f>
        <v/>
      </c>
      <c r="N2307" s="9" t="str">
        <f>IF(G2307&lt;&gt;"",K2307/MAX(K$3:K2307)-1,"")</f>
        <v/>
      </c>
      <c r="O2307" s="16" t="str">
        <f t="shared" si="345"/>
        <v/>
      </c>
      <c r="P2307" s="16" t="str">
        <f t="shared" si="345"/>
        <v/>
      </c>
      <c r="Q2307" s="16" t="str">
        <f t="shared" si="345"/>
        <v/>
      </c>
      <c r="R2307" s="5" t="str">
        <f t="shared" si="344"/>
        <v/>
      </c>
      <c r="S2307" s="5" t="str">
        <f t="shared" si="338"/>
        <v/>
      </c>
      <c r="T2307" s="5" t="str">
        <f t="shared" si="343"/>
        <v/>
      </c>
      <c r="U2307" s="5" t="str">
        <f t="shared" si="343"/>
        <v/>
      </c>
    </row>
    <row r="2308" spans="7:21" x14ac:dyDescent="0.2">
      <c r="G2308" s="8"/>
      <c r="H2308" s="5"/>
      <c r="J2308" s="10" t="str">
        <f t="shared" ref="J2308:J2371" si="346">IF(G2308&lt;&gt;"",1+H2308,"")</f>
        <v/>
      </c>
      <c r="K2308" s="10" t="str">
        <f t="shared" ref="K2308:K2371" si="347">IF(G2308&lt;&gt;"",1+I2308,"")</f>
        <v/>
      </c>
      <c r="L2308" s="11" t="str">
        <f t="shared" si="339"/>
        <v/>
      </c>
      <c r="M2308" s="9" t="str">
        <f>IF(G2308&lt;&gt;"",J2308/MAX(J$3:J2308)-1,"")</f>
        <v/>
      </c>
      <c r="N2308" s="9" t="str">
        <f>IF(G2308&lt;&gt;"",K2308/MAX(K$3:K2308)-1,"")</f>
        <v/>
      </c>
      <c r="O2308" s="16" t="str">
        <f t="shared" si="345"/>
        <v/>
      </c>
      <c r="P2308" s="16" t="str">
        <f t="shared" si="345"/>
        <v/>
      </c>
      <c r="Q2308" s="16" t="str">
        <f t="shared" si="345"/>
        <v/>
      </c>
      <c r="R2308" s="5" t="str">
        <f t="shared" si="344"/>
        <v/>
      </c>
      <c r="S2308" s="5" t="str">
        <f t="shared" ref="S2308:S2371" si="348">IF(R2308&lt;&gt;"",B$12,"")</f>
        <v/>
      </c>
      <c r="T2308" s="5" t="str">
        <f t="shared" si="343"/>
        <v/>
      </c>
      <c r="U2308" s="5" t="str">
        <f t="shared" si="343"/>
        <v/>
      </c>
    </row>
    <row r="2309" spans="7:21" x14ac:dyDescent="0.2">
      <c r="G2309" s="8"/>
      <c r="H2309" s="5"/>
      <c r="J2309" s="10" t="str">
        <f t="shared" si="346"/>
        <v/>
      </c>
      <c r="K2309" s="10" t="str">
        <f t="shared" si="347"/>
        <v/>
      </c>
      <c r="L2309" s="11" t="str">
        <f t="shared" ref="L2309:L2372" si="349">IF(G2309&lt;&gt;"",J2309/K2309,"")</f>
        <v/>
      </c>
      <c r="M2309" s="9" t="str">
        <f>IF(G2309&lt;&gt;"",J2309/MAX(J$3:J2309)-1,"")</f>
        <v/>
      </c>
      <c r="N2309" s="9" t="str">
        <f>IF(G2309&lt;&gt;"",K2309/MAX(K$3:K2309)-1,"")</f>
        <v/>
      </c>
      <c r="O2309" s="16" t="str">
        <f t="shared" si="345"/>
        <v/>
      </c>
      <c r="P2309" s="16" t="str">
        <f t="shared" si="345"/>
        <v/>
      </c>
      <c r="Q2309" s="16" t="str">
        <f t="shared" si="345"/>
        <v/>
      </c>
      <c r="R2309" s="5" t="str">
        <f t="shared" si="344"/>
        <v/>
      </c>
      <c r="S2309" s="5" t="str">
        <f t="shared" si="348"/>
        <v/>
      </c>
      <c r="T2309" s="5" t="str">
        <f t="shared" si="343"/>
        <v/>
      </c>
      <c r="U2309" s="5" t="str">
        <f t="shared" si="343"/>
        <v/>
      </c>
    </row>
    <row r="2310" spans="7:21" x14ac:dyDescent="0.2">
      <c r="G2310" s="8"/>
      <c r="H2310" s="5"/>
      <c r="J2310" s="10" t="str">
        <f t="shared" si="346"/>
        <v/>
      </c>
      <c r="K2310" s="10" t="str">
        <f t="shared" si="347"/>
        <v/>
      </c>
      <c r="L2310" s="11" t="str">
        <f t="shared" si="349"/>
        <v/>
      </c>
      <c r="M2310" s="9" t="str">
        <f>IF(G2310&lt;&gt;"",J2310/MAX(J$3:J2310)-1,"")</f>
        <v/>
      </c>
      <c r="N2310" s="9" t="str">
        <f>IF(G2310&lt;&gt;"",K2310/MAX(K$3:K2310)-1,"")</f>
        <v/>
      </c>
      <c r="O2310" s="16" t="str">
        <f t="shared" si="345"/>
        <v/>
      </c>
      <c r="P2310" s="16" t="str">
        <f t="shared" si="345"/>
        <v/>
      </c>
      <c r="Q2310" s="16" t="str">
        <f t="shared" si="345"/>
        <v/>
      </c>
      <c r="R2310" s="5" t="str">
        <f t="shared" si="344"/>
        <v/>
      </c>
      <c r="S2310" s="5" t="str">
        <f t="shared" si="348"/>
        <v/>
      </c>
      <c r="T2310" s="5" t="str">
        <f t="shared" si="343"/>
        <v/>
      </c>
      <c r="U2310" s="5" t="str">
        <f t="shared" si="343"/>
        <v/>
      </c>
    </row>
    <row r="2311" spans="7:21" x14ac:dyDescent="0.2">
      <c r="G2311" s="8"/>
      <c r="H2311" s="5"/>
      <c r="J2311" s="10" t="str">
        <f t="shared" si="346"/>
        <v/>
      </c>
      <c r="K2311" s="10" t="str">
        <f t="shared" si="347"/>
        <v/>
      </c>
      <c r="L2311" s="11" t="str">
        <f t="shared" si="349"/>
        <v/>
      </c>
      <c r="M2311" s="9" t="str">
        <f>IF(G2311&lt;&gt;"",J2311/MAX(J$3:J2311)-1,"")</f>
        <v/>
      </c>
      <c r="N2311" s="9" t="str">
        <f>IF(G2311&lt;&gt;"",K2311/MAX(K$3:K2311)-1,"")</f>
        <v/>
      </c>
      <c r="O2311" s="16" t="str">
        <f t="shared" si="345"/>
        <v/>
      </c>
      <c r="P2311" s="16" t="str">
        <f t="shared" si="345"/>
        <v/>
      </c>
      <c r="Q2311" s="16" t="str">
        <f t="shared" si="345"/>
        <v/>
      </c>
      <c r="R2311" s="5" t="str">
        <f t="shared" si="344"/>
        <v/>
      </c>
      <c r="S2311" s="5" t="str">
        <f t="shared" si="348"/>
        <v/>
      </c>
      <c r="T2311" s="5" t="str">
        <f t="shared" si="343"/>
        <v/>
      </c>
      <c r="U2311" s="5" t="str">
        <f t="shared" si="343"/>
        <v/>
      </c>
    </row>
    <row r="2312" spans="7:21" x14ac:dyDescent="0.2">
      <c r="G2312" s="8"/>
      <c r="H2312" s="5"/>
      <c r="J2312" s="10" t="str">
        <f t="shared" si="346"/>
        <v/>
      </c>
      <c r="K2312" s="10" t="str">
        <f t="shared" si="347"/>
        <v/>
      </c>
      <c r="L2312" s="11" t="str">
        <f t="shared" si="349"/>
        <v/>
      </c>
      <c r="M2312" s="9" t="str">
        <f>IF(G2312&lt;&gt;"",J2312/MAX(J$3:J2312)-1,"")</f>
        <v/>
      </c>
      <c r="N2312" s="9" t="str">
        <f>IF(G2312&lt;&gt;"",K2312/MAX(K$3:K2312)-1,"")</f>
        <v/>
      </c>
      <c r="O2312" s="16" t="str">
        <f t="shared" si="345"/>
        <v/>
      </c>
      <c r="P2312" s="16" t="str">
        <f t="shared" si="345"/>
        <v/>
      </c>
      <c r="Q2312" s="16" t="str">
        <f t="shared" si="345"/>
        <v/>
      </c>
      <c r="R2312" s="5" t="str">
        <f t="shared" si="344"/>
        <v/>
      </c>
      <c r="S2312" s="5" t="str">
        <f t="shared" si="348"/>
        <v/>
      </c>
      <c r="T2312" s="5" t="str">
        <f t="shared" ref="T2312:U2327" si="350">IF($G2312&lt;&gt;"",_xlfn.STDEV.S(O2068:O2312),"")</f>
        <v/>
      </c>
      <c r="U2312" s="5" t="str">
        <f t="shared" si="350"/>
        <v/>
      </c>
    </row>
    <row r="2313" spans="7:21" x14ac:dyDescent="0.2">
      <c r="G2313" s="8"/>
      <c r="H2313" s="5"/>
      <c r="J2313" s="10" t="str">
        <f t="shared" si="346"/>
        <v/>
      </c>
      <c r="K2313" s="10" t="str">
        <f t="shared" si="347"/>
        <v/>
      </c>
      <c r="L2313" s="11" t="str">
        <f t="shared" si="349"/>
        <v/>
      </c>
      <c r="M2313" s="9" t="str">
        <f>IF(G2313&lt;&gt;"",J2313/MAX(J$3:J2313)-1,"")</f>
        <v/>
      </c>
      <c r="N2313" s="9" t="str">
        <f>IF(G2313&lt;&gt;"",K2313/MAX(K$3:K2313)-1,"")</f>
        <v/>
      </c>
      <c r="O2313" s="16" t="str">
        <f t="shared" si="345"/>
        <v/>
      </c>
      <c r="P2313" s="16" t="str">
        <f t="shared" si="345"/>
        <v/>
      </c>
      <c r="Q2313" s="16" t="str">
        <f t="shared" si="345"/>
        <v/>
      </c>
      <c r="R2313" s="5" t="str">
        <f t="shared" si="344"/>
        <v/>
      </c>
      <c r="S2313" s="5" t="str">
        <f t="shared" si="348"/>
        <v/>
      </c>
      <c r="T2313" s="5" t="str">
        <f t="shared" si="350"/>
        <v/>
      </c>
      <c r="U2313" s="5" t="str">
        <f t="shared" si="350"/>
        <v/>
      </c>
    </row>
    <row r="2314" spans="7:21" x14ac:dyDescent="0.2">
      <c r="G2314" s="8"/>
      <c r="H2314" s="5"/>
      <c r="J2314" s="10" t="str">
        <f t="shared" si="346"/>
        <v/>
      </c>
      <c r="K2314" s="10" t="str">
        <f t="shared" si="347"/>
        <v/>
      </c>
      <c r="L2314" s="11" t="str">
        <f t="shared" si="349"/>
        <v/>
      </c>
      <c r="M2314" s="9" t="str">
        <f>IF(G2314&lt;&gt;"",J2314/MAX(J$3:J2314)-1,"")</f>
        <v/>
      </c>
      <c r="N2314" s="9" t="str">
        <f>IF(G2314&lt;&gt;"",K2314/MAX(K$3:K2314)-1,"")</f>
        <v/>
      </c>
      <c r="O2314" s="16" t="str">
        <f t="shared" si="345"/>
        <v/>
      </c>
      <c r="P2314" s="16" t="str">
        <f t="shared" si="345"/>
        <v/>
      </c>
      <c r="Q2314" s="16" t="str">
        <f t="shared" si="345"/>
        <v/>
      </c>
      <c r="R2314" s="5" t="str">
        <f t="shared" si="344"/>
        <v/>
      </c>
      <c r="S2314" s="5" t="str">
        <f t="shared" si="348"/>
        <v/>
      </c>
      <c r="T2314" s="5" t="str">
        <f t="shared" si="350"/>
        <v/>
      </c>
      <c r="U2314" s="5" t="str">
        <f t="shared" si="350"/>
        <v/>
      </c>
    </row>
    <row r="2315" spans="7:21" x14ac:dyDescent="0.2">
      <c r="G2315" s="8"/>
      <c r="H2315" s="5"/>
      <c r="J2315" s="10" t="str">
        <f t="shared" si="346"/>
        <v/>
      </c>
      <c r="K2315" s="10" t="str">
        <f t="shared" si="347"/>
        <v/>
      </c>
      <c r="L2315" s="11" t="str">
        <f t="shared" si="349"/>
        <v/>
      </c>
      <c r="M2315" s="9" t="str">
        <f>IF(G2315&lt;&gt;"",J2315/MAX(J$3:J2315)-1,"")</f>
        <v/>
      </c>
      <c r="N2315" s="9" t="str">
        <f>IF(G2315&lt;&gt;"",K2315/MAX(K$3:K2315)-1,"")</f>
        <v/>
      </c>
      <c r="O2315" s="16" t="str">
        <f t="shared" si="345"/>
        <v/>
      </c>
      <c r="P2315" s="16" t="str">
        <f t="shared" si="345"/>
        <v/>
      </c>
      <c r="Q2315" s="16" t="str">
        <f t="shared" si="345"/>
        <v/>
      </c>
      <c r="R2315" s="5" t="str">
        <f t="shared" si="344"/>
        <v/>
      </c>
      <c r="S2315" s="5" t="str">
        <f t="shared" si="348"/>
        <v/>
      </c>
      <c r="T2315" s="5" t="str">
        <f t="shared" si="350"/>
        <v/>
      </c>
      <c r="U2315" s="5" t="str">
        <f t="shared" si="350"/>
        <v/>
      </c>
    </row>
    <row r="2316" spans="7:21" x14ac:dyDescent="0.2">
      <c r="G2316" s="8"/>
      <c r="H2316" s="5"/>
      <c r="J2316" s="10" t="str">
        <f t="shared" si="346"/>
        <v/>
      </c>
      <c r="K2316" s="10" t="str">
        <f t="shared" si="347"/>
        <v/>
      </c>
      <c r="L2316" s="11" t="str">
        <f t="shared" si="349"/>
        <v/>
      </c>
      <c r="M2316" s="9" t="str">
        <f>IF(G2316&lt;&gt;"",J2316/MAX(J$3:J2316)-1,"")</f>
        <v/>
      </c>
      <c r="N2316" s="9" t="str">
        <f>IF(G2316&lt;&gt;"",K2316/MAX(K$3:K2316)-1,"")</f>
        <v/>
      </c>
      <c r="O2316" s="16" t="str">
        <f t="shared" si="345"/>
        <v/>
      </c>
      <c r="P2316" s="16" t="str">
        <f t="shared" si="345"/>
        <v/>
      </c>
      <c r="Q2316" s="16" t="str">
        <f t="shared" si="345"/>
        <v/>
      </c>
      <c r="R2316" s="5" t="str">
        <f t="shared" si="344"/>
        <v/>
      </c>
      <c r="S2316" s="5" t="str">
        <f t="shared" si="348"/>
        <v/>
      </c>
      <c r="T2316" s="5" t="str">
        <f t="shared" si="350"/>
        <v/>
      </c>
      <c r="U2316" s="5" t="str">
        <f t="shared" si="350"/>
        <v/>
      </c>
    </row>
    <row r="2317" spans="7:21" x14ac:dyDescent="0.2">
      <c r="G2317" s="8"/>
      <c r="H2317" s="5"/>
      <c r="J2317" s="10" t="str">
        <f t="shared" si="346"/>
        <v/>
      </c>
      <c r="K2317" s="10" t="str">
        <f t="shared" si="347"/>
        <v/>
      </c>
      <c r="L2317" s="11" t="str">
        <f t="shared" si="349"/>
        <v/>
      </c>
      <c r="M2317" s="9" t="str">
        <f>IF(G2317&lt;&gt;"",J2317/MAX(J$3:J2317)-1,"")</f>
        <v/>
      </c>
      <c r="N2317" s="9" t="str">
        <f>IF(G2317&lt;&gt;"",K2317/MAX(K$3:K2317)-1,"")</f>
        <v/>
      </c>
      <c r="O2317" s="16" t="str">
        <f t="shared" si="345"/>
        <v/>
      </c>
      <c r="P2317" s="16" t="str">
        <f t="shared" si="345"/>
        <v/>
      </c>
      <c r="Q2317" s="16" t="str">
        <f t="shared" si="345"/>
        <v/>
      </c>
      <c r="R2317" s="5" t="str">
        <f t="shared" si="344"/>
        <v/>
      </c>
      <c r="S2317" s="5" t="str">
        <f t="shared" si="348"/>
        <v/>
      </c>
      <c r="T2317" s="5" t="str">
        <f t="shared" si="350"/>
        <v/>
      </c>
      <c r="U2317" s="5" t="str">
        <f t="shared" si="350"/>
        <v/>
      </c>
    </row>
    <row r="2318" spans="7:21" x14ac:dyDescent="0.2">
      <c r="G2318" s="8"/>
      <c r="H2318" s="5"/>
      <c r="J2318" s="10" t="str">
        <f t="shared" si="346"/>
        <v/>
      </c>
      <c r="K2318" s="10" t="str">
        <f t="shared" si="347"/>
        <v/>
      </c>
      <c r="L2318" s="11" t="str">
        <f t="shared" si="349"/>
        <v/>
      </c>
      <c r="M2318" s="9" t="str">
        <f>IF(G2318&lt;&gt;"",J2318/MAX(J$3:J2318)-1,"")</f>
        <v/>
      </c>
      <c r="N2318" s="9" t="str">
        <f>IF(G2318&lt;&gt;"",K2318/MAX(K$3:K2318)-1,"")</f>
        <v/>
      </c>
      <c r="O2318" s="16" t="str">
        <f t="shared" si="345"/>
        <v/>
      </c>
      <c r="P2318" s="16" t="str">
        <f t="shared" si="345"/>
        <v/>
      </c>
      <c r="Q2318" s="16" t="str">
        <f t="shared" si="345"/>
        <v/>
      </c>
      <c r="R2318" s="5" t="str">
        <f t="shared" si="344"/>
        <v/>
      </c>
      <c r="S2318" s="5" t="str">
        <f t="shared" si="348"/>
        <v/>
      </c>
      <c r="T2318" s="5" t="str">
        <f t="shared" si="350"/>
        <v/>
      </c>
      <c r="U2318" s="5" t="str">
        <f t="shared" si="350"/>
        <v/>
      </c>
    </row>
    <row r="2319" spans="7:21" x14ac:dyDescent="0.2">
      <c r="G2319" s="8"/>
      <c r="H2319" s="5"/>
      <c r="J2319" s="10" t="str">
        <f t="shared" si="346"/>
        <v/>
      </c>
      <c r="K2319" s="10" t="str">
        <f t="shared" si="347"/>
        <v/>
      </c>
      <c r="L2319" s="11" t="str">
        <f t="shared" si="349"/>
        <v/>
      </c>
      <c r="M2319" s="9" t="str">
        <f>IF(G2319&lt;&gt;"",J2319/MAX(J$3:J2319)-1,"")</f>
        <v/>
      </c>
      <c r="N2319" s="9" t="str">
        <f>IF(G2319&lt;&gt;"",K2319/MAX(K$3:K2319)-1,"")</f>
        <v/>
      </c>
      <c r="O2319" s="16" t="str">
        <f t="shared" si="345"/>
        <v/>
      </c>
      <c r="P2319" s="16" t="str">
        <f t="shared" si="345"/>
        <v/>
      </c>
      <c r="Q2319" s="16" t="str">
        <f t="shared" si="345"/>
        <v/>
      </c>
      <c r="R2319" s="5" t="str">
        <f t="shared" si="344"/>
        <v/>
      </c>
      <c r="S2319" s="5" t="str">
        <f t="shared" si="348"/>
        <v/>
      </c>
      <c r="T2319" s="5" t="str">
        <f t="shared" si="350"/>
        <v/>
      </c>
      <c r="U2319" s="5" t="str">
        <f t="shared" si="350"/>
        <v/>
      </c>
    </row>
    <row r="2320" spans="7:21" x14ac:dyDescent="0.2">
      <c r="G2320" s="8"/>
      <c r="H2320" s="5"/>
      <c r="J2320" s="10" t="str">
        <f t="shared" si="346"/>
        <v/>
      </c>
      <c r="K2320" s="10" t="str">
        <f t="shared" si="347"/>
        <v/>
      </c>
      <c r="L2320" s="11" t="str">
        <f t="shared" si="349"/>
        <v/>
      </c>
      <c r="M2320" s="9" t="str">
        <f>IF(G2320&lt;&gt;"",J2320/MAX(J$3:J2320)-1,"")</f>
        <v/>
      </c>
      <c r="N2320" s="9" t="str">
        <f>IF(G2320&lt;&gt;"",K2320/MAX(K$3:K2320)-1,"")</f>
        <v/>
      </c>
      <c r="O2320" s="16" t="str">
        <f t="shared" si="345"/>
        <v/>
      </c>
      <c r="P2320" s="16" t="str">
        <f t="shared" si="345"/>
        <v/>
      </c>
      <c r="Q2320" s="16" t="str">
        <f t="shared" si="345"/>
        <v/>
      </c>
      <c r="R2320" s="5" t="str">
        <f t="shared" si="344"/>
        <v/>
      </c>
      <c r="S2320" s="5" t="str">
        <f t="shared" si="348"/>
        <v/>
      </c>
      <c r="T2320" s="5" t="str">
        <f t="shared" si="350"/>
        <v/>
      </c>
      <c r="U2320" s="5" t="str">
        <f t="shared" si="350"/>
        <v/>
      </c>
    </row>
    <row r="2321" spans="7:21" x14ac:dyDescent="0.2">
      <c r="G2321" s="8"/>
      <c r="H2321" s="5"/>
      <c r="J2321" s="10" t="str">
        <f t="shared" si="346"/>
        <v/>
      </c>
      <c r="K2321" s="10" t="str">
        <f t="shared" si="347"/>
        <v/>
      </c>
      <c r="L2321" s="11" t="str">
        <f t="shared" si="349"/>
        <v/>
      </c>
      <c r="M2321" s="9" t="str">
        <f>IF(G2321&lt;&gt;"",J2321/MAX(J$3:J2321)-1,"")</f>
        <v/>
      </c>
      <c r="N2321" s="9" t="str">
        <f>IF(G2321&lt;&gt;"",K2321/MAX(K$3:K2321)-1,"")</f>
        <v/>
      </c>
      <c r="O2321" s="16" t="str">
        <f t="shared" si="345"/>
        <v/>
      </c>
      <c r="P2321" s="16" t="str">
        <f t="shared" si="345"/>
        <v/>
      </c>
      <c r="Q2321" s="16" t="str">
        <f t="shared" si="345"/>
        <v/>
      </c>
      <c r="R2321" s="5" t="str">
        <f t="shared" si="344"/>
        <v/>
      </c>
      <c r="S2321" s="5" t="str">
        <f t="shared" si="348"/>
        <v/>
      </c>
      <c r="T2321" s="5" t="str">
        <f t="shared" si="350"/>
        <v/>
      </c>
      <c r="U2321" s="5" t="str">
        <f t="shared" si="350"/>
        <v/>
      </c>
    </row>
    <row r="2322" spans="7:21" x14ac:dyDescent="0.2">
      <c r="G2322" s="8"/>
      <c r="H2322" s="5"/>
      <c r="J2322" s="10" t="str">
        <f t="shared" si="346"/>
        <v/>
      </c>
      <c r="K2322" s="10" t="str">
        <f t="shared" si="347"/>
        <v/>
      </c>
      <c r="L2322" s="11" t="str">
        <f t="shared" si="349"/>
        <v/>
      </c>
      <c r="M2322" s="9" t="str">
        <f>IF(G2322&lt;&gt;"",J2322/MAX(J$3:J2322)-1,"")</f>
        <v/>
      </c>
      <c r="N2322" s="9" t="str">
        <f>IF(G2322&lt;&gt;"",K2322/MAX(K$3:K2322)-1,"")</f>
        <v/>
      </c>
      <c r="O2322" s="16" t="str">
        <f t="shared" si="345"/>
        <v/>
      </c>
      <c r="P2322" s="16" t="str">
        <f t="shared" si="345"/>
        <v/>
      </c>
      <c r="Q2322" s="16" t="str">
        <f t="shared" si="345"/>
        <v/>
      </c>
      <c r="R2322" s="5" t="str">
        <f t="shared" si="344"/>
        <v/>
      </c>
      <c r="S2322" s="5" t="str">
        <f t="shared" si="348"/>
        <v/>
      </c>
      <c r="T2322" s="5" t="str">
        <f t="shared" si="350"/>
        <v/>
      </c>
      <c r="U2322" s="5" t="str">
        <f t="shared" si="350"/>
        <v/>
      </c>
    </row>
    <row r="2323" spans="7:21" x14ac:dyDescent="0.2">
      <c r="G2323" s="8"/>
      <c r="H2323" s="5"/>
      <c r="J2323" s="10" t="str">
        <f t="shared" si="346"/>
        <v/>
      </c>
      <c r="K2323" s="10" t="str">
        <f t="shared" si="347"/>
        <v/>
      </c>
      <c r="L2323" s="11" t="str">
        <f t="shared" si="349"/>
        <v/>
      </c>
      <c r="M2323" s="9" t="str">
        <f>IF(G2323&lt;&gt;"",J2323/MAX(J$3:J2323)-1,"")</f>
        <v/>
      </c>
      <c r="N2323" s="9" t="str">
        <f>IF(G2323&lt;&gt;"",K2323/MAX(K$3:K2323)-1,"")</f>
        <v/>
      </c>
      <c r="O2323" s="16" t="str">
        <f t="shared" si="345"/>
        <v/>
      </c>
      <c r="P2323" s="16" t="str">
        <f t="shared" si="345"/>
        <v/>
      </c>
      <c r="Q2323" s="16" t="str">
        <f t="shared" si="345"/>
        <v/>
      </c>
      <c r="R2323" s="5" t="str">
        <f t="shared" si="344"/>
        <v/>
      </c>
      <c r="S2323" s="5" t="str">
        <f t="shared" si="348"/>
        <v/>
      </c>
      <c r="T2323" s="5" t="str">
        <f t="shared" si="350"/>
        <v/>
      </c>
      <c r="U2323" s="5" t="str">
        <f t="shared" si="350"/>
        <v/>
      </c>
    </row>
    <row r="2324" spans="7:21" x14ac:dyDescent="0.2">
      <c r="G2324" s="8"/>
      <c r="H2324" s="5"/>
      <c r="J2324" s="10" t="str">
        <f t="shared" si="346"/>
        <v/>
      </c>
      <c r="K2324" s="10" t="str">
        <f t="shared" si="347"/>
        <v/>
      </c>
      <c r="L2324" s="11" t="str">
        <f t="shared" si="349"/>
        <v/>
      </c>
      <c r="M2324" s="9" t="str">
        <f>IF(G2324&lt;&gt;"",J2324/MAX(J$3:J2324)-1,"")</f>
        <v/>
      </c>
      <c r="N2324" s="9" t="str">
        <f>IF(G2324&lt;&gt;"",K2324/MAX(K$3:K2324)-1,"")</f>
        <v/>
      </c>
      <c r="O2324" s="16" t="str">
        <f t="shared" si="345"/>
        <v/>
      </c>
      <c r="P2324" s="16" t="str">
        <f t="shared" si="345"/>
        <v/>
      </c>
      <c r="Q2324" s="16" t="str">
        <f t="shared" si="345"/>
        <v/>
      </c>
      <c r="R2324" s="5" t="str">
        <f t="shared" si="344"/>
        <v/>
      </c>
      <c r="S2324" s="5" t="str">
        <f t="shared" si="348"/>
        <v/>
      </c>
      <c r="T2324" s="5" t="str">
        <f t="shared" si="350"/>
        <v/>
      </c>
      <c r="U2324" s="5" t="str">
        <f t="shared" si="350"/>
        <v/>
      </c>
    </row>
    <row r="2325" spans="7:21" x14ac:dyDescent="0.2">
      <c r="G2325" s="8"/>
      <c r="H2325" s="5"/>
      <c r="J2325" s="10" t="str">
        <f t="shared" si="346"/>
        <v/>
      </c>
      <c r="K2325" s="10" t="str">
        <f t="shared" si="347"/>
        <v/>
      </c>
      <c r="L2325" s="11" t="str">
        <f t="shared" si="349"/>
        <v/>
      </c>
      <c r="M2325" s="9" t="str">
        <f>IF(G2325&lt;&gt;"",J2325/MAX(J$3:J2325)-1,"")</f>
        <v/>
      </c>
      <c r="N2325" s="9" t="str">
        <f>IF(G2325&lt;&gt;"",K2325/MAX(K$3:K2325)-1,"")</f>
        <v/>
      </c>
      <c r="O2325" s="16" t="str">
        <f t="shared" si="345"/>
        <v/>
      </c>
      <c r="P2325" s="16" t="str">
        <f t="shared" si="345"/>
        <v/>
      </c>
      <c r="Q2325" s="16" t="str">
        <f t="shared" si="345"/>
        <v/>
      </c>
      <c r="R2325" s="5" t="str">
        <f t="shared" si="344"/>
        <v/>
      </c>
      <c r="S2325" s="5" t="str">
        <f t="shared" si="348"/>
        <v/>
      </c>
      <c r="T2325" s="5" t="str">
        <f t="shared" si="350"/>
        <v/>
      </c>
      <c r="U2325" s="5" t="str">
        <f t="shared" si="350"/>
        <v/>
      </c>
    </row>
    <row r="2326" spans="7:21" x14ac:dyDescent="0.2">
      <c r="G2326" s="8"/>
      <c r="H2326" s="5"/>
      <c r="J2326" s="10" t="str">
        <f t="shared" si="346"/>
        <v/>
      </c>
      <c r="K2326" s="10" t="str">
        <f t="shared" si="347"/>
        <v/>
      </c>
      <c r="L2326" s="11" t="str">
        <f t="shared" si="349"/>
        <v/>
      </c>
      <c r="M2326" s="9" t="str">
        <f>IF(G2326&lt;&gt;"",J2326/MAX(J$3:J2326)-1,"")</f>
        <v/>
      </c>
      <c r="N2326" s="9" t="str">
        <f>IF(G2326&lt;&gt;"",K2326/MAX(K$3:K2326)-1,"")</f>
        <v/>
      </c>
      <c r="O2326" s="16" t="str">
        <f t="shared" si="345"/>
        <v/>
      </c>
      <c r="P2326" s="16" t="str">
        <f t="shared" si="345"/>
        <v/>
      </c>
      <c r="Q2326" s="16" t="str">
        <f t="shared" si="345"/>
        <v/>
      </c>
      <c r="R2326" s="5" t="str">
        <f t="shared" si="344"/>
        <v/>
      </c>
      <c r="S2326" s="5" t="str">
        <f t="shared" si="348"/>
        <v/>
      </c>
      <c r="T2326" s="5" t="str">
        <f t="shared" si="350"/>
        <v/>
      </c>
      <c r="U2326" s="5" t="str">
        <f t="shared" si="350"/>
        <v/>
      </c>
    </row>
    <row r="2327" spans="7:21" x14ac:dyDescent="0.2">
      <c r="G2327" s="8"/>
      <c r="H2327" s="5"/>
      <c r="J2327" s="10" t="str">
        <f t="shared" si="346"/>
        <v/>
      </c>
      <c r="K2327" s="10" t="str">
        <f t="shared" si="347"/>
        <v/>
      </c>
      <c r="L2327" s="11" t="str">
        <f t="shared" si="349"/>
        <v/>
      </c>
      <c r="M2327" s="9" t="str">
        <f>IF(G2327&lt;&gt;"",J2327/MAX(J$3:J2327)-1,"")</f>
        <v/>
      </c>
      <c r="N2327" s="9" t="str">
        <f>IF(G2327&lt;&gt;"",K2327/MAX(K$3:K2327)-1,"")</f>
        <v/>
      </c>
      <c r="O2327" s="16" t="str">
        <f t="shared" si="345"/>
        <v/>
      </c>
      <c r="P2327" s="16" t="str">
        <f t="shared" si="345"/>
        <v/>
      </c>
      <c r="Q2327" s="16" t="str">
        <f t="shared" si="345"/>
        <v/>
      </c>
      <c r="R2327" s="5" t="str">
        <f t="shared" si="344"/>
        <v/>
      </c>
      <c r="S2327" s="5" t="str">
        <f t="shared" si="348"/>
        <v/>
      </c>
      <c r="T2327" s="5" t="str">
        <f t="shared" si="350"/>
        <v/>
      </c>
      <c r="U2327" s="5" t="str">
        <f t="shared" si="350"/>
        <v/>
      </c>
    </row>
    <row r="2328" spans="7:21" x14ac:dyDescent="0.2">
      <c r="G2328" s="8"/>
      <c r="H2328" s="5"/>
      <c r="J2328" s="10" t="str">
        <f t="shared" si="346"/>
        <v/>
      </c>
      <c r="K2328" s="10" t="str">
        <f t="shared" si="347"/>
        <v/>
      </c>
      <c r="L2328" s="11" t="str">
        <f t="shared" si="349"/>
        <v/>
      </c>
      <c r="M2328" s="9" t="str">
        <f>IF(G2328&lt;&gt;"",J2328/MAX(J$3:J2328)-1,"")</f>
        <v/>
      </c>
      <c r="N2328" s="9" t="str">
        <f>IF(G2328&lt;&gt;"",K2328/MAX(K$3:K2328)-1,"")</f>
        <v/>
      </c>
      <c r="O2328" s="16" t="str">
        <f t="shared" si="345"/>
        <v/>
      </c>
      <c r="P2328" s="16" t="str">
        <f t="shared" si="345"/>
        <v/>
      </c>
      <c r="Q2328" s="16" t="str">
        <f t="shared" si="345"/>
        <v/>
      </c>
      <c r="R2328" s="5" t="str">
        <f t="shared" si="344"/>
        <v/>
      </c>
      <c r="S2328" s="5" t="str">
        <f t="shared" si="348"/>
        <v/>
      </c>
      <c r="T2328" s="5" t="str">
        <f t="shared" ref="T2328:U2343" si="351">IF($G2328&lt;&gt;"",_xlfn.STDEV.S(O2084:O2328),"")</f>
        <v/>
      </c>
      <c r="U2328" s="5" t="str">
        <f t="shared" si="351"/>
        <v/>
      </c>
    </row>
    <row r="2329" spans="7:21" x14ac:dyDescent="0.2">
      <c r="G2329" s="8"/>
      <c r="H2329" s="5"/>
      <c r="J2329" s="10" t="str">
        <f t="shared" si="346"/>
        <v/>
      </c>
      <c r="K2329" s="10" t="str">
        <f t="shared" si="347"/>
        <v/>
      </c>
      <c r="L2329" s="11" t="str">
        <f t="shared" si="349"/>
        <v/>
      </c>
      <c r="M2329" s="9" t="str">
        <f>IF(G2329&lt;&gt;"",J2329/MAX(J$3:J2329)-1,"")</f>
        <v/>
      </c>
      <c r="N2329" s="9" t="str">
        <f>IF(G2329&lt;&gt;"",K2329/MAX(K$3:K2329)-1,"")</f>
        <v/>
      </c>
      <c r="O2329" s="16" t="str">
        <f t="shared" si="345"/>
        <v/>
      </c>
      <c r="P2329" s="16" t="str">
        <f t="shared" si="345"/>
        <v/>
      </c>
      <c r="Q2329" s="16" t="str">
        <f t="shared" si="345"/>
        <v/>
      </c>
      <c r="R2329" s="5" t="str">
        <f t="shared" si="344"/>
        <v/>
      </c>
      <c r="S2329" s="5" t="str">
        <f t="shared" si="348"/>
        <v/>
      </c>
      <c r="T2329" s="5" t="str">
        <f t="shared" si="351"/>
        <v/>
      </c>
      <c r="U2329" s="5" t="str">
        <f t="shared" si="351"/>
        <v/>
      </c>
    </row>
    <row r="2330" spans="7:21" x14ac:dyDescent="0.2">
      <c r="G2330" s="8"/>
      <c r="H2330" s="5"/>
      <c r="J2330" s="10" t="str">
        <f t="shared" si="346"/>
        <v/>
      </c>
      <c r="K2330" s="10" t="str">
        <f t="shared" si="347"/>
        <v/>
      </c>
      <c r="L2330" s="11" t="str">
        <f t="shared" si="349"/>
        <v/>
      </c>
      <c r="M2330" s="9" t="str">
        <f>IF(G2330&lt;&gt;"",J2330/MAX(J$3:J2330)-1,"")</f>
        <v/>
      </c>
      <c r="N2330" s="9" t="str">
        <f>IF(G2330&lt;&gt;"",K2330/MAX(K$3:K2330)-1,"")</f>
        <v/>
      </c>
      <c r="O2330" s="16" t="str">
        <f t="shared" si="345"/>
        <v/>
      </c>
      <c r="P2330" s="16" t="str">
        <f t="shared" si="345"/>
        <v/>
      </c>
      <c r="Q2330" s="16" t="str">
        <f t="shared" si="345"/>
        <v/>
      </c>
      <c r="R2330" s="5" t="str">
        <f t="shared" si="344"/>
        <v/>
      </c>
      <c r="S2330" s="5" t="str">
        <f t="shared" si="348"/>
        <v/>
      </c>
      <c r="T2330" s="5" t="str">
        <f t="shared" si="351"/>
        <v/>
      </c>
      <c r="U2330" s="5" t="str">
        <f t="shared" si="351"/>
        <v/>
      </c>
    </row>
    <row r="2331" spans="7:21" x14ac:dyDescent="0.2">
      <c r="G2331" s="8"/>
      <c r="H2331" s="5"/>
      <c r="J2331" s="10" t="str">
        <f t="shared" si="346"/>
        <v/>
      </c>
      <c r="K2331" s="10" t="str">
        <f t="shared" si="347"/>
        <v/>
      </c>
      <c r="L2331" s="11" t="str">
        <f t="shared" si="349"/>
        <v/>
      </c>
      <c r="M2331" s="9" t="str">
        <f>IF(G2331&lt;&gt;"",J2331/MAX(J$3:J2331)-1,"")</f>
        <v/>
      </c>
      <c r="N2331" s="9" t="str">
        <f>IF(G2331&lt;&gt;"",K2331/MAX(K$3:K2331)-1,"")</f>
        <v/>
      </c>
      <c r="O2331" s="16" t="str">
        <f t="shared" si="345"/>
        <v/>
      </c>
      <c r="P2331" s="16" t="str">
        <f t="shared" si="345"/>
        <v/>
      </c>
      <c r="Q2331" s="16" t="str">
        <f t="shared" si="345"/>
        <v/>
      </c>
      <c r="R2331" s="5" t="str">
        <f t="shared" si="344"/>
        <v/>
      </c>
      <c r="S2331" s="5" t="str">
        <f t="shared" si="348"/>
        <v/>
      </c>
      <c r="T2331" s="5" t="str">
        <f t="shared" si="351"/>
        <v/>
      </c>
      <c r="U2331" s="5" t="str">
        <f t="shared" si="351"/>
        <v/>
      </c>
    </row>
    <row r="2332" spans="7:21" x14ac:dyDescent="0.2">
      <c r="G2332" s="8"/>
      <c r="H2332" s="5"/>
      <c r="J2332" s="10" t="str">
        <f t="shared" si="346"/>
        <v/>
      </c>
      <c r="K2332" s="10" t="str">
        <f t="shared" si="347"/>
        <v/>
      </c>
      <c r="L2332" s="11" t="str">
        <f t="shared" si="349"/>
        <v/>
      </c>
      <c r="M2332" s="9" t="str">
        <f>IF(G2332&lt;&gt;"",J2332/MAX(J$3:J2332)-1,"")</f>
        <v/>
      </c>
      <c r="N2332" s="9" t="str">
        <f>IF(G2332&lt;&gt;"",K2332/MAX(K$3:K2332)-1,"")</f>
        <v/>
      </c>
      <c r="O2332" s="16" t="str">
        <f t="shared" si="345"/>
        <v/>
      </c>
      <c r="P2332" s="16" t="str">
        <f t="shared" si="345"/>
        <v/>
      </c>
      <c r="Q2332" s="16" t="str">
        <f t="shared" si="345"/>
        <v/>
      </c>
      <c r="R2332" s="5" t="str">
        <f t="shared" si="344"/>
        <v/>
      </c>
      <c r="S2332" s="5" t="str">
        <f t="shared" si="348"/>
        <v/>
      </c>
      <c r="T2332" s="5" t="str">
        <f t="shared" si="351"/>
        <v/>
      </c>
      <c r="U2332" s="5" t="str">
        <f t="shared" si="351"/>
        <v/>
      </c>
    </row>
    <row r="2333" spans="7:21" x14ac:dyDescent="0.2">
      <c r="G2333" s="8"/>
      <c r="H2333" s="5"/>
      <c r="J2333" s="10" t="str">
        <f t="shared" si="346"/>
        <v/>
      </c>
      <c r="K2333" s="10" t="str">
        <f t="shared" si="347"/>
        <v/>
      </c>
      <c r="L2333" s="11" t="str">
        <f t="shared" si="349"/>
        <v/>
      </c>
      <c r="M2333" s="9" t="str">
        <f>IF(G2333&lt;&gt;"",J2333/MAX(J$3:J2333)-1,"")</f>
        <v/>
      </c>
      <c r="N2333" s="9" t="str">
        <f>IF(G2333&lt;&gt;"",K2333/MAX(K$3:K2333)-1,"")</f>
        <v/>
      </c>
      <c r="O2333" s="16" t="str">
        <f t="shared" si="345"/>
        <v/>
      </c>
      <c r="P2333" s="16" t="str">
        <f t="shared" si="345"/>
        <v/>
      </c>
      <c r="Q2333" s="16" t="str">
        <f t="shared" si="345"/>
        <v/>
      </c>
      <c r="R2333" s="5" t="str">
        <f t="shared" si="344"/>
        <v/>
      </c>
      <c r="S2333" s="5" t="str">
        <f t="shared" si="348"/>
        <v/>
      </c>
      <c r="T2333" s="5" t="str">
        <f t="shared" si="351"/>
        <v/>
      </c>
      <c r="U2333" s="5" t="str">
        <f t="shared" si="351"/>
        <v/>
      </c>
    </row>
    <row r="2334" spans="7:21" x14ac:dyDescent="0.2">
      <c r="G2334" s="8"/>
      <c r="H2334" s="5"/>
      <c r="J2334" s="10" t="str">
        <f t="shared" si="346"/>
        <v/>
      </c>
      <c r="K2334" s="10" t="str">
        <f t="shared" si="347"/>
        <v/>
      </c>
      <c r="L2334" s="11" t="str">
        <f t="shared" si="349"/>
        <v/>
      </c>
      <c r="M2334" s="9" t="str">
        <f>IF(G2334&lt;&gt;"",J2334/MAX(J$3:J2334)-1,"")</f>
        <v/>
      </c>
      <c r="N2334" s="9" t="str">
        <f>IF(G2334&lt;&gt;"",K2334/MAX(K$3:K2334)-1,"")</f>
        <v/>
      </c>
      <c r="O2334" s="16" t="str">
        <f t="shared" si="345"/>
        <v/>
      </c>
      <c r="P2334" s="16" t="str">
        <f t="shared" si="345"/>
        <v/>
      </c>
      <c r="Q2334" s="16" t="str">
        <f t="shared" si="345"/>
        <v/>
      </c>
      <c r="R2334" s="5" t="str">
        <f t="shared" si="344"/>
        <v/>
      </c>
      <c r="S2334" s="5" t="str">
        <f t="shared" si="348"/>
        <v/>
      </c>
      <c r="T2334" s="5" t="str">
        <f t="shared" si="351"/>
        <v/>
      </c>
      <c r="U2334" s="5" t="str">
        <f t="shared" si="351"/>
        <v/>
      </c>
    </row>
    <row r="2335" spans="7:21" x14ac:dyDescent="0.2">
      <c r="G2335" s="8"/>
      <c r="H2335" s="5"/>
      <c r="J2335" s="10" t="str">
        <f t="shared" si="346"/>
        <v/>
      </c>
      <c r="K2335" s="10" t="str">
        <f t="shared" si="347"/>
        <v/>
      </c>
      <c r="L2335" s="11" t="str">
        <f t="shared" si="349"/>
        <v/>
      </c>
      <c r="M2335" s="9" t="str">
        <f>IF(G2335&lt;&gt;"",J2335/MAX(J$3:J2335)-1,"")</f>
        <v/>
      </c>
      <c r="N2335" s="9" t="str">
        <f>IF(G2335&lt;&gt;"",K2335/MAX(K$3:K2335)-1,"")</f>
        <v/>
      </c>
      <c r="O2335" s="16" t="str">
        <f t="shared" si="345"/>
        <v/>
      </c>
      <c r="P2335" s="16" t="str">
        <f t="shared" si="345"/>
        <v/>
      </c>
      <c r="Q2335" s="16" t="str">
        <f t="shared" si="345"/>
        <v/>
      </c>
      <c r="R2335" s="5" t="str">
        <f t="shared" si="344"/>
        <v/>
      </c>
      <c r="S2335" s="5" t="str">
        <f t="shared" si="348"/>
        <v/>
      </c>
      <c r="T2335" s="5" t="str">
        <f t="shared" si="351"/>
        <v/>
      </c>
      <c r="U2335" s="5" t="str">
        <f t="shared" si="351"/>
        <v/>
      </c>
    </row>
    <row r="2336" spans="7:21" x14ac:dyDescent="0.2">
      <c r="G2336" s="8"/>
      <c r="H2336" s="5"/>
      <c r="J2336" s="10" t="str">
        <f t="shared" si="346"/>
        <v/>
      </c>
      <c r="K2336" s="10" t="str">
        <f t="shared" si="347"/>
        <v/>
      </c>
      <c r="L2336" s="11" t="str">
        <f t="shared" si="349"/>
        <v/>
      </c>
      <c r="M2336" s="9" t="str">
        <f>IF(G2336&lt;&gt;"",J2336/MAX(J$3:J2336)-1,"")</f>
        <v/>
      </c>
      <c r="N2336" s="9" t="str">
        <f>IF(G2336&lt;&gt;"",K2336/MAX(K$3:K2336)-1,"")</f>
        <v/>
      </c>
      <c r="O2336" s="16" t="str">
        <f t="shared" si="345"/>
        <v/>
      </c>
      <c r="P2336" s="16" t="str">
        <f t="shared" si="345"/>
        <v/>
      </c>
      <c r="Q2336" s="16" t="str">
        <f t="shared" si="345"/>
        <v/>
      </c>
      <c r="R2336" s="5" t="str">
        <f t="shared" si="344"/>
        <v/>
      </c>
      <c r="S2336" s="5" t="str">
        <f t="shared" si="348"/>
        <v/>
      </c>
      <c r="T2336" s="5" t="str">
        <f t="shared" si="351"/>
        <v/>
      </c>
      <c r="U2336" s="5" t="str">
        <f t="shared" si="351"/>
        <v/>
      </c>
    </row>
    <row r="2337" spans="7:21" x14ac:dyDescent="0.2">
      <c r="G2337" s="8"/>
      <c r="H2337" s="5"/>
      <c r="J2337" s="10" t="str">
        <f t="shared" si="346"/>
        <v/>
      </c>
      <c r="K2337" s="10" t="str">
        <f t="shared" si="347"/>
        <v/>
      </c>
      <c r="L2337" s="11" t="str">
        <f t="shared" si="349"/>
        <v/>
      </c>
      <c r="M2337" s="9" t="str">
        <f>IF(G2337&lt;&gt;"",J2337/MAX(J$3:J2337)-1,"")</f>
        <v/>
      </c>
      <c r="N2337" s="9" t="str">
        <f>IF(G2337&lt;&gt;"",K2337/MAX(K$3:K2337)-1,"")</f>
        <v/>
      </c>
      <c r="O2337" s="16" t="str">
        <f t="shared" si="345"/>
        <v/>
      </c>
      <c r="P2337" s="16" t="str">
        <f t="shared" si="345"/>
        <v/>
      </c>
      <c r="Q2337" s="16" t="str">
        <f t="shared" si="345"/>
        <v/>
      </c>
      <c r="R2337" s="5" t="str">
        <f t="shared" si="344"/>
        <v/>
      </c>
      <c r="S2337" s="5" t="str">
        <f t="shared" si="348"/>
        <v/>
      </c>
      <c r="T2337" s="5" t="str">
        <f t="shared" si="351"/>
        <v/>
      </c>
      <c r="U2337" s="5" t="str">
        <f t="shared" si="351"/>
        <v/>
      </c>
    </row>
    <row r="2338" spans="7:21" x14ac:dyDescent="0.2">
      <c r="G2338" s="8"/>
      <c r="H2338" s="5"/>
      <c r="J2338" s="10" t="str">
        <f t="shared" si="346"/>
        <v/>
      </c>
      <c r="K2338" s="10" t="str">
        <f t="shared" si="347"/>
        <v/>
      </c>
      <c r="L2338" s="11" t="str">
        <f t="shared" si="349"/>
        <v/>
      </c>
      <c r="M2338" s="9" t="str">
        <f>IF(G2338&lt;&gt;"",J2338/MAX(J$3:J2338)-1,"")</f>
        <v/>
      </c>
      <c r="N2338" s="9" t="str">
        <f>IF(G2338&lt;&gt;"",K2338/MAX(K$3:K2338)-1,"")</f>
        <v/>
      </c>
      <c r="O2338" s="16" t="str">
        <f t="shared" si="345"/>
        <v/>
      </c>
      <c r="P2338" s="16" t="str">
        <f t="shared" si="345"/>
        <v/>
      </c>
      <c r="Q2338" s="16" t="str">
        <f t="shared" si="345"/>
        <v/>
      </c>
      <c r="R2338" s="5" t="str">
        <f t="shared" si="344"/>
        <v/>
      </c>
      <c r="S2338" s="5" t="str">
        <f t="shared" si="348"/>
        <v/>
      </c>
      <c r="T2338" s="5" t="str">
        <f t="shared" si="351"/>
        <v/>
      </c>
      <c r="U2338" s="5" t="str">
        <f t="shared" si="351"/>
        <v/>
      </c>
    </row>
    <row r="2339" spans="7:21" x14ac:dyDescent="0.2">
      <c r="G2339" s="8"/>
      <c r="H2339" s="5"/>
      <c r="J2339" s="10" t="str">
        <f t="shared" si="346"/>
        <v/>
      </c>
      <c r="K2339" s="10" t="str">
        <f t="shared" si="347"/>
        <v/>
      </c>
      <c r="L2339" s="11" t="str">
        <f t="shared" si="349"/>
        <v/>
      </c>
      <c r="M2339" s="9" t="str">
        <f>IF(G2339&lt;&gt;"",J2339/MAX(J$3:J2339)-1,"")</f>
        <v/>
      </c>
      <c r="N2339" s="9" t="str">
        <f>IF(G2339&lt;&gt;"",K2339/MAX(K$3:K2339)-1,"")</f>
        <v/>
      </c>
      <c r="O2339" s="16" t="str">
        <f t="shared" si="345"/>
        <v/>
      </c>
      <c r="P2339" s="16" t="str">
        <f t="shared" si="345"/>
        <v/>
      </c>
      <c r="Q2339" s="16" t="str">
        <f t="shared" si="345"/>
        <v/>
      </c>
      <c r="R2339" s="5" t="str">
        <f t="shared" si="344"/>
        <v/>
      </c>
      <c r="S2339" s="5" t="str">
        <f t="shared" si="348"/>
        <v/>
      </c>
      <c r="T2339" s="5" t="str">
        <f t="shared" si="351"/>
        <v/>
      </c>
      <c r="U2339" s="5" t="str">
        <f t="shared" si="351"/>
        <v/>
      </c>
    </row>
    <row r="2340" spans="7:21" x14ac:dyDescent="0.2">
      <c r="G2340" s="8"/>
      <c r="H2340" s="5"/>
      <c r="J2340" s="10" t="str">
        <f t="shared" si="346"/>
        <v/>
      </c>
      <c r="K2340" s="10" t="str">
        <f t="shared" si="347"/>
        <v/>
      </c>
      <c r="L2340" s="11" t="str">
        <f t="shared" si="349"/>
        <v/>
      </c>
      <c r="M2340" s="9" t="str">
        <f>IF(G2340&lt;&gt;"",J2340/MAX(J$3:J2340)-1,"")</f>
        <v/>
      </c>
      <c r="N2340" s="9" t="str">
        <f>IF(G2340&lt;&gt;"",K2340/MAX(K$3:K2340)-1,"")</f>
        <v/>
      </c>
      <c r="O2340" s="16" t="str">
        <f t="shared" si="345"/>
        <v/>
      </c>
      <c r="P2340" s="16" t="str">
        <f t="shared" si="345"/>
        <v/>
      </c>
      <c r="Q2340" s="16" t="str">
        <f t="shared" si="345"/>
        <v/>
      </c>
      <c r="R2340" s="5" t="str">
        <f t="shared" si="344"/>
        <v/>
      </c>
      <c r="S2340" s="5" t="str">
        <f t="shared" si="348"/>
        <v/>
      </c>
      <c r="T2340" s="5" t="str">
        <f t="shared" si="351"/>
        <v/>
      </c>
      <c r="U2340" s="5" t="str">
        <f t="shared" si="351"/>
        <v/>
      </c>
    </row>
    <row r="2341" spans="7:21" x14ac:dyDescent="0.2">
      <c r="G2341" s="8"/>
      <c r="H2341" s="5"/>
      <c r="J2341" s="10" t="str">
        <f t="shared" si="346"/>
        <v/>
      </c>
      <c r="K2341" s="10" t="str">
        <f t="shared" si="347"/>
        <v/>
      </c>
      <c r="L2341" s="11" t="str">
        <f t="shared" si="349"/>
        <v/>
      </c>
      <c r="M2341" s="9" t="str">
        <f>IF(G2341&lt;&gt;"",J2341/MAX(J$3:J2341)-1,"")</f>
        <v/>
      </c>
      <c r="N2341" s="9" t="str">
        <f>IF(G2341&lt;&gt;"",K2341/MAX(K$3:K2341)-1,"")</f>
        <v/>
      </c>
      <c r="O2341" s="16" t="str">
        <f t="shared" si="345"/>
        <v/>
      </c>
      <c r="P2341" s="16" t="str">
        <f t="shared" si="345"/>
        <v/>
      </c>
      <c r="Q2341" s="16" t="str">
        <f t="shared" si="345"/>
        <v/>
      </c>
      <c r="R2341" s="5" t="str">
        <f t="shared" si="344"/>
        <v/>
      </c>
      <c r="S2341" s="5" t="str">
        <f t="shared" si="348"/>
        <v/>
      </c>
      <c r="T2341" s="5" t="str">
        <f t="shared" si="351"/>
        <v/>
      </c>
      <c r="U2341" s="5" t="str">
        <f t="shared" si="351"/>
        <v/>
      </c>
    </row>
    <row r="2342" spans="7:21" x14ac:dyDescent="0.2">
      <c r="G2342" s="8"/>
      <c r="H2342" s="5"/>
      <c r="J2342" s="10" t="str">
        <f t="shared" si="346"/>
        <v/>
      </c>
      <c r="K2342" s="10" t="str">
        <f t="shared" si="347"/>
        <v/>
      </c>
      <c r="L2342" s="11" t="str">
        <f t="shared" si="349"/>
        <v/>
      </c>
      <c r="M2342" s="9" t="str">
        <f>IF(G2342&lt;&gt;"",J2342/MAX(J$3:J2342)-1,"")</f>
        <v/>
      </c>
      <c r="N2342" s="9" t="str">
        <f>IF(G2342&lt;&gt;"",K2342/MAX(K$3:K2342)-1,"")</f>
        <v/>
      </c>
      <c r="O2342" s="16" t="str">
        <f t="shared" si="345"/>
        <v/>
      </c>
      <c r="P2342" s="16" t="str">
        <f t="shared" si="345"/>
        <v/>
      </c>
      <c r="Q2342" s="16" t="str">
        <f t="shared" si="345"/>
        <v/>
      </c>
      <c r="R2342" s="5" t="str">
        <f t="shared" si="344"/>
        <v/>
      </c>
      <c r="S2342" s="5" t="str">
        <f t="shared" si="348"/>
        <v/>
      </c>
      <c r="T2342" s="5" t="str">
        <f t="shared" si="351"/>
        <v/>
      </c>
      <c r="U2342" s="5" t="str">
        <f t="shared" si="351"/>
        <v/>
      </c>
    </row>
    <row r="2343" spans="7:21" x14ac:dyDescent="0.2">
      <c r="G2343" s="8"/>
      <c r="H2343" s="5"/>
      <c r="J2343" s="10" t="str">
        <f t="shared" si="346"/>
        <v/>
      </c>
      <c r="K2343" s="10" t="str">
        <f t="shared" si="347"/>
        <v/>
      </c>
      <c r="L2343" s="11" t="str">
        <f t="shared" si="349"/>
        <v/>
      </c>
      <c r="M2343" s="9" t="str">
        <f>IF(G2343&lt;&gt;"",J2343/MAX(J$3:J2343)-1,"")</f>
        <v/>
      </c>
      <c r="N2343" s="9" t="str">
        <f>IF(G2343&lt;&gt;"",K2343/MAX(K$3:K2343)-1,"")</f>
        <v/>
      </c>
      <c r="O2343" s="16" t="str">
        <f t="shared" si="345"/>
        <v/>
      </c>
      <c r="P2343" s="16" t="str">
        <f t="shared" si="345"/>
        <v/>
      </c>
      <c r="Q2343" s="16" t="str">
        <f t="shared" si="345"/>
        <v/>
      </c>
      <c r="R2343" s="5" t="str">
        <f t="shared" si="344"/>
        <v/>
      </c>
      <c r="S2343" s="5" t="str">
        <f t="shared" si="348"/>
        <v/>
      </c>
      <c r="T2343" s="5" t="str">
        <f t="shared" si="351"/>
        <v/>
      </c>
      <c r="U2343" s="5" t="str">
        <f t="shared" si="351"/>
        <v/>
      </c>
    </row>
    <row r="2344" spans="7:21" x14ac:dyDescent="0.2">
      <c r="G2344" s="8"/>
      <c r="H2344" s="5"/>
      <c r="J2344" s="10" t="str">
        <f t="shared" si="346"/>
        <v/>
      </c>
      <c r="K2344" s="10" t="str">
        <f t="shared" si="347"/>
        <v/>
      </c>
      <c r="L2344" s="11" t="str">
        <f t="shared" si="349"/>
        <v/>
      </c>
      <c r="M2344" s="9" t="str">
        <f>IF(G2344&lt;&gt;"",J2344/MAX(J$3:J2344)-1,"")</f>
        <v/>
      </c>
      <c r="N2344" s="9" t="str">
        <f>IF(G2344&lt;&gt;"",K2344/MAX(K$3:K2344)-1,"")</f>
        <v/>
      </c>
      <c r="O2344" s="16" t="str">
        <f t="shared" si="345"/>
        <v/>
      </c>
      <c r="P2344" s="16" t="str">
        <f t="shared" si="345"/>
        <v/>
      </c>
      <c r="Q2344" s="16" t="str">
        <f t="shared" si="345"/>
        <v/>
      </c>
      <c r="R2344" s="5" t="str">
        <f t="shared" si="344"/>
        <v/>
      </c>
      <c r="S2344" s="5" t="str">
        <f t="shared" si="348"/>
        <v/>
      </c>
      <c r="T2344" s="5" t="str">
        <f t="shared" ref="T2344:U2359" si="352">IF($G2344&lt;&gt;"",_xlfn.STDEV.S(O2100:O2344),"")</f>
        <v/>
      </c>
      <c r="U2344" s="5" t="str">
        <f t="shared" si="352"/>
        <v/>
      </c>
    </row>
    <row r="2345" spans="7:21" x14ac:dyDescent="0.2">
      <c r="G2345" s="8"/>
      <c r="H2345" s="5"/>
      <c r="J2345" s="10" t="str">
        <f t="shared" si="346"/>
        <v/>
      </c>
      <c r="K2345" s="10" t="str">
        <f t="shared" si="347"/>
        <v/>
      </c>
      <c r="L2345" s="11" t="str">
        <f t="shared" si="349"/>
        <v/>
      </c>
      <c r="M2345" s="9" t="str">
        <f>IF(G2345&lt;&gt;"",J2345/MAX(J$3:J2345)-1,"")</f>
        <v/>
      </c>
      <c r="N2345" s="9" t="str">
        <f>IF(G2345&lt;&gt;"",K2345/MAX(K$3:K2345)-1,"")</f>
        <v/>
      </c>
      <c r="O2345" s="16" t="str">
        <f t="shared" si="345"/>
        <v/>
      </c>
      <c r="P2345" s="16" t="str">
        <f t="shared" si="345"/>
        <v/>
      </c>
      <c r="Q2345" s="16" t="str">
        <f t="shared" si="345"/>
        <v/>
      </c>
      <c r="R2345" s="5" t="str">
        <f t="shared" si="344"/>
        <v/>
      </c>
      <c r="S2345" s="5" t="str">
        <f t="shared" si="348"/>
        <v/>
      </c>
      <c r="T2345" s="5" t="str">
        <f t="shared" si="352"/>
        <v/>
      </c>
      <c r="U2345" s="5" t="str">
        <f t="shared" si="352"/>
        <v/>
      </c>
    </row>
    <row r="2346" spans="7:21" x14ac:dyDescent="0.2">
      <c r="G2346" s="8"/>
      <c r="H2346" s="5"/>
      <c r="J2346" s="10" t="str">
        <f t="shared" si="346"/>
        <v/>
      </c>
      <c r="K2346" s="10" t="str">
        <f t="shared" si="347"/>
        <v/>
      </c>
      <c r="L2346" s="11" t="str">
        <f t="shared" si="349"/>
        <v/>
      </c>
      <c r="M2346" s="9" t="str">
        <f>IF(G2346&lt;&gt;"",J2346/MAX(J$3:J2346)-1,"")</f>
        <v/>
      </c>
      <c r="N2346" s="9" t="str">
        <f>IF(G2346&lt;&gt;"",K2346/MAX(K$3:K2346)-1,"")</f>
        <v/>
      </c>
      <c r="O2346" s="16" t="str">
        <f t="shared" si="345"/>
        <v/>
      </c>
      <c r="P2346" s="16" t="str">
        <f t="shared" si="345"/>
        <v/>
      </c>
      <c r="Q2346" s="16" t="str">
        <f t="shared" si="345"/>
        <v/>
      </c>
      <c r="R2346" s="5" t="str">
        <f t="shared" si="344"/>
        <v/>
      </c>
      <c r="S2346" s="5" t="str">
        <f t="shared" si="348"/>
        <v/>
      </c>
      <c r="T2346" s="5" t="str">
        <f t="shared" si="352"/>
        <v/>
      </c>
      <c r="U2346" s="5" t="str">
        <f t="shared" si="352"/>
        <v/>
      </c>
    </row>
    <row r="2347" spans="7:21" x14ac:dyDescent="0.2">
      <c r="G2347" s="8"/>
      <c r="H2347" s="5"/>
      <c r="J2347" s="10" t="str">
        <f t="shared" si="346"/>
        <v/>
      </c>
      <c r="K2347" s="10" t="str">
        <f t="shared" si="347"/>
        <v/>
      </c>
      <c r="L2347" s="11" t="str">
        <f t="shared" si="349"/>
        <v/>
      </c>
      <c r="M2347" s="9" t="str">
        <f>IF(G2347&lt;&gt;"",J2347/MAX(J$3:J2347)-1,"")</f>
        <v/>
      </c>
      <c r="N2347" s="9" t="str">
        <f>IF(G2347&lt;&gt;"",K2347/MAX(K$3:K2347)-1,"")</f>
        <v/>
      </c>
      <c r="O2347" s="16" t="str">
        <f t="shared" si="345"/>
        <v/>
      </c>
      <c r="P2347" s="16" t="str">
        <f t="shared" si="345"/>
        <v/>
      </c>
      <c r="Q2347" s="16" t="str">
        <f t="shared" si="345"/>
        <v/>
      </c>
      <c r="R2347" s="5" t="str">
        <f t="shared" si="344"/>
        <v/>
      </c>
      <c r="S2347" s="5" t="str">
        <f t="shared" si="348"/>
        <v/>
      </c>
      <c r="T2347" s="5" t="str">
        <f t="shared" si="352"/>
        <v/>
      </c>
      <c r="U2347" s="5" t="str">
        <f t="shared" si="352"/>
        <v/>
      </c>
    </row>
    <row r="2348" spans="7:21" x14ac:dyDescent="0.2">
      <c r="G2348" s="8"/>
      <c r="H2348" s="5"/>
      <c r="J2348" s="10" t="str">
        <f t="shared" si="346"/>
        <v/>
      </c>
      <c r="K2348" s="10" t="str">
        <f t="shared" si="347"/>
        <v/>
      </c>
      <c r="L2348" s="11" t="str">
        <f t="shared" si="349"/>
        <v/>
      </c>
      <c r="M2348" s="9" t="str">
        <f>IF(G2348&lt;&gt;"",J2348/MAX(J$3:J2348)-1,"")</f>
        <v/>
      </c>
      <c r="N2348" s="9" t="str">
        <f>IF(G2348&lt;&gt;"",K2348/MAX(K$3:K2348)-1,"")</f>
        <v/>
      </c>
      <c r="O2348" s="16" t="str">
        <f t="shared" si="345"/>
        <v/>
      </c>
      <c r="P2348" s="16" t="str">
        <f t="shared" si="345"/>
        <v/>
      </c>
      <c r="Q2348" s="16" t="str">
        <f t="shared" si="345"/>
        <v/>
      </c>
      <c r="R2348" s="5" t="str">
        <f t="shared" si="344"/>
        <v/>
      </c>
      <c r="S2348" s="5" t="str">
        <f t="shared" si="348"/>
        <v/>
      </c>
      <c r="T2348" s="5" t="str">
        <f t="shared" si="352"/>
        <v/>
      </c>
      <c r="U2348" s="5" t="str">
        <f t="shared" si="352"/>
        <v/>
      </c>
    </row>
    <row r="2349" spans="7:21" x14ac:dyDescent="0.2">
      <c r="G2349" s="8"/>
      <c r="H2349" s="5"/>
      <c r="J2349" s="10" t="str">
        <f t="shared" si="346"/>
        <v/>
      </c>
      <c r="K2349" s="10" t="str">
        <f t="shared" si="347"/>
        <v/>
      </c>
      <c r="L2349" s="11" t="str">
        <f t="shared" si="349"/>
        <v/>
      </c>
      <c r="M2349" s="9" t="str">
        <f>IF(G2349&lt;&gt;"",J2349/MAX(J$3:J2349)-1,"")</f>
        <v/>
      </c>
      <c r="N2349" s="9" t="str">
        <f>IF(G2349&lt;&gt;"",K2349/MAX(K$3:K2349)-1,"")</f>
        <v/>
      </c>
      <c r="O2349" s="16" t="str">
        <f t="shared" si="345"/>
        <v/>
      </c>
      <c r="P2349" s="16" t="str">
        <f t="shared" si="345"/>
        <v/>
      </c>
      <c r="Q2349" s="16" t="str">
        <f t="shared" si="345"/>
        <v/>
      </c>
      <c r="R2349" s="5" t="str">
        <f t="shared" si="344"/>
        <v/>
      </c>
      <c r="S2349" s="5" t="str">
        <f t="shared" si="348"/>
        <v/>
      </c>
      <c r="T2349" s="5" t="str">
        <f t="shared" si="352"/>
        <v/>
      </c>
      <c r="U2349" s="5" t="str">
        <f t="shared" si="352"/>
        <v/>
      </c>
    </row>
    <row r="2350" spans="7:21" x14ac:dyDescent="0.2">
      <c r="G2350" s="8"/>
      <c r="H2350" s="5"/>
      <c r="J2350" s="10" t="str">
        <f t="shared" si="346"/>
        <v/>
      </c>
      <c r="K2350" s="10" t="str">
        <f t="shared" si="347"/>
        <v/>
      </c>
      <c r="L2350" s="11" t="str">
        <f t="shared" si="349"/>
        <v/>
      </c>
      <c r="M2350" s="9" t="str">
        <f>IF(G2350&lt;&gt;"",J2350/MAX(J$3:J2350)-1,"")</f>
        <v/>
      </c>
      <c r="N2350" s="9" t="str">
        <f>IF(G2350&lt;&gt;"",K2350/MAX(K$3:K2350)-1,"")</f>
        <v/>
      </c>
      <c r="O2350" s="16" t="str">
        <f t="shared" si="345"/>
        <v/>
      </c>
      <c r="P2350" s="16" t="str">
        <f t="shared" si="345"/>
        <v/>
      </c>
      <c r="Q2350" s="16" t="str">
        <f t="shared" si="345"/>
        <v/>
      </c>
      <c r="R2350" s="5" t="str">
        <f t="shared" si="344"/>
        <v/>
      </c>
      <c r="S2350" s="5" t="str">
        <f t="shared" si="348"/>
        <v/>
      </c>
      <c r="T2350" s="5" t="str">
        <f t="shared" si="352"/>
        <v/>
      </c>
      <c r="U2350" s="5" t="str">
        <f t="shared" si="352"/>
        <v/>
      </c>
    </row>
    <row r="2351" spans="7:21" x14ac:dyDescent="0.2">
      <c r="G2351" s="8"/>
      <c r="H2351" s="5"/>
      <c r="J2351" s="10" t="str">
        <f t="shared" si="346"/>
        <v/>
      </c>
      <c r="K2351" s="10" t="str">
        <f t="shared" si="347"/>
        <v/>
      </c>
      <c r="L2351" s="11" t="str">
        <f t="shared" si="349"/>
        <v/>
      </c>
      <c r="M2351" s="9" t="str">
        <f>IF(G2351&lt;&gt;"",J2351/MAX(J$3:J2351)-1,"")</f>
        <v/>
      </c>
      <c r="N2351" s="9" t="str">
        <f>IF(G2351&lt;&gt;"",K2351/MAX(K$3:K2351)-1,"")</f>
        <v/>
      </c>
      <c r="O2351" s="16" t="str">
        <f t="shared" si="345"/>
        <v/>
      </c>
      <c r="P2351" s="16" t="str">
        <f t="shared" si="345"/>
        <v/>
      </c>
      <c r="Q2351" s="16" t="str">
        <f t="shared" si="345"/>
        <v/>
      </c>
      <c r="R2351" s="5" t="str">
        <f t="shared" si="344"/>
        <v/>
      </c>
      <c r="S2351" s="5" t="str">
        <f t="shared" si="348"/>
        <v/>
      </c>
      <c r="T2351" s="5" t="str">
        <f t="shared" si="352"/>
        <v/>
      </c>
      <c r="U2351" s="5" t="str">
        <f t="shared" si="352"/>
        <v/>
      </c>
    </row>
    <row r="2352" spans="7:21" x14ac:dyDescent="0.2">
      <c r="G2352" s="8"/>
      <c r="H2352" s="5"/>
      <c r="J2352" s="10" t="str">
        <f t="shared" si="346"/>
        <v/>
      </c>
      <c r="K2352" s="10" t="str">
        <f t="shared" si="347"/>
        <v/>
      </c>
      <c r="L2352" s="11" t="str">
        <f t="shared" si="349"/>
        <v/>
      </c>
      <c r="M2352" s="9" t="str">
        <f>IF(G2352&lt;&gt;"",J2352/MAX(J$3:J2352)-1,"")</f>
        <v/>
      </c>
      <c r="N2352" s="9" t="str">
        <f>IF(G2352&lt;&gt;"",K2352/MAX(K$3:K2352)-1,"")</f>
        <v/>
      </c>
      <c r="O2352" s="16" t="str">
        <f t="shared" si="345"/>
        <v/>
      </c>
      <c r="P2352" s="16" t="str">
        <f t="shared" si="345"/>
        <v/>
      </c>
      <c r="Q2352" s="16" t="str">
        <f t="shared" si="345"/>
        <v/>
      </c>
      <c r="R2352" s="5" t="str">
        <f t="shared" si="344"/>
        <v/>
      </c>
      <c r="S2352" s="5" t="str">
        <f t="shared" si="348"/>
        <v/>
      </c>
      <c r="T2352" s="5" t="str">
        <f t="shared" si="352"/>
        <v/>
      </c>
      <c r="U2352" s="5" t="str">
        <f t="shared" si="352"/>
        <v/>
      </c>
    </row>
    <row r="2353" spans="7:21" x14ac:dyDescent="0.2">
      <c r="G2353" s="8"/>
      <c r="H2353" s="5"/>
      <c r="J2353" s="10" t="str">
        <f t="shared" si="346"/>
        <v/>
      </c>
      <c r="K2353" s="10" t="str">
        <f t="shared" si="347"/>
        <v/>
      </c>
      <c r="L2353" s="11" t="str">
        <f t="shared" si="349"/>
        <v/>
      </c>
      <c r="M2353" s="9" t="str">
        <f>IF(G2353&lt;&gt;"",J2353/MAX(J$3:J2353)-1,"")</f>
        <v/>
      </c>
      <c r="N2353" s="9" t="str">
        <f>IF(G2353&lt;&gt;"",K2353/MAX(K$3:K2353)-1,"")</f>
        <v/>
      </c>
      <c r="O2353" s="16" t="str">
        <f t="shared" si="345"/>
        <v/>
      </c>
      <c r="P2353" s="16" t="str">
        <f t="shared" si="345"/>
        <v/>
      </c>
      <c r="Q2353" s="16" t="str">
        <f t="shared" si="345"/>
        <v/>
      </c>
      <c r="R2353" s="5" t="str">
        <f t="shared" si="344"/>
        <v/>
      </c>
      <c r="S2353" s="5" t="str">
        <f t="shared" si="348"/>
        <v/>
      </c>
      <c r="T2353" s="5" t="str">
        <f t="shared" si="352"/>
        <v/>
      </c>
      <c r="U2353" s="5" t="str">
        <f t="shared" si="352"/>
        <v/>
      </c>
    </row>
    <row r="2354" spans="7:21" x14ac:dyDescent="0.2">
      <c r="G2354" s="8"/>
      <c r="H2354" s="5"/>
      <c r="J2354" s="10" t="str">
        <f t="shared" si="346"/>
        <v/>
      </c>
      <c r="K2354" s="10" t="str">
        <f t="shared" si="347"/>
        <v/>
      </c>
      <c r="L2354" s="11" t="str">
        <f t="shared" si="349"/>
        <v/>
      </c>
      <c r="M2354" s="9" t="str">
        <f>IF(G2354&lt;&gt;"",J2354/MAX(J$3:J2354)-1,"")</f>
        <v/>
      </c>
      <c r="N2354" s="9" t="str">
        <f>IF(G2354&lt;&gt;"",K2354/MAX(K$3:K2354)-1,"")</f>
        <v/>
      </c>
      <c r="O2354" s="16" t="str">
        <f t="shared" si="345"/>
        <v/>
      </c>
      <c r="P2354" s="16" t="str">
        <f t="shared" si="345"/>
        <v/>
      </c>
      <c r="Q2354" s="16" t="str">
        <f t="shared" si="345"/>
        <v/>
      </c>
      <c r="R2354" s="5" t="str">
        <f t="shared" si="344"/>
        <v/>
      </c>
      <c r="S2354" s="5" t="str">
        <f t="shared" si="348"/>
        <v/>
      </c>
      <c r="T2354" s="5" t="str">
        <f t="shared" si="352"/>
        <v/>
      </c>
      <c r="U2354" s="5" t="str">
        <f t="shared" si="352"/>
        <v/>
      </c>
    </row>
    <row r="2355" spans="7:21" x14ac:dyDescent="0.2">
      <c r="G2355" s="8"/>
      <c r="H2355" s="5"/>
      <c r="J2355" s="10" t="str">
        <f t="shared" si="346"/>
        <v/>
      </c>
      <c r="K2355" s="10" t="str">
        <f t="shared" si="347"/>
        <v/>
      </c>
      <c r="L2355" s="11" t="str">
        <f t="shared" si="349"/>
        <v/>
      </c>
      <c r="M2355" s="9" t="str">
        <f>IF(G2355&lt;&gt;"",J2355/MAX(J$3:J2355)-1,"")</f>
        <v/>
      </c>
      <c r="N2355" s="9" t="str">
        <f>IF(G2355&lt;&gt;"",K2355/MAX(K$3:K2355)-1,"")</f>
        <v/>
      </c>
      <c r="O2355" s="16" t="str">
        <f t="shared" si="345"/>
        <v/>
      </c>
      <c r="P2355" s="16" t="str">
        <f t="shared" si="345"/>
        <v/>
      </c>
      <c r="Q2355" s="16" t="str">
        <f t="shared" si="345"/>
        <v/>
      </c>
      <c r="R2355" s="5" t="str">
        <f t="shared" si="344"/>
        <v/>
      </c>
      <c r="S2355" s="5" t="str">
        <f t="shared" si="348"/>
        <v/>
      </c>
      <c r="T2355" s="5" t="str">
        <f t="shared" si="352"/>
        <v/>
      </c>
      <c r="U2355" s="5" t="str">
        <f t="shared" si="352"/>
        <v/>
      </c>
    </row>
    <row r="2356" spans="7:21" x14ac:dyDescent="0.2">
      <c r="G2356" s="8"/>
      <c r="H2356" s="5"/>
      <c r="J2356" s="10" t="str">
        <f t="shared" si="346"/>
        <v/>
      </c>
      <c r="K2356" s="10" t="str">
        <f t="shared" si="347"/>
        <v/>
      </c>
      <c r="L2356" s="11" t="str">
        <f t="shared" si="349"/>
        <v/>
      </c>
      <c r="M2356" s="9" t="str">
        <f>IF(G2356&lt;&gt;"",J2356/MAX(J$3:J2356)-1,"")</f>
        <v/>
      </c>
      <c r="N2356" s="9" t="str">
        <f>IF(G2356&lt;&gt;"",K2356/MAX(K$3:K2356)-1,"")</f>
        <v/>
      </c>
      <c r="O2356" s="16" t="str">
        <f t="shared" si="345"/>
        <v/>
      </c>
      <c r="P2356" s="16" t="str">
        <f t="shared" si="345"/>
        <v/>
      </c>
      <c r="Q2356" s="16" t="str">
        <f t="shared" si="345"/>
        <v/>
      </c>
      <c r="R2356" s="5" t="str">
        <f t="shared" si="344"/>
        <v/>
      </c>
      <c r="S2356" s="5" t="str">
        <f t="shared" si="348"/>
        <v/>
      </c>
      <c r="T2356" s="5" t="str">
        <f t="shared" si="352"/>
        <v/>
      </c>
      <c r="U2356" s="5" t="str">
        <f t="shared" si="352"/>
        <v/>
      </c>
    </row>
    <row r="2357" spans="7:21" x14ac:dyDescent="0.2">
      <c r="G2357" s="8"/>
      <c r="H2357" s="5"/>
      <c r="J2357" s="10" t="str">
        <f t="shared" si="346"/>
        <v/>
      </c>
      <c r="K2357" s="10" t="str">
        <f t="shared" si="347"/>
        <v/>
      </c>
      <c r="L2357" s="11" t="str">
        <f t="shared" si="349"/>
        <v/>
      </c>
      <c r="M2357" s="9" t="str">
        <f>IF(G2357&lt;&gt;"",J2357/MAX(J$3:J2357)-1,"")</f>
        <v/>
      </c>
      <c r="N2357" s="9" t="str">
        <f>IF(G2357&lt;&gt;"",K2357/MAX(K$3:K2357)-1,"")</f>
        <v/>
      </c>
      <c r="O2357" s="16" t="str">
        <f t="shared" si="345"/>
        <v/>
      </c>
      <c r="P2357" s="16" t="str">
        <f t="shared" si="345"/>
        <v/>
      </c>
      <c r="Q2357" s="16" t="str">
        <f t="shared" si="345"/>
        <v/>
      </c>
      <c r="R2357" s="5" t="str">
        <f t="shared" si="344"/>
        <v/>
      </c>
      <c r="S2357" s="5" t="str">
        <f t="shared" si="348"/>
        <v/>
      </c>
      <c r="T2357" s="5" t="str">
        <f t="shared" si="352"/>
        <v/>
      </c>
      <c r="U2357" s="5" t="str">
        <f t="shared" si="352"/>
        <v/>
      </c>
    </row>
    <row r="2358" spans="7:21" x14ac:dyDescent="0.2">
      <c r="G2358" s="8"/>
      <c r="H2358" s="5"/>
      <c r="J2358" s="10" t="str">
        <f t="shared" si="346"/>
        <v/>
      </c>
      <c r="K2358" s="10" t="str">
        <f t="shared" si="347"/>
        <v/>
      </c>
      <c r="L2358" s="11" t="str">
        <f t="shared" si="349"/>
        <v/>
      </c>
      <c r="M2358" s="9" t="str">
        <f>IF(G2358&lt;&gt;"",J2358/MAX(J$3:J2358)-1,"")</f>
        <v/>
      </c>
      <c r="N2358" s="9" t="str">
        <f>IF(G2358&lt;&gt;"",K2358/MAX(K$3:K2358)-1,"")</f>
        <v/>
      </c>
      <c r="O2358" s="16" t="str">
        <f t="shared" si="345"/>
        <v/>
      </c>
      <c r="P2358" s="16" t="str">
        <f t="shared" si="345"/>
        <v/>
      </c>
      <c r="Q2358" s="16" t="str">
        <f t="shared" si="345"/>
        <v/>
      </c>
      <c r="R2358" s="5" t="str">
        <f t="shared" si="344"/>
        <v/>
      </c>
      <c r="S2358" s="5" t="str">
        <f t="shared" si="348"/>
        <v/>
      </c>
      <c r="T2358" s="5" t="str">
        <f t="shared" si="352"/>
        <v/>
      </c>
      <c r="U2358" s="5" t="str">
        <f t="shared" si="352"/>
        <v/>
      </c>
    </row>
    <row r="2359" spans="7:21" x14ac:dyDescent="0.2">
      <c r="G2359" s="8"/>
      <c r="H2359" s="5"/>
      <c r="J2359" s="10" t="str">
        <f t="shared" si="346"/>
        <v/>
      </c>
      <c r="K2359" s="10" t="str">
        <f t="shared" si="347"/>
        <v/>
      </c>
      <c r="L2359" s="11" t="str">
        <f t="shared" si="349"/>
        <v/>
      </c>
      <c r="M2359" s="9" t="str">
        <f>IF(G2359&lt;&gt;"",J2359/MAX(J$3:J2359)-1,"")</f>
        <v/>
      </c>
      <c r="N2359" s="9" t="str">
        <f>IF(G2359&lt;&gt;"",K2359/MAX(K$3:K2359)-1,"")</f>
        <v/>
      </c>
      <c r="O2359" s="16" t="str">
        <f t="shared" si="345"/>
        <v/>
      </c>
      <c r="P2359" s="16" t="str">
        <f t="shared" si="345"/>
        <v/>
      </c>
      <c r="Q2359" s="16" t="str">
        <f t="shared" si="345"/>
        <v/>
      </c>
      <c r="R2359" s="5" t="str">
        <f t="shared" si="344"/>
        <v/>
      </c>
      <c r="S2359" s="5" t="str">
        <f t="shared" si="348"/>
        <v/>
      </c>
      <c r="T2359" s="5" t="str">
        <f t="shared" si="352"/>
        <v/>
      </c>
      <c r="U2359" s="5" t="str">
        <f t="shared" si="352"/>
        <v/>
      </c>
    </row>
    <row r="2360" spans="7:21" x14ac:dyDescent="0.2">
      <c r="G2360" s="8"/>
      <c r="H2360" s="5"/>
      <c r="J2360" s="10" t="str">
        <f t="shared" si="346"/>
        <v/>
      </c>
      <c r="K2360" s="10" t="str">
        <f t="shared" si="347"/>
        <v/>
      </c>
      <c r="L2360" s="11" t="str">
        <f t="shared" si="349"/>
        <v/>
      </c>
      <c r="M2360" s="9" t="str">
        <f>IF(G2360&lt;&gt;"",J2360/MAX(J$3:J2360)-1,"")</f>
        <v/>
      </c>
      <c r="N2360" s="9" t="str">
        <f>IF(G2360&lt;&gt;"",K2360/MAX(K$3:K2360)-1,"")</f>
        <v/>
      </c>
      <c r="O2360" s="16" t="str">
        <f t="shared" si="345"/>
        <v/>
      </c>
      <c r="P2360" s="16" t="str">
        <f t="shared" si="345"/>
        <v/>
      </c>
      <c r="Q2360" s="16" t="str">
        <f t="shared" si="345"/>
        <v/>
      </c>
      <c r="R2360" s="5" t="str">
        <f t="shared" si="344"/>
        <v/>
      </c>
      <c r="S2360" s="5" t="str">
        <f t="shared" si="348"/>
        <v/>
      </c>
      <c r="T2360" s="5" t="str">
        <f t="shared" ref="T2360:U2375" si="353">IF($G2360&lt;&gt;"",_xlfn.STDEV.S(O2116:O2360),"")</f>
        <v/>
      </c>
      <c r="U2360" s="5" t="str">
        <f t="shared" si="353"/>
        <v/>
      </c>
    </row>
    <row r="2361" spans="7:21" x14ac:dyDescent="0.2">
      <c r="G2361" s="8"/>
      <c r="H2361" s="5"/>
      <c r="J2361" s="10" t="str">
        <f t="shared" si="346"/>
        <v/>
      </c>
      <c r="K2361" s="10" t="str">
        <f t="shared" si="347"/>
        <v/>
      </c>
      <c r="L2361" s="11" t="str">
        <f t="shared" si="349"/>
        <v/>
      </c>
      <c r="M2361" s="9" t="str">
        <f>IF(G2361&lt;&gt;"",J2361/MAX(J$3:J2361)-1,"")</f>
        <v/>
      </c>
      <c r="N2361" s="9" t="str">
        <f>IF(G2361&lt;&gt;"",K2361/MAX(K$3:K2361)-1,"")</f>
        <v/>
      </c>
      <c r="O2361" s="16" t="str">
        <f t="shared" si="345"/>
        <v/>
      </c>
      <c r="P2361" s="16" t="str">
        <f t="shared" si="345"/>
        <v/>
      </c>
      <c r="Q2361" s="16" t="str">
        <f t="shared" si="345"/>
        <v/>
      </c>
      <c r="R2361" s="5" t="str">
        <f t="shared" si="344"/>
        <v/>
      </c>
      <c r="S2361" s="5" t="str">
        <f t="shared" si="348"/>
        <v/>
      </c>
      <c r="T2361" s="5" t="str">
        <f t="shared" si="353"/>
        <v/>
      </c>
      <c r="U2361" s="5" t="str">
        <f t="shared" si="353"/>
        <v/>
      </c>
    </row>
    <row r="2362" spans="7:21" x14ac:dyDescent="0.2">
      <c r="G2362" s="8"/>
      <c r="H2362" s="5"/>
      <c r="J2362" s="10" t="str">
        <f t="shared" si="346"/>
        <v/>
      </c>
      <c r="K2362" s="10" t="str">
        <f t="shared" si="347"/>
        <v/>
      </c>
      <c r="L2362" s="11" t="str">
        <f t="shared" si="349"/>
        <v/>
      </c>
      <c r="M2362" s="9" t="str">
        <f>IF(G2362&lt;&gt;"",J2362/MAX(J$3:J2362)-1,"")</f>
        <v/>
      </c>
      <c r="N2362" s="9" t="str">
        <f>IF(G2362&lt;&gt;"",K2362/MAX(K$3:K2362)-1,"")</f>
        <v/>
      </c>
      <c r="O2362" s="16" t="str">
        <f t="shared" si="345"/>
        <v/>
      </c>
      <c r="P2362" s="16" t="str">
        <f t="shared" si="345"/>
        <v/>
      </c>
      <c r="Q2362" s="16" t="str">
        <f t="shared" si="345"/>
        <v/>
      </c>
      <c r="R2362" s="5" t="str">
        <f t="shared" si="344"/>
        <v/>
      </c>
      <c r="S2362" s="5" t="str">
        <f t="shared" si="348"/>
        <v/>
      </c>
      <c r="T2362" s="5" t="str">
        <f t="shared" si="353"/>
        <v/>
      </c>
      <c r="U2362" s="5" t="str">
        <f t="shared" si="353"/>
        <v/>
      </c>
    </row>
    <row r="2363" spans="7:21" x14ac:dyDescent="0.2">
      <c r="G2363" s="8"/>
      <c r="H2363" s="5"/>
      <c r="J2363" s="10" t="str">
        <f t="shared" si="346"/>
        <v/>
      </c>
      <c r="K2363" s="10" t="str">
        <f t="shared" si="347"/>
        <v/>
      </c>
      <c r="L2363" s="11" t="str">
        <f t="shared" si="349"/>
        <v/>
      </c>
      <c r="M2363" s="9" t="str">
        <f>IF(G2363&lt;&gt;"",J2363/MAX(J$3:J2363)-1,"")</f>
        <v/>
      </c>
      <c r="N2363" s="9" t="str">
        <f>IF(G2363&lt;&gt;"",K2363/MAX(K$3:K2363)-1,"")</f>
        <v/>
      </c>
      <c r="O2363" s="16" t="str">
        <f t="shared" si="345"/>
        <v/>
      </c>
      <c r="P2363" s="16" t="str">
        <f t="shared" si="345"/>
        <v/>
      </c>
      <c r="Q2363" s="16" t="str">
        <f t="shared" si="345"/>
        <v/>
      </c>
      <c r="R2363" s="5" t="str">
        <f t="shared" si="344"/>
        <v/>
      </c>
      <c r="S2363" s="5" t="str">
        <f t="shared" si="348"/>
        <v/>
      </c>
      <c r="T2363" s="5" t="str">
        <f t="shared" si="353"/>
        <v/>
      </c>
      <c r="U2363" s="5" t="str">
        <f t="shared" si="353"/>
        <v/>
      </c>
    </row>
    <row r="2364" spans="7:21" x14ac:dyDescent="0.2">
      <c r="G2364" s="8"/>
      <c r="H2364" s="5"/>
      <c r="J2364" s="10" t="str">
        <f t="shared" si="346"/>
        <v/>
      </c>
      <c r="K2364" s="10" t="str">
        <f t="shared" si="347"/>
        <v/>
      </c>
      <c r="L2364" s="11" t="str">
        <f t="shared" si="349"/>
        <v/>
      </c>
      <c r="M2364" s="9" t="str">
        <f>IF(G2364&lt;&gt;"",J2364/MAX(J$3:J2364)-1,"")</f>
        <v/>
      </c>
      <c r="N2364" s="9" t="str">
        <f>IF(G2364&lt;&gt;"",K2364/MAX(K$3:K2364)-1,"")</f>
        <v/>
      </c>
      <c r="O2364" s="16" t="str">
        <f t="shared" si="345"/>
        <v/>
      </c>
      <c r="P2364" s="16" t="str">
        <f t="shared" si="345"/>
        <v/>
      </c>
      <c r="Q2364" s="16" t="str">
        <f t="shared" si="345"/>
        <v/>
      </c>
      <c r="R2364" s="5" t="str">
        <f t="shared" si="344"/>
        <v/>
      </c>
      <c r="S2364" s="5" t="str">
        <f t="shared" si="348"/>
        <v/>
      </c>
      <c r="T2364" s="5" t="str">
        <f t="shared" si="353"/>
        <v/>
      </c>
      <c r="U2364" s="5" t="str">
        <f t="shared" si="353"/>
        <v/>
      </c>
    </row>
    <row r="2365" spans="7:21" x14ac:dyDescent="0.2">
      <c r="G2365" s="8"/>
      <c r="H2365" s="5"/>
      <c r="J2365" s="10" t="str">
        <f t="shared" si="346"/>
        <v/>
      </c>
      <c r="K2365" s="10" t="str">
        <f t="shared" si="347"/>
        <v/>
      </c>
      <c r="L2365" s="11" t="str">
        <f t="shared" si="349"/>
        <v/>
      </c>
      <c r="M2365" s="9" t="str">
        <f>IF(G2365&lt;&gt;"",J2365/MAX(J$3:J2365)-1,"")</f>
        <v/>
      </c>
      <c r="N2365" s="9" t="str">
        <f>IF(G2365&lt;&gt;"",K2365/MAX(K$3:K2365)-1,"")</f>
        <v/>
      </c>
      <c r="O2365" s="16" t="str">
        <f t="shared" si="345"/>
        <v/>
      </c>
      <c r="P2365" s="16" t="str">
        <f t="shared" si="345"/>
        <v/>
      </c>
      <c r="Q2365" s="16" t="str">
        <f t="shared" si="345"/>
        <v/>
      </c>
      <c r="R2365" s="5" t="str">
        <f t="shared" ref="R2365:R2428" si="354">IF(G2365&lt;&gt;"",_xlfn.STDEV.S(Q2244:Q2365)*SQRT($B$5),"")</f>
        <v/>
      </c>
      <c r="S2365" s="5" t="str">
        <f t="shared" si="348"/>
        <v/>
      </c>
      <c r="T2365" s="5" t="str">
        <f t="shared" si="353"/>
        <v/>
      </c>
      <c r="U2365" s="5" t="str">
        <f t="shared" si="353"/>
        <v/>
      </c>
    </row>
    <row r="2366" spans="7:21" x14ac:dyDescent="0.2">
      <c r="G2366" s="8"/>
      <c r="H2366" s="5"/>
      <c r="J2366" s="10" t="str">
        <f t="shared" si="346"/>
        <v/>
      </c>
      <c r="K2366" s="10" t="str">
        <f t="shared" si="347"/>
        <v/>
      </c>
      <c r="L2366" s="11" t="str">
        <f t="shared" si="349"/>
        <v/>
      </c>
      <c r="M2366" s="9" t="str">
        <f>IF(G2366&lt;&gt;"",J2366/MAX(J$3:J2366)-1,"")</f>
        <v/>
      </c>
      <c r="N2366" s="9" t="str">
        <f>IF(G2366&lt;&gt;"",K2366/MAX(K$3:K2366)-1,"")</f>
        <v/>
      </c>
      <c r="O2366" s="16" t="str">
        <f t="shared" si="345"/>
        <v/>
      </c>
      <c r="P2366" s="16" t="str">
        <f t="shared" si="345"/>
        <v/>
      </c>
      <c r="Q2366" s="16" t="str">
        <f t="shared" si="345"/>
        <v/>
      </c>
      <c r="R2366" s="5" t="str">
        <f t="shared" si="354"/>
        <v/>
      </c>
      <c r="S2366" s="5" t="str">
        <f t="shared" si="348"/>
        <v/>
      </c>
      <c r="T2366" s="5" t="str">
        <f t="shared" si="353"/>
        <v/>
      </c>
      <c r="U2366" s="5" t="str">
        <f t="shared" si="353"/>
        <v/>
      </c>
    </row>
    <row r="2367" spans="7:21" x14ac:dyDescent="0.2">
      <c r="G2367" s="8"/>
      <c r="H2367" s="5"/>
      <c r="J2367" s="10" t="str">
        <f t="shared" si="346"/>
        <v/>
      </c>
      <c r="K2367" s="10" t="str">
        <f t="shared" si="347"/>
        <v/>
      </c>
      <c r="L2367" s="11" t="str">
        <f t="shared" si="349"/>
        <v/>
      </c>
      <c r="M2367" s="9" t="str">
        <f>IF(G2367&lt;&gt;"",J2367/MAX(J$3:J2367)-1,"")</f>
        <v/>
      </c>
      <c r="N2367" s="9" t="str">
        <f>IF(G2367&lt;&gt;"",K2367/MAX(K$3:K2367)-1,"")</f>
        <v/>
      </c>
      <c r="O2367" s="16" t="str">
        <f t="shared" si="345"/>
        <v/>
      </c>
      <c r="P2367" s="16" t="str">
        <f t="shared" si="345"/>
        <v/>
      </c>
      <c r="Q2367" s="16" t="str">
        <f t="shared" si="345"/>
        <v/>
      </c>
      <c r="R2367" s="5" t="str">
        <f t="shared" si="354"/>
        <v/>
      </c>
      <c r="S2367" s="5" t="str">
        <f t="shared" si="348"/>
        <v/>
      </c>
      <c r="T2367" s="5" t="str">
        <f t="shared" si="353"/>
        <v/>
      </c>
      <c r="U2367" s="5" t="str">
        <f t="shared" si="353"/>
        <v/>
      </c>
    </row>
    <row r="2368" spans="7:21" x14ac:dyDescent="0.2">
      <c r="G2368" s="8"/>
      <c r="H2368" s="5"/>
      <c r="J2368" s="10" t="str">
        <f t="shared" si="346"/>
        <v/>
      </c>
      <c r="K2368" s="10" t="str">
        <f t="shared" si="347"/>
        <v/>
      </c>
      <c r="L2368" s="11" t="str">
        <f t="shared" si="349"/>
        <v/>
      </c>
      <c r="M2368" s="9" t="str">
        <f>IF(G2368&lt;&gt;"",J2368/MAX(J$3:J2368)-1,"")</f>
        <v/>
      </c>
      <c r="N2368" s="9" t="str">
        <f>IF(G2368&lt;&gt;"",K2368/MAX(K$3:K2368)-1,"")</f>
        <v/>
      </c>
      <c r="O2368" s="16" t="str">
        <f t="shared" si="345"/>
        <v/>
      </c>
      <c r="P2368" s="16" t="str">
        <f t="shared" si="345"/>
        <v/>
      </c>
      <c r="Q2368" s="16" t="str">
        <f t="shared" si="345"/>
        <v/>
      </c>
      <c r="R2368" s="5" t="str">
        <f t="shared" si="354"/>
        <v/>
      </c>
      <c r="S2368" s="5" t="str">
        <f t="shared" si="348"/>
        <v/>
      </c>
      <c r="T2368" s="5" t="str">
        <f t="shared" si="353"/>
        <v/>
      </c>
      <c r="U2368" s="5" t="str">
        <f t="shared" si="353"/>
        <v/>
      </c>
    </row>
    <row r="2369" spans="7:21" x14ac:dyDescent="0.2">
      <c r="G2369" s="8"/>
      <c r="H2369" s="5"/>
      <c r="J2369" s="10" t="str">
        <f t="shared" si="346"/>
        <v/>
      </c>
      <c r="K2369" s="10" t="str">
        <f t="shared" si="347"/>
        <v/>
      </c>
      <c r="L2369" s="11" t="str">
        <f t="shared" si="349"/>
        <v/>
      </c>
      <c r="M2369" s="9" t="str">
        <f>IF(G2369&lt;&gt;"",J2369/MAX(J$3:J2369)-1,"")</f>
        <v/>
      </c>
      <c r="N2369" s="9" t="str">
        <f>IF(G2369&lt;&gt;"",K2369/MAX(K$3:K2369)-1,"")</f>
        <v/>
      </c>
      <c r="O2369" s="16" t="str">
        <f t="shared" si="345"/>
        <v/>
      </c>
      <c r="P2369" s="16" t="str">
        <f t="shared" si="345"/>
        <v/>
      </c>
      <c r="Q2369" s="16" t="str">
        <f t="shared" si="345"/>
        <v/>
      </c>
      <c r="R2369" s="5" t="str">
        <f t="shared" si="354"/>
        <v/>
      </c>
      <c r="S2369" s="5" t="str">
        <f t="shared" si="348"/>
        <v/>
      </c>
      <c r="T2369" s="5" t="str">
        <f t="shared" si="353"/>
        <v/>
      </c>
      <c r="U2369" s="5" t="str">
        <f t="shared" si="353"/>
        <v/>
      </c>
    </row>
    <row r="2370" spans="7:21" x14ac:dyDescent="0.2">
      <c r="G2370" s="8"/>
      <c r="H2370" s="5"/>
      <c r="J2370" s="10" t="str">
        <f t="shared" si="346"/>
        <v/>
      </c>
      <c r="K2370" s="10" t="str">
        <f t="shared" si="347"/>
        <v/>
      </c>
      <c r="L2370" s="11" t="str">
        <f t="shared" si="349"/>
        <v/>
      </c>
      <c r="M2370" s="9" t="str">
        <f>IF(G2370&lt;&gt;"",J2370/MAX(J$3:J2370)-1,"")</f>
        <v/>
      </c>
      <c r="N2370" s="9" t="str">
        <f>IF(G2370&lt;&gt;"",K2370/MAX(K$3:K2370)-1,"")</f>
        <v/>
      </c>
      <c r="O2370" s="16" t="str">
        <f t="shared" ref="O2370:Q2433" si="355">IF($G2370&lt;&gt;"",J2370/J2369-1,"")</f>
        <v/>
      </c>
      <c r="P2370" s="16" t="str">
        <f t="shared" si="355"/>
        <v/>
      </c>
      <c r="Q2370" s="16" t="str">
        <f t="shared" si="355"/>
        <v/>
      </c>
      <c r="R2370" s="5" t="str">
        <f t="shared" si="354"/>
        <v/>
      </c>
      <c r="S2370" s="5" t="str">
        <f t="shared" si="348"/>
        <v/>
      </c>
      <c r="T2370" s="5" t="str">
        <f t="shared" si="353"/>
        <v/>
      </c>
      <c r="U2370" s="5" t="str">
        <f t="shared" si="353"/>
        <v/>
      </c>
    </row>
    <row r="2371" spans="7:21" x14ac:dyDescent="0.2">
      <c r="G2371" s="8"/>
      <c r="H2371" s="5"/>
      <c r="J2371" s="10" t="str">
        <f t="shared" si="346"/>
        <v/>
      </c>
      <c r="K2371" s="10" t="str">
        <f t="shared" si="347"/>
        <v/>
      </c>
      <c r="L2371" s="11" t="str">
        <f t="shared" si="349"/>
        <v/>
      </c>
      <c r="M2371" s="9" t="str">
        <f>IF(G2371&lt;&gt;"",J2371/MAX(J$3:J2371)-1,"")</f>
        <v/>
      </c>
      <c r="N2371" s="9" t="str">
        <f>IF(G2371&lt;&gt;"",K2371/MAX(K$3:K2371)-1,"")</f>
        <v/>
      </c>
      <c r="O2371" s="16" t="str">
        <f t="shared" si="355"/>
        <v/>
      </c>
      <c r="P2371" s="16" t="str">
        <f t="shared" si="355"/>
        <v/>
      </c>
      <c r="Q2371" s="16" t="str">
        <f t="shared" si="355"/>
        <v/>
      </c>
      <c r="R2371" s="5" t="str">
        <f t="shared" si="354"/>
        <v/>
      </c>
      <c r="S2371" s="5" t="str">
        <f t="shared" si="348"/>
        <v/>
      </c>
      <c r="T2371" s="5" t="str">
        <f t="shared" si="353"/>
        <v/>
      </c>
      <c r="U2371" s="5" t="str">
        <f t="shared" si="353"/>
        <v/>
      </c>
    </row>
    <row r="2372" spans="7:21" x14ac:dyDescent="0.2">
      <c r="G2372" s="8"/>
      <c r="H2372" s="5"/>
      <c r="J2372" s="10" t="str">
        <f t="shared" ref="J2372:J2435" si="356">IF(G2372&lt;&gt;"",1+H2372,"")</f>
        <v/>
      </c>
      <c r="K2372" s="10" t="str">
        <f t="shared" ref="K2372:K2435" si="357">IF(G2372&lt;&gt;"",1+I2372,"")</f>
        <v/>
      </c>
      <c r="L2372" s="11" t="str">
        <f t="shared" si="349"/>
        <v/>
      </c>
      <c r="M2372" s="9" t="str">
        <f>IF(G2372&lt;&gt;"",J2372/MAX(J$3:J2372)-1,"")</f>
        <v/>
      </c>
      <c r="N2372" s="9" t="str">
        <f>IF(G2372&lt;&gt;"",K2372/MAX(K$3:K2372)-1,"")</f>
        <v/>
      </c>
      <c r="O2372" s="16" t="str">
        <f t="shared" si="355"/>
        <v/>
      </c>
      <c r="P2372" s="16" t="str">
        <f t="shared" si="355"/>
        <v/>
      </c>
      <c r="Q2372" s="16" t="str">
        <f t="shared" si="355"/>
        <v/>
      </c>
      <c r="R2372" s="5" t="str">
        <f t="shared" si="354"/>
        <v/>
      </c>
      <c r="S2372" s="5" t="str">
        <f t="shared" ref="S2372:S2435" si="358">IF(R2372&lt;&gt;"",B$12,"")</f>
        <v/>
      </c>
      <c r="T2372" s="5" t="str">
        <f t="shared" si="353"/>
        <v/>
      </c>
      <c r="U2372" s="5" t="str">
        <f t="shared" si="353"/>
        <v/>
      </c>
    </row>
    <row r="2373" spans="7:21" x14ac:dyDescent="0.2">
      <c r="G2373" s="8"/>
      <c r="H2373" s="5"/>
      <c r="J2373" s="10" t="str">
        <f t="shared" si="356"/>
        <v/>
      </c>
      <c r="K2373" s="10" t="str">
        <f t="shared" si="357"/>
        <v/>
      </c>
      <c r="L2373" s="11" t="str">
        <f t="shared" ref="L2373:L2436" si="359">IF(G2373&lt;&gt;"",J2373/K2373,"")</f>
        <v/>
      </c>
      <c r="M2373" s="9" t="str">
        <f>IF(G2373&lt;&gt;"",J2373/MAX(J$3:J2373)-1,"")</f>
        <v/>
      </c>
      <c r="N2373" s="9" t="str">
        <f>IF(G2373&lt;&gt;"",K2373/MAX(K$3:K2373)-1,"")</f>
        <v/>
      </c>
      <c r="O2373" s="16" t="str">
        <f t="shared" si="355"/>
        <v/>
      </c>
      <c r="P2373" s="16" t="str">
        <f t="shared" si="355"/>
        <v/>
      </c>
      <c r="Q2373" s="16" t="str">
        <f t="shared" si="355"/>
        <v/>
      </c>
      <c r="R2373" s="5" t="str">
        <f t="shared" si="354"/>
        <v/>
      </c>
      <c r="S2373" s="5" t="str">
        <f t="shared" si="358"/>
        <v/>
      </c>
      <c r="T2373" s="5" t="str">
        <f t="shared" si="353"/>
        <v/>
      </c>
      <c r="U2373" s="5" t="str">
        <f t="shared" si="353"/>
        <v/>
      </c>
    </row>
    <row r="2374" spans="7:21" x14ac:dyDescent="0.2">
      <c r="G2374" s="8"/>
      <c r="H2374" s="5"/>
      <c r="J2374" s="10" t="str">
        <f t="shared" si="356"/>
        <v/>
      </c>
      <c r="K2374" s="10" t="str">
        <f t="shared" si="357"/>
        <v/>
      </c>
      <c r="L2374" s="11" t="str">
        <f t="shared" si="359"/>
        <v/>
      </c>
      <c r="M2374" s="9" t="str">
        <f>IF(G2374&lt;&gt;"",J2374/MAX(J$3:J2374)-1,"")</f>
        <v/>
      </c>
      <c r="N2374" s="9" t="str">
        <f>IF(G2374&lt;&gt;"",K2374/MAX(K$3:K2374)-1,"")</f>
        <v/>
      </c>
      <c r="O2374" s="16" t="str">
        <f t="shared" si="355"/>
        <v/>
      </c>
      <c r="P2374" s="16" t="str">
        <f t="shared" si="355"/>
        <v/>
      </c>
      <c r="Q2374" s="16" t="str">
        <f t="shared" si="355"/>
        <v/>
      </c>
      <c r="R2374" s="5" t="str">
        <f t="shared" si="354"/>
        <v/>
      </c>
      <c r="S2374" s="5" t="str">
        <f t="shared" si="358"/>
        <v/>
      </c>
      <c r="T2374" s="5" t="str">
        <f t="shared" si="353"/>
        <v/>
      </c>
      <c r="U2374" s="5" t="str">
        <f t="shared" si="353"/>
        <v/>
      </c>
    </row>
    <row r="2375" spans="7:21" x14ac:dyDescent="0.2">
      <c r="G2375" s="8"/>
      <c r="H2375" s="5"/>
      <c r="J2375" s="10" t="str">
        <f t="shared" si="356"/>
        <v/>
      </c>
      <c r="K2375" s="10" t="str">
        <f t="shared" si="357"/>
        <v/>
      </c>
      <c r="L2375" s="11" t="str">
        <f t="shared" si="359"/>
        <v/>
      </c>
      <c r="M2375" s="9" t="str">
        <f>IF(G2375&lt;&gt;"",J2375/MAX(J$3:J2375)-1,"")</f>
        <v/>
      </c>
      <c r="N2375" s="9" t="str">
        <f>IF(G2375&lt;&gt;"",K2375/MAX(K$3:K2375)-1,"")</f>
        <v/>
      </c>
      <c r="O2375" s="16" t="str">
        <f t="shared" si="355"/>
        <v/>
      </c>
      <c r="P2375" s="16" t="str">
        <f t="shared" si="355"/>
        <v/>
      </c>
      <c r="Q2375" s="16" t="str">
        <f t="shared" si="355"/>
        <v/>
      </c>
      <c r="R2375" s="5" t="str">
        <f t="shared" si="354"/>
        <v/>
      </c>
      <c r="S2375" s="5" t="str">
        <f t="shared" si="358"/>
        <v/>
      </c>
      <c r="T2375" s="5" t="str">
        <f t="shared" si="353"/>
        <v/>
      </c>
      <c r="U2375" s="5" t="str">
        <f t="shared" si="353"/>
        <v/>
      </c>
    </row>
    <row r="2376" spans="7:21" x14ac:dyDescent="0.2">
      <c r="G2376" s="8"/>
      <c r="H2376" s="5"/>
      <c r="J2376" s="10" t="str">
        <f t="shared" si="356"/>
        <v/>
      </c>
      <c r="K2376" s="10" t="str">
        <f t="shared" si="357"/>
        <v/>
      </c>
      <c r="L2376" s="11" t="str">
        <f t="shared" si="359"/>
        <v/>
      </c>
      <c r="M2376" s="9" t="str">
        <f>IF(G2376&lt;&gt;"",J2376/MAX(J$3:J2376)-1,"")</f>
        <v/>
      </c>
      <c r="N2376" s="9" t="str">
        <f>IF(G2376&lt;&gt;"",K2376/MAX(K$3:K2376)-1,"")</f>
        <v/>
      </c>
      <c r="O2376" s="16" t="str">
        <f t="shared" si="355"/>
        <v/>
      </c>
      <c r="P2376" s="16" t="str">
        <f t="shared" si="355"/>
        <v/>
      </c>
      <c r="Q2376" s="16" t="str">
        <f t="shared" si="355"/>
        <v/>
      </c>
      <c r="R2376" s="5" t="str">
        <f t="shared" si="354"/>
        <v/>
      </c>
      <c r="S2376" s="5" t="str">
        <f t="shared" si="358"/>
        <v/>
      </c>
      <c r="T2376" s="5" t="str">
        <f t="shared" ref="T2376:U2391" si="360">IF($G2376&lt;&gt;"",_xlfn.STDEV.S(O2132:O2376),"")</f>
        <v/>
      </c>
      <c r="U2376" s="5" t="str">
        <f t="shared" si="360"/>
        <v/>
      </c>
    </row>
    <row r="2377" spans="7:21" x14ac:dyDescent="0.2">
      <c r="G2377" s="8"/>
      <c r="H2377" s="5"/>
      <c r="J2377" s="10" t="str">
        <f t="shared" si="356"/>
        <v/>
      </c>
      <c r="K2377" s="10" t="str">
        <f t="shared" si="357"/>
        <v/>
      </c>
      <c r="L2377" s="11" t="str">
        <f t="shared" si="359"/>
        <v/>
      </c>
      <c r="M2377" s="9" t="str">
        <f>IF(G2377&lt;&gt;"",J2377/MAX(J$3:J2377)-1,"")</f>
        <v/>
      </c>
      <c r="N2377" s="9" t="str">
        <f>IF(G2377&lt;&gt;"",K2377/MAX(K$3:K2377)-1,"")</f>
        <v/>
      </c>
      <c r="O2377" s="16" t="str">
        <f t="shared" si="355"/>
        <v/>
      </c>
      <c r="P2377" s="16" t="str">
        <f t="shared" si="355"/>
        <v/>
      </c>
      <c r="Q2377" s="16" t="str">
        <f t="shared" si="355"/>
        <v/>
      </c>
      <c r="R2377" s="5" t="str">
        <f t="shared" si="354"/>
        <v/>
      </c>
      <c r="S2377" s="5" t="str">
        <f t="shared" si="358"/>
        <v/>
      </c>
      <c r="T2377" s="5" t="str">
        <f t="shared" si="360"/>
        <v/>
      </c>
      <c r="U2377" s="5" t="str">
        <f t="shared" si="360"/>
        <v/>
      </c>
    </row>
    <row r="2378" spans="7:21" x14ac:dyDescent="0.2">
      <c r="G2378" s="8"/>
      <c r="H2378" s="5"/>
      <c r="J2378" s="10" t="str">
        <f t="shared" si="356"/>
        <v/>
      </c>
      <c r="K2378" s="10" t="str">
        <f t="shared" si="357"/>
        <v/>
      </c>
      <c r="L2378" s="11" t="str">
        <f t="shared" si="359"/>
        <v/>
      </c>
      <c r="M2378" s="9" t="str">
        <f>IF(G2378&lt;&gt;"",J2378/MAX(J$3:J2378)-1,"")</f>
        <v/>
      </c>
      <c r="N2378" s="9" t="str">
        <f>IF(G2378&lt;&gt;"",K2378/MAX(K$3:K2378)-1,"")</f>
        <v/>
      </c>
      <c r="O2378" s="16" t="str">
        <f t="shared" si="355"/>
        <v/>
      </c>
      <c r="P2378" s="16" t="str">
        <f t="shared" si="355"/>
        <v/>
      </c>
      <c r="Q2378" s="16" t="str">
        <f t="shared" si="355"/>
        <v/>
      </c>
      <c r="R2378" s="5" t="str">
        <f t="shared" si="354"/>
        <v/>
      </c>
      <c r="S2378" s="5" t="str">
        <f t="shared" si="358"/>
        <v/>
      </c>
      <c r="T2378" s="5" t="str">
        <f t="shared" si="360"/>
        <v/>
      </c>
      <c r="U2378" s="5" t="str">
        <f t="shared" si="360"/>
        <v/>
      </c>
    </row>
    <row r="2379" spans="7:21" x14ac:dyDescent="0.2">
      <c r="G2379" s="8"/>
      <c r="H2379" s="5"/>
      <c r="J2379" s="10" t="str">
        <f t="shared" si="356"/>
        <v/>
      </c>
      <c r="K2379" s="10" t="str">
        <f t="shared" si="357"/>
        <v/>
      </c>
      <c r="L2379" s="11" t="str">
        <f t="shared" si="359"/>
        <v/>
      </c>
      <c r="M2379" s="9" t="str">
        <f>IF(G2379&lt;&gt;"",J2379/MAX(J$3:J2379)-1,"")</f>
        <v/>
      </c>
      <c r="N2379" s="9" t="str">
        <f>IF(G2379&lt;&gt;"",K2379/MAX(K$3:K2379)-1,"")</f>
        <v/>
      </c>
      <c r="O2379" s="16" t="str">
        <f t="shared" si="355"/>
        <v/>
      </c>
      <c r="P2379" s="16" t="str">
        <f t="shared" si="355"/>
        <v/>
      </c>
      <c r="Q2379" s="16" t="str">
        <f t="shared" si="355"/>
        <v/>
      </c>
      <c r="R2379" s="5" t="str">
        <f t="shared" si="354"/>
        <v/>
      </c>
      <c r="S2379" s="5" t="str">
        <f t="shared" si="358"/>
        <v/>
      </c>
      <c r="T2379" s="5" t="str">
        <f t="shared" si="360"/>
        <v/>
      </c>
      <c r="U2379" s="5" t="str">
        <f t="shared" si="360"/>
        <v/>
      </c>
    </row>
    <row r="2380" spans="7:21" x14ac:dyDescent="0.2">
      <c r="G2380" s="8"/>
      <c r="H2380" s="5"/>
      <c r="J2380" s="10" t="str">
        <f t="shared" si="356"/>
        <v/>
      </c>
      <c r="K2380" s="10" t="str">
        <f t="shared" si="357"/>
        <v/>
      </c>
      <c r="L2380" s="11" t="str">
        <f t="shared" si="359"/>
        <v/>
      </c>
      <c r="M2380" s="9" t="str">
        <f>IF(G2380&lt;&gt;"",J2380/MAX(J$3:J2380)-1,"")</f>
        <v/>
      </c>
      <c r="N2380" s="9" t="str">
        <f>IF(G2380&lt;&gt;"",K2380/MAX(K$3:K2380)-1,"")</f>
        <v/>
      </c>
      <c r="O2380" s="16" t="str">
        <f t="shared" si="355"/>
        <v/>
      </c>
      <c r="P2380" s="16" t="str">
        <f t="shared" si="355"/>
        <v/>
      </c>
      <c r="Q2380" s="16" t="str">
        <f t="shared" si="355"/>
        <v/>
      </c>
      <c r="R2380" s="5" t="str">
        <f t="shared" si="354"/>
        <v/>
      </c>
      <c r="S2380" s="5" t="str">
        <f t="shared" si="358"/>
        <v/>
      </c>
      <c r="T2380" s="5" t="str">
        <f t="shared" si="360"/>
        <v/>
      </c>
      <c r="U2380" s="5" t="str">
        <f t="shared" si="360"/>
        <v/>
      </c>
    </row>
    <row r="2381" spans="7:21" x14ac:dyDescent="0.2">
      <c r="G2381" s="8"/>
      <c r="H2381" s="5"/>
      <c r="J2381" s="10" t="str">
        <f t="shared" si="356"/>
        <v/>
      </c>
      <c r="K2381" s="10" t="str">
        <f t="shared" si="357"/>
        <v/>
      </c>
      <c r="L2381" s="11" t="str">
        <f t="shared" si="359"/>
        <v/>
      </c>
      <c r="M2381" s="9" t="str">
        <f>IF(G2381&lt;&gt;"",J2381/MAX(J$3:J2381)-1,"")</f>
        <v/>
      </c>
      <c r="N2381" s="9" t="str">
        <f>IF(G2381&lt;&gt;"",K2381/MAX(K$3:K2381)-1,"")</f>
        <v/>
      </c>
      <c r="O2381" s="16" t="str">
        <f t="shared" si="355"/>
        <v/>
      </c>
      <c r="P2381" s="16" t="str">
        <f t="shared" si="355"/>
        <v/>
      </c>
      <c r="Q2381" s="16" t="str">
        <f t="shared" si="355"/>
        <v/>
      </c>
      <c r="R2381" s="5" t="str">
        <f t="shared" si="354"/>
        <v/>
      </c>
      <c r="S2381" s="5" t="str">
        <f t="shared" si="358"/>
        <v/>
      </c>
      <c r="T2381" s="5" t="str">
        <f t="shared" si="360"/>
        <v/>
      </c>
      <c r="U2381" s="5" t="str">
        <f t="shared" si="360"/>
        <v/>
      </c>
    </row>
    <row r="2382" spans="7:21" x14ac:dyDescent="0.2">
      <c r="G2382" s="8"/>
      <c r="H2382" s="5"/>
      <c r="J2382" s="10" t="str">
        <f t="shared" si="356"/>
        <v/>
      </c>
      <c r="K2382" s="10" t="str">
        <f t="shared" si="357"/>
        <v/>
      </c>
      <c r="L2382" s="11" t="str">
        <f t="shared" si="359"/>
        <v/>
      </c>
      <c r="M2382" s="9" t="str">
        <f>IF(G2382&lt;&gt;"",J2382/MAX(J$3:J2382)-1,"")</f>
        <v/>
      </c>
      <c r="N2382" s="9" t="str">
        <f>IF(G2382&lt;&gt;"",K2382/MAX(K$3:K2382)-1,"")</f>
        <v/>
      </c>
      <c r="O2382" s="16" t="str">
        <f t="shared" si="355"/>
        <v/>
      </c>
      <c r="P2382" s="16" t="str">
        <f t="shared" si="355"/>
        <v/>
      </c>
      <c r="Q2382" s="16" t="str">
        <f t="shared" si="355"/>
        <v/>
      </c>
      <c r="R2382" s="5" t="str">
        <f t="shared" si="354"/>
        <v/>
      </c>
      <c r="S2382" s="5" t="str">
        <f t="shared" si="358"/>
        <v/>
      </c>
      <c r="T2382" s="5" t="str">
        <f t="shared" si="360"/>
        <v/>
      </c>
      <c r="U2382" s="5" t="str">
        <f t="shared" si="360"/>
        <v/>
      </c>
    </row>
    <row r="2383" spans="7:21" x14ac:dyDescent="0.2">
      <c r="G2383" s="8"/>
      <c r="H2383" s="5"/>
      <c r="J2383" s="10" t="str">
        <f t="shared" si="356"/>
        <v/>
      </c>
      <c r="K2383" s="10" t="str">
        <f t="shared" si="357"/>
        <v/>
      </c>
      <c r="L2383" s="11" t="str">
        <f t="shared" si="359"/>
        <v/>
      </c>
      <c r="M2383" s="9" t="str">
        <f>IF(G2383&lt;&gt;"",J2383/MAX(J$3:J2383)-1,"")</f>
        <v/>
      </c>
      <c r="N2383" s="9" t="str">
        <f>IF(G2383&lt;&gt;"",K2383/MAX(K$3:K2383)-1,"")</f>
        <v/>
      </c>
      <c r="O2383" s="16" t="str">
        <f t="shared" si="355"/>
        <v/>
      </c>
      <c r="P2383" s="16" t="str">
        <f t="shared" si="355"/>
        <v/>
      </c>
      <c r="Q2383" s="16" t="str">
        <f t="shared" si="355"/>
        <v/>
      </c>
      <c r="R2383" s="5" t="str">
        <f t="shared" si="354"/>
        <v/>
      </c>
      <c r="S2383" s="5" t="str">
        <f t="shared" si="358"/>
        <v/>
      </c>
      <c r="T2383" s="5" t="str">
        <f t="shared" si="360"/>
        <v/>
      </c>
      <c r="U2383" s="5" t="str">
        <f t="shared" si="360"/>
        <v/>
      </c>
    </row>
    <row r="2384" spans="7:21" x14ac:dyDescent="0.2">
      <c r="G2384" s="8"/>
      <c r="H2384" s="5"/>
      <c r="J2384" s="10" t="str">
        <f t="shared" si="356"/>
        <v/>
      </c>
      <c r="K2384" s="10" t="str">
        <f t="shared" si="357"/>
        <v/>
      </c>
      <c r="L2384" s="11" t="str">
        <f t="shared" si="359"/>
        <v/>
      </c>
      <c r="M2384" s="9" t="str">
        <f>IF(G2384&lt;&gt;"",J2384/MAX(J$3:J2384)-1,"")</f>
        <v/>
      </c>
      <c r="N2384" s="9" t="str">
        <f>IF(G2384&lt;&gt;"",K2384/MAX(K$3:K2384)-1,"")</f>
        <v/>
      </c>
      <c r="O2384" s="16" t="str">
        <f t="shared" si="355"/>
        <v/>
      </c>
      <c r="P2384" s="16" t="str">
        <f t="shared" si="355"/>
        <v/>
      </c>
      <c r="Q2384" s="16" t="str">
        <f t="shared" si="355"/>
        <v/>
      </c>
      <c r="R2384" s="5" t="str">
        <f t="shared" si="354"/>
        <v/>
      </c>
      <c r="S2384" s="5" t="str">
        <f t="shared" si="358"/>
        <v/>
      </c>
      <c r="T2384" s="5" t="str">
        <f t="shared" si="360"/>
        <v/>
      </c>
      <c r="U2384" s="5" t="str">
        <f t="shared" si="360"/>
        <v/>
      </c>
    </row>
    <row r="2385" spans="7:21" x14ac:dyDescent="0.2">
      <c r="G2385" s="8"/>
      <c r="H2385" s="5"/>
      <c r="J2385" s="10" t="str">
        <f t="shared" si="356"/>
        <v/>
      </c>
      <c r="K2385" s="10" t="str">
        <f t="shared" si="357"/>
        <v/>
      </c>
      <c r="L2385" s="11" t="str">
        <f t="shared" si="359"/>
        <v/>
      </c>
      <c r="M2385" s="9" t="str">
        <f>IF(G2385&lt;&gt;"",J2385/MAX(J$3:J2385)-1,"")</f>
        <v/>
      </c>
      <c r="N2385" s="9" t="str">
        <f>IF(G2385&lt;&gt;"",K2385/MAX(K$3:K2385)-1,"")</f>
        <v/>
      </c>
      <c r="O2385" s="16" t="str">
        <f t="shared" si="355"/>
        <v/>
      </c>
      <c r="P2385" s="16" t="str">
        <f t="shared" si="355"/>
        <v/>
      </c>
      <c r="Q2385" s="16" t="str">
        <f t="shared" si="355"/>
        <v/>
      </c>
      <c r="R2385" s="5" t="str">
        <f t="shared" si="354"/>
        <v/>
      </c>
      <c r="S2385" s="5" t="str">
        <f t="shared" si="358"/>
        <v/>
      </c>
      <c r="T2385" s="5" t="str">
        <f t="shared" si="360"/>
        <v/>
      </c>
      <c r="U2385" s="5" t="str">
        <f t="shared" si="360"/>
        <v/>
      </c>
    </row>
    <row r="2386" spans="7:21" x14ac:dyDescent="0.2">
      <c r="G2386" s="8"/>
      <c r="H2386" s="5"/>
      <c r="J2386" s="10" t="str">
        <f t="shared" si="356"/>
        <v/>
      </c>
      <c r="K2386" s="10" t="str">
        <f t="shared" si="357"/>
        <v/>
      </c>
      <c r="L2386" s="11" t="str">
        <f t="shared" si="359"/>
        <v/>
      </c>
      <c r="M2386" s="9" t="str">
        <f>IF(G2386&lt;&gt;"",J2386/MAX(J$3:J2386)-1,"")</f>
        <v/>
      </c>
      <c r="N2386" s="9" t="str">
        <f>IF(G2386&lt;&gt;"",K2386/MAX(K$3:K2386)-1,"")</f>
        <v/>
      </c>
      <c r="O2386" s="16" t="str">
        <f t="shared" si="355"/>
        <v/>
      </c>
      <c r="P2386" s="16" t="str">
        <f t="shared" si="355"/>
        <v/>
      </c>
      <c r="Q2386" s="16" t="str">
        <f t="shared" si="355"/>
        <v/>
      </c>
      <c r="R2386" s="5" t="str">
        <f t="shared" si="354"/>
        <v/>
      </c>
      <c r="S2386" s="5" t="str">
        <f t="shared" si="358"/>
        <v/>
      </c>
      <c r="T2386" s="5" t="str">
        <f t="shared" si="360"/>
        <v/>
      </c>
      <c r="U2386" s="5" t="str">
        <f t="shared" si="360"/>
        <v/>
      </c>
    </row>
    <row r="2387" spans="7:21" x14ac:dyDescent="0.2">
      <c r="G2387" s="8"/>
      <c r="H2387" s="5"/>
      <c r="J2387" s="10" t="str">
        <f t="shared" si="356"/>
        <v/>
      </c>
      <c r="K2387" s="10" t="str">
        <f t="shared" si="357"/>
        <v/>
      </c>
      <c r="L2387" s="11" t="str">
        <f t="shared" si="359"/>
        <v/>
      </c>
      <c r="M2387" s="9" t="str">
        <f>IF(G2387&lt;&gt;"",J2387/MAX(J$3:J2387)-1,"")</f>
        <v/>
      </c>
      <c r="N2387" s="9" t="str">
        <f>IF(G2387&lt;&gt;"",K2387/MAX(K$3:K2387)-1,"")</f>
        <v/>
      </c>
      <c r="O2387" s="16" t="str">
        <f t="shared" si="355"/>
        <v/>
      </c>
      <c r="P2387" s="16" t="str">
        <f t="shared" si="355"/>
        <v/>
      </c>
      <c r="Q2387" s="16" t="str">
        <f t="shared" si="355"/>
        <v/>
      </c>
      <c r="R2387" s="5" t="str">
        <f t="shared" si="354"/>
        <v/>
      </c>
      <c r="S2387" s="5" t="str">
        <f t="shared" si="358"/>
        <v/>
      </c>
      <c r="T2387" s="5" t="str">
        <f t="shared" si="360"/>
        <v/>
      </c>
      <c r="U2387" s="5" t="str">
        <f t="shared" si="360"/>
        <v/>
      </c>
    </row>
    <row r="2388" spans="7:21" x14ac:dyDescent="0.2">
      <c r="G2388" s="8"/>
      <c r="H2388" s="5"/>
      <c r="J2388" s="10" t="str">
        <f t="shared" si="356"/>
        <v/>
      </c>
      <c r="K2388" s="10" t="str">
        <f t="shared" si="357"/>
        <v/>
      </c>
      <c r="L2388" s="11" t="str">
        <f t="shared" si="359"/>
        <v/>
      </c>
      <c r="M2388" s="9" t="str">
        <f>IF(G2388&lt;&gt;"",J2388/MAX(J$3:J2388)-1,"")</f>
        <v/>
      </c>
      <c r="N2388" s="9" t="str">
        <f>IF(G2388&lt;&gt;"",K2388/MAX(K$3:K2388)-1,"")</f>
        <v/>
      </c>
      <c r="O2388" s="16" t="str">
        <f t="shared" si="355"/>
        <v/>
      </c>
      <c r="P2388" s="16" t="str">
        <f t="shared" si="355"/>
        <v/>
      </c>
      <c r="Q2388" s="16" t="str">
        <f t="shared" si="355"/>
        <v/>
      </c>
      <c r="R2388" s="5" t="str">
        <f t="shared" si="354"/>
        <v/>
      </c>
      <c r="S2388" s="5" t="str">
        <f t="shared" si="358"/>
        <v/>
      </c>
      <c r="T2388" s="5" t="str">
        <f t="shared" si="360"/>
        <v/>
      </c>
      <c r="U2388" s="5" t="str">
        <f t="shared" si="360"/>
        <v/>
      </c>
    </row>
    <row r="2389" spans="7:21" x14ac:dyDescent="0.2">
      <c r="G2389" s="8"/>
      <c r="H2389" s="5"/>
      <c r="J2389" s="10" t="str">
        <f t="shared" si="356"/>
        <v/>
      </c>
      <c r="K2389" s="10" t="str">
        <f t="shared" si="357"/>
        <v/>
      </c>
      <c r="L2389" s="11" t="str">
        <f t="shared" si="359"/>
        <v/>
      </c>
      <c r="M2389" s="9" t="str">
        <f>IF(G2389&lt;&gt;"",J2389/MAX(J$3:J2389)-1,"")</f>
        <v/>
      </c>
      <c r="N2389" s="9" t="str">
        <f>IF(G2389&lt;&gt;"",K2389/MAX(K$3:K2389)-1,"")</f>
        <v/>
      </c>
      <c r="O2389" s="16" t="str">
        <f t="shared" si="355"/>
        <v/>
      </c>
      <c r="P2389" s="16" t="str">
        <f t="shared" si="355"/>
        <v/>
      </c>
      <c r="Q2389" s="16" t="str">
        <f t="shared" si="355"/>
        <v/>
      </c>
      <c r="R2389" s="5" t="str">
        <f t="shared" si="354"/>
        <v/>
      </c>
      <c r="S2389" s="5" t="str">
        <f t="shared" si="358"/>
        <v/>
      </c>
      <c r="T2389" s="5" t="str">
        <f t="shared" si="360"/>
        <v/>
      </c>
      <c r="U2389" s="5" t="str">
        <f t="shared" si="360"/>
        <v/>
      </c>
    </row>
    <row r="2390" spans="7:21" x14ac:dyDescent="0.2">
      <c r="G2390" s="8"/>
      <c r="H2390" s="5"/>
      <c r="J2390" s="10" t="str">
        <f t="shared" si="356"/>
        <v/>
      </c>
      <c r="K2390" s="10" t="str">
        <f t="shared" si="357"/>
        <v/>
      </c>
      <c r="L2390" s="11" t="str">
        <f t="shared" si="359"/>
        <v/>
      </c>
      <c r="M2390" s="9" t="str">
        <f>IF(G2390&lt;&gt;"",J2390/MAX(J$3:J2390)-1,"")</f>
        <v/>
      </c>
      <c r="N2390" s="9" t="str">
        <f>IF(G2390&lt;&gt;"",K2390/MAX(K$3:K2390)-1,"")</f>
        <v/>
      </c>
      <c r="O2390" s="16" t="str">
        <f t="shared" si="355"/>
        <v/>
      </c>
      <c r="P2390" s="16" t="str">
        <f t="shared" si="355"/>
        <v/>
      </c>
      <c r="Q2390" s="16" t="str">
        <f t="shared" si="355"/>
        <v/>
      </c>
      <c r="R2390" s="5" t="str">
        <f t="shared" si="354"/>
        <v/>
      </c>
      <c r="S2390" s="5" t="str">
        <f t="shared" si="358"/>
        <v/>
      </c>
      <c r="T2390" s="5" t="str">
        <f t="shared" si="360"/>
        <v/>
      </c>
      <c r="U2390" s="5" t="str">
        <f t="shared" si="360"/>
        <v/>
      </c>
    </row>
    <row r="2391" spans="7:21" x14ac:dyDescent="0.2">
      <c r="G2391" s="8"/>
      <c r="H2391" s="5"/>
      <c r="J2391" s="10" t="str">
        <f t="shared" si="356"/>
        <v/>
      </c>
      <c r="K2391" s="10" t="str">
        <f t="shared" si="357"/>
        <v/>
      </c>
      <c r="L2391" s="11" t="str">
        <f t="shared" si="359"/>
        <v/>
      </c>
      <c r="M2391" s="9" t="str">
        <f>IF(G2391&lt;&gt;"",J2391/MAX(J$3:J2391)-1,"")</f>
        <v/>
      </c>
      <c r="N2391" s="9" t="str">
        <f>IF(G2391&lt;&gt;"",K2391/MAX(K$3:K2391)-1,"")</f>
        <v/>
      </c>
      <c r="O2391" s="16" t="str">
        <f t="shared" si="355"/>
        <v/>
      </c>
      <c r="P2391" s="16" t="str">
        <f t="shared" si="355"/>
        <v/>
      </c>
      <c r="Q2391" s="16" t="str">
        <f t="shared" si="355"/>
        <v/>
      </c>
      <c r="R2391" s="5" t="str">
        <f t="shared" si="354"/>
        <v/>
      </c>
      <c r="S2391" s="5" t="str">
        <f t="shared" si="358"/>
        <v/>
      </c>
      <c r="T2391" s="5" t="str">
        <f t="shared" si="360"/>
        <v/>
      </c>
      <c r="U2391" s="5" t="str">
        <f t="shared" si="360"/>
        <v/>
      </c>
    </row>
    <row r="2392" spans="7:21" x14ac:dyDescent="0.2">
      <c r="G2392" s="8"/>
      <c r="H2392" s="5"/>
      <c r="J2392" s="10" t="str">
        <f t="shared" si="356"/>
        <v/>
      </c>
      <c r="K2392" s="10" t="str">
        <f t="shared" si="357"/>
        <v/>
      </c>
      <c r="L2392" s="11" t="str">
        <f t="shared" si="359"/>
        <v/>
      </c>
      <c r="M2392" s="9" t="str">
        <f>IF(G2392&lt;&gt;"",J2392/MAX(J$3:J2392)-1,"")</f>
        <v/>
      </c>
      <c r="N2392" s="9" t="str">
        <f>IF(G2392&lt;&gt;"",K2392/MAX(K$3:K2392)-1,"")</f>
        <v/>
      </c>
      <c r="O2392" s="16" t="str">
        <f t="shared" si="355"/>
        <v/>
      </c>
      <c r="P2392" s="16" t="str">
        <f t="shared" si="355"/>
        <v/>
      </c>
      <c r="Q2392" s="16" t="str">
        <f t="shared" si="355"/>
        <v/>
      </c>
      <c r="R2392" s="5" t="str">
        <f t="shared" si="354"/>
        <v/>
      </c>
      <c r="S2392" s="5" t="str">
        <f t="shared" si="358"/>
        <v/>
      </c>
      <c r="T2392" s="5" t="str">
        <f t="shared" ref="T2392:U2407" si="361">IF($G2392&lt;&gt;"",_xlfn.STDEV.S(O2148:O2392),"")</f>
        <v/>
      </c>
      <c r="U2392" s="5" t="str">
        <f t="shared" si="361"/>
        <v/>
      </c>
    </row>
    <row r="2393" spans="7:21" x14ac:dyDescent="0.2">
      <c r="G2393" s="8"/>
      <c r="H2393" s="5"/>
      <c r="J2393" s="10" t="str">
        <f t="shared" si="356"/>
        <v/>
      </c>
      <c r="K2393" s="10" t="str">
        <f t="shared" si="357"/>
        <v/>
      </c>
      <c r="L2393" s="11" t="str">
        <f t="shared" si="359"/>
        <v/>
      </c>
      <c r="M2393" s="9" t="str">
        <f>IF(G2393&lt;&gt;"",J2393/MAX(J$3:J2393)-1,"")</f>
        <v/>
      </c>
      <c r="N2393" s="9" t="str">
        <f>IF(G2393&lt;&gt;"",K2393/MAX(K$3:K2393)-1,"")</f>
        <v/>
      </c>
      <c r="O2393" s="16" t="str">
        <f t="shared" si="355"/>
        <v/>
      </c>
      <c r="P2393" s="16" t="str">
        <f t="shared" si="355"/>
        <v/>
      </c>
      <c r="Q2393" s="16" t="str">
        <f t="shared" si="355"/>
        <v/>
      </c>
      <c r="R2393" s="5" t="str">
        <f t="shared" si="354"/>
        <v/>
      </c>
      <c r="S2393" s="5" t="str">
        <f t="shared" si="358"/>
        <v/>
      </c>
      <c r="T2393" s="5" t="str">
        <f t="shared" si="361"/>
        <v/>
      </c>
      <c r="U2393" s="5" t="str">
        <f t="shared" si="361"/>
        <v/>
      </c>
    </row>
    <row r="2394" spans="7:21" x14ac:dyDescent="0.2">
      <c r="G2394" s="8"/>
      <c r="H2394" s="5"/>
      <c r="J2394" s="10" t="str">
        <f t="shared" si="356"/>
        <v/>
      </c>
      <c r="K2394" s="10" t="str">
        <f t="shared" si="357"/>
        <v/>
      </c>
      <c r="L2394" s="11" t="str">
        <f t="shared" si="359"/>
        <v/>
      </c>
      <c r="M2394" s="9" t="str">
        <f>IF(G2394&lt;&gt;"",J2394/MAX(J$3:J2394)-1,"")</f>
        <v/>
      </c>
      <c r="N2394" s="9" t="str">
        <f>IF(G2394&lt;&gt;"",K2394/MAX(K$3:K2394)-1,"")</f>
        <v/>
      </c>
      <c r="O2394" s="16" t="str">
        <f t="shared" si="355"/>
        <v/>
      </c>
      <c r="P2394" s="16" t="str">
        <f t="shared" si="355"/>
        <v/>
      </c>
      <c r="Q2394" s="16" t="str">
        <f t="shared" si="355"/>
        <v/>
      </c>
      <c r="R2394" s="5" t="str">
        <f t="shared" si="354"/>
        <v/>
      </c>
      <c r="S2394" s="5" t="str">
        <f t="shared" si="358"/>
        <v/>
      </c>
      <c r="T2394" s="5" t="str">
        <f t="shared" si="361"/>
        <v/>
      </c>
      <c r="U2394" s="5" t="str">
        <f t="shared" si="361"/>
        <v/>
      </c>
    </row>
    <row r="2395" spans="7:21" x14ac:dyDescent="0.2">
      <c r="G2395" s="8"/>
      <c r="H2395" s="5"/>
      <c r="J2395" s="10" t="str">
        <f t="shared" si="356"/>
        <v/>
      </c>
      <c r="K2395" s="10" t="str">
        <f t="shared" si="357"/>
        <v/>
      </c>
      <c r="L2395" s="11" t="str">
        <f t="shared" si="359"/>
        <v/>
      </c>
      <c r="M2395" s="9" t="str">
        <f>IF(G2395&lt;&gt;"",J2395/MAX(J$3:J2395)-1,"")</f>
        <v/>
      </c>
      <c r="N2395" s="9" t="str">
        <f>IF(G2395&lt;&gt;"",K2395/MAX(K$3:K2395)-1,"")</f>
        <v/>
      </c>
      <c r="O2395" s="16" t="str">
        <f t="shared" si="355"/>
        <v/>
      </c>
      <c r="P2395" s="16" t="str">
        <f t="shared" si="355"/>
        <v/>
      </c>
      <c r="Q2395" s="16" t="str">
        <f t="shared" si="355"/>
        <v/>
      </c>
      <c r="R2395" s="5" t="str">
        <f t="shared" si="354"/>
        <v/>
      </c>
      <c r="S2395" s="5" t="str">
        <f t="shared" si="358"/>
        <v/>
      </c>
      <c r="T2395" s="5" t="str">
        <f t="shared" si="361"/>
        <v/>
      </c>
      <c r="U2395" s="5" t="str">
        <f t="shared" si="361"/>
        <v/>
      </c>
    </row>
    <row r="2396" spans="7:21" x14ac:dyDescent="0.2">
      <c r="G2396" s="8"/>
      <c r="H2396" s="5"/>
      <c r="J2396" s="10" t="str">
        <f t="shared" si="356"/>
        <v/>
      </c>
      <c r="K2396" s="10" t="str">
        <f t="shared" si="357"/>
        <v/>
      </c>
      <c r="L2396" s="11" t="str">
        <f t="shared" si="359"/>
        <v/>
      </c>
      <c r="M2396" s="9" t="str">
        <f>IF(G2396&lt;&gt;"",J2396/MAX(J$3:J2396)-1,"")</f>
        <v/>
      </c>
      <c r="N2396" s="9" t="str">
        <f>IF(G2396&lt;&gt;"",K2396/MAX(K$3:K2396)-1,"")</f>
        <v/>
      </c>
      <c r="O2396" s="16" t="str">
        <f t="shared" si="355"/>
        <v/>
      </c>
      <c r="P2396" s="16" t="str">
        <f t="shared" si="355"/>
        <v/>
      </c>
      <c r="Q2396" s="16" t="str">
        <f t="shared" si="355"/>
        <v/>
      </c>
      <c r="R2396" s="5" t="str">
        <f t="shared" si="354"/>
        <v/>
      </c>
      <c r="S2396" s="5" t="str">
        <f t="shared" si="358"/>
        <v/>
      </c>
      <c r="T2396" s="5" t="str">
        <f t="shared" si="361"/>
        <v/>
      </c>
      <c r="U2396" s="5" t="str">
        <f t="shared" si="361"/>
        <v/>
      </c>
    </row>
    <row r="2397" spans="7:21" x14ac:dyDescent="0.2">
      <c r="G2397" s="8"/>
      <c r="H2397" s="5"/>
      <c r="J2397" s="10" t="str">
        <f t="shared" si="356"/>
        <v/>
      </c>
      <c r="K2397" s="10" t="str">
        <f t="shared" si="357"/>
        <v/>
      </c>
      <c r="L2397" s="11" t="str">
        <f t="shared" si="359"/>
        <v/>
      </c>
      <c r="M2397" s="9" t="str">
        <f>IF(G2397&lt;&gt;"",J2397/MAX(J$3:J2397)-1,"")</f>
        <v/>
      </c>
      <c r="N2397" s="9" t="str">
        <f>IF(G2397&lt;&gt;"",K2397/MAX(K$3:K2397)-1,"")</f>
        <v/>
      </c>
      <c r="O2397" s="16" t="str">
        <f t="shared" si="355"/>
        <v/>
      </c>
      <c r="P2397" s="16" t="str">
        <f t="shared" si="355"/>
        <v/>
      </c>
      <c r="Q2397" s="16" t="str">
        <f t="shared" si="355"/>
        <v/>
      </c>
      <c r="R2397" s="5" t="str">
        <f t="shared" si="354"/>
        <v/>
      </c>
      <c r="S2397" s="5" t="str">
        <f t="shared" si="358"/>
        <v/>
      </c>
      <c r="T2397" s="5" t="str">
        <f t="shared" si="361"/>
        <v/>
      </c>
      <c r="U2397" s="5" t="str">
        <f t="shared" si="361"/>
        <v/>
      </c>
    </row>
    <row r="2398" spans="7:21" x14ac:dyDescent="0.2">
      <c r="G2398" s="8"/>
      <c r="H2398" s="5"/>
      <c r="J2398" s="10" t="str">
        <f t="shared" si="356"/>
        <v/>
      </c>
      <c r="K2398" s="10" t="str">
        <f t="shared" si="357"/>
        <v/>
      </c>
      <c r="L2398" s="11" t="str">
        <f t="shared" si="359"/>
        <v/>
      </c>
      <c r="M2398" s="9" t="str">
        <f>IF(G2398&lt;&gt;"",J2398/MAX(J$3:J2398)-1,"")</f>
        <v/>
      </c>
      <c r="N2398" s="9" t="str">
        <f>IF(G2398&lt;&gt;"",K2398/MAX(K$3:K2398)-1,"")</f>
        <v/>
      </c>
      <c r="O2398" s="16" t="str">
        <f t="shared" si="355"/>
        <v/>
      </c>
      <c r="P2398" s="16" t="str">
        <f t="shared" si="355"/>
        <v/>
      </c>
      <c r="Q2398" s="16" t="str">
        <f t="shared" si="355"/>
        <v/>
      </c>
      <c r="R2398" s="5" t="str">
        <f t="shared" si="354"/>
        <v/>
      </c>
      <c r="S2398" s="5" t="str">
        <f t="shared" si="358"/>
        <v/>
      </c>
      <c r="T2398" s="5" t="str">
        <f t="shared" si="361"/>
        <v/>
      </c>
      <c r="U2398" s="5" t="str">
        <f t="shared" si="361"/>
        <v/>
      </c>
    </row>
    <row r="2399" spans="7:21" x14ac:dyDescent="0.2">
      <c r="G2399" s="8"/>
      <c r="H2399" s="5"/>
      <c r="J2399" s="10" t="str">
        <f t="shared" si="356"/>
        <v/>
      </c>
      <c r="K2399" s="10" t="str">
        <f t="shared" si="357"/>
        <v/>
      </c>
      <c r="L2399" s="11" t="str">
        <f t="shared" si="359"/>
        <v/>
      </c>
      <c r="M2399" s="9" t="str">
        <f>IF(G2399&lt;&gt;"",J2399/MAX(J$3:J2399)-1,"")</f>
        <v/>
      </c>
      <c r="N2399" s="9" t="str">
        <f>IF(G2399&lt;&gt;"",K2399/MAX(K$3:K2399)-1,"")</f>
        <v/>
      </c>
      <c r="O2399" s="16" t="str">
        <f t="shared" si="355"/>
        <v/>
      </c>
      <c r="P2399" s="16" t="str">
        <f t="shared" si="355"/>
        <v/>
      </c>
      <c r="Q2399" s="16" t="str">
        <f t="shared" si="355"/>
        <v/>
      </c>
      <c r="R2399" s="5" t="str">
        <f t="shared" si="354"/>
        <v/>
      </c>
      <c r="S2399" s="5" t="str">
        <f t="shared" si="358"/>
        <v/>
      </c>
      <c r="T2399" s="5" t="str">
        <f t="shared" si="361"/>
        <v/>
      </c>
      <c r="U2399" s="5" t="str">
        <f t="shared" si="361"/>
        <v/>
      </c>
    </row>
    <row r="2400" spans="7:21" x14ac:dyDescent="0.2">
      <c r="G2400" s="8"/>
      <c r="H2400" s="5"/>
      <c r="J2400" s="10" t="str">
        <f t="shared" si="356"/>
        <v/>
      </c>
      <c r="K2400" s="10" t="str">
        <f t="shared" si="357"/>
        <v/>
      </c>
      <c r="L2400" s="11" t="str">
        <f t="shared" si="359"/>
        <v/>
      </c>
      <c r="M2400" s="9" t="str">
        <f>IF(G2400&lt;&gt;"",J2400/MAX(J$3:J2400)-1,"")</f>
        <v/>
      </c>
      <c r="N2400" s="9" t="str">
        <f>IF(G2400&lt;&gt;"",K2400/MAX(K$3:K2400)-1,"")</f>
        <v/>
      </c>
      <c r="O2400" s="16" t="str">
        <f t="shared" si="355"/>
        <v/>
      </c>
      <c r="P2400" s="16" t="str">
        <f t="shared" si="355"/>
        <v/>
      </c>
      <c r="Q2400" s="16" t="str">
        <f t="shared" si="355"/>
        <v/>
      </c>
      <c r="R2400" s="5" t="str">
        <f t="shared" si="354"/>
        <v/>
      </c>
      <c r="S2400" s="5" t="str">
        <f t="shared" si="358"/>
        <v/>
      </c>
      <c r="T2400" s="5" t="str">
        <f t="shared" si="361"/>
        <v/>
      </c>
      <c r="U2400" s="5" t="str">
        <f t="shared" si="361"/>
        <v/>
      </c>
    </row>
    <row r="2401" spans="7:21" x14ac:dyDescent="0.2">
      <c r="G2401" s="8"/>
      <c r="H2401" s="5"/>
      <c r="J2401" s="10" t="str">
        <f t="shared" si="356"/>
        <v/>
      </c>
      <c r="K2401" s="10" t="str">
        <f t="shared" si="357"/>
        <v/>
      </c>
      <c r="L2401" s="11" t="str">
        <f t="shared" si="359"/>
        <v/>
      </c>
      <c r="M2401" s="9" t="str">
        <f>IF(G2401&lt;&gt;"",J2401/MAX(J$3:J2401)-1,"")</f>
        <v/>
      </c>
      <c r="N2401" s="9" t="str">
        <f>IF(G2401&lt;&gt;"",K2401/MAX(K$3:K2401)-1,"")</f>
        <v/>
      </c>
      <c r="O2401" s="16" t="str">
        <f t="shared" si="355"/>
        <v/>
      </c>
      <c r="P2401" s="16" t="str">
        <f t="shared" si="355"/>
        <v/>
      </c>
      <c r="Q2401" s="16" t="str">
        <f t="shared" si="355"/>
        <v/>
      </c>
      <c r="R2401" s="5" t="str">
        <f t="shared" si="354"/>
        <v/>
      </c>
      <c r="S2401" s="5" t="str">
        <f t="shared" si="358"/>
        <v/>
      </c>
      <c r="T2401" s="5" t="str">
        <f t="shared" si="361"/>
        <v/>
      </c>
      <c r="U2401" s="5" t="str">
        <f t="shared" si="361"/>
        <v/>
      </c>
    </row>
    <row r="2402" spans="7:21" x14ac:dyDescent="0.2">
      <c r="G2402" s="8"/>
      <c r="H2402" s="5"/>
      <c r="J2402" s="10" t="str">
        <f t="shared" si="356"/>
        <v/>
      </c>
      <c r="K2402" s="10" t="str">
        <f t="shared" si="357"/>
        <v/>
      </c>
      <c r="L2402" s="11" t="str">
        <f t="shared" si="359"/>
        <v/>
      </c>
      <c r="M2402" s="9" t="str">
        <f>IF(G2402&lt;&gt;"",J2402/MAX(J$3:J2402)-1,"")</f>
        <v/>
      </c>
      <c r="N2402" s="9" t="str">
        <f>IF(G2402&lt;&gt;"",K2402/MAX(K$3:K2402)-1,"")</f>
        <v/>
      </c>
      <c r="O2402" s="16" t="str">
        <f t="shared" si="355"/>
        <v/>
      </c>
      <c r="P2402" s="16" t="str">
        <f t="shared" si="355"/>
        <v/>
      </c>
      <c r="Q2402" s="16" t="str">
        <f t="shared" si="355"/>
        <v/>
      </c>
      <c r="R2402" s="5" t="str">
        <f t="shared" si="354"/>
        <v/>
      </c>
      <c r="S2402" s="5" t="str">
        <f t="shared" si="358"/>
        <v/>
      </c>
      <c r="T2402" s="5" t="str">
        <f t="shared" si="361"/>
        <v/>
      </c>
      <c r="U2402" s="5" t="str">
        <f t="shared" si="361"/>
        <v/>
      </c>
    </row>
    <row r="2403" spans="7:21" x14ac:dyDescent="0.2">
      <c r="G2403" s="8"/>
      <c r="H2403" s="5"/>
      <c r="J2403" s="10" t="str">
        <f t="shared" si="356"/>
        <v/>
      </c>
      <c r="K2403" s="10" t="str">
        <f t="shared" si="357"/>
        <v/>
      </c>
      <c r="L2403" s="11" t="str">
        <f t="shared" si="359"/>
        <v/>
      </c>
      <c r="M2403" s="9" t="str">
        <f>IF(G2403&lt;&gt;"",J2403/MAX(J$3:J2403)-1,"")</f>
        <v/>
      </c>
      <c r="N2403" s="9" t="str">
        <f>IF(G2403&lt;&gt;"",K2403/MAX(K$3:K2403)-1,"")</f>
        <v/>
      </c>
      <c r="O2403" s="16" t="str">
        <f t="shared" si="355"/>
        <v/>
      </c>
      <c r="P2403" s="16" t="str">
        <f t="shared" si="355"/>
        <v/>
      </c>
      <c r="Q2403" s="16" t="str">
        <f t="shared" si="355"/>
        <v/>
      </c>
      <c r="R2403" s="5" t="str">
        <f t="shared" si="354"/>
        <v/>
      </c>
      <c r="S2403" s="5" t="str">
        <f t="shared" si="358"/>
        <v/>
      </c>
      <c r="T2403" s="5" t="str">
        <f t="shared" si="361"/>
        <v/>
      </c>
      <c r="U2403" s="5" t="str">
        <f t="shared" si="361"/>
        <v/>
      </c>
    </row>
    <row r="2404" spans="7:21" x14ac:dyDescent="0.2">
      <c r="G2404" s="8"/>
      <c r="H2404" s="5"/>
      <c r="J2404" s="10" t="str">
        <f t="shared" si="356"/>
        <v/>
      </c>
      <c r="K2404" s="10" t="str">
        <f t="shared" si="357"/>
        <v/>
      </c>
      <c r="L2404" s="11" t="str">
        <f t="shared" si="359"/>
        <v/>
      </c>
      <c r="M2404" s="9" t="str">
        <f>IF(G2404&lt;&gt;"",J2404/MAX(J$3:J2404)-1,"")</f>
        <v/>
      </c>
      <c r="N2404" s="9" t="str">
        <f>IF(G2404&lt;&gt;"",K2404/MAX(K$3:K2404)-1,"")</f>
        <v/>
      </c>
      <c r="O2404" s="16" t="str">
        <f t="shared" si="355"/>
        <v/>
      </c>
      <c r="P2404" s="16" t="str">
        <f t="shared" si="355"/>
        <v/>
      </c>
      <c r="Q2404" s="16" t="str">
        <f t="shared" si="355"/>
        <v/>
      </c>
      <c r="R2404" s="5" t="str">
        <f t="shared" si="354"/>
        <v/>
      </c>
      <c r="S2404" s="5" t="str">
        <f t="shared" si="358"/>
        <v/>
      </c>
      <c r="T2404" s="5" t="str">
        <f t="shared" si="361"/>
        <v/>
      </c>
      <c r="U2404" s="5" t="str">
        <f t="shared" si="361"/>
        <v/>
      </c>
    </row>
    <row r="2405" spans="7:21" x14ac:dyDescent="0.2">
      <c r="G2405" s="8"/>
      <c r="H2405" s="5"/>
      <c r="J2405" s="10" t="str">
        <f t="shared" si="356"/>
        <v/>
      </c>
      <c r="K2405" s="10" t="str">
        <f t="shared" si="357"/>
        <v/>
      </c>
      <c r="L2405" s="11" t="str">
        <f t="shared" si="359"/>
        <v/>
      </c>
      <c r="M2405" s="9" t="str">
        <f>IF(G2405&lt;&gt;"",J2405/MAX(J$3:J2405)-1,"")</f>
        <v/>
      </c>
      <c r="N2405" s="9" t="str">
        <f>IF(G2405&lt;&gt;"",K2405/MAX(K$3:K2405)-1,"")</f>
        <v/>
      </c>
      <c r="O2405" s="16" t="str">
        <f t="shared" si="355"/>
        <v/>
      </c>
      <c r="P2405" s="16" t="str">
        <f t="shared" si="355"/>
        <v/>
      </c>
      <c r="Q2405" s="16" t="str">
        <f t="shared" si="355"/>
        <v/>
      </c>
      <c r="R2405" s="5" t="str">
        <f t="shared" si="354"/>
        <v/>
      </c>
      <c r="S2405" s="5" t="str">
        <f t="shared" si="358"/>
        <v/>
      </c>
      <c r="T2405" s="5" t="str">
        <f t="shared" si="361"/>
        <v/>
      </c>
      <c r="U2405" s="5" t="str">
        <f t="shared" si="361"/>
        <v/>
      </c>
    </row>
    <row r="2406" spans="7:21" x14ac:dyDescent="0.2">
      <c r="G2406" s="8"/>
      <c r="H2406" s="5"/>
      <c r="J2406" s="10" t="str">
        <f t="shared" si="356"/>
        <v/>
      </c>
      <c r="K2406" s="10" t="str">
        <f t="shared" si="357"/>
        <v/>
      </c>
      <c r="L2406" s="11" t="str">
        <f t="shared" si="359"/>
        <v/>
      </c>
      <c r="M2406" s="9" t="str">
        <f>IF(G2406&lt;&gt;"",J2406/MAX(J$3:J2406)-1,"")</f>
        <v/>
      </c>
      <c r="N2406" s="9" t="str">
        <f>IF(G2406&lt;&gt;"",K2406/MAX(K$3:K2406)-1,"")</f>
        <v/>
      </c>
      <c r="O2406" s="16" t="str">
        <f t="shared" si="355"/>
        <v/>
      </c>
      <c r="P2406" s="16" t="str">
        <f t="shared" si="355"/>
        <v/>
      </c>
      <c r="Q2406" s="16" t="str">
        <f t="shared" si="355"/>
        <v/>
      </c>
      <c r="R2406" s="5" t="str">
        <f t="shared" si="354"/>
        <v/>
      </c>
      <c r="S2406" s="5" t="str">
        <f t="shared" si="358"/>
        <v/>
      </c>
      <c r="T2406" s="5" t="str">
        <f t="shared" si="361"/>
        <v/>
      </c>
      <c r="U2406" s="5" t="str">
        <f t="shared" si="361"/>
        <v/>
      </c>
    </row>
    <row r="2407" spans="7:21" x14ac:dyDescent="0.2">
      <c r="G2407" s="8"/>
      <c r="H2407" s="5"/>
      <c r="J2407" s="10" t="str">
        <f t="shared" si="356"/>
        <v/>
      </c>
      <c r="K2407" s="10" t="str">
        <f t="shared" si="357"/>
        <v/>
      </c>
      <c r="L2407" s="11" t="str">
        <f t="shared" si="359"/>
        <v/>
      </c>
      <c r="M2407" s="9" t="str">
        <f>IF(G2407&lt;&gt;"",J2407/MAX(J$3:J2407)-1,"")</f>
        <v/>
      </c>
      <c r="N2407" s="9" t="str">
        <f>IF(G2407&lt;&gt;"",K2407/MAX(K$3:K2407)-1,"")</f>
        <v/>
      </c>
      <c r="O2407" s="16" t="str">
        <f t="shared" si="355"/>
        <v/>
      </c>
      <c r="P2407" s="16" t="str">
        <f t="shared" si="355"/>
        <v/>
      </c>
      <c r="Q2407" s="16" t="str">
        <f t="shared" si="355"/>
        <v/>
      </c>
      <c r="R2407" s="5" t="str">
        <f t="shared" si="354"/>
        <v/>
      </c>
      <c r="S2407" s="5" t="str">
        <f t="shared" si="358"/>
        <v/>
      </c>
      <c r="T2407" s="5" t="str">
        <f t="shared" si="361"/>
        <v/>
      </c>
      <c r="U2407" s="5" t="str">
        <f t="shared" si="361"/>
        <v/>
      </c>
    </row>
    <row r="2408" spans="7:21" x14ac:dyDescent="0.2">
      <c r="G2408" s="8"/>
      <c r="H2408" s="5"/>
      <c r="J2408" s="10" t="str">
        <f t="shared" si="356"/>
        <v/>
      </c>
      <c r="K2408" s="10" t="str">
        <f t="shared" si="357"/>
        <v/>
      </c>
      <c r="L2408" s="11" t="str">
        <f t="shared" si="359"/>
        <v/>
      </c>
      <c r="M2408" s="9" t="str">
        <f>IF(G2408&lt;&gt;"",J2408/MAX(J$3:J2408)-1,"")</f>
        <v/>
      </c>
      <c r="N2408" s="9" t="str">
        <f>IF(G2408&lt;&gt;"",K2408/MAX(K$3:K2408)-1,"")</f>
        <v/>
      </c>
      <c r="O2408" s="16" t="str">
        <f t="shared" si="355"/>
        <v/>
      </c>
      <c r="P2408" s="16" t="str">
        <f t="shared" si="355"/>
        <v/>
      </c>
      <c r="Q2408" s="16" t="str">
        <f t="shared" si="355"/>
        <v/>
      </c>
      <c r="R2408" s="5" t="str">
        <f t="shared" si="354"/>
        <v/>
      </c>
      <c r="S2408" s="5" t="str">
        <f t="shared" si="358"/>
        <v/>
      </c>
      <c r="T2408" s="5" t="str">
        <f t="shared" ref="T2408:U2423" si="362">IF($G2408&lt;&gt;"",_xlfn.STDEV.S(O2164:O2408),"")</f>
        <v/>
      </c>
      <c r="U2408" s="5" t="str">
        <f t="shared" si="362"/>
        <v/>
      </c>
    </row>
    <row r="2409" spans="7:21" x14ac:dyDescent="0.2">
      <c r="G2409" s="8"/>
      <c r="H2409" s="5"/>
      <c r="J2409" s="10" t="str">
        <f t="shared" si="356"/>
        <v/>
      </c>
      <c r="K2409" s="10" t="str">
        <f t="shared" si="357"/>
        <v/>
      </c>
      <c r="L2409" s="11" t="str">
        <f t="shared" si="359"/>
        <v/>
      </c>
      <c r="M2409" s="9" t="str">
        <f>IF(G2409&lt;&gt;"",J2409/MAX(J$3:J2409)-1,"")</f>
        <v/>
      </c>
      <c r="N2409" s="9" t="str">
        <f>IF(G2409&lt;&gt;"",K2409/MAX(K$3:K2409)-1,"")</f>
        <v/>
      </c>
      <c r="O2409" s="16" t="str">
        <f t="shared" si="355"/>
        <v/>
      </c>
      <c r="P2409" s="16" t="str">
        <f t="shared" si="355"/>
        <v/>
      </c>
      <c r="Q2409" s="16" t="str">
        <f t="shared" si="355"/>
        <v/>
      </c>
      <c r="R2409" s="5" t="str">
        <f t="shared" si="354"/>
        <v/>
      </c>
      <c r="S2409" s="5" t="str">
        <f t="shared" si="358"/>
        <v/>
      </c>
      <c r="T2409" s="5" t="str">
        <f t="shared" si="362"/>
        <v/>
      </c>
      <c r="U2409" s="5" t="str">
        <f t="shared" si="362"/>
        <v/>
      </c>
    </row>
    <row r="2410" spans="7:21" x14ac:dyDescent="0.2">
      <c r="G2410" s="8"/>
      <c r="H2410" s="5"/>
      <c r="J2410" s="10" t="str">
        <f t="shared" si="356"/>
        <v/>
      </c>
      <c r="K2410" s="10" t="str">
        <f t="shared" si="357"/>
        <v/>
      </c>
      <c r="L2410" s="11" t="str">
        <f t="shared" si="359"/>
        <v/>
      </c>
      <c r="M2410" s="9" t="str">
        <f>IF(G2410&lt;&gt;"",J2410/MAX(J$3:J2410)-1,"")</f>
        <v/>
      </c>
      <c r="N2410" s="9" t="str">
        <f>IF(G2410&lt;&gt;"",K2410/MAX(K$3:K2410)-1,"")</f>
        <v/>
      </c>
      <c r="O2410" s="16" t="str">
        <f t="shared" si="355"/>
        <v/>
      </c>
      <c r="P2410" s="16" t="str">
        <f t="shared" si="355"/>
        <v/>
      </c>
      <c r="Q2410" s="16" t="str">
        <f t="shared" si="355"/>
        <v/>
      </c>
      <c r="R2410" s="5" t="str">
        <f t="shared" si="354"/>
        <v/>
      </c>
      <c r="S2410" s="5" t="str">
        <f t="shared" si="358"/>
        <v/>
      </c>
      <c r="T2410" s="5" t="str">
        <f t="shared" si="362"/>
        <v/>
      </c>
      <c r="U2410" s="5" t="str">
        <f t="shared" si="362"/>
        <v/>
      </c>
    </row>
    <row r="2411" spans="7:21" x14ac:dyDescent="0.2">
      <c r="G2411" s="8"/>
      <c r="H2411" s="5"/>
      <c r="J2411" s="10" t="str">
        <f t="shared" si="356"/>
        <v/>
      </c>
      <c r="K2411" s="10" t="str">
        <f t="shared" si="357"/>
        <v/>
      </c>
      <c r="L2411" s="11" t="str">
        <f t="shared" si="359"/>
        <v/>
      </c>
      <c r="M2411" s="9" t="str">
        <f>IF(G2411&lt;&gt;"",J2411/MAX(J$3:J2411)-1,"")</f>
        <v/>
      </c>
      <c r="N2411" s="9" t="str">
        <f>IF(G2411&lt;&gt;"",K2411/MAX(K$3:K2411)-1,"")</f>
        <v/>
      </c>
      <c r="O2411" s="16" t="str">
        <f t="shared" si="355"/>
        <v/>
      </c>
      <c r="P2411" s="16" t="str">
        <f t="shared" si="355"/>
        <v/>
      </c>
      <c r="Q2411" s="16" t="str">
        <f t="shared" si="355"/>
        <v/>
      </c>
      <c r="R2411" s="5" t="str">
        <f t="shared" si="354"/>
        <v/>
      </c>
      <c r="S2411" s="5" t="str">
        <f t="shared" si="358"/>
        <v/>
      </c>
      <c r="T2411" s="5" t="str">
        <f t="shared" si="362"/>
        <v/>
      </c>
      <c r="U2411" s="5" t="str">
        <f t="shared" si="362"/>
        <v/>
      </c>
    </row>
    <row r="2412" spans="7:21" x14ac:dyDescent="0.2">
      <c r="G2412" s="8"/>
      <c r="H2412" s="5"/>
      <c r="J2412" s="10" t="str">
        <f t="shared" si="356"/>
        <v/>
      </c>
      <c r="K2412" s="10" t="str">
        <f t="shared" si="357"/>
        <v/>
      </c>
      <c r="L2412" s="11" t="str">
        <f t="shared" si="359"/>
        <v/>
      </c>
      <c r="M2412" s="9" t="str">
        <f>IF(G2412&lt;&gt;"",J2412/MAX(J$3:J2412)-1,"")</f>
        <v/>
      </c>
      <c r="N2412" s="9" t="str">
        <f>IF(G2412&lt;&gt;"",K2412/MAX(K$3:K2412)-1,"")</f>
        <v/>
      </c>
      <c r="O2412" s="16" t="str">
        <f t="shared" si="355"/>
        <v/>
      </c>
      <c r="P2412" s="16" t="str">
        <f t="shared" si="355"/>
        <v/>
      </c>
      <c r="Q2412" s="16" t="str">
        <f t="shared" si="355"/>
        <v/>
      </c>
      <c r="R2412" s="5" t="str">
        <f t="shared" si="354"/>
        <v/>
      </c>
      <c r="S2412" s="5" t="str">
        <f t="shared" si="358"/>
        <v/>
      </c>
      <c r="T2412" s="5" t="str">
        <f t="shared" si="362"/>
        <v/>
      </c>
      <c r="U2412" s="5" t="str">
        <f t="shared" si="362"/>
        <v/>
      </c>
    </row>
    <row r="2413" spans="7:21" x14ac:dyDescent="0.2">
      <c r="G2413" s="8"/>
      <c r="H2413" s="5"/>
      <c r="J2413" s="10" t="str">
        <f t="shared" si="356"/>
        <v/>
      </c>
      <c r="K2413" s="10" t="str">
        <f t="shared" si="357"/>
        <v/>
      </c>
      <c r="L2413" s="11" t="str">
        <f t="shared" si="359"/>
        <v/>
      </c>
      <c r="M2413" s="9" t="str">
        <f>IF(G2413&lt;&gt;"",J2413/MAX(J$3:J2413)-1,"")</f>
        <v/>
      </c>
      <c r="N2413" s="9" t="str">
        <f>IF(G2413&lt;&gt;"",K2413/MAX(K$3:K2413)-1,"")</f>
        <v/>
      </c>
      <c r="O2413" s="16" t="str">
        <f t="shared" si="355"/>
        <v/>
      </c>
      <c r="P2413" s="16" t="str">
        <f t="shared" si="355"/>
        <v/>
      </c>
      <c r="Q2413" s="16" t="str">
        <f t="shared" si="355"/>
        <v/>
      </c>
      <c r="R2413" s="5" t="str">
        <f t="shared" si="354"/>
        <v/>
      </c>
      <c r="S2413" s="5" t="str">
        <f t="shared" si="358"/>
        <v/>
      </c>
      <c r="T2413" s="5" t="str">
        <f t="shared" si="362"/>
        <v/>
      </c>
      <c r="U2413" s="5" t="str">
        <f t="shared" si="362"/>
        <v/>
      </c>
    </row>
    <row r="2414" spans="7:21" x14ac:dyDescent="0.2">
      <c r="G2414" s="8"/>
      <c r="H2414" s="5"/>
      <c r="J2414" s="10" t="str">
        <f t="shared" si="356"/>
        <v/>
      </c>
      <c r="K2414" s="10" t="str">
        <f t="shared" si="357"/>
        <v/>
      </c>
      <c r="L2414" s="11" t="str">
        <f t="shared" si="359"/>
        <v/>
      </c>
      <c r="M2414" s="9" t="str">
        <f>IF(G2414&lt;&gt;"",J2414/MAX(J$3:J2414)-1,"")</f>
        <v/>
      </c>
      <c r="N2414" s="9" t="str">
        <f>IF(G2414&lt;&gt;"",K2414/MAX(K$3:K2414)-1,"")</f>
        <v/>
      </c>
      <c r="O2414" s="16" t="str">
        <f t="shared" si="355"/>
        <v/>
      </c>
      <c r="P2414" s="16" t="str">
        <f t="shared" si="355"/>
        <v/>
      </c>
      <c r="Q2414" s="16" t="str">
        <f t="shared" si="355"/>
        <v/>
      </c>
      <c r="R2414" s="5" t="str">
        <f t="shared" si="354"/>
        <v/>
      </c>
      <c r="S2414" s="5" t="str">
        <f t="shared" si="358"/>
        <v/>
      </c>
      <c r="T2414" s="5" t="str">
        <f t="shared" si="362"/>
        <v/>
      </c>
      <c r="U2414" s="5" t="str">
        <f t="shared" si="362"/>
        <v/>
      </c>
    </row>
    <row r="2415" spans="7:21" x14ac:dyDescent="0.2">
      <c r="G2415" s="8"/>
      <c r="H2415" s="5"/>
      <c r="J2415" s="10" t="str">
        <f t="shared" si="356"/>
        <v/>
      </c>
      <c r="K2415" s="10" t="str">
        <f t="shared" si="357"/>
        <v/>
      </c>
      <c r="L2415" s="11" t="str">
        <f t="shared" si="359"/>
        <v/>
      </c>
      <c r="M2415" s="9" t="str">
        <f>IF(G2415&lt;&gt;"",J2415/MAX(J$3:J2415)-1,"")</f>
        <v/>
      </c>
      <c r="N2415" s="9" t="str">
        <f>IF(G2415&lt;&gt;"",K2415/MAX(K$3:K2415)-1,"")</f>
        <v/>
      </c>
      <c r="O2415" s="16" t="str">
        <f t="shared" si="355"/>
        <v/>
      </c>
      <c r="P2415" s="16" t="str">
        <f t="shared" si="355"/>
        <v/>
      </c>
      <c r="Q2415" s="16" t="str">
        <f t="shared" si="355"/>
        <v/>
      </c>
      <c r="R2415" s="5" t="str">
        <f t="shared" si="354"/>
        <v/>
      </c>
      <c r="S2415" s="5" t="str">
        <f t="shared" si="358"/>
        <v/>
      </c>
      <c r="T2415" s="5" t="str">
        <f t="shared" si="362"/>
        <v/>
      </c>
      <c r="U2415" s="5" t="str">
        <f t="shared" si="362"/>
        <v/>
      </c>
    </row>
    <row r="2416" spans="7:21" x14ac:dyDescent="0.2">
      <c r="G2416" s="8"/>
      <c r="H2416" s="5"/>
      <c r="J2416" s="10" t="str">
        <f t="shared" si="356"/>
        <v/>
      </c>
      <c r="K2416" s="10" t="str">
        <f t="shared" si="357"/>
        <v/>
      </c>
      <c r="L2416" s="11" t="str">
        <f t="shared" si="359"/>
        <v/>
      </c>
      <c r="M2416" s="9" t="str">
        <f>IF(G2416&lt;&gt;"",J2416/MAX(J$3:J2416)-1,"")</f>
        <v/>
      </c>
      <c r="N2416" s="9" t="str">
        <f>IF(G2416&lt;&gt;"",K2416/MAX(K$3:K2416)-1,"")</f>
        <v/>
      </c>
      <c r="O2416" s="16" t="str">
        <f t="shared" si="355"/>
        <v/>
      </c>
      <c r="P2416" s="16" t="str">
        <f t="shared" si="355"/>
        <v/>
      </c>
      <c r="Q2416" s="16" t="str">
        <f t="shared" si="355"/>
        <v/>
      </c>
      <c r="R2416" s="5" t="str">
        <f t="shared" si="354"/>
        <v/>
      </c>
      <c r="S2416" s="5" t="str">
        <f t="shared" si="358"/>
        <v/>
      </c>
      <c r="T2416" s="5" t="str">
        <f t="shared" si="362"/>
        <v/>
      </c>
      <c r="U2416" s="5" t="str">
        <f t="shared" si="362"/>
        <v/>
      </c>
    </row>
    <row r="2417" spans="7:21" x14ac:dyDescent="0.2">
      <c r="G2417" s="8"/>
      <c r="H2417" s="5"/>
      <c r="J2417" s="10" t="str">
        <f t="shared" si="356"/>
        <v/>
      </c>
      <c r="K2417" s="10" t="str">
        <f t="shared" si="357"/>
        <v/>
      </c>
      <c r="L2417" s="11" t="str">
        <f t="shared" si="359"/>
        <v/>
      </c>
      <c r="M2417" s="9" t="str">
        <f>IF(G2417&lt;&gt;"",J2417/MAX(J$3:J2417)-1,"")</f>
        <v/>
      </c>
      <c r="N2417" s="9" t="str">
        <f>IF(G2417&lt;&gt;"",K2417/MAX(K$3:K2417)-1,"")</f>
        <v/>
      </c>
      <c r="O2417" s="16" t="str">
        <f t="shared" si="355"/>
        <v/>
      </c>
      <c r="P2417" s="16" t="str">
        <f t="shared" si="355"/>
        <v/>
      </c>
      <c r="Q2417" s="16" t="str">
        <f t="shared" si="355"/>
        <v/>
      </c>
      <c r="R2417" s="5" t="str">
        <f t="shared" si="354"/>
        <v/>
      </c>
      <c r="S2417" s="5" t="str">
        <f t="shared" si="358"/>
        <v/>
      </c>
      <c r="T2417" s="5" t="str">
        <f t="shared" si="362"/>
        <v/>
      </c>
      <c r="U2417" s="5" t="str">
        <f t="shared" si="362"/>
        <v/>
      </c>
    </row>
    <row r="2418" spans="7:21" x14ac:dyDescent="0.2">
      <c r="G2418" s="8"/>
      <c r="H2418" s="5"/>
      <c r="J2418" s="10" t="str">
        <f t="shared" si="356"/>
        <v/>
      </c>
      <c r="K2418" s="10" t="str">
        <f t="shared" si="357"/>
        <v/>
      </c>
      <c r="L2418" s="11" t="str">
        <f t="shared" si="359"/>
        <v/>
      </c>
      <c r="M2418" s="9" t="str">
        <f>IF(G2418&lt;&gt;"",J2418/MAX(J$3:J2418)-1,"")</f>
        <v/>
      </c>
      <c r="N2418" s="9" t="str">
        <f>IF(G2418&lt;&gt;"",K2418/MAX(K$3:K2418)-1,"")</f>
        <v/>
      </c>
      <c r="O2418" s="16" t="str">
        <f t="shared" si="355"/>
        <v/>
      </c>
      <c r="P2418" s="16" t="str">
        <f t="shared" si="355"/>
        <v/>
      </c>
      <c r="Q2418" s="16" t="str">
        <f t="shared" si="355"/>
        <v/>
      </c>
      <c r="R2418" s="5" t="str">
        <f t="shared" si="354"/>
        <v/>
      </c>
      <c r="S2418" s="5" t="str">
        <f t="shared" si="358"/>
        <v/>
      </c>
      <c r="T2418" s="5" t="str">
        <f t="shared" si="362"/>
        <v/>
      </c>
      <c r="U2418" s="5" t="str">
        <f t="shared" si="362"/>
        <v/>
      </c>
    </row>
    <row r="2419" spans="7:21" x14ac:dyDescent="0.2">
      <c r="G2419" s="8"/>
      <c r="H2419" s="5"/>
      <c r="J2419" s="10" t="str">
        <f t="shared" si="356"/>
        <v/>
      </c>
      <c r="K2419" s="10" t="str">
        <f t="shared" si="357"/>
        <v/>
      </c>
      <c r="L2419" s="11" t="str">
        <f t="shared" si="359"/>
        <v/>
      </c>
      <c r="M2419" s="9" t="str">
        <f>IF(G2419&lt;&gt;"",J2419/MAX(J$3:J2419)-1,"")</f>
        <v/>
      </c>
      <c r="N2419" s="9" t="str">
        <f>IF(G2419&lt;&gt;"",K2419/MAX(K$3:K2419)-1,"")</f>
        <v/>
      </c>
      <c r="O2419" s="16" t="str">
        <f t="shared" si="355"/>
        <v/>
      </c>
      <c r="P2419" s="16" t="str">
        <f t="shared" si="355"/>
        <v/>
      </c>
      <c r="Q2419" s="16" t="str">
        <f t="shared" si="355"/>
        <v/>
      </c>
      <c r="R2419" s="5" t="str">
        <f t="shared" si="354"/>
        <v/>
      </c>
      <c r="S2419" s="5" t="str">
        <f t="shared" si="358"/>
        <v/>
      </c>
      <c r="T2419" s="5" t="str">
        <f t="shared" si="362"/>
        <v/>
      </c>
      <c r="U2419" s="5" t="str">
        <f t="shared" si="362"/>
        <v/>
      </c>
    </row>
    <row r="2420" spans="7:21" x14ac:dyDescent="0.2">
      <c r="G2420" s="8"/>
      <c r="H2420" s="5"/>
      <c r="J2420" s="10" t="str">
        <f t="shared" si="356"/>
        <v/>
      </c>
      <c r="K2420" s="10" t="str">
        <f t="shared" si="357"/>
        <v/>
      </c>
      <c r="L2420" s="11" t="str">
        <f t="shared" si="359"/>
        <v/>
      </c>
      <c r="M2420" s="9" t="str">
        <f>IF(G2420&lt;&gt;"",J2420/MAX(J$3:J2420)-1,"")</f>
        <v/>
      </c>
      <c r="N2420" s="9" t="str">
        <f>IF(G2420&lt;&gt;"",K2420/MAX(K$3:K2420)-1,"")</f>
        <v/>
      </c>
      <c r="O2420" s="16" t="str">
        <f t="shared" si="355"/>
        <v/>
      </c>
      <c r="P2420" s="16" t="str">
        <f t="shared" si="355"/>
        <v/>
      </c>
      <c r="Q2420" s="16" t="str">
        <f t="shared" si="355"/>
        <v/>
      </c>
      <c r="R2420" s="5" t="str">
        <f t="shared" si="354"/>
        <v/>
      </c>
      <c r="S2420" s="5" t="str">
        <f t="shared" si="358"/>
        <v/>
      </c>
      <c r="T2420" s="5" t="str">
        <f t="shared" si="362"/>
        <v/>
      </c>
      <c r="U2420" s="5" t="str">
        <f t="shared" si="362"/>
        <v/>
      </c>
    </row>
    <row r="2421" spans="7:21" x14ac:dyDescent="0.2">
      <c r="G2421" s="8"/>
      <c r="H2421" s="5"/>
      <c r="J2421" s="10" t="str">
        <f t="shared" si="356"/>
        <v/>
      </c>
      <c r="K2421" s="10" t="str">
        <f t="shared" si="357"/>
        <v/>
      </c>
      <c r="L2421" s="11" t="str">
        <f t="shared" si="359"/>
        <v/>
      </c>
      <c r="M2421" s="9" t="str">
        <f>IF(G2421&lt;&gt;"",J2421/MAX(J$3:J2421)-1,"")</f>
        <v/>
      </c>
      <c r="N2421" s="9" t="str">
        <f>IF(G2421&lt;&gt;"",K2421/MAX(K$3:K2421)-1,"")</f>
        <v/>
      </c>
      <c r="O2421" s="16" t="str">
        <f t="shared" si="355"/>
        <v/>
      </c>
      <c r="P2421" s="16" t="str">
        <f t="shared" si="355"/>
        <v/>
      </c>
      <c r="Q2421" s="16" t="str">
        <f t="shared" si="355"/>
        <v/>
      </c>
      <c r="R2421" s="5" t="str">
        <f t="shared" si="354"/>
        <v/>
      </c>
      <c r="S2421" s="5" t="str">
        <f t="shared" si="358"/>
        <v/>
      </c>
      <c r="T2421" s="5" t="str">
        <f t="shared" si="362"/>
        <v/>
      </c>
      <c r="U2421" s="5" t="str">
        <f t="shared" si="362"/>
        <v/>
      </c>
    </row>
    <row r="2422" spans="7:21" x14ac:dyDescent="0.2">
      <c r="G2422" s="8"/>
      <c r="H2422" s="5"/>
      <c r="J2422" s="10" t="str">
        <f t="shared" si="356"/>
        <v/>
      </c>
      <c r="K2422" s="10" t="str">
        <f t="shared" si="357"/>
        <v/>
      </c>
      <c r="L2422" s="11" t="str">
        <f t="shared" si="359"/>
        <v/>
      </c>
      <c r="M2422" s="9" t="str">
        <f>IF(G2422&lt;&gt;"",J2422/MAX(J$3:J2422)-1,"")</f>
        <v/>
      </c>
      <c r="N2422" s="9" t="str">
        <f>IF(G2422&lt;&gt;"",K2422/MAX(K$3:K2422)-1,"")</f>
        <v/>
      </c>
      <c r="O2422" s="16" t="str">
        <f t="shared" si="355"/>
        <v/>
      </c>
      <c r="P2422" s="16" t="str">
        <f t="shared" si="355"/>
        <v/>
      </c>
      <c r="Q2422" s="16" t="str">
        <f t="shared" si="355"/>
        <v/>
      </c>
      <c r="R2422" s="5" t="str">
        <f t="shared" si="354"/>
        <v/>
      </c>
      <c r="S2422" s="5" t="str">
        <f t="shared" si="358"/>
        <v/>
      </c>
      <c r="T2422" s="5" t="str">
        <f t="shared" si="362"/>
        <v/>
      </c>
      <c r="U2422" s="5" t="str">
        <f t="shared" si="362"/>
        <v/>
      </c>
    </row>
    <row r="2423" spans="7:21" x14ac:dyDescent="0.2">
      <c r="G2423" s="8"/>
      <c r="H2423" s="5"/>
      <c r="J2423" s="10" t="str">
        <f t="shared" si="356"/>
        <v/>
      </c>
      <c r="K2423" s="10" t="str">
        <f t="shared" si="357"/>
        <v/>
      </c>
      <c r="L2423" s="11" t="str">
        <f t="shared" si="359"/>
        <v/>
      </c>
      <c r="M2423" s="9" t="str">
        <f>IF(G2423&lt;&gt;"",J2423/MAX(J$3:J2423)-1,"")</f>
        <v/>
      </c>
      <c r="N2423" s="9" t="str">
        <f>IF(G2423&lt;&gt;"",K2423/MAX(K$3:K2423)-1,"")</f>
        <v/>
      </c>
      <c r="O2423" s="16" t="str">
        <f t="shared" si="355"/>
        <v/>
      </c>
      <c r="P2423" s="16" t="str">
        <f t="shared" si="355"/>
        <v/>
      </c>
      <c r="Q2423" s="16" t="str">
        <f t="shared" si="355"/>
        <v/>
      </c>
      <c r="R2423" s="5" t="str">
        <f t="shared" si="354"/>
        <v/>
      </c>
      <c r="S2423" s="5" t="str">
        <f t="shared" si="358"/>
        <v/>
      </c>
      <c r="T2423" s="5" t="str">
        <f t="shared" si="362"/>
        <v/>
      </c>
      <c r="U2423" s="5" t="str">
        <f t="shared" si="362"/>
        <v/>
      </c>
    </row>
    <row r="2424" spans="7:21" x14ac:dyDescent="0.2">
      <c r="G2424" s="8"/>
      <c r="H2424" s="5"/>
      <c r="J2424" s="10" t="str">
        <f t="shared" si="356"/>
        <v/>
      </c>
      <c r="K2424" s="10" t="str">
        <f t="shared" si="357"/>
        <v/>
      </c>
      <c r="L2424" s="11" t="str">
        <f t="shared" si="359"/>
        <v/>
      </c>
      <c r="M2424" s="9" t="str">
        <f>IF(G2424&lt;&gt;"",J2424/MAX(J$3:J2424)-1,"")</f>
        <v/>
      </c>
      <c r="N2424" s="9" t="str">
        <f>IF(G2424&lt;&gt;"",K2424/MAX(K$3:K2424)-1,"")</f>
        <v/>
      </c>
      <c r="O2424" s="16" t="str">
        <f t="shared" si="355"/>
        <v/>
      </c>
      <c r="P2424" s="16" t="str">
        <f t="shared" si="355"/>
        <v/>
      </c>
      <c r="Q2424" s="16" t="str">
        <f t="shared" si="355"/>
        <v/>
      </c>
      <c r="R2424" s="5" t="str">
        <f t="shared" si="354"/>
        <v/>
      </c>
      <c r="S2424" s="5" t="str">
        <f t="shared" si="358"/>
        <v/>
      </c>
      <c r="T2424" s="5" t="str">
        <f t="shared" ref="T2424:U2439" si="363">IF($G2424&lt;&gt;"",_xlfn.STDEV.S(O2180:O2424),"")</f>
        <v/>
      </c>
      <c r="U2424" s="5" t="str">
        <f t="shared" si="363"/>
        <v/>
      </c>
    </row>
    <row r="2425" spans="7:21" x14ac:dyDescent="0.2">
      <c r="G2425" s="8"/>
      <c r="H2425" s="5"/>
      <c r="J2425" s="10" t="str">
        <f t="shared" si="356"/>
        <v/>
      </c>
      <c r="K2425" s="10" t="str">
        <f t="shared" si="357"/>
        <v/>
      </c>
      <c r="L2425" s="11" t="str">
        <f t="shared" si="359"/>
        <v/>
      </c>
      <c r="M2425" s="9" t="str">
        <f>IF(G2425&lt;&gt;"",J2425/MAX(J$3:J2425)-1,"")</f>
        <v/>
      </c>
      <c r="N2425" s="9" t="str">
        <f>IF(G2425&lt;&gt;"",K2425/MAX(K$3:K2425)-1,"")</f>
        <v/>
      </c>
      <c r="O2425" s="16" t="str">
        <f t="shared" si="355"/>
        <v/>
      </c>
      <c r="P2425" s="16" t="str">
        <f t="shared" si="355"/>
        <v/>
      </c>
      <c r="Q2425" s="16" t="str">
        <f t="shared" si="355"/>
        <v/>
      </c>
      <c r="R2425" s="5" t="str">
        <f t="shared" si="354"/>
        <v/>
      </c>
      <c r="S2425" s="5" t="str">
        <f t="shared" si="358"/>
        <v/>
      </c>
      <c r="T2425" s="5" t="str">
        <f t="shared" si="363"/>
        <v/>
      </c>
      <c r="U2425" s="5" t="str">
        <f t="shared" si="363"/>
        <v/>
      </c>
    </row>
    <row r="2426" spans="7:21" x14ac:dyDescent="0.2">
      <c r="G2426" s="8"/>
      <c r="H2426" s="5"/>
      <c r="J2426" s="10" t="str">
        <f t="shared" si="356"/>
        <v/>
      </c>
      <c r="K2426" s="10" t="str">
        <f t="shared" si="357"/>
        <v/>
      </c>
      <c r="L2426" s="11" t="str">
        <f t="shared" si="359"/>
        <v/>
      </c>
      <c r="M2426" s="9" t="str">
        <f>IF(G2426&lt;&gt;"",J2426/MAX(J$3:J2426)-1,"")</f>
        <v/>
      </c>
      <c r="N2426" s="9" t="str">
        <f>IF(G2426&lt;&gt;"",K2426/MAX(K$3:K2426)-1,"")</f>
        <v/>
      </c>
      <c r="O2426" s="16" t="str">
        <f t="shared" si="355"/>
        <v/>
      </c>
      <c r="P2426" s="16" t="str">
        <f t="shared" si="355"/>
        <v/>
      </c>
      <c r="Q2426" s="16" t="str">
        <f t="shared" si="355"/>
        <v/>
      </c>
      <c r="R2426" s="5" t="str">
        <f t="shared" si="354"/>
        <v/>
      </c>
      <c r="S2426" s="5" t="str">
        <f t="shared" si="358"/>
        <v/>
      </c>
      <c r="T2426" s="5" t="str">
        <f t="shared" si="363"/>
        <v/>
      </c>
      <c r="U2426" s="5" t="str">
        <f t="shared" si="363"/>
        <v/>
      </c>
    </row>
    <row r="2427" spans="7:21" x14ac:dyDescent="0.2">
      <c r="G2427" s="8"/>
      <c r="H2427" s="5"/>
      <c r="J2427" s="10" t="str">
        <f t="shared" si="356"/>
        <v/>
      </c>
      <c r="K2427" s="10" t="str">
        <f t="shared" si="357"/>
        <v/>
      </c>
      <c r="L2427" s="11" t="str">
        <f t="shared" si="359"/>
        <v/>
      </c>
      <c r="M2427" s="9" t="str">
        <f>IF(G2427&lt;&gt;"",J2427/MAX(J$3:J2427)-1,"")</f>
        <v/>
      </c>
      <c r="N2427" s="9" t="str">
        <f>IF(G2427&lt;&gt;"",K2427/MAX(K$3:K2427)-1,"")</f>
        <v/>
      </c>
      <c r="O2427" s="16" t="str">
        <f t="shared" si="355"/>
        <v/>
      </c>
      <c r="P2427" s="16" t="str">
        <f t="shared" si="355"/>
        <v/>
      </c>
      <c r="Q2427" s="16" t="str">
        <f t="shared" si="355"/>
        <v/>
      </c>
      <c r="R2427" s="5" t="str">
        <f t="shared" si="354"/>
        <v/>
      </c>
      <c r="S2427" s="5" t="str">
        <f t="shared" si="358"/>
        <v/>
      </c>
      <c r="T2427" s="5" t="str">
        <f t="shared" si="363"/>
        <v/>
      </c>
      <c r="U2427" s="5" t="str">
        <f t="shared" si="363"/>
        <v/>
      </c>
    </row>
    <row r="2428" spans="7:21" x14ac:dyDescent="0.2">
      <c r="G2428" s="8"/>
      <c r="H2428" s="5"/>
      <c r="J2428" s="10" t="str">
        <f t="shared" si="356"/>
        <v/>
      </c>
      <c r="K2428" s="10" t="str">
        <f t="shared" si="357"/>
        <v/>
      </c>
      <c r="L2428" s="11" t="str">
        <f t="shared" si="359"/>
        <v/>
      </c>
      <c r="M2428" s="9" t="str">
        <f>IF(G2428&lt;&gt;"",J2428/MAX(J$3:J2428)-1,"")</f>
        <v/>
      </c>
      <c r="N2428" s="9" t="str">
        <f>IF(G2428&lt;&gt;"",K2428/MAX(K$3:K2428)-1,"")</f>
        <v/>
      </c>
      <c r="O2428" s="16" t="str">
        <f t="shared" si="355"/>
        <v/>
      </c>
      <c r="P2428" s="16" t="str">
        <f t="shared" si="355"/>
        <v/>
      </c>
      <c r="Q2428" s="16" t="str">
        <f t="shared" si="355"/>
        <v/>
      </c>
      <c r="R2428" s="5" t="str">
        <f t="shared" si="354"/>
        <v/>
      </c>
      <c r="S2428" s="5" t="str">
        <f t="shared" si="358"/>
        <v/>
      </c>
      <c r="T2428" s="5" t="str">
        <f t="shared" si="363"/>
        <v/>
      </c>
      <c r="U2428" s="5" t="str">
        <f t="shared" si="363"/>
        <v/>
      </c>
    </row>
    <row r="2429" spans="7:21" x14ac:dyDescent="0.2">
      <c r="G2429" s="8"/>
      <c r="H2429" s="5"/>
      <c r="J2429" s="10" t="str">
        <f t="shared" si="356"/>
        <v/>
      </c>
      <c r="K2429" s="10" t="str">
        <f t="shared" si="357"/>
        <v/>
      </c>
      <c r="L2429" s="11" t="str">
        <f t="shared" si="359"/>
        <v/>
      </c>
      <c r="M2429" s="9" t="str">
        <f>IF(G2429&lt;&gt;"",J2429/MAX(J$3:J2429)-1,"")</f>
        <v/>
      </c>
      <c r="N2429" s="9" t="str">
        <f>IF(G2429&lt;&gt;"",K2429/MAX(K$3:K2429)-1,"")</f>
        <v/>
      </c>
      <c r="O2429" s="16" t="str">
        <f t="shared" si="355"/>
        <v/>
      </c>
      <c r="P2429" s="16" t="str">
        <f t="shared" si="355"/>
        <v/>
      </c>
      <c r="Q2429" s="16" t="str">
        <f t="shared" si="355"/>
        <v/>
      </c>
      <c r="R2429" s="5" t="str">
        <f t="shared" ref="R2429:R2492" si="364">IF(G2429&lt;&gt;"",_xlfn.STDEV.S(Q2308:Q2429)*SQRT($B$5),"")</f>
        <v/>
      </c>
      <c r="S2429" s="5" t="str">
        <f t="shared" si="358"/>
        <v/>
      </c>
      <c r="T2429" s="5" t="str">
        <f t="shared" si="363"/>
        <v/>
      </c>
      <c r="U2429" s="5" t="str">
        <f t="shared" si="363"/>
        <v/>
      </c>
    </row>
    <row r="2430" spans="7:21" x14ac:dyDescent="0.2">
      <c r="G2430" s="8"/>
      <c r="H2430" s="5"/>
      <c r="J2430" s="10" t="str">
        <f t="shared" si="356"/>
        <v/>
      </c>
      <c r="K2430" s="10" t="str">
        <f t="shared" si="357"/>
        <v/>
      </c>
      <c r="L2430" s="11" t="str">
        <f t="shared" si="359"/>
        <v/>
      </c>
      <c r="M2430" s="9" t="str">
        <f>IF(G2430&lt;&gt;"",J2430/MAX(J$3:J2430)-1,"")</f>
        <v/>
      </c>
      <c r="N2430" s="9" t="str">
        <f>IF(G2430&lt;&gt;"",K2430/MAX(K$3:K2430)-1,"")</f>
        <v/>
      </c>
      <c r="O2430" s="16" t="str">
        <f t="shared" si="355"/>
        <v/>
      </c>
      <c r="P2430" s="16" t="str">
        <f t="shared" si="355"/>
        <v/>
      </c>
      <c r="Q2430" s="16" t="str">
        <f t="shared" si="355"/>
        <v/>
      </c>
      <c r="R2430" s="5" t="str">
        <f t="shared" si="364"/>
        <v/>
      </c>
      <c r="S2430" s="5" t="str">
        <f t="shared" si="358"/>
        <v/>
      </c>
      <c r="T2430" s="5" t="str">
        <f t="shared" si="363"/>
        <v/>
      </c>
      <c r="U2430" s="5" t="str">
        <f t="shared" si="363"/>
        <v/>
      </c>
    </row>
    <row r="2431" spans="7:21" x14ac:dyDescent="0.2">
      <c r="G2431" s="8"/>
      <c r="H2431" s="5"/>
      <c r="J2431" s="10" t="str">
        <f t="shared" si="356"/>
        <v/>
      </c>
      <c r="K2431" s="10" t="str">
        <f t="shared" si="357"/>
        <v/>
      </c>
      <c r="L2431" s="11" t="str">
        <f t="shared" si="359"/>
        <v/>
      </c>
      <c r="M2431" s="9" t="str">
        <f>IF(G2431&lt;&gt;"",J2431/MAX(J$3:J2431)-1,"")</f>
        <v/>
      </c>
      <c r="N2431" s="9" t="str">
        <f>IF(G2431&lt;&gt;"",K2431/MAX(K$3:K2431)-1,"")</f>
        <v/>
      </c>
      <c r="O2431" s="16" t="str">
        <f t="shared" si="355"/>
        <v/>
      </c>
      <c r="P2431" s="16" t="str">
        <f t="shared" si="355"/>
        <v/>
      </c>
      <c r="Q2431" s="16" t="str">
        <f t="shared" si="355"/>
        <v/>
      </c>
      <c r="R2431" s="5" t="str">
        <f t="shared" si="364"/>
        <v/>
      </c>
      <c r="S2431" s="5" t="str">
        <f t="shared" si="358"/>
        <v/>
      </c>
      <c r="T2431" s="5" t="str">
        <f t="shared" si="363"/>
        <v/>
      </c>
      <c r="U2431" s="5" t="str">
        <f t="shared" si="363"/>
        <v/>
      </c>
    </row>
    <row r="2432" spans="7:21" x14ac:dyDescent="0.2">
      <c r="G2432" s="8"/>
      <c r="H2432" s="5"/>
      <c r="J2432" s="10" t="str">
        <f t="shared" si="356"/>
        <v/>
      </c>
      <c r="K2432" s="10" t="str">
        <f t="shared" si="357"/>
        <v/>
      </c>
      <c r="L2432" s="11" t="str">
        <f t="shared" si="359"/>
        <v/>
      </c>
      <c r="M2432" s="9" t="str">
        <f>IF(G2432&lt;&gt;"",J2432/MAX(J$3:J2432)-1,"")</f>
        <v/>
      </c>
      <c r="N2432" s="9" t="str">
        <f>IF(G2432&lt;&gt;"",K2432/MAX(K$3:K2432)-1,"")</f>
        <v/>
      </c>
      <c r="O2432" s="16" t="str">
        <f t="shared" si="355"/>
        <v/>
      </c>
      <c r="P2432" s="16" t="str">
        <f t="shared" si="355"/>
        <v/>
      </c>
      <c r="Q2432" s="16" t="str">
        <f t="shared" si="355"/>
        <v/>
      </c>
      <c r="R2432" s="5" t="str">
        <f t="shared" si="364"/>
        <v/>
      </c>
      <c r="S2432" s="5" t="str">
        <f t="shared" si="358"/>
        <v/>
      </c>
      <c r="T2432" s="5" t="str">
        <f t="shared" si="363"/>
        <v/>
      </c>
      <c r="U2432" s="5" t="str">
        <f t="shared" si="363"/>
        <v/>
      </c>
    </row>
    <row r="2433" spans="7:21" x14ac:dyDescent="0.2">
      <c r="G2433" s="8"/>
      <c r="H2433" s="5"/>
      <c r="J2433" s="10" t="str">
        <f t="shared" si="356"/>
        <v/>
      </c>
      <c r="K2433" s="10" t="str">
        <f t="shared" si="357"/>
        <v/>
      </c>
      <c r="L2433" s="11" t="str">
        <f t="shared" si="359"/>
        <v/>
      </c>
      <c r="M2433" s="9" t="str">
        <f>IF(G2433&lt;&gt;"",J2433/MAX(J$3:J2433)-1,"")</f>
        <v/>
      </c>
      <c r="N2433" s="9" t="str">
        <f>IF(G2433&lt;&gt;"",K2433/MAX(K$3:K2433)-1,"")</f>
        <v/>
      </c>
      <c r="O2433" s="16" t="str">
        <f t="shared" si="355"/>
        <v/>
      </c>
      <c r="P2433" s="16" t="str">
        <f t="shared" si="355"/>
        <v/>
      </c>
      <c r="Q2433" s="16" t="str">
        <f t="shared" si="355"/>
        <v/>
      </c>
      <c r="R2433" s="5" t="str">
        <f t="shared" si="364"/>
        <v/>
      </c>
      <c r="S2433" s="5" t="str">
        <f t="shared" si="358"/>
        <v/>
      </c>
      <c r="T2433" s="5" t="str">
        <f t="shared" si="363"/>
        <v/>
      </c>
      <c r="U2433" s="5" t="str">
        <f t="shared" si="363"/>
        <v/>
      </c>
    </row>
    <row r="2434" spans="7:21" x14ac:dyDescent="0.2">
      <c r="G2434" s="8"/>
      <c r="H2434" s="5"/>
      <c r="J2434" s="10" t="str">
        <f t="shared" si="356"/>
        <v/>
      </c>
      <c r="K2434" s="10" t="str">
        <f t="shared" si="357"/>
        <v/>
      </c>
      <c r="L2434" s="11" t="str">
        <f t="shared" si="359"/>
        <v/>
      </c>
      <c r="M2434" s="9" t="str">
        <f>IF(G2434&lt;&gt;"",J2434/MAX(J$3:J2434)-1,"")</f>
        <v/>
      </c>
      <c r="N2434" s="9" t="str">
        <f>IF(G2434&lt;&gt;"",K2434/MAX(K$3:K2434)-1,"")</f>
        <v/>
      </c>
      <c r="O2434" s="16" t="str">
        <f t="shared" ref="O2434:Q2497" si="365">IF($G2434&lt;&gt;"",J2434/J2433-1,"")</f>
        <v/>
      </c>
      <c r="P2434" s="16" t="str">
        <f t="shared" si="365"/>
        <v/>
      </c>
      <c r="Q2434" s="16" t="str">
        <f t="shared" si="365"/>
        <v/>
      </c>
      <c r="R2434" s="5" t="str">
        <f t="shared" si="364"/>
        <v/>
      </c>
      <c r="S2434" s="5" t="str">
        <f t="shared" si="358"/>
        <v/>
      </c>
      <c r="T2434" s="5" t="str">
        <f t="shared" si="363"/>
        <v/>
      </c>
      <c r="U2434" s="5" t="str">
        <f t="shared" si="363"/>
        <v/>
      </c>
    </row>
    <row r="2435" spans="7:21" x14ac:dyDescent="0.2">
      <c r="G2435" s="8"/>
      <c r="H2435" s="5"/>
      <c r="J2435" s="10" t="str">
        <f t="shared" si="356"/>
        <v/>
      </c>
      <c r="K2435" s="10" t="str">
        <f t="shared" si="357"/>
        <v/>
      </c>
      <c r="L2435" s="11" t="str">
        <f t="shared" si="359"/>
        <v/>
      </c>
      <c r="M2435" s="9" t="str">
        <f>IF(G2435&lt;&gt;"",J2435/MAX(J$3:J2435)-1,"")</f>
        <v/>
      </c>
      <c r="N2435" s="9" t="str">
        <f>IF(G2435&lt;&gt;"",K2435/MAX(K$3:K2435)-1,"")</f>
        <v/>
      </c>
      <c r="O2435" s="16" t="str">
        <f t="shared" si="365"/>
        <v/>
      </c>
      <c r="P2435" s="16" t="str">
        <f t="shared" si="365"/>
        <v/>
      </c>
      <c r="Q2435" s="16" t="str">
        <f t="shared" si="365"/>
        <v/>
      </c>
      <c r="R2435" s="5" t="str">
        <f t="shared" si="364"/>
        <v/>
      </c>
      <c r="S2435" s="5" t="str">
        <f t="shared" si="358"/>
        <v/>
      </c>
      <c r="T2435" s="5" t="str">
        <f t="shared" si="363"/>
        <v/>
      </c>
      <c r="U2435" s="5" t="str">
        <f t="shared" si="363"/>
        <v/>
      </c>
    </row>
    <row r="2436" spans="7:21" x14ac:dyDescent="0.2">
      <c r="G2436" s="8"/>
      <c r="H2436" s="5"/>
      <c r="J2436" s="10" t="str">
        <f t="shared" ref="J2436:J2499" si="366">IF(G2436&lt;&gt;"",1+H2436,"")</f>
        <v/>
      </c>
      <c r="K2436" s="10" t="str">
        <f t="shared" ref="K2436:K2499" si="367">IF(G2436&lt;&gt;"",1+I2436,"")</f>
        <v/>
      </c>
      <c r="L2436" s="11" t="str">
        <f t="shared" si="359"/>
        <v/>
      </c>
      <c r="M2436" s="9" t="str">
        <f>IF(G2436&lt;&gt;"",J2436/MAX(J$3:J2436)-1,"")</f>
        <v/>
      </c>
      <c r="N2436" s="9" t="str">
        <f>IF(G2436&lt;&gt;"",K2436/MAX(K$3:K2436)-1,"")</f>
        <v/>
      </c>
      <c r="O2436" s="16" t="str">
        <f t="shared" si="365"/>
        <v/>
      </c>
      <c r="P2436" s="16" t="str">
        <f t="shared" si="365"/>
        <v/>
      </c>
      <c r="Q2436" s="16" t="str">
        <f t="shared" si="365"/>
        <v/>
      </c>
      <c r="R2436" s="5" t="str">
        <f t="shared" si="364"/>
        <v/>
      </c>
      <c r="S2436" s="5" t="str">
        <f t="shared" ref="S2436:S2499" si="368">IF(R2436&lt;&gt;"",B$12,"")</f>
        <v/>
      </c>
      <c r="T2436" s="5" t="str">
        <f t="shared" si="363"/>
        <v/>
      </c>
      <c r="U2436" s="5" t="str">
        <f t="shared" si="363"/>
        <v/>
      </c>
    </row>
    <row r="2437" spans="7:21" x14ac:dyDescent="0.2">
      <c r="G2437" s="8"/>
      <c r="H2437" s="5"/>
      <c r="J2437" s="10" t="str">
        <f t="shared" si="366"/>
        <v/>
      </c>
      <c r="K2437" s="10" t="str">
        <f t="shared" si="367"/>
        <v/>
      </c>
      <c r="L2437" s="11" t="str">
        <f t="shared" ref="L2437:L2500" si="369">IF(G2437&lt;&gt;"",J2437/K2437,"")</f>
        <v/>
      </c>
      <c r="M2437" s="9" t="str">
        <f>IF(G2437&lt;&gt;"",J2437/MAX(J$3:J2437)-1,"")</f>
        <v/>
      </c>
      <c r="N2437" s="9" t="str">
        <f>IF(G2437&lt;&gt;"",K2437/MAX(K$3:K2437)-1,"")</f>
        <v/>
      </c>
      <c r="O2437" s="16" t="str">
        <f t="shared" si="365"/>
        <v/>
      </c>
      <c r="P2437" s="16" t="str">
        <f t="shared" si="365"/>
        <v/>
      </c>
      <c r="Q2437" s="16" t="str">
        <f t="shared" si="365"/>
        <v/>
      </c>
      <c r="R2437" s="5" t="str">
        <f t="shared" si="364"/>
        <v/>
      </c>
      <c r="S2437" s="5" t="str">
        <f t="shared" si="368"/>
        <v/>
      </c>
      <c r="T2437" s="5" t="str">
        <f t="shared" si="363"/>
        <v/>
      </c>
      <c r="U2437" s="5" t="str">
        <f t="shared" si="363"/>
        <v/>
      </c>
    </row>
    <row r="2438" spans="7:21" x14ac:dyDescent="0.2">
      <c r="G2438" s="8"/>
      <c r="H2438" s="5"/>
      <c r="J2438" s="10" t="str">
        <f t="shared" si="366"/>
        <v/>
      </c>
      <c r="K2438" s="10" t="str">
        <f t="shared" si="367"/>
        <v/>
      </c>
      <c r="L2438" s="11" t="str">
        <f t="shared" si="369"/>
        <v/>
      </c>
      <c r="M2438" s="9" t="str">
        <f>IF(G2438&lt;&gt;"",J2438/MAX(J$3:J2438)-1,"")</f>
        <v/>
      </c>
      <c r="N2438" s="9" t="str">
        <f>IF(G2438&lt;&gt;"",K2438/MAX(K$3:K2438)-1,"")</f>
        <v/>
      </c>
      <c r="O2438" s="16" t="str">
        <f t="shared" si="365"/>
        <v/>
      </c>
      <c r="P2438" s="16" t="str">
        <f t="shared" si="365"/>
        <v/>
      </c>
      <c r="Q2438" s="16" t="str">
        <f t="shared" si="365"/>
        <v/>
      </c>
      <c r="R2438" s="5" t="str">
        <f t="shared" si="364"/>
        <v/>
      </c>
      <c r="S2438" s="5" t="str">
        <f t="shared" si="368"/>
        <v/>
      </c>
      <c r="T2438" s="5" t="str">
        <f t="shared" si="363"/>
        <v/>
      </c>
      <c r="U2438" s="5" t="str">
        <f t="shared" si="363"/>
        <v/>
      </c>
    </row>
    <row r="2439" spans="7:21" x14ac:dyDescent="0.2">
      <c r="G2439" s="8"/>
      <c r="H2439" s="5"/>
      <c r="J2439" s="10" t="str">
        <f t="shared" si="366"/>
        <v/>
      </c>
      <c r="K2439" s="10" t="str">
        <f t="shared" si="367"/>
        <v/>
      </c>
      <c r="L2439" s="11" t="str">
        <f t="shared" si="369"/>
        <v/>
      </c>
      <c r="M2439" s="9" t="str">
        <f>IF(G2439&lt;&gt;"",J2439/MAX(J$3:J2439)-1,"")</f>
        <v/>
      </c>
      <c r="N2439" s="9" t="str">
        <f>IF(G2439&lt;&gt;"",K2439/MAX(K$3:K2439)-1,"")</f>
        <v/>
      </c>
      <c r="O2439" s="16" t="str">
        <f t="shared" si="365"/>
        <v/>
      </c>
      <c r="P2439" s="16" t="str">
        <f t="shared" si="365"/>
        <v/>
      </c>
      <c r="Q2439" s="16" t="str">
        <f t="shared" si="365"/>
        <v/>
      </c>
      <c r="R2439" s="5" t="str">
        <f t="shared" si="364"/>
        <v/>
      </c>
      <c r="S2439" s="5" t="str">
        <f t="shared" si="368"/>
        <v/>
      </c>
      <c r="T2439" s="5" t="str">
        <f t="shared" si="363"/>
        <v/>
      </c>
      <c r="U2439" s="5" t="str">
        <f t="shared" si="363"/>
        <v/>
      </c>
    </row>
    <row r="2440" spans="7:21" x14ac:dyDescent="0.2">
      <c r="G2440" s="8"/>
      <c r="H2440" s="5"/>
      <c r="J2440" s="10" t="str">
        <f t="shared" si="366"/>
        <v/>
      </c>
      <c r="K2440" s="10" t="str">
        <f t="shared" si="367"/>
        <v/>
      </c>
      <c r="L2440" s="11" t="str">
        <f t="shared" si="369"/>
        <v/>
      </c>
      <c r="M2440" s="9" t="str">
        <f>IF(G2440&lt;&gt;"",J2440/MAX(J$3:J2440)-1,"")</f>
        <v/>
      </c>
      <c r="N2440" s="9" t="str">
        <f>IF(G2440&lt;&gt;"",K2440/MAX(K$3:K2440)-1,"")</f>
        <v/>
      </c>
      <c r="O2440" s="16" t="str">
        <f t="shared" si="365"/>
        <v/>
      </c>
      <c r="P2440" s="16" t="str">
        <f t="shared" si="365"/>
        <v/>
      </c>
      <c r="Q2440" s="16" t="str">
        <f t="shared" si="365"/>
        <v/>
      </c>
      <c r="R2440" s="5" t="str">
        <f t="shared" si="364"/>
        <v/>
      </c>
      <c r="S2440" s="5" t="str">
        <f t="shared" si="368"/>
        <v/>
      </c>
      <c r="T2440" s="5" t="str">
        <f t="shared" ref="T2440:U2455" si="370">IF($G2440&lt;&gt;"",_xlfn.STDEV.S(O2196:O2440),"")</f>
        <v/>
      </c>
      <c r="U2440" s="5" t="str">
        <f t="shared" si="370"/>
        <v/>
      </c>
    </row>
    <row r="2441" spans="7:21" x14ac:dyDescent="0.2">
      <c r="G2441" s="8"/>
      <c r="H2441" s="5"/>
      <c r="J2441" s="10" t="str">
        <f t="shared" si="366"/>
        <v/>
      </c>
      <c r="K2441" s="10" t="str">
        <f t="shared" si="367"/>
        <v/>
      </c>
      <c r="L2441" s="11" t="str">
        <f t="shared" si="369"/>
        <v/>
      </c>
      <c r="M2441" s="9" t="str">
        <f>IF(G2441&lt;&gt;"",J2441/MAX(J$3:J2441)-1,"")</f>
        <v/>
      </c>
      <c r="N2441" s="9" t="str">
        <f>IF(G2441&lt;&gt;"",K2441/MAX(K$3:K2441)-1,"")</f>
        <v/>
      </c>
      <c r="O2441" s="16" t="str">
        <f t="shared" si="365"/>
        <v/>
      </c>
      <c r="P2441" s="16" t="str">
        <f t="shared" si="365"/>
        <v/>
      </c>
      <c r="Q2441" s="16" t="str">
        <f t="shared" si="365"/>
        <v/>
      </c>
      <c r="R2441" s="5" t="str">
        <f t="shared" si="364"/>
        <v/>
      </c>
      <c r="S2441" s="5" t="str">
        <f t="shared" si="368"/>
        <v/>
      </c>
      <c r="T2441" s="5" t="str">
        <f t="shared" si="370"/>
        <v/>
      </c>
      <c r="U2441" s="5" t="str">
        <f t="shared" si="370"/>
        <v/>
      </c>
    </row>
    <row r="2442" spans="7:21" x14ac:dyDescent="0.2">
      <c r="G2442" s="8"/>
      <c r="H2442" s="5"/>
      <c r="J2442" s="10" t="str">
        <f t="shared" si="366"/>
        <v/>
      </c>
      <c r="K2442" s="10" t="str">
        <f t="shared" si="367"/>
        <v/>
      </c>
      <c r="L2442" s="11" t="str">
        <f t="shared" si="369"/>
        <v/>
      </c>
      <c r="M2442" s="9" t="str">
        <f>IF(G2442&lt;&gt;"",J2442/MAX(J$3:J2442)-1,"")</f>
        <v/>
      </c>
      <c r="N2442" s="9" t="str">
        <f>IF(G2442&lt;&gt;"",K2442/MAX(K$3:K2442)-1,"")</f>
        <v/>
      </c>
      <c r="O2442" s="16" t="str">
        <f t="shared" si="365"/>
        <v/>
      </c>
      <c r="P2442" s="16" t="str">
        <f t="shared" si="365"/>
        <v/>
      </c>
      <c r="Q2442" s="16" t="str">
        <f t="shared" si="365"/>
        <v/>
      </c>
      <c r="R2442" s="5" t="str">
        <f t="shared" si="364"/>
        <v/>
      </c>
      <c r="S2442" s="5" t="str">
        <f t="shared" si="368"/>
        <v/>
      </c>
      <c r="T2442" s="5" t="str">
        <f t="shared" si="370"/>
        <v/>
      </c>
      <c r="U2442" s="5" t="str">
        <f t="shared" si="370"/>
        <v/>
      </c>
    </row>
    <row r="2443" spans="7:21" x14ac:dyDescent="0.2">
      <c r="G2443" s="8"/>
      <c r="H2443" s="5"/>
      <c r="J2443" s="10" t="str">
        <f t="shared" si="366"/>
        <v/>
      </c>
      <c r="K2443" s="10" t="str">
        <f t="shared" si="367"/>
        <v/>
      </c>
      <c r="L2443" s="11" t="str">
        <f t="shared" si="369"/>
        <v/>
      </c>
      <c r="M2443" s="9" t="str">
        <f>IF(G2443&lt;&gt;"",J2443/MAX(J$3:J2443)-1,"")</f>
        <v/>
      </c>
      <c r="N2443" s="9" t="str">
        <f>IF(G2443&lt;&gt;"",K2443/MAX(K$3:K2443)-1,"")</f>
        <v/>
      </c>
      <c r="O2443" s="16" t="str">
        <f t="shared" si="365"/>
        <v/>
      </c>
      <c r="P2443" s="16" t="str">
        <f t="shared" si="365"/>
        <v/>
      </c>
      <c r="Q2443" s="16" t="str">
        <f t="shared" si="365"/>
        <v/>
      </c>
      <c r="R2443" s="5" t="str">
        <f t="shared" si="364"/>
        <v/>
      </c>
      <c r="S2443" s="5" t="str">
        <f t="shared" si="368"/>
        <v/>
      </c>
      <c r="T2443" s="5" t="str">
        <f t="shared" si="370"/>
        <v/>
      </c>
      <c r="U2443" s="5" t="str">
        <f t="shared" si="370"/>
        <v/>
      </c>
    </row>
    <row r="2444" spans="7:21" x14ac:dyDescent="0.2">
      <c r="G2444" s="8"/>
      <c r="H2444" s="5"/>
      <c r="J2444" s="10" t="str">
        <f t="shared" si="366"/>
        <v/>
      </c>
      <c r="K2444" s="10" t="str">
        <f t="shared" si="367"/>
        <v/>
      </c>
      <c r="L2444" s="11" t="str">
        <f t="shared" si="369"/>
        <v/>
      </c>
      <c r="M2444" s="9" t="str">
        <f>IF(G2444&lt;&gt;"",J2444/MAX(J$3:J2444)-1,"")</f>
        <v/>
      </c>
      <c r="N2444" s="9" t="str">
        <f>IF(G2444&lt;&gt;"",K2444/MAX(K$3:K2444)-1,"")</f>
        <v/>
      </c>
      <c r="O2444" s="16" t="str">
        <f t="shared" si="365"/>
        <v/>
      </c>
      <c r="P2444" s="16" t="str">
        <f t="shared" si="365"/>
        <v/>
      </c>
      <c r="Q2444" s="16" t="str">
        <f t="shared" si="365"/>
        <v/>
      </c>
      <c r="R2444" s="5" t="str">
        <f t="shared" si="364"/>
        <v/>
      </c>
      <c r="S2444" s="5" t="str">
        <f t="shared" si="368"/>
        <v/>
      </c>
      <c r="T2444" s="5" t="str">
        <f t="shared" si="370"/>
        <v/>
      </c>
      <c r="U2444" s="5" t="str">
        <f t="shared" si="370"/>
        <v/>
      </c>
    </row>
    <row r="2445" spans="7:21" x14ac:dyDescent="0.2">
      <c r="G2445" s="8"/>
      <c r="H2445" s="5"/>
      <c r="J2445" s="10" t="str">
        <f t="shared" si="366"/>
        <v/>
      </c>
      <c r="K2445" s="10" t="str">
        <f t="shared" si="367"/>
        <v/>
      </c>
      <c r="L2445" s="11" t="str">
        <f t="shared" si="369"/>
        <v/>
      </c>
      <c r="M2445" s="9" t="str">
        <f>IF(G2445&lt;&gt;"",J2445/MAX(J$3:J2445)-1,"")</f>
        <v/>
      </c>
      <c r="N2445" s="9" t="str">
        <f>IF(G2445&lt;&gt;"",K2445/MAX(K$3:K2445)-1,"")</f>
        <v/>
      </c>
      <c r="O2445" s="16" t="str">
        <f t="shared" si="365"/>
        <v/>
      </c>
      <c r="P2445" s="16" t="str">
        <f t="shared" si="365"/>
        <v/>
      </c>
      <c r="Q2445" s="16" t="str">
        <f t="shared" si="365"/>
        <v/>
      </c>
      <c r="R2445" s="5" t="str">
        <f t="shared" si="364"/>
        <v/>
      </c>
      <c r="S2445" s="5" t="str">
        <f t="shared" si="368"/>
        <v/>
      </c>
      <c r="T2445" s="5" t="str">
        <f t="shared" si="370"/>
        <v/>
      </c>
      <c r="U2445" s="5" t="str">
        <f t="shared" si="370"/>
        <v/>
      </c>
    </row>
    <row r="2446" spans="7:21" x14ac:dyDescent="0.2">
      <c r="G2446" s="8"/>
      <c r="H2446" s="5"/>
      <c r="J2446" s="10" t="str">
        <f t="shared" si="366"/>
        <v/>
      </c>
      <c r="K2446" s="10" t="str">
        <f t="shared" si="367"/>
        <v/>
      </c>
      <c r="L2446" s="11" t="str">
        <f t="shared" si="369"/>
        <v/>
      </c>
      <c r="M2446" s="9" t="str">
        <f>IF(G2446&lt;&gt;"",J2446/MAX(J$3:J2446)-1,"")</f>
        <v/>
      </c>
      <c r="N2446" s="9" t="str">
        <f>IF(G2446&lt;&gt;"",K2446/MAX(K$3:K2446)-1,"")</f>
        <v/>
      </c>
      <c r="O2446" s="16" t="str">
        <f t="shared" si="365"/>
        <v/>
      </c>
      <c r="P2446" s="16" t="str">
        <f t="shared" si="365"/>
        <v/>
      </c>
      <c r="Q2446" s="16" t="str">
        <f t="shared" si="365"/>
        <v/>
      </c>
      <c r="R2446" s="5" t="str">
        <f t="shared" si="364"/>
        <v/>
      </c>
      <c r="S2446" s="5" t="str">
        <f t="shared" si="368"/>
        <v/>
      </c>
      <c r="T2446" s="5" t="str">
        <f t="shared" si="370"/>
        <v/>
      </c>
      <c r="U2446" s="5" t="str">
        <f t="shared" si="370"/>
        <v/>
      </c>
    </row>
    <row r="2447" spans="7:21" x14ac:dyDescent="0.2">
      <c r="G2447" s="8"/>
      <c r="H2447" s="5"/>
      <c r="J2447" s="10" t="str">
        <f t="shared" si="366"/>
        <v/>
      </c>
      <c r="K2447" s="10" t="str">
        <f t="shared" si="367"/>
        <v/>
      </c>
      <c r="L2447" s="11" t="str">
        <f t="shared" si="369"/>
        <v/>
      </c>
      <c r="M2447" s="9" t="str">
        <f>IF(G2447&lt;&gt;"",J2447/MAX(J$3:J2447)-1,"")</f>
        <v/>
      </c>
      <c r="N2447" s="9" t="str">
        <f>IF(G2447&lt;&gt;"",K2447/MAX(K$3:K2447)-1,"")</f>
        <v/>
      </c>
      <c r="O2447" s="16" t="str">
        <f t="shared" si="365"/>
        <v/>
      </c>
      <c r="P2447" s="16" t="str">
        <f t="shared" si="365"/>
        <v/>
      </c>
      <c r="Q2447" s="16" t="str">
        <f t="shared" si="365"/>
        <v/>
      </c>
      <c r="R2447" s="5" t="str">
        <f t="shared" si="364"/>
        <v/>
      </c>
      <c r="S2447" s="5" t="str">
        <f t="shared" si="368"/>
        <v/>
      </c>
      <c r="T2447" s="5" t="str">
        <f t="shared" si="370"/>
        <v/>
      </c>
      <c r="U2447" s="5" t="str">
        <f t="shared" si="370"/>
        <v/>
      </c>
    </row>
    <row r="2448" spans="7:21" x14ac:dyDescent="0.2">
      <c r="G2448" s="8"/>
      <c r="H2448" s="5"/>
      <c r="J2448" s="10" t="str">
        <f t="shared" si="366"/>
        <v/>
      </c>
      <c r="K2448" s="10" t="str">
        <f t="shared" si="367"/>
        <v/>
      </c>
      <c r="L2448" s="11" t="str">
        <f t="shared" si="369"/>
        <v/>
      </c>
      <c r="M2448" s="9" t="str">
        <f>IF(G2448&lt;&gt;"",J2448/MAX(J$3:J2448)-1,"")</f>
        <v/>
      </c>
      <c r="N2448" s="9" t="str">
        <f>IF(G2448&lt;&gt;"",K2448/MAX(K$3:K2448)-1,"")</f>
        <v/>
      </c>
      <c r="O2448" s="16" t="str">
        <f t="shared" si="365"/>
        <v/>
      </c>
      <c r="P2448" s="16" t="str">
        <f t="shared" si="365"/>
        <v/>
      </c>
      <c r="Q2448" s="16" t="str">
        <f t="shared" si="365"/>
        <v/>
      </c>
      <c r="R2448" s="5" t="str">
        <f t="shared" si="364"/>
        <v/>
      </c>
      <c r="S2448" s="5" t="str">
        <f t="shared" si="368"/>
        <v/>
      </c>
      <c r="T2448" s="5" t="str">
        <f t="shared" si="370"/>
        <v/>
      </c>
      <c r="U2448" s="5" t="str">
        <f t="shared" si="370"/>
        <v/>
      </c>
    </row>
    <row r="2449" spans="7:21" x14ac:dyDescent="0.2">
      <c r="G2449" s="8"/>
      <c r="H2449" s="5"/>
      <c r="J2449" s="10" t="str">
        <f t="shared" si="366"/>
        <v/>
      </c>
      <c r="K2449" s="10" t="str">
        <f t="shared" si="367"/>
        <v/>
      </c>
      <c r="L2449" s="11" t="str">
        <f t="shared" si="369"/>
        <v/>
      </c>
      <c r="M2449" s="9" t="str">
        <f>IF(G2449&lt;&gt;"",J2449/MAX(J$3:J2449)-1,"")</f>
        <v/>
      </c>
      <c r="N2449" s="9" t="str">
        <f>IF(G2449&lt;&gt;"",K2449/MAX(K$3:K2449)-1,"")</f>
        <v/>
      </c>
      <c r="O2449" s="16" t="str">
        <f t="shared" si="365"/>
        <v/>
      </c>
      <c r="P2449" s="16" t="str">
        <f t="shared" si="365"/>
        <v/>
      </c>
      <c r="Q2449" s="16" t="str">
        <f t="shared" si="365"/>
        <v/>
      </c>
      <c r="R2449" s="5" t="str">
        <f t="shared" si="364"/>
        <v/>
      </c>
      <c r="S2449" s="5" t="str">
        <f t="shared" si="368"/>
        <v/>
      </c>
      <c r="T2449" s="5" t="str">
        <f t="shared" si="370"/>
        <v/>
      </c>
      <c r="U2449" s="5" t="str">
        <f t="shared" si="370"/>
        <v/>
      </c>
    </row>
    <row r="2450" spans="7:21" x14ac:dyDescent="0.2">
      <c r="G2450" s="8"/>
      <c r="H2450" s="5"/>
      <c r="J2450" s="10" t="str">
        <f t="shared" si="366"/>
        <v/>
      </c>
      <c r="K2450" s="10" t="str">
        <f t="shared" si="367"/>
        <v/>
      </c>
      <c r="L2450" s="11" t="str">
        <f t="shared" si="369"/>
        <v/>
      </c>
      <c r="M2450" s="9" t="str">
        <f>IF(G2450&lt;&gt;"",J2450/MAX(J$3:J2450)-1,"")</f>
        <v/>
      </c>
      <c r="N2450" s="9" t="str">
        <f>IF(G2450&lt;&gt;"",K2450/MAX(K$3:K2450)-1,"")</f>
        <v/>
      </c>
      <c r="O2450" s="16" t="str">
        <f t="shared" si="365"/>
        <v/>
      </c>
      <c r="P2450" s="16" t="str">
        <f t="shared" si="365"/>
        <v/>
      </c>
      <c r="Q2450" s="16" t="str">
        <f t="shared" si="365"/>
        <v/>
      </c>
      <c r="R2450" s="5" t="str">
        <f t="shared" si="364"/>
        <v/>
      </c>
      <c r="S2450" s="5" t="str">
        <f t="shared" si="368"/>
        <v/>
      </c>
      <c r="T2450" s="5" t="str">
        <f t="shared" si="370"/>
        <v/>
      </c>
      <c r="U2450" s="5" t="str">
        <f t="shared" si="370"/>
        <v/>
      </c>
    </row>
    <row r="2451" spans="7:21" x14ac:dyDescent="0.2">
      <c r="G2451" s="8"/>
      <c r="H2451" s="5"/>
      <c r="J2451" s="10" t="str">
        <f t="shared" si="366"/>
        <v/>
      </c>
      <c r="K2451" s="10" t="str">
        <f t="shared" si="367"/>
        <v/>
      </c>
      <c r="L2451" s="11" t="str">
        <f t="shared" si="369"/>
        <v/>
      </c>
      <c r="M2451" s="9" t="str">
        <f>IF(G2451&lt;&gt;"",J2451/MAX(J$3:J2451)-1,"")</f>
        <v/>
      </c>
      <c r="N2451" s="9" t="str">
        <f>IF(G2451&lt;&gt;"",K2451/MAX(K$3:K2451)-1,"")</f>
        <v/>
      </c>
      <c r="O2451" s="16" t="str">
        <f t="shared" si="365"/>
        <v/>
      </c>
      <c r="P2451" s="16" t="str">
        <f t="shared" si="365"/>
        <v/>
      </c>
      <c r="Q2451" s="16" t="str">
        <f t="shared" si="365"/>
        <v/>
      </c>
      <c r="R2451" s="5" t="str">
        <f t="shared" si="364"/>
        <v/>
      </c>
      <c r="S2451" s="5" t="str">
        <f t="shared" si="368"/>
        <v/>
      </c>
      <c r="T2451" s="5" t="str">
        <f t="shared" si="370"/>
        <v/>
      </c>
      <c r="U2451" s="5" t="str">
        <f t="shared" si="370"/>
        <v/>
      </c>
    </row>
    <row r="2452" spans="7:21" x14ac:dyDescent="0.2">
      <c r="G2452" s="8"/>
      <c r="H2452" s="5"/>
      <c r="J2452" s="10" t="str">
        <f t="shared" si="366"/>
        <v/>
      </c>
      <c r="K2452" s="10" t="str">
        <f t="shared" si="367"/>
        <v/>
      </c>
      <c r="L2452" s="11" t="str">
        <f t="shared" si="369"/>
        <v/>
      </c>
      <c r="M2452" s="9" t="str">
        <f>IF(G2452&lt;&gt;"",J2452/MAX(J$3:J2452)-1,"")</f>
        <v/>
      </c>
      <c r="N2452" s="9" t="str">
        <f>IF(G2452&lt;&gt;"",K2452/MAX(K$3:K2452)-1,"")</f>
        <v/>
      </c>
      <c r="O2452" s="16" t="str">
        <f t="shared" si="365"/>
        <v/>
      </c>
      <c r="P2452" s="16" t="str">
        <f t="shared" si="365"/>
        <v/>
      </c>
      <c r="Q2452" s="16" t="str">
        <f t="shared" si="365"/>
        <v/>
      </c>
      <c r="R2452" s="5" t="str">
        <f t="shared" si="364"/>
        <v/>
      </c>
      <c r="S2452" s="5" t="str">
        <f t="shared" si="368"/>
        <v/>
      </c>
      <c r="T2452" s="5" t="str">
        <f t="shared" si="370"/>
        <v/>
      </c>
      <c r="U2452" s="5" t="str">
        <f t="shared" si="370"/>
        <v/>
      </c>
    </row>
    <row r="2453" spans="7:21" x14ac:dyDescent="0.2">
      <c r="G2453" s="8"/>
      <c r="H2453" s="5"/>
      <c r="J2453" s="10" t="str">
        <f t="shared" si="366"/>
        <v/>
      </c>
      <c r="K2453" s="10" t="str">
        <f t="shared" si="367"/>
        <v/>
      </c>
      <c r="L2453" s="11" t="str">
        <f t="shared" si="369"/>
        <v/>
      </c>
      <c r="M2453" s="9" t="str">
        <f>IF(G2453&lt;&gt;"",J2453/MAX(J$3:J2453)-1,"")</f>
        <v/>
      </c>
      <c r="N2453" s="9" t="str">
        <f>IF(G2453&lt;&gt;"",K2453/MAX(K$3:K2453)-1,"")</f>
        <v/>
      </c>
      <c r="O2453" s="16" t="str">
        <f t="shared" si="365"/>
        <v/>
      </c>
      <c r="P2453" s="16" t="str">
        <f t="shared" si="365"/>
        <v/>
      </c>
      <c r="Q2453" s="16" t="str">
        <f t="shared" si="365"/>
        <v/>
      </c>
      <c r="R2453" s="5" t="str">
        <f t="shared" si="364"/>
        <v/>
      </c>
      <c r="S2453" s="5" t="str">
        <f t="shared" si="368"/>
        <v/>
      </c>
      <c r="T2453" s="5" t="str">
        <f t="shared" si="370"/>
        <v/>
      </c>
      <c r="U2453" s="5" t="str">
        <f t="shared" si="370"/>
        <v/>
      </c>
    </row>
    <row r="2454" spans="7:21" x14ac:dyDescent="0.2">
      <c r="G2454" s="8"/>
      <c r="H2454" s="5"/>
      <c r="J2454" s="10" t="str">
        <f t="shared" si="366"/>
        <v/>
      </c>
      <c r="K2454" s="10" t="str">
        <f t="shared" si="367"/>
        <v/>
      </c>
      <c r="L2454" s="11" t="str">
        <f t="shared" si="369"/>
        <v/>
      </c>
      <c r="M2454" s="9" t="str">
        <f>IF(G2454&lt;&gt;"",J2454/MAX(J$3:J2454)-1,"")</f>
        <v/>
      </c>
      <c r="N2454" s="9" t="str">
        <f>IF(G2454&lt;&gt;"",K2454/MAX(K$3:K2454)-1,"")</f>
        <v/>
      </c>
      <c r="O2454" s="16" t="str">
        <f t="shared" si="365"/>
        <v/>
      </c>
      <c r="P2454" s="16" t="str">
        <f t="shared" si="365"/>
        <v/>
      </c>
      <c r="Q2454" s="16" t="str">
        <f t="shared" si="365"/>
        <v/>
      </c>
      <c r="R2454" s="5" t="str">
        <f t="shared" si="364"/>
        <v/>
      </c>
      <c r="S2454" s="5" t="str">
        <f t="shared" si="368"/>
        <v/>
      </c>
      <c r="T2454" s="5" t="str">
        <f t="shared" si="370"/>
        <v/>
      </c>
      <c r="U2454" s="5" t="str">
        <f t="shared" si="370"/>
        <v/>
      </c>
    </row>
    <row r="2455" spans="7:21" x14ac:dyDescent="0.2">
      <c r="G2455" s="8"/>
      <c r="H2455" s="5"/>
      <c r="J2455" s="10" t="str">
        <f t="shared" si="366"/>
        <v/>
      </c>
      <c r="K2455" s="10" t="str">
        <f t="shared" si="367"/>
        <v/>
      </c>
      <c r="L2455" s="11" t="str">
        <f t="shared" si="369"/>
        <v/>
      </c>
      <c r="M2455" s="9" t="str">
        <f>IF(G2455&lt;&gt;"",J2455/MAX(J$3:J2455)-1,"")</f>
        <v/>
      </c>
      <c r="N2455" s="9" t="str">
        <f>IF(G2455&lt;&gt;"",K2455/MAX(K$3:K2455)-1,"")</f>
        <v/>
      </c>
      <c r="O2455" s="16" t="str">
        <f t="shared" si="365"/>
        <v/>
      </c>
      <c r="P2455" s="16" t="str">
        <f t="shared" si="365"/>
        <v/>
      </c>
      <c r="Q2455" s="16" t="str">
        <f t="shared" si="365"/>
        <v/>
      </c>
      <c r="R2455" s="5" t="str">
        <f t="shared" si="364"/>
        <v/>
      </c>
      <c r="S2455" s="5" t="str">
        <f t="shared" si="368"/>
        <v/>
      </c>
      <c r="T2455" s="5" t="str">
        <f t="shared" si="370"/>
        <v/>
      </c>
      <c r="U2455" s="5" t="str">
        <f t="shared" si="370"/>
        <v/>
      </c>
    </row>
    <row r="2456" spans="7:21" x14ac:dyDescent="0.2">
      <c r="G2456" s="8"/>
      <c r="H2456" s="5"/>
      <c r="J2456" s="10" t="str">
        <f t="shared" si="366"/>
        <v/>
      </c>
      <c r="K2456" s="10" t="str">
        <f t="shared" si="367"/>
        <v/>
      </c>
      <c r="L2456" s="11" t="str">
        <f t="shared" si="369"/>
        <v/>
      </c>
      <c r="M2456" s="9" t="str">
        <f>IF(G2456&lt;&gt;"",J2456/MAX(J$3:J2456)-1,"")</f>
        <v/>
      </c>
      <c r="N2456" s="9" t="str">
        <f>IF(G2456&lt;&gt;"",K2456/MAX(K$3:K2456)-1,"")</f>
        <v/>
      </c>
      <c r="O2456" s="16" t="str">
        <f t="shared" si="365"/>
        <v/>
      </c>
      <c r="P2456" s="16" t="str">
        <f t="shared" si="365"/>
        <v/>
      </c>
      <c r="Q2456" s="16" t="str">
        <f t="shared" si="365"/>
        <v/>
      </c>
      <c r="R2456" s="5" t="str">
        <f t="shared" si="364"/>
        <v/>
      </c>
      <c r="S2456" s="5" t="str">
        <f t="shared" si="368"/>
        <v/>
      </c>
      <c r="T2456" s="5" t="str">
        <f t="shared" ref="T2456:U2471" si="371">IF($G2456&lt;&gt;"",_xlfn.STDEV.S(O2212:O2456),"")</f>
        <v/>
      </c>
      <c r="U2456" s="5" t="str">
        <f t="shared" si="371"/>
        <v/>
      </c>
    </row>
    <row r="2457" spans="7:21" x14ac:dyDescent="0.2">
      <c r="G2457" s="8"/>
      <c r="H2457" s="5"/>
      <c r="J2457" s="10" t="str">
        <f t="shared" si="366"/>
        <v/>
      </c>
      <c r="K2457" s="10" t="str">
        <f t="shared" si="367"/>
        <v/>
      </c>
      <c r="L2457" s="11" t="str">
        <f t="shared" si="369"/>
        <v/>
      </c>
      <c r="M2457" s="9" t="str">
        <f>IF(G2457&lt;&gt;"",J2457/MAX(J$3:J2457)-1,"")</f>
        <v/>
      </c>
      <c r="N2457" s="9" t="str">
        <f>IF(G2457&lt;&gt;"",K2457/MAX(K$3:K2457)-1,"")</f>
        <v/>
      </c>
      <c r="O2457" s="16" t="str">
        <f t="shared" si="365"/>
        <v/>
      </c>
      <c r="P2457" s="16" t="str">
        <f t="shared" si="365"/>
        <v/>
      </c>
      <c r="Q2457" s="16" t="str">
        <f t="shared" si="365"/>
        <v/>
      </c>
      <c r="R2457" s="5" t="str">
        <f t="shared" si="364"/>
        <v/>
      </c>
      <c r="S2457" s="5" t="str">
        <f t="shared" si="368"/>
        <v/>
      </c>
      <c r="T2457" s="5" t="str">
        <f t="shared" si="371"/>
        <v/>
      </c>
      <c r="U2457" s="5" t="str">
        <f t="shared" si="371"/>
        <v/>
      </c>
    </row>
    <row r="2458" spans="7:21" x14ac:dyDescent="0.2">
      <c r="G2458" s="8"/>
      <c r="H2458" s="5"/>
      <c r="J2458" s="10" t="str">
        <f t="shared" si="366"/>
        <v/>
      </c>
      <c r="K2458" s="10" t="str">
        <f t="shared" si="367"/>
        <v/>
      </c>
      <c r="L2458" s="11" t="str">
        <f t="shared" si="369"/>
        <v/>
      </c>
      <c r="M2458" s="9" t="str">
        <f>IF(G2458&lt;&gt;"",J2458/MAX(J$3:J2458)-1,"")</f>
        <v/>
      </c>
      <c r="N2458" s="9" t="str">
        <f>IF(G2458&lt;&gt;"",K2458/MAX(K$3:K2458)-1,"")</f>
        <v/>
      </c>
      <c r="O2458" s="16" t="str">
        <f t="shared" si="365"/>
        <v/>
      </c>
      <c r="P2458" s="16" t="str">
        <f t="shared" si="365"/>
        <v/>
      </c>
      <c r="Q2458" s="16" t="str">
        <f t="shared" si="365"/>
        <v/>
      </c>
      <c r="R2458" s="5" t="str">
        <f t="shared" si="364"/>
        <v/>
      </c>
      <c r="S2458" s="5" t="str">
        <f t="shared" si="368"/>
        <v/>
      </c>
      <c r="T2458" s="5" t="str">
        <f t="shared" si="371"/>
        <v/>
      </c>
      <c r="U2458" s="5" t="str">
        <f t="shared" si="371"/>
        <v/>
      </c>
    </row>
    <row r="2459" spans="7:21" x14ac:dyDescent="0.2">
      <c r="G2459" s="8"/>
      <c r="H2459" s="5"/>
      <c r="J2459" s="10" t="str">
        <f t="shared" si="366"/>
        <v/>
      </c>
      <c r="K2459" s="10" t="str">
        <f t="shared" si="367"/>
        <v/>
      </c>
      <c r="L2459" s="11" t="str">
        <f t="shared" si="369"/>
        <v/>
      </c>
      <c r="M2459" s="9" t="str">
        <f>IF(G2459&lt;&gt;"",J2459/MAX(J$3:J2459)-1,"")</f>
        <v/>
      </c>
      <c r="N2459" s="9" t="str">
        <f>IF(G2459&lt;&gt;"",K2459/MAX(K$3:K2459)-1,"")</f>
        <v/>
      </c>
      <c r="O2459" s="16" t="str">
        <f t="shared" si="365"/>
        <v/>
      </c>
      <c r="P2459" s="16" t="str">
        <f t="shared" si="365"/>
        <v/>
      </c>
      <c r="Q2459" s="16" t="str">
        <f t="shared" si="365"/>
        <v/>
      </c>
      <c r="R2459" s="5" t="str">
        <f t="shared" si="364"/>
        <v/>
      </c>
      <c r="S2459" s="5" t="str">
        <f t="shared" si="368"/>
        <v/>
      </c>
      <c r="T2459" s="5" t="str">
        <f t="shared" si="371"/>
        <v/>
      </c>
      <c r="U2459" s="5" t="str">
        <f t="shared" si="371"/>
        <v/>
      </c>
    </row>
    <row r="2460" spans="7:21" x14ac:dyDescent="0.2">
      <c r="G2460" s="8"/>
      <c r="H2460" s="5"/>
      <c r="J2460" s="10" t="str">
        <f t="shared" si="366"/>
        <v/>
      </c>
      <c r="K2460" s="10" t="str">
        <f t="shared" si="367"/>
        <v/>
      </c>
      <c r="L2460" s="11" t="str">
        <f t="shared" si="369"/>
        <v/>
      </c>
      <c r="M2460" s="9" t="str">
        <f>IF(G2460&lt;&gt;"",J2460/MAX(J$3:J2460)-1,"")</f>
        <v/>
      </c>
      <c r="N2460" s="9" t="str">
        <f>IF(G2460&lt;&gt;"",K2460/MAX(K$3:K2460)-1,"")</f>
        <v/>
      </c>
      <c r="O2460" s="16" t="str">
        <f t="shared" si="365"/>
        <v/>
      </c>
      <c r="P2460" s="16" t="str">
        <f t="shared" si="365"/>
        <v/>
      </c>
      <c r="Q2460" s="16" t="str">
        <f t="shared" si="365"/>
        <v/>
      </c>
      <c r="R2460" s="5" t="str">
        <f t="shared" si="364"/>
        <v/>
      </c>
      <c r="S2460" s="5" t="str">
        <f t="shared" si="368"/>
        <v/>
      </c>
      <c r="T2460" s="5" t="str">
        <f t="shared" si="371"/>
        <v/>
      </c>
      <c r="U2460" s="5" t="str">
        <f t="shared" si="371"/>
        <v/>
      </c>
    </row>
    <row r="2461" spans="7:21" x14ac:dyDescent="0.2">
      <c r="G2461" s="8"/>
      <c r="H2461" s="5"/>
      <c r="J2461" s="10" t="str">
        <f t="shared" si="366"/>
        <v/>
      </c>
      <c r="K2461" s="10" t="str">
        <f t="shared" si="367"/>
        <v/>
      </c>
      <c r="L2461" s="11" t="str">
        <f t="shared" si="369"/>
        <v/>
      </c>
      <c r="M2461" s="9" t="str">
        <f>IF(G2461&lt;&gt;"",J2461/MAX(J$3:J2461)-1,"")</f>
        <v/>
      </c>
      <c r="N2461" s="9" t="str">
        <f>IF(G2461&lt;&gt;"",K2461/MAX(K$3:K2461)-1,"")</f>
        <v/>
      </c>
      <c r="O2461" s="16" t="str">
        <f t="shared" si="365"/>
        <v/>
      </c>
      <c r="P2461" s="16" t="str">
        <f t="shared" si="365"/>
        <v/>
      </c>
      <c r="Q2461" s="16" t="str">
        <f t="shared" si="365"/>
        <v/>
      </c>
      <c r="R2461" s="5" t="str">
        <f t="shared" si="364"/>
        <v/>
      </c>
      <c r="S2461" s="5" t="str">
        <f t="shared" si="368"/>
        <v/>
      </c>
      <c r="T2461" s="5" t="str">
        <f t="shared" si="371"/>
        <v/>
      </c>
      <c r="U2461" s="5" t="str">
        <f t="shared" si="371"/>
        <v/>
      </c>
    </row>
    <row r="2462" spans="7:21" x14ac:dyDescent="0.2">
      <c r="G2462" s="8"/>
      <c r="H2462" s="5"/>
      <c r="J2462" s="10" t="str">
        <f t="shared" si="366"/>
        <v/>
      </c>
      <c r="K2462" s="10" t="str">
        <f t="shared" si="367"/>
        <v/>
      </c>
      <c r="L2462" s="11" t="str">
        <f t="shared" si="369"/>
        <v/>
      </c>
      <c r="M2462" s="9" t="str">
        <f>IF(G2462&lt;&gt;"",J2462/MAX(J$3:J2462)-1,"")</f>
        <v/>
      </c>
      <c r="N2462" s="9" t="str">
        <f>IF(G2462&lt;&gt;"",K2462/MAX(K$3:K2462)-1,"")</f>
        <v/>
      </c>
      <c r="O2462" s="16" t="str">
        <f t="shared" si="365"/>
        <v/>
      </c>
      <c r="P2462" s="16" t="str">
        <f t="shared" si="365"/>
        <v/>
      </c>
      <c r="Q2462" s="16" t="str">
        <f t="shared" si="365"/>
        <v/>
      </c>
      <c r="R2462" s="5" t="str">
        <f t="shared" si="364"/>
        <v/>
      </c>
      <c r="S2462" s="5" t="str">
        <f t="shared" si="368"/>
        <v/>
      </c>
      <c r="T2462" s="5" t="str">
        <f t="shared" si="371"/>
        <v/>
      </c>
      <c r="U2462" s="5" t="str">
        <f t="shared" si="371"/>
        <v/>
      </c>
    </row>
    <row r="2463" spans="7:21" x14ac:dyDescent="0.2">
      <c r="G2463" s="8"/>
      <c r="H2463" s="5"/>
      <c r="J2463" s="10" t="str">
        <f t="shared" si="366"/>
        <v/>
      </c>
      <c r="K2463" s="10" t="str">
        <f t="shared" si="367"/>
        <v/>
      </c>
      <c r="L2463" s="11" t="str">
        <f t="shared" si="369"/>
        <v/>
      </c>
      <c r="M2463" s="9" t="str">
        <f>IF(G2463&lt;&gt;"",J2463/MAX(J$3:J2463)-1,"")</f>
        <v/>
      </c>
      <c r="N2463" s="9" t="str">
        <f>IF(G2463&lt;&gt;"",K2463/MAX(K$3:K2463)-1,"")</f>
        <v/>
      </c>
      <c r="O2463" s="16" t="str">
        <f t="shared" si="365"/>
        <v/>
      </c>
      <c r="P2463" s="16" t="str">
        <f t="shared" si="365"/>
        <v/>
      </c>
      <c r="Q2463" s="16" t="str">
        <f t="shared" si="365"/>
        <v/>
      </c>
      <c r="R2463" s="5" t="str">
        <f t="shared" si="364"/>
        <v/>
      </c>
      <c r="S2463" s="5" t="str">
        <f t="shared" si="368"/>
        <v/>
      </c>
      <c r="T2463" s="5" t="str">
        <f t="shared" si="371"/>
        <v/>
      </c>
      <c r="U2463" s="5" t="str">
        <f t="shared" si="371"/>
        <v/>
      </c>
    </row>
    <row r="2464" spans="7:21" x14ac:dyDescent="0.2">
      <c r="G2464" s="8"/>
      <c r="H2464" s="5"/>
      <c r="J2464" s="10" t="str">
        <f t="shared" si="366"/>
        <v/>
      </c>
      <c r="K2464" s="10" t="str">
        <f t="shared" si="367"/>
        <v/>
      </c>
      <c r="L2464" s="11" t="str">
        <f t="shared" si="369"/>
        <v/>
      </c>
      <c r="M2464" s="9" t="str">
        <f>IF(G2464&lt;&gt;"",J2464/MAX(J$3:J2464)-1,"")</f>
        <v/>
      </c>
      <c r="N2464" s="9" t="str">
        <f>IF(G2464&lt;&gt;"",K2464/MAX(K$3:K2464)-1,"")</f>
        <v/>
      </c>
      <c r="O2464" s="16" t="str">
        <f t="shared" si="365"/>
        <v/>
      </c>
      <c r="P2464" s="16" t="str">
        <f t="shared" si="365"/>
        <v/>
      </c>
      <c r="Q2464" s="16" t="str">
        <f t="shared" si="365"/>
        <v/>
      </c>
      <c r="R2464" s="5" t="str">
        <f t="shared" si="364"/>
        <v/>
      </c>
      <c r="S2464" s="5" t="str">
        <f t="shared" si="368"/>
        <v/>
      </c>
      <c r="T2464" s="5" t="str">
        <f t="shared" si="371"/>
        <v/>
      </c>
      <c r="U2464" s="5" t="str">
        <f t="shared" si="371"/>
        <v/>
      </c>
    </row>
    <row r="2465" spans="7:21" x14ac:dyDescent="0.2">
      <c r="G2465" s="8"/>
      <c r="H2465" s="5"/>
      <c r="J2465" s="10" t="str">
        <f t="shared" si="366"/>
        <v/>
      </c>
      <c r="K2465" s="10" t="str">
        <f t="shared" si="367"/>
        <v/>
      </c>
      <c r="L2465" s="11" t="str">
        <f t="shared" si="369"/>
        <v/>
      </c>
      <c r="M2465" s="9" t="str">
        <f>IF(G2465&lt;&gt;"",J2465/MAX(J$3:J2465)-1,"")</f>
        <v/>
      </c>
      <c r="N2465" s="9" t="str">
        <f>IF(G2465&lt;&gt;"",K2465/MAX(K$3:K2465)-1,"")</f>
        <v/>
      </c>
      <c r="O2465" s="16" t="str">
        <f t="shared" si="365"/>
        <v/>
      </c>
      <c r="P2465" s="16" t="str">
        <f t="shared" si="365"/>
        <v/>
      </c>
      <c r="Q2465" s="16" t="str">
        <f t="shared" si="365"/>
        <v/>
      </c>
      <c r="R2465" s="5" t="str">
        <f t="shared" si="364"/>
        <v/>
      </c>
      <c r="S2465" s="5" t="str">
        <f t="shared" si="368"/>
        <v/>
      </c>
      <c r="T2465" s="5" t="str">
        <f t="shared" si="371"/>
        <v/>
      </c>
      <c r="U2465" s="5" t="str">
        <f t="shared" si="371"/>
        <v/>
      </c>
    </row>
    <row r="2466" spans="7:21" x14ac:dyDescent="0.2">
      <c r="G2466" s="8"/>
      <c r="H2466" s="5"/>
      <c r="J2466" s="10" t="str">
        <f t="shared" si="366"/>
        <v/>
      </c>
      <c r="K2466" s="10" t="str">
        <f t="shared" si="367"/>
        <v/>
      </c>
      <c r="L2466" s="11" t="str">
        <f t="shared" si="369"/>
        <v/>
      </c>
      <c r="M2466" s="9" t="str">
        <f>IF(G2466&lt;&gt;"",J2466/MAX(J$3:J2466)-1,"")</f>
        <v/>
      </c>
      <c r="N2466" s="9" t="str">
        <f>IF(G2466&lt;&gt;"",K2466/MAX(K$3:K2466)-1,"")</f>
        <v/>
      </c>
      <c r="O2466" s="16" t="str">
        <f t="shared" si="365"/>
        <v/>
      </c>
      <c r="P2466" s="16" t="str">
        <f t="shared" si="365"/>
        <v/>
      </c>
      <c r="Q2466" s="16" t="str">
        <f t="shared" si="365"/>
        <v/>
      </c>
      <c r="R2466" s="5" t="str">
        <f t="shared" si="364"/>
        <v/>
      </c>
      <c r="S2466" s="5" t="str">
        <f t="shared" si="368"/>
        <v/>
      </c>
      <c r="T2466" s="5" t="str">
        <f t="shared" si="371"/>
        <v/>
      </c>
      <c r="U2466" s="5" t="str">
        <f t="shared" si="371"/>
        <v/>
      </c>
    </row>
    <row r="2467" spans="7:21" x14ac:dyDescent="0.2">
      <c r="G2467" s="8"/>
      <c r="H2467" s="5"/>
      <c r="J2467" s="10" t="str">
        <f t="shared" si="366"/>
        <v/>
      </c>
      <c r="K2467" s="10" t="str">
        <f t="shared" si="367"/>
        <v/>
      </c>
      <c r="L2467" s="11" t="str">
        <f t="shared" si="369"/>
        <v/>
      </c>
      <c r="M2467" s="9" t="str">
        <f>IF(G2467&lt;&gt;"",J2467/MAX(J$3:J2467)-1,"")</f>
        <v/>
      </c>
      <c r="N2467" s="9" t="str">
        <f>IF(G2467&lt;&gt;"",K2467/MAX(K$3:K2467)-1,"")</f>
        <v/>
      </c>
      <c r="O2467" s="16" t="str">
        <f t="shared" si="365"/>
        <v/>
      </c>
      <c r="P2467" s="16" t="str">
        <f t="shared" si="365"/>
        <v/>
      </c>
      <c r="Q2467" s="16" t="str">
        <f t="shared" si="365"/>
        <v/>
      </c>
      <c r="R2467" s="5" t="str">
        <f t="shared" si="364"/>
        <v/>
      </c>
      <c r="S2467" s="5" t="str">
        <f t="shared" si="368"/>
        <v/>
      </c>
      <c r="T2467" s="5" t="str">
        <f t="shared" si="371"/>
        <v/>
      </c>
      <c r="U2467" s="5" t="str">
        <f t="shared" si="371"/>
        <v/>
      </c>
    </row>
    <row r="2468" spans="7:21" x14ac:dyDescent="0.2">
      <c r="G2468" s="8"/>
      <c r="H2468" s="5"/>
      <c r="J2468" s="10" t="str">
        <f t="shared" si="366"/>
        <v/>
      </c>
      <c r="K2468" s="10" t="str">
        <f t="shared" si="367"/>
        <v/>
      </c>
      <c r="L2468" s="11" t="str">
        <f t="shared" si="369"/>
        <v/>
      </c>
      <c r="M2468" s="9" t="str">
        <f>IF(G2468&lt;&gt;"",J2468/MAX(J$3:J2468)-1,"")</f>
        <v/>
      </c>
      <c r="N2468" s="9" t="str">
        <f>IF(G2468&lt;&gt;"",K2468/MAX(K$3:K2468)-1,"")</f>
        <v/>
      </c>
      <c r="O2468" s="16" t="str">
        <f t="shared" si="365"/>
        <v/>
      </c>
      <c r="P2468" s="16" t="str">
        <f t="shared" si="365"/>
        <v/>
      </c>
      <c r="Q2468" s="16" t="str">
        <f t="shared" si="365"/>
        <v/>
      </c>
      <c r="R2468" s="5" t="str">
        <f t="shared" si="364"/>
        <v/>
      </c>
      <c r="S2468" s="5" t="str">
        <f t="shared" si="368"/>
        <v/>
      </c>
      <c r="T2468" s="5" t="str">
        <f t="shared" si="371"/>
        <v/>
      </c>
      <c r="U2468" s="5" t="str">
        <f t="shared" si="371"/>
        <v/>
      </c>
    </row>
    <row r="2469" spans="7:21" x14ac:dyDescent="0.2">
      <c r="G2469" s="8"/>
      <c r="H2469" s="5"/>
      <c r="J2469" s="10" t="str">
        <f t="shared" si="366"/>
        <v/>
      </c>
      <c r="K2469" s="10" t="str">
        <f t="shared" si="367"/>
        <v/>
      </c>
      <c r="L2469" s="11" t="str">
        <f t="shared" si="369"/>
        <v/>
      </c>
      <c r="M2469" s="9" t="str">
        <f>IF(G2469&lt;&gt;"",J2469/MAX(J$3:J2469)-1,"")</f>
        <v/>
      </c>
      <c r="N2469" s="9" t="str">
        <f>IF(G2469&lt;&gt;"",K2469/MAX(K$3:K2469)-1,"")</f>
        <v/>
      </c>
      <c r="O2469" s="16" t="str">
        <f t="shared" si="365"/>
        <v/>
      </c>
      <c r="P2469" s="16" t="str">
        <f t="shared" si="365"/>
        <v/>
      </c>
      <c r="Q2469" s="16" t="str">
        <f t="shared" si="365"/>
        <v/>
      </c>
      <c r="R2469" s="5" t="str">
        <f t="shared" si="364"/>
        <v/>
      </c>
      <c r="S2469" s="5" t="str">
        <f t="shared" si="368"/>
        <v/>
      </c>
      <c r="T2469" s="5" t="str">
        <f t="shared" si="371"/>
        <v/>
      </c>
      <c r="U2469" s="5" t="str">
        <f t="shared" si="371"/>
        <v/>
      </c>
    </row>
    <row r="2470" spans="7:21" x14ac:dyDescent="0.2">
      <c r="G2470" s="8"/>
      <c r="H2470" s="5"/>
      <c r="J2470" s="10" t="str">
        <f t="shared" si="366"/>
        <v/>
      </c>
      <c r="K2470" s="10" t="str">
        <f t="shared" si="367"/>
        <v/>
      </c>
      <c r="L2470" s="11" t="str">
        <f t="shared" si="369"/>
        <v/>
      </c>
      <c r="M2470" s="9" t="str">
        <f>IF(G2470&lt;&gt;"",J2470/MAX(J$3:J2470)-1,"")</f>
        <v/>
      </c>
      <c r="N2470" s="9" t="str">
        <f>IF(G2470&lt;&gt;"",K2470/MAX(K$3:K2470)-1,"")</f>
        <v/>
      </c>
      <c r="O2470" s="16" t="str">
        <f t="shared" si="365"/>
        <v/>
      </c>
      <c r="P2470" s="16" t="str">
        <f t="shared" si="365"/>
        <v/>
      </c>
      <c r="Q2470" s="16" t="str">
        <f t="shared" si="365"/>
        <v/>
      </c>
      <c r="R2470" s="5" t="str">
        <f t="shared" si="364"/>
        <v/>
      </c>
      <c r="S2470" s="5" t="str">
        <f t="shared" si="368"/>
        <v/>
      </c>
      <c r="T2470" s="5" t="str">
        <f t="shared" si="371"/>
        <v/>
      </c>
      <c r="U2470" s="5" t="str">
        <f t="shared" si="371"/>
        <v/>
      </c>
    </row>
    <row r="2471" spans="7:21" x14ac:dyDescent="0.2">
      <c r="G2471" s="8"/>
      <c r="H2471" s="5"/>
      <c r="J2471" s="10" t="str">
        <f t="shared" si="366"/>
        <v/>
      </c>
      <c r="K2471" s="10" t="str">
        <f t="shared" si="367"/>
        <v/>
      </c>
      <c r="L2471" s="11" t="str">
        <f t="shared" si="369"/>
        <v/>
      </c>
      <c r="M2471" s="9" t="str">
        <f>IF(G2471&lt;&gt;"",J2471/MAX(J$3:J2471)-1,"")</f>
        <v/>
      </c>
      <c r="N2471" s="9" t="str">
        <f>IF(G2471&lt;&gt;"",K2471/MAX(K$3:K2471)-1,"")</f>
        <v/>
      </c>
      <c r="O2471" s="16" t="str">
        <f t="shared" si="365"/>
        <v/>
      </c>
      <c r="P2471" s="16" t="str">
        <f t="shared" si="365"/>
        <v/>
      </c>
      <c r="Q2471" s="16" t="str">
        <f t="shared" si="365"/>
        <v/>
      </c>
      <c r="R2471" s="5" t="str">
        <f t="shared" si="364"/>
        <v/>
      </c>
      <c r="S2471" s="5" t="str">
        <f t="shared" si="368"/>
        <v/>
      </c>
      <c r="T2471" s="5" t="str">
        <f t="shared" si="371"/>
        <v/>
      </c>
      <c r="U2471" s="5" t="str">
        <f t="shared" si="371"/>
        <v/>
      </c>
    </row>
    <row r="2472" spans="7:21" x14ac:dyDescent="0.2">
      <c r="G2472" s="8"/>
      <c r="H2472" s="5"/>
      <c r="J2472" s="10" t="str">
        <f t="shared" si="366"/>
        <v/>
      </c>
      <c r="K2472" s="10" t="str">
        <f t="shared" si="367"/>
        <v/>
      </c>
      <c r="L2472" s="11" t="str">
        <f t="shared" si="369"/>
        <v/>
      </c>
      <c r="M2472" s="9" t="str">
        <f>IF(G2472&lt;&gt;"",J2472/MAX(J$3:J2472)-1,"")</f>
        <v/>
      </c>
      <c r="N2472" s="9" t="str">
        <f>IF(G2472&lt;&gt;"",K2472/MAX(K$3:K2472)-1,"")</f>
        <v/>
      </c>
      <c r="O2472" s="16" t="str">
        <f t="shared" si="365"/>
        <v/>
      </c>
      <c r="P2472" s="16" t="str">
        <f t="shared" si="365"/>
        <v/>
      </c>
      <c r="Q2472" s="16" t="str">
        <f t="shared" si="365"/>
        <v/>
      </c>
      <c r="R2472" s="5" t="str">
        <f t="shared" si="364"/>
        <v/>
      </c>
      <c r="S2472" s="5" t="str">
        <f t="shared" si="368"/>
        <v/>
      </c>
      <c r="T2472" s="5" t="str">
        <f t="shared" ref="T2472:U2487" si="372">IF($G2472&lt;&gt;"",_xlfn.STDEV.S(O2228:O2472),"")</f>
        <v/>
      </c>
      <c r="U2472" s="5" t="str">
        <f t="shared" si="372"/>
        <v/>
      </c>
    </row>
    <row r="2473" spans="7:21" x14ac:dyDescent="0.2">
      <c r="G2473" s="8"/>
      <c r="H2473" s="5"/>
      <c r="J2473" s="10" t="str">
        <f t="shared" si="366"/>
        <v/>
      </c>
      <c r="K2473" s="10" t="str">
        <f t="shared" si="367"/>
        <v/>
      </c>
      <c r="L2473" s="11" t="str">
        <f t="shared" si="369"/>
        <v/>
      </c>
      <c r="M2473" s="9" t="str">
        <f>IF(G2473&lt;&gt;"",J2473/MAX(J$3:J2473)-1,"")</f>
        <v/>
      </c>
      <c r="N2473" s="9" t="str">
        <f>IF(G2473&lt;&gt;"",K2473/MAX(K$3:K2473)-1,"")</f>
        <v/>
      </c>
      <c r="O2473" s="16" t="str">
        <f t="shared" si="365"/>
        <v/>
      </c>
      <c r="P2473" s="16" t="str">
        <f t="shared" si="365"/>
        <v/>
      </c>
      <c r="Q2473" s="16" t="str">
        <f t="shared" si="365"/>
        <v/>
      </c>
      <c r="R2473" s="5" t="str">
        <f t="shared" si="364"/>
        <v/>
      </c>
      <c r="S2473" s="5" t="str">
        <f t="shared" si="368"/>
        <v/>
      </c>
      <c r="T2473" s="5" t="str">
        <f t="shared" si="372"/>
        <v/>
      </c>
      <c r="U2473" s="5" t="str">
        <f t="shared" si="372"/>
        <v/>
      </c>
    </row>
    <row r="2474" spans="7:21" x14ac:dyDescent="0.2">
      <c r="G2474" s="8"/>
      <c r="H2474" s="5"/>
      <c r="J2474" s="10" t="str">
        <f t="shared" si="366"/>
        <v/>
      </c>
      <c r="K2474" s="10" t="str">
        <f t="shared" si="367"/>
        <v/>
      </c>
      <c r="L2474" s="11" t="str">
        <f t="shared" si="369"/>
        <v/>
      </c>
      <c r="M2474" s="9" t="str">
        <f>IF(G2474&lt;&gt;"",J2474/MAX(J$3:J2474)-1,"")</f>
        <v/>
      </c>
      <c r="N2474" s="9" t="str">
        <f>IF(G2474&lt;&gt;"",K2474/MAX(K$3:K2474)-1,"")</f>
        <v/>
      </c>
      <c r="O2474" s="16" t="str">
        <f t="shared" si="365"/>
        <v/>
      </c>
      <c r="P2474" s="16" t="str">
        <f t="shared" si="365"/>
        <v/>
      </c>
      <c r="Q2474" s="16" t="str">
        <f t="shared" si="365"/>
        <v/>
      </c>
      <c r="R2474" s="5" t="str">
        <f t="shared" si="364"/>
        <v/>
      </c>
      <c r="S2474" s="5" t="str">
        <f t="shared" si="368"/>
        <v/>
      </c>
      <c r="T2474" s="5" t="str">
        <f t="shared" si="372"/>
        <v/>
      </c>
      <c r="U2474" s="5" t="str">
        <f t="shared" si="372"/>
        <v/>
      </c>
    </row>
    <row r="2475" spans="7:21" x14ac:dyDescent="0.2">
      <c r="G2475" s="8"/>
      <c r="H2475" s="5"/>
      <c r="J2475" s="10" t="str">
        <f t="shared" si="366"/>
        <v/>
      </c>
      <c r="K2475" s="10" t="str">
        <f t="shared" si="367"/>
        <v/>
      </c>
      <c r="L2475" s="11" t="str">
        <f t="shared" si="369"/>
        <v/>
      </c>
      <c r="M2475" s="9" t="str">
        <f>IF(G2475&lt;&gt;"",J2475/MAX(J$3:J2475)-1,"")</f>
        <v/>
      </c>
      <c r="N2475" s="9" t="str">
        <f>IF(G2475&lt;&gt;"",K2475/MAX(K$3:K2475)-1,"")</f>
        <v/>
      </c>
      <c r="O2475" s="16" t="str">
        <f t="shared" si="365"/>
        <v/>
      </c>
      <c r="P2475" s="16" t="str">
        <f t="shared" si="365"/>
        <v/>
      </c>
      <c r="Q2475" s="16" t="str">
        <f t="shared" si="365"/>
        <v/>
      </c>
      <c r="R2475" s="5" t="str">
        <f t="shared" si="364"/>
        <v/>
      </c>
      <c r="S2475" s="5" t="str">
        <f t="shared" si="368"/>
        <v/>
      </c>
      <c r="T2475" s="5" t="str">
        <f t="shared" si="372"/>
        <v/>
      </c>
      <c r="U2475" s="5" t="str">
        <f t="shared" si="372"/>
        <v/>
      </c>
    </row>
    <row r="2476" spans="7:21" x14ac:dyDescent="0.2">
      <c r="G2476" s="8"/>
      <c r="H2476" s="5"/>
      <c r="J2476" s="10" t="str">
        <f t="shared" si="366"/>
        <v/>
      </c>
      <c r="K2476" s="10" t="str">
        <f t="shared" si="367"/>
        <v/>
      </c>
      <c r="L2476" s="11" t="str">
        <f t="shared" si="369"/>
        <v/>
      </c>
      <c r="M2476" s="9" t="str">
        <f>IF(G2476&lt;&gt;"",J2476/MAX(J$3:J2476)-1,"")</f>
        <v/>
      </c>
      <c r="N2476" s="9" t="str">
        <f>IF(G2476&lt;&gt;"",K2476/MAX(K$3:K2476)-1,"")</f>
        <v/>
      </c>
      <c r="O2476" s="16" t="str">
        <f t="shared" si="365"/>
        <v/>
      </c>
      <c r="P2476" s="16" t="str">
        <f t="shared" si="365"/>
        <v/>
      </c>
      <c r="Q2476" s="16" t="str">
        <f t="shared" si="365"/>
        <v/>
      </c>
      <c r="R2476" s="5" t="str">
        <f t="shared" si="364"/>
        <v/>
      </c>
      <c r="S2476" s="5" t="str">
        <f t="shared" si="368"/>
        <v/>
      </c>
      <c r="T2476" s="5" t="str">
        <f t="shared" si="372"/>
        <v/>
      </c>
      <c r="U2476" s="5" t="str">
        <f t="shared" si="372"/>
        <v/>
      </c>
    </row>
    <row r="2477" spans="7:21" x14ac:dyDescent="0.2">
      <c r="G2477" s="8"/>
      <c r="H2477" s="5"/>
      <c r="J2477" s="10" t="str">
        <f t="shared" si="366"/>
        <v/>
      </c>
      <c r="K2477" s="10" t="str">
        <f t="shared" si="367"/>
        <v/>
      </c>
      <c r="L2477" s="11" t="str">
        <f t="shared" si="369"/>
        <v/>
      </c>
      <c r="M2477" s="9" t="str">
        <f>IF(G2477&lt;&gt;"",J2477/MAX(J$3:J2477)-1,"")</f>
        <v/>
      </c>
      <c r="N2477" s="9" t="str">
        <f>IF(G2477&lt;&gt;"",K2477/MAX(K$3:K2477)-1,"")</f>
        <v/>
      </c>
      <c r="O2477" s="16" t="str">
        <f t="shared" si="365"/>
        <v/>
      </c>
      <c r="P2477" s="16" t="str">
        <f t="shared" si="365"/>
        <v/>
      </c>
      <c r="Q2477" s="16" t="str">
        <f t="shared" si="365"/>
        <v/>
      </c>
      <c r="R2477" s="5" t="str">
        <f t="shared" si="364"/>
        <v/>
      </c>
      <c r="S2477" s="5" t="str">
        <f t="shared" si="368"/>
        <v/>
      </c>
      <c r="T2477" s="5" t="str">
        <f t="shared" si="372"/>
        <v/>
      </c>
      <c r="U2477" s="5" t="str">
        <f t="shared" si="372"/>
        <v/>
      </c>
    </row>
    <row r="2478" spans="7:21" x14ac:dyDescent="0.2">
      <c r="G2478" s="8"/>
      <c r="H2478" s="5"/>
      <c r="J2478" s="10" t="str">
        <f t="shared" si="366"/>
        <v/>
      </c>
      <c r="K2478" s="10" t="str">
        <f t="shared" si="367"/>
        <v/>
      </c>
      <c r="L2478" s="11" t="str">
        <f t="shared" si="369"/>
        <v/>
      </c>
      <c r="M2478" s="9" t="str">
        <f>IF(G2478&lt;&gt;"",J2478/MAX(J$3:J2478)-1,"")</f>
        <v/>
      </c>
      <c r="N2478" s="9" t="str">
        <f>IF(G2478&lt;&gt;"",K2478/MAX(K$3:K2478)-1,"")</f>
        <v/>
      </c>
      <c r="O2478" s="16" t="str">
        <f t="shared" si="365"/>
        <v/>
      </c>
      <c r="P2478" s="16" t="str">
        <f t="shared" si="365"/>
        <v/>
      </c>
      <c r="Q2478" s="16" t="str">
        <f t="shared" si="365"/>
        <v/>
      </c>
      <c r="R2478" s="5" t="str">
        <f t="shared" si="364"/>
        <v/>
      </c>
      <c r="S2478" s="5" t="str">
        <f t="shared" si="368"/>
        <v/>
      </c>
      <c r="T2478" s="5" t="str">
        <f t="shared" si="372"/>
        <v/>
      </c>
      <c r="U2478" s="5" t="str">
        <f t="shared" si="372"/>
        <v/>
      </c>
    </row>
    <row r="2479" spans="7:21" x14ac:dyDescent="0.2">
      <c r="G2479" s="8"/>
      <c r="H2479" s="5"/>
      <c r="J2479" s="10" t="str">
        <f t="shared" si="366"/>
        <v/>
      </c>
      <c r="K2479" s="10" t="str">
        <f t="shared" si="367"/>
        <v/>
      </c>
      <c r="L2479" s="11" t="str">
        <f t="shared" si="369"/>
        <v/>
      </c>
      <c r="M2479" s="9" t="str">
        <f>IF(G2479&lt;&gt;"",J2479/MAX(J$3:J2479)-1,"")</f>
        <v/>
      </c>
      <c r="N2479" s="9" t="str">
        <f>IF(G2479&lt;&gt;"",K2479/MAX(K$3:K2479)-1,"")</f>
        <v/>
      </c>
      <c r="O2479" s="16" t="str">
        <f t="shared" si="365"/>
        <v/>
      </c>
      <c r="P2479" s="16" t="str">
        <f t="shared" si="365"/>
        <v/>
      </c>
      <c r="Q2479" s="16" t="str">
        <f t="shared" si="365"/>
        <v/>
      </c>
      <c r="R2479" s="5" t="str">
        <f t="shared" si="364"/>
        <v/>
      </c>
      <c r="S2479" s="5" t="str">
        <f t="shared" si="368"/>
        <v/>
      </c>
      <c r="T2479" s="5" t="str">
        <f t="shared" si="372"/>
        <v/>
      </c>
      <c r="U2479" s="5" t="str">
        <f t="shared" si="372"/>
        <v/>
      </c>
    </row>
    <row r="2480" spans="7:21" x14ac:dyDescent="0.2">
      <c r="G2480" s="8"/>
      <c r="H2480" s="5"/>
      <c r="J2480" s="10" t="str">
        <f t="shared" si="366"/>
        <v/>
      </c>
      <c r="K2480" s="10" t="str">
        <f t="shared" si="367"/>
        <v/>
      </c>
      <c r="L2480" s="11" t="str">
        <f t="shared" si="369"/>
        <v/>
      </c>
      <c r="M2480" s="9" t="str">
        <f>IF(G2480&lt;&gt;"",J2480/MAX(J$3:J2480)-1,"")</f>
        <v/>
      </c>
      <c r="N2480" s="9" t="str">
        <f>IF(G2480&lt;&gt;"",K2480/MAX(K$3:K2480)-1,"")</f>
        <v/>
      </c>
      <c r="O2480" s="16" t="str">
        <f t="shared" si="365"/>
        <v/>
      </c>
      <c r="P2480" s="16" t="str">
        <f t="shared" si="365"/>
        <v/>
      </c>
      <c r="Q2480" s="16" t="str">
        <f t="shared" si="365"/>
        <v/>
      </c>
      <c r="R2480" s="5" t="str">
        <f t="shared" si="364"/>
        <v/>
      </c>
      <c r="S2480" s="5" t="str">
        <f t="shared" si="368"/>
        <v/>
      </c>
      <c r="T2480" s="5" t="str">
        <f t="shared" si="372"/>
        <v/>
      </c>
      <c r="U2480" s="5" t="str">
        <f t="shared" si="372"/>
        <v/>
      </c>
    </row>
    <row r="2481" spans="7:21" x14ac:dyDescent="0.2">
      <c r="G2481" s="8"/>
      <c r="H2481" s="5"/>
      <c r="J2481" s="10" t="str">
        <f t="shared" si="366"/>
        <v/>
      </c>
      <c r="K2481" s="10" t="str">
        <f t="shared" si="367"/>
        <v/>
      </c>
      <c r="L2481" s="11" t="str">
        <f t="shared" si="369"/>
        <v/>
      </c>
      <c r="M2481" s="9" t="str">
        <f>IF(G2481&lt;&gt;"",J2481/MAX(J$3:J2481)-1,"")</f>
        <v/>
      </c>
      <c r="N2481" s="9" t="str">
        <f>IF(G2481&lt;&gt;"",K2481/MAX(K$3:K2481)-1,"")</f>
        <v/>
      </c>
      <c r="O2481" s="16" t="str">
        <f t="shared" si="365"/>
        <v/>
      </c>
      <c r="P2481" s="16" t="str">
        <f t="shared" si="365"/>
        <v/>
      </c>
      <c r="Q2481" s="16" t="str">
        <f t="shared" si="365"/>
        <v/>
      </c>
      <c r="R2481" s="5" t="str">
        <f t="shared" si="364"/>
        <v/>
      </c>
      <c r="S2481" s="5" t="str">
        <f t="shared" si="368"/>
        <v/>
      </c>
      <c r="T2481" s="5" t="str">
        <f t="shared" si="372"/>
        <v/>
      </c>
      <c r="U2481" s="5" t="str">
        <f t="shared" si="372"/>
        <v/>
      </c>
    </row>
    <row r="2482" spans="7:21" x14ac:dyDescent="0.2">
      <c r="G2482" s="8"/>
      <c r="H2482" s="5"/>
      <c r="J2482" s="10" t="str">
        <f t="shared" si="366"/>
        <v/>
      </c>
      <c r="K2482" s="10" t="str">
        <f t="shared" si="367"/>
        <v/>
      </c>
      <c r="L2482" s="11" t="str">
        <f t="shared" si="369"/>
        <v/>
      </c>
      <c r="M2482" s="9" t="str">
        <f>IF(G2482&lt;&gt;"",J2482/MAX(J$3:J2482)-1,"")</f>
        <v/>
      </c>
      <c r="N2482" s="9" t="str">
        <f>IF(G2482&lt;&gt;"",K2482/MAX(K$3:K2482)-1,"")</f>
        <v/>
      </c>
      <c r="O2482" s="16" t="str">
        <f t="shared" si="365"/>
        <v/>
      </c>
      <c r="P2482" s="16" t="str">
        <f t="shared" si="365"/>
        <v/>
      </c>
      <c r="Q2482" s="16" t="str">
        <f t="shared" si="365"/>
        <v/>
      </c>
      <c r="R2482" s="5" t="str">
        <f t="shared" si="364"/>
        <v/>
      </c>
      <c r="S2482" s="5" t="str">
        <f t="shared" si="368"/>
        <v/>
      </c>
      <c r="T2482" s="5" t="str">
        <f t="shared" si="372"/>
        <v/>
      </c>
      <c r="U2482" s="5" t="str">
        <f t="shared" si="372"/>
        <v/>
      </c>
    </row>
    <row r="2483" spans="7:21" x14ac:dyDescent="0.2">
      <c r="G2483" s="8"/>
      <c r="H2483" s="5"/>
      <c r="J2483" s="10" t="str">
        <f t="shared" si="366"/>
        <v/>
      </c>
      <c r="K2483" s="10" t="str">
        <f t="shared" si="367"/>
        <v/>
      </c>
      <c r="L2483" s="11" t="str">
        <f t="shared" si="369"/>
        <v/>
      </c>
      <c r="M2483" s="9" t="str">
        <f>IF(G2483&lt;&gt;"",J2483/MAX(J$3:J2483)-1,"")</f>
        <v/>
      </c>
      <c r="N2483" s="9" t="str">
        <f>IF(G2483&lt;&gt;"",K2483/MAX(K$3:K2483)-1,"")</f>
        <v/>
      </c>
      <c r="O2483" s="16" t="str">
        <f t="shared" si="365"/>
        <v/>
      </c>
      <c r="P2483" s="16" t="str">
        <f t="shared" si="365"/>
        <v/>
      </c>
      <c r="Q2483" s="16" t="str">
        <f t="shared" si="365"/>
        <v/>
      </c>
      <c r="R2483" s="5" t="str">
        <f t="shared" si="364"/>
        <v/>
      </c>
      <c r="S2483" s="5" t="str">
        <f t="shared" si="368"/>
        <v/>
      </c>
      <c r="T2483" s="5" t="str">
        <f t="shared" si="372"/>
        <v/>
      </c>
      <c r="U2483" s="5" t="str">
        <f t="shared" si="372"/>
        <v/>
      </c>
    </row>
    <row r="2484" spans="7:21" x14ac:dyDescent="0.2">
      <c r="G2484" s="8"/>
      <c r="H2484" s="5"/>
      <c r="J2484" s="10" t="str">
        <f t="shared" si="366"/>
        <v/>
      </c>
      <c r="K2484" s="10" t="str">
        <f t="shared" si="367"/>
        <v/>
      </c>
      <c r="L2484" s="11" t="str">
        <f t="shared" si="369"/>
        <v/>
      </c>
      <c r="M2484" s="9" t="str">
        <f>IF(G2484&lt;&gt;"",J2484/MAX(J$3:J2484)-1,"")</f>
        <v/>
      </c>
      <c r="N2484" s="9" t="str">
        <f>IF(G2484&lt;&gt;"",K2484/MAX(K$3:K2484)-1,"")</f>
        <v/>
      </c>
      <c r="O2484" s="16" t="str">
        <f t="shared" si="365"/>
        <v/>
      </c>
      <c r="P2484" s="16" t="str">
        <f t="shared" si="365"/>
        <v/>
      </c>
      <c r="Q2484" s="16" t="str">
        <f t="shared" si="365"/>
        <v/>
      </c>
      <c r="R2484" s="5" t="str">
        <f t="shared" si="364"/>
        <v/>
      </c>
      <c r="S2484" s="5" t="str">
        <f t="shared" si="368"/>
        <v/>
      </c>
      <c r="T2484" s="5" t="str">
        <f t="shared" si="372"/>
        <v/>
      </c>
      <c r="U2484" s="5" t="str">
        <f t="shared" si="372"/>
        <v/>
      </c>
    </row>
    <row r="2485" spans="7:21" x14ac:dyDescent="0.2">
      <c r="G2485" s="8"/>
      <c r="H2485" s="5"/>
      <c r="J2485" s="10" t="str">
        <f t="shared" si="366"/>
        <v/>
      </c>
      <c r="K2485" s="10" t="str">
        <f t="shared" si="367"/>
        <v/>
      </c>
      <c r="L2485" s="11" t="str">
        <f t="shared" si="369"/>
        <v/>
      </c>
      <c r="M2485" s="9" t="str">
        <f>IF(G2485&lt;&gt;"",J2485/MAX(J$3:J2485)-1,"")</f>
        <v/>
      </c>
      <c r="N2485" s="9" t="str">
        <f>IF(G2485&lt;&gt;"",K2485/MAX(K$3:K2485)-1,"")</f>
        <v/>
      </c>
      <c r="O2485" s="16" t="str">
        <f t="shared" si="365"/>
        <v/>
      </c>
      <c r="P2485" s="16" t="str">
        <f t="shared" si="365"/>
        <v/>
      </c>
      <c r="Q2485" s="16" t="str">
        <f t="shared" si="365"/>
        <v/>
      </c>
      <c r="R2485" s="5" t="str">
        <f t="shared" si="364"/>
        <v/>
      </c>
      <c r="S2485" s="5" t="str">
        <f t="shared" si="368"/>
        <v/>
      </c>
      <c r="T2485" s="5" t="str">
        <f t="shared" si="372"/>
        <v/>
      </c>
      <c r="U2485" s="5" t="str">
        <f t="shared" si="372"/>
        <v/>
      </c>
    </row>
    <row r="2486" spans="7:21" x14ac:dyDescent="0.2">
      <c r="G2486" s="8"/>
      <c r="H2486" s="5"/>
      <c r="J2486" s="10" t="str">
        <f t="shared" si="366"/>
        <v/>
      </c>
      <c r="K2486" s="10" t="str">
        <f t="shared" si="367"/>
        <v/>
      </c>
      <c r="L2486" s="11" t="str">
        <f t="shared" si="369"/>
        <v/>
      </c>
      <c r="M2486" s="9" t="str">
        <f>IF(G2486&lt;&gt;"",J2486/MAX(J$3:J2486)-1,"")</f>
        <v/>
      </c>
      <c r="N2486" s="9" t="str">
        <f>IF(G2486&lt;&gt;"",K2486/MAX(K$3:K2486)-1,"")</f>
        <v/>
      </c>
      <c r="O2486" s="16" t="str">
        <f t="shared" si="365"/>
        <v/>
      </c>
      <c r="P2486" s="16" t="str">
        <f t="shared" si="365"/>
        <v/>
      </c>
      <c r="Q2486" s="16" t="str">
        <f t="shared" si="365"/>
        <v/>
      </c>
      <c r="R2486" s="5" t="str">
        <f t="shared" si="364"/>
        <v/>
      </c>
      <c r="S2486" s="5" t="str">
        <f t="shared" si="368"/>
        <v/>
      </c>
      <c r="T2486" s="5" t="str">
        <f t="shared" si="372"/>
        <v/>
      </c>
      <c r="U2486" s="5" t="str">
        <f t="shared" si="372"/>
        <v/>
      </c>
    </row>
    <row r="2487" spans="7:21" x14ac:dyDescent="0.2">
      <c r="G2487" s="8"/>
      <c r="H2487" s="5"/>
      <c r="J2487" s="10" t="str">
        <f t="shared" si="366"/>
        <v/>
      </c>
      <c r="K2487" s="10" t="str">
        <f t="shared" si="367"/>
        <v/>
      </c>
      <c r="L2487" s="11" t="str">
        <f t="shared" si="369"/>
        <v/>
      </c>
      <c r="M2487" s="9" t="str">
        <f>IF(G2487&lt;&gt;"",J2487/MAX(J$3:J2487)-1,"")</f>
        <v/>
      </c>
      <c r="N2487" s="9" t="str">
        <f>IF(G2487&lt;&gt;"",K2487/MAX(K$3:K2487)-1,"")</f>
        <v/>
      </c>
      <c r="O2487" s="16" t="str">
        <f t="shared" si="365"/>
        <v/>
      </c>
      <c r="P2487" s="16" t="str">
        <f t="shared" si="365"/>
        <v/>
      </c>
      <c r="Q2487" s="16" t="str">
        <f t="shared" si="365"/>
        <v/>
      </c>
      <c r="R2487" s="5" t="str">
        <f t="shared" si="364"/>
        <v/>
      </c>
      <c r="S2487" s="5" t="str">
        <f t="shared" si="368"/>
        <v/>
      </c>
      <c r="T2487" s="5" t="str">
        <f t="shared" si="372"/>
        <v/>
      </c>
      <c r="U2487" s="5" t="str">
        <f t="shared" si="372"/>
        <v/>
      </c>
    </row>
    <row r="2488" spans="7:21" x14ac:dyDescent="0.2">
      <c r="G2488" s="8"/>
      <c r="H2488" s="5"/>
      <c r="J2488" s="10" t="str">
        <f t="shared" si="366"/>
        <v/>
      </c>
      <c r="K2488" s="10" t="str">
        <f t="shared" si="367"/>
        <v/>
      </c>
      <c r="L2488" s="11" t="str">
        <f t="shared" si="369"/>
        <v/>
      </c>
      <c r="M2488" s="9" t="str">
        <f>IF(G2488&lt;&gt;"",J2488/MAX(J$3:J2488)-1,"")</f>
        <v/>
      </c>
      <c r="N2488" s="9" t="str">
        <f>IF(G2488&lt;&gt;"",K2488/MAX(K$3:K2488)-1,"")</f>
        <v/>
      </c>
      <c r="O2488" s="16" t="str">
        <f t="shared" si="365"/>
        <v/>
      </c>
      <c r="P2488" s="16" t="str">
        <f t="shared" si="365"/>
        <v/>
      </c>
      <c r="Q2488" s="16" t="str">
        <f t="shared" si="365"/>
        <v/>
      </c>
      <c r="R2488" s="5" t="str">
        <f t="shared" si="364"/>
        <v/>
      </c>
      <c r="S2488" s="5" t="str">
        <f t="shared" si="368"/>
        <v/>
      </c>
      <c r="T2488" s="5" t="str">
        <f t="shared" ref="T2488:U2503" si="373">IF($G2488&lt;&gt;"",_xlfn.STDEV.S(O2244:O2488),"")</f>
        <v/>
      </c>
      <c r="U2488" s="5" t="str">
        <f t="shared" si="373"/>
        <v/>
      </c>
    </row>
    <row r="2489" spans="7:21" x14ac:dyDescent="0.2">
      <c r="G2489" s="8"/>
      <c r="H2489" s="5"/>
      <c r="J2489" s="10" t="str">
        <f t="shared" si="366"/>
        <v/>
      </c>
      <c r="K2489" s="10" t="str">
        <f t="shared" si="367"/>
        <v/>
      </c>
      <c r="L2489" s="11" t="str">
        <f t="shared" si="369"/>
        <v/>
      </c>
      <c r="M2489" s="9" t="str">
        <f>IF(G2489&lt;&gt;"",J2489/MAX(J$3:J2489)-1,"")</f>
        <v/>
      </c>
      <c r="N2489" s="9" t="str">
        <f>IF(G2489&lt;&gt;"",K2489/MAX(K$3:K2489)-1,"")</f>
        <v/>
      </c>
      <c r="O2489" s="16" t="str">
        <f t="shared" si="365"/>
        <v/>
      </c>
      <c r="P2489" s="16" t="str">
        <f t="shared" si="365"/>
        <v/>
      </c>
      <c r="Q2489" s="16" t="str">
        <f t="shared" si="365"/>
        <v/>
      </c>
      <c r="R2489" s="5" t="str">
        <f t="shared" si="364"/>
        <v/>
      </c>
      <c r="S2489" s="5" t="str">
        <f t="shared" si="368"/>
        <v/>
      </c>
      <c r="T2489" s="5" t="str">
        <f t="shared" si="373"/>
        <v/>
      </c>
      <c r="U2489" s="5" t="str">
        <f t="shared" si="373"/>
        <v/>
      </c>
    </row>
    <row r="2490" spans="7:21" x14ac:dyDescent="0.2">
      <c r="G2490" s="8"/>
      <c r="H2490" s="5"/>
      <c r="J2490" s="10" t="str">
        <f t="shared" si="366"/>
        <v/>
      </c>
      <c r="K2490" s="10" t="str">
        <f t="shared" si="367"/>
        <v/>
      </c>
      <c r="L2490" s="11" t="str">
        <f t="shared" si="369"/>
        <v/>
      </c>
      <c r="M2490" s="9" t="str">
        <f>IF(G2490&lt;&gt;"",J2490/MAX(J$3:J2490)-1,"")</f>
        <v/>
      </c>
      <c r="N2490" s="9" t="str">
        <f>IF(G2490&lt;&gt;"",K2490/MAX(K$3:K2490)-1,"")</f>
        <v/>
      </c>
      <c r="O2490" s="16" t="str">
        <f t="shared" si="365"/>
        <v/>
      </c>
      <c r="P2490" s="16" t="str">
        <f t="shared" si="365"/>
        <v/>
      </c>
      <c r="Q2490" s="16" t="str">
        <f t="shared" si="365"/>
        <v/>
      </c>
      <c r="R2490" s="5" t="str">
        <f t="shared" si="364"/>
        <v/>
      </c>
      <c r="S2490" s="5" t="str">
        <f t="shared" si="368"/>
        <v/>
      </c>
      <c r="T2490" s="5" t="str">
        <f t="shared" si="373"/>
        <v/>
      </c>
      <c r="U2490" s="5" t="str">
        <f t="shared" si="373"/>
        <v/>
      </c>
    </row>
    <row r="2491" spans="7:21" x14ac:dyDescent="0.2">
      <c r="G2491" s="8"/>
      <c r="H2491" s="5"/>
      <c r="J2491" s="10" t="str">
        <f t="shared" si="366"/>
        <v/>
      </c>
      <c r="K2491" s="10" t="str">
        <f t="shared" si="367"/>
        <v/>
      </c>
      <c r="L2491" s="11" t="str">
        <f t="shared" si="369"/>
        <v/>
      </c>
      <c r="M2491" s="9" t="str">
        <f>IF(G2491&lt;&gt;"",J2491/MAX(J$3:J2491)-1,"")</f>
        <v/>
      </c>
      <c r="N2491" s="9" t="str">
        <f>IF(G2491&lt;&gt;"",K2491/MAX(K$3:K2491)-1,"")</f>
        <v/>
      </c>
      <c r="O2491" s="16" t="str">
        <f t="shared" si="365"/>
        <v/>
      </c>
      <c r="P2491" s="16" t="str">
        <f t="shared" si="365"/>
        <v/>
      </c>
      <c r="Q2491" s="16" t="str">
        <f t="shared" si="365"/>
        <v/>
      </c>
      <c r="R2491" s="5" t="str">
        <f t="shared" si="364"/>
        <v/>
      </c>
      <c r="S2491" s="5" t="str">
        <f t="shared" si="368"/>
        <v/>
      </c>
      <c r="T2491" s="5" t="str">
        <f t="shared" si="373"/>
        <v/>
      </c>
      <c r="U2491" s="5" t="str">
        <f t="shared" si="373"/>
        <v/>
      </c>
    </row>
    <row r="2492" spans="7:21" x14ac:dyDescent="0.2">
      <c r="G2492" s="8"/>
      <c r="H2492" s="5"/>
      <c r="J2492" s="10" t="str">
        <f t="shared" si="366"/>
        <v/>
      </c>
      <c r="K2492" s="10" t="str">
        <f t="shared" si="367"/>
        <v/>
      </c>
      <c r="L2492" s="11" t="str">
        <f t="shared" si="369"/>
        <v/>
      </c>
      <c r="M2492" s="9" t="str">
        <f>IF(G2492&lt;&gt;"",J2492/MAX(J$3:J2492)-1,"")</f>
        <v/>
      </c>
      <c r="N2492" s="9" t="str">
        <f>IF(G2492&lt;&gt;"",K2492/MAX(K$3:K2492)-1,"")</f>
        <v/>
      </c>
      <c r="O2492" s="16" t="str">
        <f t="shared" si="365"/>
        <v/>
      </c>
      <c r="P2492" s="16" t="str">
        <f t="shared" si="365"/>
        <v/>
      </c>
      <c r="Q2492" s="16" t="str">
        <f t="shared" si="365"/>
        <v/>
      </c>
      <c r="R2492" s="5" t="str">
        <f t="shared" si="364"/>
        <v/>
      </c>
      <c r="S2492" s="5" t="str">
        <f t="shared" si="368"/>
        <v/>
      </c>
      <c r="T2492" s="5" t="str">
        <f t="shared" si="373"/>
        <v/>
      </c>
      <c r="U2492" s="5" t="str">
        <f t="shared" si="373"/>
        <v/>
      </c>
    </row>
    <row r="2493" spans="7:21" x14ac:dyDescent="0.2">
      <c r="G2493" s="8"/>
      <c r="H2493" s="5"/>
      <c r="J2493" s="10" t="str">
        <f t="shared" si="366"/>
        <v/>
      </c>
      <c r="K2493" s="10" t="str">
        <f t="shared" si="367"/>
        <v/>
      </c>
      <c r="L2493" s="11" t="str">
        <f t="shared" si="369"/>
        <v/>
      </c>
      <c r="M2493" s="9" t="str">
        <f>IF(G2493&lt;&gt;"",J2493/MAX(J$3:J2493)-1,"")</f>
        <v/>
      </c>
      <c r="N2493" s="9" t="str">
        <f>IF(G2493&lt;&gt;"",K2493/MAX(K$3:K2493)-1,"")</f>
        <v/>
      </c>
      <c r="O2493" s="16" t="str">
        <f t="shared" si="365"/>
        <v/>
      </c>
      <c r="P2493" s="16" t="str">
        <f t="shared" si="365"/>
        <v/>
      </c>
      <c r="Q2493" s="16" t="str">
        <f t="shared" si="365"/>
        <v/>
      </c>
      <c r="R2493" s="5" t="str">
        <f t="shared" ref="R2493:R2556" si="374">IF(G2493&lt;&gt;"",_xlfn.STDEV.S(Q2372:Q2493)*SQRT($B$5),"")</f>
        <v/>
      </c>
      <c r="S2493" s="5" t="str">
        <f t="shared" si="368"/>
        <v/>
      </c>
      <c r="T2493" s="5" t="str">
        <f t="shared" si="373"/>
        <v/>
      </c>
      <c r="U2493" s="5" t="str">
        <f t="shared" si="373"/>
        <v/>
      </c>
    </row>
    <row r="2494" spans="7:21" x14ac:dyDescent="0.2">
      <c r="G2494" s="8"/>
      <c r="H2494" s="5"/>
      <c r="J2494" s="10" t="str">
        <f t="shared" si="366"/>
        <v/>
      </c>
      <c r="K2494" s="10" t="str">
        <f t="shared" si="367"/>
        <v/>
      </c>
      <c r="L2494" s="11" t="str">
        <f t="shared" si="369"/>
        <v/>
      </c>
      <c r="M2494" s="9" t="str">
        <f>IF(G2494&lt;&gt;"",J2494/MAX(J$3:J2494)-1,"")</f>
        <v/>
      </c>
      <c r="N2494" s="9" t="str">
        <f>IF(G2494&lt;&gt;"",K2494/MAX(K$3:K2494)-1,"")</f>
        <v/>
      </c>
      <c r="O2494" s="16" t="str">
        <f t="shared" si="365"/>
        <v/>
      </c>
      <c r="P2494" s="16" t="str">
        <f t="shared" si="365"/>
        <v/>
      </c>
      <c r="Q2494" s="16" t="str">
        <f t="shared" si="365"/>
        <v/>
      </c>
      <c r="R2494" s="5" t="str">
        <f t="shared" si="374"/>
        <v/>
      </c>
      <c r="S2494" s="5" t="str">
        <f t="shared" si="368"/>
        <v/>
      </c>
      <c r="T2494" s="5" t="str">
        <f t="shared" si="373"/>
        <v/>
      </c>
      <c r="U2494" s="5" t="str">
        <f t="shared" si="373"/>
        <v/>
      </c>
    </row>
    <row r="2495" spans="7:21" x14ac:dyDescent="0.2">
      <c r="G2495" s="8"/>
      <c r="H2495" s="5"/>
      <c r="J2495" s="10" t="str">
        <f t="shared" si="366"/>
        <v/>
      </c>
      <c r="K2495" s="10" t="str">
        <f t="shared" si="367"/>
        <v/>
      </c>
      <c r="L2495" s="11" t="str">
        <f t="shared" si="369"/>
        <v/>
      </c>
      <c r="M2495" s="9" t="str">
        <f>IF(G2495&lt;&gt;"",J2495/MAX(J$3:J2495)-1,"")</f>
        <v/>
      </c>
      <c r="N2495" s="9" t="str">
        <f>IF(G2495&lt;&gt;"",K2495/MAX(K$3:K2495)-1,"")</f>
        <v/>
      </c>
      <c r="O2495" s="16" t="str">
        <f t="shared" si="365"/>
        <v/>
      </c>
      <c r="P2495" s="16" t="str">
        <f t="shared" si="365"/>
        <v/>
      </c>
      <c r="Q2495" s="16" t="str">
        <f t="shared" si="365"/>
        <v/>
      </c>
      <c r="R2495" s="5" t="str">
        <f t="shared" si="374"/>
        <v/>
      </c>
      <c r="S2495" s="5" t="str">
        <f t="shared" si="368"/>
        <v/>
      </c>
      <c r="T2495" s="5" t="str">
        <f t="shared" si="373"/>
        <v/>
      </c>
      <c r="U2495" s="5" t="str">
        <f t="shared" si="373"/>
        <v/>
      </c>
    </row>
    <row r="2496" spans="7:21" x14ac:dyDescent="0.2">
      <c r="G2496" s="8"/>
      <c r="H2496" s="5"/>
      <c r="J2496" s="10" t="str">
        <f t="shared" si="366"/>
        <v/>
      </c>
      <c r="K2496" s="10" t="str">
        <f t="shared" si="367"/>
        <v/>
      </c>
      <c r="L2496" s="11" t="str">
        <f t="shared" si="369"/>
        <v/>
      </c>
      <c r="M2496" s="9" t="str">
        <f>IF(G2496&lt;&gt;"",J2496/MAX(J$3:J2496)-1,"")</f>
        <v/>
      </c>
      <c r="N2496" s="9" t="str">
        <f>IF(G2496&lt;&gt;"",K2496/MAX(K$3:K2496)-1,"")</f>
        <v/>
      </c>
      <c r="O2496" s="16" t="str">
        <f t="shared" si="365"/>
        <v/>
      </c>
      <c r="P2496" s="16" t="str">
        <f t="shared" si="365"/>
        <v/>
      </c>
      <c r="Q2496" s="16" t="str">
        <f t="shared" si="365"/>
        <v/>
      </c>
      <c r="R2496" s="5" t="str">
        <f t="shared" si="374"/>
        <v/>
      </c>
      <c r="S2496" s="5" t="str">
        <f t="shared" si="368"/>
        <v/>
      </c>
      <c r="T2496" s="5" t="str">
        <f t="shared" si="373"/>
        <v/>
      </c>
      <c r="U2496" s="5" t="str">
        <f t="shared" si="373"/>
        <v/>
      </c>
    </row>
    <row r="2497" spans="7:21" x14ac:dyDescent="0.2">
      <c r="G2497" s="8"/>
      <c r="H2497" s="5"/>
      <c r="J2497" s="10" t="str">
        <f t="shared" si="366"/>
        <v/>
      </c>
      <c r="K2497" s="10" t="str">
        <f t="shared" si="367"/>
        <v/>
      </c>
      <c r="L2497" s="11" t="str">
        <f t="shared" si="369"/>
        <v/>
      </c>
      <c r="M2497" s="9" t="str">
        <f>IF(G2497&lt;&gt;"",J2497/MAX(J$3:J2497)-1,"")</f>
        <v/>
      </c>
      <c r="N2497" s="9" t="str">
        <f>IF(G2497&lt;&gt;"",K2497/MAX(K$3:K2497)-1,"")</f>
        <v/>
      </c>
      <c r="O2497" s="16" t="str">
        <f t="shared" si="365"/>
        <v/>
      </c>
      <c r="P2497" s="16" t="str">
        <f t="shared" si="365"/>
        <v/>
      </c>
      <c r="Q2497" s="16" t="str">
        <f t="shared" si="365"/>
        <v/>
      </c>
      <c r="R2497" s="5" t="str">
        <f t="shared" si="374"/>
        <v/>
      </c>
      <c r="S2497" s="5" t="str">
        <f t="shared" si="368"/>
        <v/>
      </c>
      <c r="T2497" s="5" t="str">
        <f t="shared" si="373"/>
        <v/>
      </c>
      <c r="U2497" s="5" t="str">
        <f t="shared" si="373"/>
        <v/>
      </c>
    </row>
    <row r="2498" spans="7:21" x14ac:dyDescent="0.2">
      <c r="G2498" s="8"/>
      <c r="H2498" s="5"/>
      <c r="J2498" s="10" t="str">
        <f t="shared" si="366"/>
        <v/>
      </c>
      <c r="K2498" s="10" t="str">
        <f t="shared" si="367"/>
        <v/>
      </c>
      <c r="L2498" s="11" t="str">
        <f t="shared" si="369"/>
        <v/>
      </c>
      <c r="M2498" s="9" t="str">
        <f>IF(G2498&lt;&gt;"",J2498/MAX(J$3:J2498)-1,"")</f>
        <v/>
      </c>
      <c r="N2498" s="9" t="str">
        <f>IF(G2498&lt;&gt;"",K2498/MAX(K$3:K2498)-1,"")</f>
        <v/>
      </c>
      <c r="O2498" s="16" t="str">
        <f t="shared" ref="O2498:Q2561" si="375">IF($G2498&lt;&gt;"",J2498/J2497-1,"")</f>
        <v/>
      </c>
      <c r="P2498" s="16" t="str">
        <f t="shared" si="375"/>
        <v/>
      </c>
      <c r="Q2498" s="16" t="str">
        <f t="shared" si="375"/>
        <v/>
      </c>
      <c r="R2498" s="5" t="str">
        <f t="shared" si="374"/>
        <v/>
      </c>
      <c r="S2498" s="5" t="str">
        <f t="shared" si="368"/>
        <v/>
      </c>
      <c r="T2498" s="5" t="str">
        <f t="shared" si="373"/>
        <v/>
      </c>
      <c r="U2498" s="5" t="str">
        <f t="shared" si="373"/>
        <v/>
      </c>
    </row>
    <row r="2499" spans="7:21" x14ac:dyDescent="0.2">
      <c r="G2499" s="8"/>
      <c r="H2499" s="5"/>
      <c r="J2499" s="10" t="str">
        <f t="shared" si="366"/>
        <v/>
      </c>
      <c r="K2499" s="10" t="str">
        <f t="shared" si="367"/>
        <v/>
      </c>
      <c r="L2499" s="11" t="str">
        <f t="shared" si="369"/>
        <v/>
      </c>
      <c r="M2499" s="9" t="str">
        <f>IF(G2499&lt;&gt;"",J2499/MAX(J$3:J2499)-1,"")</f>
        <v/>
      </c>
      <c r="N2499" s="9" t="str">
        <f>IF(G2499&lt;&gt;"",K2499/MAX(K$3:K2499)-1,"")</f>
        <v/>
      </c>
      <c r="O2499" s="16" t="str">
        <f t="shared" si="375"/>
        <v/>
      </c>
      <c r="P2499" s="16" t="str">
        <f t="shared" si="375"/>
        <v/>
      </c>
      <c r="Q2499" s="16" t="str">
        <f t="shared" si="375"/>
        <v/>
      </c>
      <c r="R2499" s="5" t="str">
        <f t="shared" si="374"/>
        <v/>
      </c>
      <c r="S2499" s="5" t="str">
        <f t="shared" si="368"/>
        <v/>
      </c>
      <c r="T2499" s="5" t="str">
        <f t="shared" si="373"/>
        <v/>
      </c>
      <c r="U2499" s="5" t="str">
        <f t="shared" si="373"/>
        <v/>
      </c>
    </row>
    <row r="2500" spans="7:21" x14ac:dyDescent="0.2">
      <c r="G2500" s="8"/>
      <c r="H2500" s="5"/>
      <c r="J2500" s="10" t="str">
        <f t="shared" ref="J2500:J2563" si="376">IF(G2500&lt;&gt;"",1+H2500,"")</f>
        <v/>
      </c>
      <c r="K2500" s="10" t="str">
        <f t="shared" ref="K2500:K2563" si="377">IF(G2500&lt;&gt;"",1+I2500,"")</f>
        <v/>
      </c>
      <c r="L2500" s="11" t="str">
        <f t="shared" si="369"/>
        <v/>
      </c>
      <c r="M2500" s="9" t="str">
        <f>IF(G2500&lt;&gt;"",J2500/MAX(J$3:J2500)-1,"")</f>
        <v/>
      </c>
      <c r="N2500" s="9" t="str">
        <f>IF(G2500&lt;&gt;"",K2500/MAX(K$3:K2500)-1,"")</f>
        <v/>
      </c>
      <c r="O2500" s="16" t="str">
        <f t="shared" si="375"/>
        <v/>
      </c>
      <c r="P2500" s="16" t="str">
        <f t="shared" si="375"/>
        <v/>
      </c>
      <c r="Q2500" s="16" t="str">
        <f t="shared" si="375"/>
        <v/>
      </c>
      <c r="R2500" s="5" t="str">
        <f t="shared" si="374"/>
        <v/>
      </c>
      <c r="S2500" s="5" t="str">
        <f t="shared" ref="S2500:S2563" si="378">IF(R2500&lt;&gt;"",B$12,"")</f>
        <v/>
      </c>
      <c r="T2500" s="5" t="str">
        <f t="shared" si="373"/>
        <v/>
      </c>
      <c r="U2500" s="5" t="str">
        <f t="shared" si="373"/>
        <v/>
      </c>
    </row>
    <row r="2501" spans="7:21" x14ac:dyDescent="0.2">
      <c r="G2501" s="8"/>
      <c r="H2501" s="5"/>
      <c r="J2501" s="10" t="str">
        <f t="shared" si="376"/>
        <v/>
      </c>
      <c r="K2501" s="10" t="str">
        <f t="shared" si="377"/>
        <v/>
      </c>
      <c r="L2501" s="11" t="str">
        <f t="shared" ref="L2501:L2564" si="379">IF(G2501&lt;&gt;"",J2501/K2501,"")</f>
        <v/>
      </c>
      <c r="M2501" s="9" t="str">
        <f>IF(G2501&lt;&gt;"",J2501/MAX(J$3:J2501)-1,"")</f>
        <v/>
      </c>
      <c r="N2501" s="9" t="str">
        <f>IF(G2501&lt;&gt;"",K2501/MAX(K$3:K2501)-1,"")</f>
        <v/>
      </c>
      <c r="O2501" s="16" t="str">
        <f t="shared" si="375"/>
        <v/>
      </c>
      <c r="P2501" s="16" t="str">
        <f t="shared" si="375"/>
        <v/>
      </c>
      <c r="Q2501" s="16" t="str">
        <f t="shared" si="375"/>
        <v/>
      </c>
      <c r="R2501" s="5" t="str">
        <f t="shared" si="374"/>
        <v/>
      </c>
      <c r="S2501" s="5" t="str">
        <f t="shared" si="378"/>
        <v/>
      </c>
      <c r="T2501" s="5" t="str">
        <f t="shared" si="373"/>
        <v/>
      </c>
      <c r="U2501" s="5" t="str">
        <f t="shared" si="373"/>
        <v/>
      </c>
    </row>
    <row r="2502" spans="7:21" x14ac:dyDescent="0.2">
      <c r="G2502" s="8"/>
      <c r="H2502" s="5"/>
      <c r="J2502" s="10" t="str">
        <f t="shared" si="376"/>
        <v/>
      </c>
      <c r="K2502" s="10" t="str">
        <f t="shared" si="377"/>
        <v/>
      </c>
      <c r="L2502" s="11" t="str">
        <f t="shared" si="379"/>
        <v/>
      </c>
      <c r="M2502" s="9" t="str">
        <f>IF(G2502&lt;&gt;"",J2502/MAX(J$3:J2502)-1,"")</f>
        <v/>
      </c>
      <c r="N2502" s="9" t="str">
        <f>IF(G2502&lt;&gt;"",K2502/MAX(K$3:K2502)-1,"")</f>
        <v/>
      </c>
      <c r="O2502" s="16" t="str">
        <f t="shared" si="375"/>
        <v/>
      </c>
      <c r="P2502" s="16" t="str">
        <f t="shared" si="375"/>
        <v/>
      </c>
      <c r="Q2502" s="16" t="str">
        <f t="shared" si="375"/>
        <v/>
      </c>
      <c r="R2502" s="5" t="str">
        <f t="shared" si="374"/>
        <v/>
      </c>
      <c r="S2502" s="5" t="str">
        <f t="shared" si="378"/>
        <v/>
      </c>
      <c r="T2502" s="5" t="str">
        <f t="shared" si="373"/>
        <v/>
      </c>
      <c r="U2502" s="5" t="str">
        <f t="shared" si="373"/>
        <v/>
      </c>
    </row>
    <row r="2503" spans="7:21" x14ac:dyDescent="0.2">
      <c r="G2503" s="8"/>
      <c r="H2503" s="5"/>
      <c r="J2503" s="10" t="str">
        <f t="shared" si="376"/>
        <v/>
      </c>
      <c r="K2503" s="10" t="str">
        <f t="shared" si="377"/>
        <v/>
      </c>
      <c r="L2503" s="11" t="str">
        <f t="shared" si="379"/>
        <v/>
      </c>
      <c r="M2503" s="9" t="str">
        <f>IF(G2503&lt;&gt;"",J2503/MAX(J$3:J2503)-1,"")</f>
        <v/>
      </c>
      <c r="N2503" s="9" t="str">
        <f>IF(G2503&lt;&gt;"",K2503/MAX(K$3:K2503)-1,"")</f>
        <v/>
      </c>
      <c r="O2503" s="16" t="str">
        <f t="shared" si="375"/>
        <v/>
      </c>
      <c r="P2503" s="16" t="str">
        <f t="shared" si="375"/>
        <v/>
      </c>
      <c r="Q2503" s="16" t="str">
        <f t="shared" si="375"/>
        <v/>
      </c>
      <c r="R2503" s="5" t="str">
        <f t="shared" si="374"/>
        <v/>
      </c>
      <c r="S2503" s="5" t="str">
        <f t="shared" si="378"/>
        <v/>
      </c>
      <c r="T2503" s="5" t="str">
        <f t="shared" si="373"/>
        <v/>
      </c>
      <c r="U2503" s="5" t="str">
        <f t="shared" si="373"/>
        <v/>
      </c>
    </row>
    <row r="2504" spans="7:21" x14ac:dyDescent="0.2">
      <c r="G2504" s="8"/>
      <c r="H2504" s="5"/>
      <c r="J2504" s="10" t="str">
        <f t="shared" si="376"/>
        <v/>
      </c>
      <c r="K2504" s="10" t="str">
        <f t="shared" si="377"/>
        <v/>
      </c>
      <c r="L2504" s="11" t="str">
        <f t="shared" si="379"/>
        <v/>
      </c>
      <c r="M2504" s="9" t="str">
        <f>IF(G2504&lt;&gt;"",J2504/MAX(J$3:J2504)-1,"")</f>
        <v/>
      </c>
      <c r="N2504" s="9" t="str">
        <f>IF(G2504&lt;&gt;"",K2504/MAX(K$3:K2504)-1,"")</f>
        <v/>
      </c>
      <c r="O2504" s="16" t="str">
        <f t="shared" si="375"/>
        <v/>
      </c>
      <c r="P2504" s="16" t="str">
        <f t="shared" si="375"/>
        <v/>
      </c>
      <c r="Q2504" s="16" t="str">
        <f t="shared" si="375"/>
        <v/>
      </c>
      <c r="R2504" s="5" t="str">
        <f t="shared" si="374"/>
        <v/>
      </c>
      <c r="S2504" s="5" t="str">
        <f t="shared" si="378"/>
        <v/>
      </c>
      <c r="T2504" s="5" t="str">
        <f t="shared" ref="T2504:U2519" si="380">IF($G2504&lt;&gt;"",_xlfn.STDEV.S(O2260:O2504),"")</f>
        <v/>
      </c>
      <c r="U2504" s="5" t="str">
        <f t="shared" si="380"/>
        <v/>
      </c>
    </row>
    <row r="2505" spans="7:21" x14ac:dyDescent="0.2">
      <c r="G2505" s="8"/>
      <c r="H2505" s="5"/>
      <c r="J2505" s="10" t="str">
        <f t="shared" si="376"/>
        <v/>
      </c>
      <c r="K2505" s="10" t="str">
        <f t="shared" si="377"/>
        <v/>
      </c>
      <c r="L2505" s="11" t="str">
        <f t="shared" si="379"/>
        <v/>
      </c>
      <c r="M2505" s="9" t="str">
        <f>IF(G2505&lt;&gt;"",J2505/MAX(J$3:J2505)-1,"")</f>
        <v/>
      </c>
      <c r="N2505" s="9" t="str">
        <f>IF(G2505&lt;&gt;"",K2505/MAX(K$3:K2505)-1,"")</f>
        <v/>
      </c>
      <c r="O2505" s="16" t="str">
        <f t="shared" si="375"/>
        <v/>
      </c>
      <c r="P2505" s="16" t="str">
        <f t="shared" si="375"/>
        <v/>
      </c>
      <c r="Q2505" s="16" t="str">
        <f t="shared" si="375"/>
        <v/>
      </c>
      <c r="R2505" s="5" t="str">
        <f t="shared" si="374"/>
        <v/>
      </c>
      <c r="S2505" s="5" t="str">
        <f t="shared" si="378"/>
        <v/>
      </c>
      <c r="T2505" s="5" t="str">
        <f t="shared" si="380"/>
        <v/>
      </c>
      <c r="U2505" s="5" t="str">
        <f t="shared" si="380"/>
        <v/>
      </c>
    </row>
    <row r="2506" spans="7:21" x14ac:dyDescent="0.2">
      <c r="G2506" s="8"/>
      <c r="H2506" s="5"/>
      <c r="J2506" s="10" t="str">
        <f t="shared" si="376"/>
        <v/>
      </c>
      <c r="K2506" s="10" t="str">
        <f t="shared" si="377"/>
        <v/>
      </c>
      <c r="L2506" s="11" t="str">
        <f t="shared" si="379"/>
        <v/>
      </c>
      <c r="M2506" s="9" t="str">
        <f>IF(G2506&lt;&gt;"",J2506/MAX(J$3:J2506)-1,"")</f>
        <v/>
      </c>
      <c r="N2506" s="9" t="str">
        <f>IF(G2506&lt;&gt;"",K2506/MAX(K$3:K2506)-1,"")</f>
        <v/>
      </c>
      <c r="O2506" s="16" t="str">
        <f t="shared" si="375"/>
        <v/>
      </c>
      <c r="P2506" s="16" t="str">
        <f t="shared" si="375"/>
        <v/>
      </c>
      <c r="Q2506" s="16" t="str">
        <f t="shared" si="375"/>
        <v/>
      </c>
      <c r="R2506" s="5" t="str">
        <f t="shared" si="374"/>
        <v/>
      </c>
      <c r="S2506" s="5" t="str">
        <f t="shared" si="378"/>
        <v/>
      </c>
      <c r="T2506" s="5" t="str">
        <f t="shared" si="380"/>
        <v/>
      </c>
      <c r="U2506" s="5" t="str">
        <f t="shared" si="380"/>
        <v/>
      </c>
    </row>
    <row r="2507" spans="7:21" x14ac:dyDescent="0.2">
      <c r="G2507" s="8"/>
      <c r="H2507" s="5"/>
      <c r="J2507" s="10" t="str">
        <f t="shared" si="376"/>
        <v/>
      </c>
      <c r="K2507" s="10" t="str">
        <f t="shared" si="377"/>
        <v/>
      </c>
      <c r="L2507" s="11" t="str">
        <f t="shared" si="379"/>
        <v/>
      </c>
      <c r="M2507" s="9" t="str">
        <f>IF(G2507&lt;&gt;"",J2507/MAX(J$3:J2507)-1,"")</f>
        <v/>
      </c>
      <c r="N2507" s="9" t="str">
        <f>IF(G2507&lt;&gt;"",K2507/MAX(K$3:K2507)-1,"")</f>
        <v/>
      </c>
      <c r="O2507" s="16" t="str">
        <f t="shared" si="375"/>
        <v/>
      </c>
      <c r="P2507" s="16" t="str">
        <f t="shared" si="375"/>
        <v/>
      </c>
      <c r="Q2507" s="16" t="str">
        <f t="shared" si="375"/>
        <v/>
      </c>
      <c r="R2507" s="5" t="str">
        <f t="shared" si="374"/>
        <v/>
      </c>
      <c r="S2507" s="5" t="str">
        <f t="shared" si="378"/>
        <v/>
      </c>
      <c r="T2507" s="5" t="str">
        <f t="shared" si="380"/>
        <v/>
      </c>
      <c r="U2507" s="5" t="str">
        <f t="shared" si="380"/>
        <v/>
      </c>
    </row>
    <row r="2508" spans="7:21" x14ac:dyDescent="0.2">
      <c r="G2508" s="8"/>
      <c r="H2508" s="5"/>
      <c r="J2508" s="10" t="str">
        <f t="shared" si="376"/>
        <v/>
      </c>
      <c r="K2508" s="10" t="str">
        <f t="shared" si="377"/>
        <v/>
      </c>
      <c r="L2508" s="11" t="str">
        <f t="shared" si="379"/>
        <v/>
      </c>
      <c r="M2508" s="9" t="str">
        <f>IF(G2508&lt;&gt;"",J2508/MAX(J$3:J2508)-1,"")</f>
        <v/>
      </c>
      <c r="N2508" s="9" t="str">
        <f>IF(G2508&lt;&gt;"",K2508/MAX(K$3:K2508)-1,"")</f>
        <v/>
      </c>
      <c r="O2508" s="16" t="str">
        <f t="shared" si="375"/>
        <v/>
      </c>
      <c r="P2508" s="16" t="str">
        <f t="shared" si="375"/>
        <v/>
      </c>
      <c r="Q2508" s="16" t="str">
        <f t="shared" si="375"/>
        <v/>
      </c>
      <c r="R2508" s="5" t="str">
        <f t="shared" si="374"/>
        <v/>
      </c>
      <c r="S2508" s="5" t="str">
        <f t="shared" si="378"/>
        <v/>
      </c>
      <c r="T2508" s="5" t="str">
        <f t="shared" si="380"/>
        <v/>
      </c>
      <c r="U2508" s="5" t="str">
        <f t="shared" si="380"/>
        <v/>
      </c>
    </row>
    <row r="2509" spans="7:21" x14ac:dyDescent="0.2">
      <c r="G2509" s="8"/>
      <c r="H2509" s="5"/>
      <c r="J2509" s="10" t="str">
        <f t="shared" si="376"/>
        <v/>
      </c>
      <c r="K2509" s="10" t="str">
        <f t="shared" si="377"/>
        <v/>
      </c>
      <c r="L2509" s="11" t="str">
        <f t="shared" si="379"/>
        <v/>
      </c>
      <c r="M2509" s="9" t="str">
        <f>IF(G2509&lt;&gt;"",J2509/MAX(J$3:J2509)-1,"")</f>
        <v/>
      </c>
      <c r="N2509" s="9" t="str">
        <f>IF(G2509&lt;&gt;"",K2509/MAX(K$3:K2509)-1,"")</f>
        <v/>
      </c>
      <c r="O2509" s="16" t="str">
        <f t="shared" si="375"/>
        <v/>
      </c>
      <c r="P2509" s="16" t="str">
        <f t="shared" si="375"/>
        <v/>
      </c>
      <c r="Q2509" s="16" t="str">
        <f t="shared" si="375"/>
        <v/>
      </c>
      <c r="R2509" s="5" t="str">
        <f t="shared" si="374"/>
        <v/>
      </c>
      <c r="S2509" s="5" t="str">
        <f t="shared" si="378"/>
        <v/>
      </c>
      <c r="T2509" s="5" t="str">
        <f t="shared" si="380"/>
        <v/>
      </c>
      <c r="U2509" s="5" t="str">
        <f t="shared" si="380"/>
        <v/>
      </c>
    </row>
    <row r="2510" spans="7:21" x14ac:dyDescent="0.2">
      <c r="G2510" s="8"/>
      <c r="H2510" s="5"/>
      <c r="J2510" s="10" t="str">
        <f t="shared" si="376"/>
        <v/>
      </c>
      <c r="K2510" s="10" t="str">
        <f t="shared" si="377"/>
        <v/>
      </c>
      <c r="L2510" s="11" t="str">
        <f t="shared" si="379"/>
        <v/>
      </c>
      <c r="M2510" s="9" t="str">
        <f>IF(G2510&lt;&gt;"",J2510/MAX(J$3:J2510)-1,"")</f>
        <v/>
      </c>
      <c r="N2510" s="9" t="str">
        <f>IF(G2510&lt;&gt;"",K2510/MAX(K$3:K2510)-1,"")</f>
        <v/>
      </c>
      <c r="O2510" s="16" t="str">
        <f t="shared" si="375"/>
        <v/>
      </c>
      <c r="P2510" s="16" t="str">
        <f t="shared" si="375"/>
        <v/>
      </c>
      <c r="Q2510" s="16" t="str">
        <f t="shared" si="375"/>
        <v/>
      </c>
      <c r="R2510" s="5" t="str">
        <f t="shared" si="374"/>
        <v/>
      </c>
      <c r="S2510" s="5" t="str">
        <f t="shared" si="378"/>
        <v/>
      </c>
      <c r="T2510" s="5" t="str">
        <f t="shared" si="380"/>
        <v/>
      </c>
      <c r="U2510" s="5" t="str">
        <f t="shared" si="380"/>
        <v/>
      </c>
    </row>
    <row r="2511" spans="7:21" x14ac:dyDescent="0.2">
      <c r="G2511" s="8"/>
      <c r="H2511" s="5"/>
      <c r="J2511" s="10" t="str">
        <f t="shared" si="376"/>
        <v/>
      </c>
      <c r="K2511" s="10" t="str">
        <f t="shared" si="377"/>
        <v/>
      </c>
      <c r="L2511" s="11" t="str">
        <f t="shared" si="379"/>
        <v/>
      </c>
      <c r="M2511" s="9" t="str">
        <f>IF(G2511&lt;&gt;"",J2511/MAX(J$3:J2511)-1,"")</f>
        <v/>
      </c>
      <c r="N2511" s="9" t="str">
        <f>IF(G2511&lt;&gt;"",K2511/MAX(K$3:K2511)-1,"")</f>
        <v/>
      </c>
      <c r="O2511" s="16" t="str">
        <f t="shared" si="375"/>
        <v/>
      </c>
      <c r="P2511" s="16" t="str">
        <f t="shared" si="375"/>
        <v/>
      </c>
      <c r="Q2511" s="16" t="str">
        <f t="shared" si="375"/>
        <v/>
      </c>
      <c r="R2511" s="5" t="str">
        <f t="shared" si="374"/>
        <v/>
      </c>
      <c r="S2511" s="5" t="str">
        <f t="shared" si="378"/>
        <v/>
      </c>
      <c r="T2511" s="5" t="str">
        <f t="shared" si="380"/>
        <v/>
      </c>
      <c r="U2511" s="5" t="str">
        <f t="shared" si="380"/>
        <v/>
      </c>
    </row>
    <row r="2512" spans="7:21" x14ac:dyDescent="0.2">
      <c r="G2512" s="8"/>
      <c r="H2512" s="5"/>
      <c r="J2512" s="10" t="str">
        <f t="shared" si="376"/>
        <v/>
      </c>
      <c r="K2512" s="10" t="str">
        <f t="shared" si="377"/>
        <v/>
      </c>
      <c r="L2512" s="11" t="str">
        <f t="shared" si="379"/>
        <v/>
      </c>
      <c r="M2512" s="9" t="str">
        <f>IF(G2512&lt;&gt;"",J2512/MAX(J$3:J2512)-1,"")</f>
        <v/>
      </c>
      <c r="N2512" s="9" t="str">
        <f>IF(G2512&lt;&gt;"",K2512/MAX(K$3:K2512)-1,"")</f>
        <v/>
      </c>
      <c r="O2512" s="16" t="str">
        <f t="shared" si="375"/>
        <v/>
      </c>
      <c r="P2512" s="16" t="str">
        <f t="shared" si="375"/>
        <v/>
      </c>
      <c r="Q2512" s="16" t="str">
        <f t="shared" si="375"/>
        <v/>
      </c>
      <c r="R2512" s="5" t="str">
        <f t="shared" si="374"/>
        <v/>
      </c>
      <c r="S2512" s="5" t="str">
        <f t="shared" si="378"/>
        <v/>
      </c>
      <c r="T2512" s="5" t="str">
        <f t="shared" si="380"/>
        <v/>
      </c>
      <c r="U2512" s="5" t="str">
        <f t="shared" si="380"/>
        <v/>
      </c>
    </row>
    <row r="2513" spans="7:21" x14ac:dyDescent="0.2">
      <c r="G2513" s="8"/>
      <c r="H2513" s="5"/>
      <c r="J2513" s="10" t="str">
        <f t="shared" si="376"/>
        <v/>
      </c>
      <c r="K2513" s="10" t="str">
        <f t="shared" si="377"/>
        <v/>
      </c>
      <c r="L2513" s="11" t="str">
        <f t="shared" si="379"/>
        <v/>
      </c>
      <c r="M2513" s="9" t="str">
        <f>IF(G2513&lt;&gt;"",J2513/MAX(J$3:J2513)-1,"")</f>
        <v/>
      </c>
      <c r="N2513" s="9" t="str">
        <f>IF(G2513&lt;&gt;"",K2513/MAX(K$3:K2513)-1,"")</f>
        <v/>
      </c>
      <c r="O2513" s="16" t="str">
        <f t="shared" si="375"/>
        <v/>
      </c>
      <c r="P2513" s="16" t="str">
        <f t="shared" si="375"/>
        <v/>
      </c>
      <c r="Q2513" s="16" t="str">
        <f t="shared" si="375"/>
        <v/>
      </c>
      <c r="R2513" s="5" t="str">
        <f t="shared" si="374"/>
        <v/>
      </c>
      <c r="S2513" s="5" t="str">
        <f t="shared" si="378"/>
        <v/>
      </c>
      <c r="T2513" s="5" t="str">
        <f t="shared" si="380"/>
        <v/>
      </c>
      <c r="U2513" s="5" t="str">
        <f t="shared" si="380"/>
        <v/>
      </c>
    </row>
    <row r="2514" spans="7:21" x14ac:dyDescent="0.2">
      <c r="G2514" s="8"/>
      <c r="H2514" s="5"/>
      <c r="J2514" s="10" t="str">
        <f t="shared" si="376"/>
        <v/>
      </c>
      <c r="K2514" s="10" t="str">
        <f t="shared" si="377"/>
        <v/>
      </c>
      <c r="L2514" s="11" t="str">
        <f t="shared" si="379"/>
        <v/>
      </c>
      <c r="M2514" s="9" t="str">
        <f>IF(G2514&lt;&gt;"",J2514/MAX(J$3:J2514)-1,"")</f>
        <v/>
      </c>
      <c r="N2514" s="9" t="str">
        <f>IF(G2514&lt;&gt;"",K2514/MAX(K$3:K2514)-1,"")</f>
        <v/>
      </c>
      <c r="O2514" s="16" t="str">
        <f t="shared" si="375"/>
        <v/>
      </c>
      <c r="P2514" s="16" t="str">
        <f t="shared" si="375"/>
        <v/>
      </c>
      <c r="Q2514" s="16" t="str">
        <f t="shared" si="375"/>
        <v/>
      </c>
      <c r="R2514" s="5" t="str">
        <f t="shared" si="374"/>
        <v/>
      </c>
      <c r="S2514" s="5" t="str">
        <f t="shared" si="378"/>
        <v/>
      </c>
      <c r="T2514" s="5" t="str">
        <f t="shared" si="380"/>
        <v/>
      </c>
      <c r="U2514" s="5" t="str">
        <f t="shared" si="380"/>
        <v/>
      </c>
    </row>
    <row r="2515" spans="7:21" x14ac:dyDescent="0.2">
      <c r="G2515" s="8"/>
      <c r="H2515" s="5"/>
      <c r="J2515" s="10" t="str">
        <f t="shared" si="376"/>
        <v/>
      </c>
      <c r="K2515" s="10" t="str">
        <f t="shared" si="377"/>
        <v/>
      </c>
      <c r="L2515" s="11" t="str">
        <f t="shared" si="379"/>
        <v/>
      </c>
      <c r="M2515" s="9" t="str">
        <f>IF(G2515&lt;&gt;"",J2515/MAX(J$3:J2515)-1,"")</f>
        <v/>
      </c>
      <c r="N2515" s="9" t="str">
        <f>IF(G2515&lt;&gt;"",K2515/MAX(K$3:K2515)-1,"")</f>
        <v/>
      </c>
      <c r="O2515" s="16" t="str">
        <f t="shared" si="375"/>
        <v/>
      </c>
      <c r="P2515" s="16" t="str">
        <f t="shared" si="375"/>
        <v/>
      </c>
      <c r="Q2515" s="16" t="str">
        <f t="shared" si="375"/>
        <v/>
      </c>
      <c r="R2515" s="5" t="str">
        <f t="shared" si="374"/>
        <v/>
      </c>
      <c r="S2515" s="5" t="str">
        <f t="shared" si="378"/>
        <v/>
      </c>
      <c r="T2515" s="5" t="str">
        <f t="shared" si="380"/>
        <v/>
      </c>
      <c r="U2515" s="5" t="str">
        <f t="shared" si="380"/>
        <v/>
      </c>
    </row>
    <row r="2516" spans="7:21" x14ac:dyDescent="0.2">
      <c r="G2516" s="8"/>
      <c r="H2516" s="5"/>
      <c r="J2516" s="10" t="str">
        <f t="shared" si="376"/>
        <v/>
      </c>
      <c r="K2516" s="10" t="str">
        <f t="shared" si="377"/>
        <v/>
      </c>
      <c r="L2516" s="11" t="str">
        <f t="shared" si="379"/>
        <v/>
      </c>
      <c r="M2516" s="9" t="str">
        <f>IF(G2516&lt;&gt;"",J2516/MAX(J$3:J2516)-1,"")</f>
        <v/>
      </c>
      <c r="N2516" s="9" t="str">
        <f>IF(G2516&lt;&gt;"",K2516/MAX(K$3:K2516)-1,"")</f>
        <v/>
      </c>
      <c r="O2516" s="16" t="str">
        <f t="shared" si="375"/>
        <v/>
      </c>
      <c r="P2516" s="16" t="str">
        <f t="shared" si="375"/>
        <v/>
      </c>
      <c r="Q2516" s="16" t="str">
        <f t="shared" si="375"/>
        <v/>
      </c>
      <c r="R2516" s="5" t="str">
        <f t="shared" si="374"/>
        <v/>
      </c>
      <c r="S2516" s="5" t="str">
        <f t="shared" si="378"/>
        <v/>
      </c>
      <c r="T2516" s="5" t="str">
        <f t="shared" si="380"/>
        <v/>
      </c>
      <c r="U2516" s="5" t="str">
        <f t="shared" si="380"/>
        <v/>
      </c>
    </row>
    <row r="2517" spans="7:21" x14ac:dyDescent="0.2">
      <c r="G2517" s="8"/>
      <c r="H2517" s="5"/>
      <c r="J2517" s="10" t="str">
        <f t="shared" si="376"/>
        <v/>
      </c>
      <c r="K2517" s="10" t="str">
        <f t="shared" si="377"/>
        <v/>
      </c>
      <c r="L2517" s="11" t="str">
        <f t="shared" si="379"/>
        <v/>
      </c>
      <c r="M2517" s="9" t="str">
        <f>IF(G2517&lt;&gt;"",J2517/MAX(J$3:J2517)-1,"")</f>
        <v/>
      </c>
      <c r="N2517" s="9" t="str">
        <f>IF(G2517&lt;&gt;"",K2517/MAX(K$3:K2517)-1,"")</f>
        <v/>
      </c>
      <c r="O2517" s="16" t="str">
        <f t="shared" si="375"/>
        <v/>
      </c>
      <c r="P2517" s="16" t="str">
        <f t="shared" si="375"/>
        <v/>
      </c>
      <c r="Q2517" s="16" t="str">
        <f t="shared" si="375"/>
        <v/>
      </c>
      <c r="R2517" s="5" t="str">
        <f t="shared" si="374"/>
        <v/>
      </c>
      <c r="S2517" s="5" t="str">
        <f t="shared" si="378"/>
        <v/>
      </c>
      <c r="T2517" s="5" t="str">
        <f t="shared" si="380"/>
        <v/>
      </c>
      <c r="U2517" s="5" t="str">
        <f t="shared" si="380"/>
        <v/>
      </c>
    </row>
    <row r="2518" spans="7:21" x14ac:dyDescent="0.2">
      <c r="G2518" s="8"/>
      <c r="H2518" s="5"/>
      <c r="J2518" s="10" t="str">
        <f t="shared" si="376"/>
        <v/>
      </c>
      <c r="K2518" s="10" t="str">
        <f t="shared" si="377"/>
        <v/>
      </c>
      <c r="L2518" s="11" t="str">
        <f t="shared" si="379"/>
        <v/>
      </c>
      <c r="M2518" s="9" t="str">
        <f>IF(G2518&lt;&gt;"",J2518/MAX(J$3:J2518)-1,"")</f>
        <v/>
      </c>
      <c r="N2518" s="9" t="str">
        <f>IF(G2518&lt;&gt;"",K2518/MAX(K$3:K2518)-1,"")</f>
        <v/>
      </c>
      <c r="O2518" s="16" t="str">
        <f t="shared" si="375"/>
        <v/>
      </c>
      <c r="P2518" s="16" t="str">
        <f t="shared" si="375"/>
        <v/>
      </c>
      <c r="Q2518" s="16" t="str">
        <f t="shared" si="375"/>
        <v/>
      </c>
      <c r="R2518" s="5" t="str">
        <f t="shared" si="374"/>
        <v/>
      </c>
      <c r="S2518" s="5" t="str">
        <f t="shared" si="378"/>
        <v/>
      </c>
      <c r="T2518" s="5" t="str">
        <f t="shared" si="380"/>
        <v/>
      </c>
      <c r="U2518" s="5" t="str">
        <f t="shared" si="380"/>
        <v/>
      </c>
    </row>
    <row r="2519" spans="7:21" x14ac:dyDescent="0.2">
      <c r="G2519" s="8"/>
      <c r="H2519" s="5"/>
      <c r="J2519" s="10" t="str">
        <f t="shared" si="376"/>
        <v/>
      </c>
      <c r="K2519" s="10" t="str">
        <f t="shared" si="377"/>
        <v/>
      </c>
      <c r="L2519" s="11" t="str">
        <f t="shared" si="379"/>
        <v/>
      </c>
      <c r="M2519" s="9" t="str">
        <f>IF(G2519&lt;&gt;"",J2519/MAX(J$3:J2519)-1,"")</f>
        <v/>
      </c>
      <c r="N2519" s="9" t="str">
        <f>IF(G2519&lt;&gt;"",K2519/MAX(K$3:K2519)-1,"")</f>
        <v/>
      </c>
      <c r="O2519" s="16" t="str">
        <f t="shared" si="375"/>
        <v/>
      </c>
      <c r="P2519" s="16" t="str">
        <f t="shared" si="375"/>
        <v/>
      </c>
      <c r="Q2519" s="16" t="str">
        <f t="shared" si="375"/>
        <v/>
      </c>
      <c r="R2519" s="5" t="str">
        <f t="shared" si="374"/>
        <v/>
      </c>
      <c r="S2519" s="5" t="str">
        <f t="shared" si="378"/>
        <v/>
      </c>
      <c r="T2519" s="5" t="str">
        <f t="shared" si="380"/>
        <v/>
      </c>
      <c r="U2519" s="5" t="str">
        <f t="shared" si="380"/>
        <v/>
      </c>
    </row>
    <row r="2520" spans="7:21" x14ac:dyDescent="0.2">
      <c r="G2520" s="8"/>
      <c r="H2520" s="5"/>
      <c r="J2520" s="10" t="str">
        <f t="shared" si="376"/>
        <v/>
      </c>
      <c r="K2520" s="10" t="str">
        <f t="shared" si="377"/>
        <v/>
      </c>
      <c r="L2520" s="11" t="str">
        <f t="shared" si="379"/>
        <v/>
      </c>
      <c r="M2520" s="9" t="str">
        <f>IF(G2520&lt;&gt;"",J2520/MAX(J$3:J2520)-1,"")</f>
        <v/>
      </c>
      <c r="N2520" s="9" t="str">
        <f>IF(G2520&lt;&gt;"",K2520/MAX(K$3:K2520)-1,"")</f>
        <v/>
      </c>
      <c r="O2520" s="16" t="str">
        <f t="shared" si="375"/>
        <v/>
      </c>
      <c r="P2520" s="16" t="str">
        <f t="shared" si="375"/>
        <v/>
      </c>
      <c r="Q2520" s="16" t="str">
        <f t="shared" si="375"/>
        <v/>
      </c>
      <c r="R2520" s="5" t="str">
        <f t="shared" si="374"/>
        <v/>
      </c>
      <c r="S2520" s="5" t="str">
        <f t="shared" si="378"/>
        <v/>
      </c>
      <c r="T2520" s="5" t="str">
        <f t="shared" ref="T2520:U2535" si="381">IF($G2520&lt;&gt;"",_xlfn.STDEV.S(O2276:O2520),"")</f>
        <v/>
      </c>
      <c r="U2520" s="5" t="str">
        <f t="shared" si="381"/>
        <v/>
      </c>
    </row>
    <row r="2521" spans="7:21" x14ac:dyDescent="0.2">
      <c r="G2521" s="8"/>
      <c r="H2521" s="5"/>
      <c r="J2521" s="10" t="str">
        <f t="shared" si="376"/>
        <v/>
      </c>
      <c r="K2521" s="10" t="str">
        <f t="shared" si="377"/>
        <v/>
      </c>
      <c r="L2521" s="11" t="str">
        <f t="shared" si="379"/>
        <v/>
      </c>
      <c r="M2521" s="9" t="str">
        <f>IF(G2521&lt;&gt;"",J2521/MAX(J$3:J2521)-1,"")</f>
        <v/>
      </c>
      <c r="N2521" s="9" t="str">
        <f>IF(G2521&lt;&gt;"",K2521/MAX(K$3:K2521)-1,"")</f>
        <v/>
      </c>
      <c r="O2521" s="16" t="str">
        <f t="shared" si="375"/>
        <v/>
      </c>
      <c r="P2521" s="16" t="str">
        <f t="shared" si="375"/>
        <v/>
      </c>
      <c r="Q2521" s="16" t="str">
        <f t="shared" si="375"/>
        <v/>
      </c>
      <c r="R2521" s="5" t="str">
        <f t="shared" si="374"/>
        <v/>
      </c>
      <c r="S2521" s="5" t="str">
        <f t="shared" si="378"/>
        <v/>
      </c>
      <c r="T2521" s="5" t="str">
        <f t="shared" si="381"/>
        <v/>
      </c>
      <c r="U2521" s="5" t="str">
        <f t="shared" si="381"/>
        <v/>
      </c>
    </row>
    <row r="2522" spans="7:21" x14ac:dyDescent="0.2">
      <c r="G2522" s="8"/>
      <c r="H2522" s="5"/>
      <c r="J2522" s="10" t="str">
        <f t="shared" si="376"/>
        <v/>
      </c>
      <c r="K2522" s="10" t="str">
        <f t="shared" si="377"/>
        <v/>
      </c>
      <c r="L2522" s="11" t="str">
        <f t="shared" si="379"/>
        <v/>
      </c>
      <c r="M2522" s="9" t="str">
        <f>IF(G2522&lt;&gt;"",J2522/MAX(J$3:J2522)-1,"")</f>
        <v/>
      </c>
      <c r="N2522" s="9" t="str">
        <f>IF(G2522&lt;&gt;"",K2522/MAX(K$3:K2522)-1,"")</f>
        <v/>
      </c>
      <c r="O2522" s="16" t="str">
        <f t="shared" si="375"/>
        <v/>
      </c>
      <c r="P2522" s="16" t="str">
        <f t="shared" si="375"/>
        <v/>
      </c>
      <c r="Q2522" s="16" t="str">
        <f t="shared" si="375"/>
        <v/>
      </c>
      <c r="R2522" s="5" t="str">
        <f t="shared" si="374"/>
        <v/>
      </c>
      <c r="S2522" s="5" t="str">
        <f t="shared" si="378"/>
        <v/>
      </c>
      <c r="T2522" s="5" t="str">
        <f t="shared" si="381"/>
        <v/>
      </c>
      <c r="U2522" s="5" t="str">
        <f t="shared" si="381"/>
        <v/>
      </c>
    </row>
    <row r="2523" spans="7:21" x14ac:dyDescent="0.2">
      <c r="G2523" s="8"/>
      <c r="H2523" s="5"/>
      <c r="J2523" s="10" t="str">
        <f t="shared" si="376"/>
        <v/>
      </c>
      <c r="K2523" s="10" t="str">
        <f t="shared" si="377"/>
        <v/>
      </c>
      <c r="L2523" s="11" t="str">
        <f t="shared" si="379"/>
        <v/>
      </c>
      <c r="M2523" s="9" t="str">
        <f>IF(G2523&lt;&gt;"",J2523/MAX(J$3:J2523)-1,"")</f>
        <v/>
      </c>
      <c r="N2523" s="9" t="str">
        <f>IF(G2523&lt;&gt;"",K2523/MAX(K$3:K2523)-1,"")</f>
        <v/>
      </c>
      <c r="O2523" s="16" t="str">
        <f t="shared" si="375"/>
        <v/>
      </c>
      <c r="P2523" s="16" t="str">
        <f t="shared" si="375"/>
        <v/>
      </c>
      <c r="Q2523" s="16" t="str">
        <f t="shared" si="375"/>
        <v/>
      </c>
      <c r="R2523" s="5" t="str">
        <f t="shared" si="374"/>
        <v/>
      </c>
      <c r="S2523" s="5" t="str">
        <f t="shared" si="378"/>
        <v/>
      </c>
      <c r="T2523" s="5" t="str">
        <f t="shared" si="381"/>
        <v/>
      </c>
      <c r="U2523" s="5" t="str">
        <f t="shared" si="381"/>
        <v/>
      </c>
    </row>
    <row r="2524" spans="7:21" x14ac:dyDescent="0.2">
      <c r="G2524" s="8"/>
      <c r="H2524" s="5"/>
      <c r="J2524" s="10" t="str">
        <f t="shared" si="376"/>
        <v/>
      </c>
      <c r="K2524" s="10" t="str">
        <f t="shared" si="377"/>
        <v/>
      </c>
      <c r="L2524" s="11" t="str">
        <f t="shared" si="379"/>
        <v/>
      </c>
      <c r="M2524" s="9" t="str">
        <f>IF(G2524&lt;&gt;"",J2524/MAX(J$3:J2524)-1,"")</f>
        <v/>
      </c>
      <c r="N2524" s="9" t="str">
        <f>IF(G2524&lt;&gt;"",K2524/MAX(K$3:K2524)-1,"")</f>
        <v/>
      </c>
      <c r="O2524" s="16" t="str">
        <f t="shared" si="375"/>
        <v/>
      </c>
      <c r="P2524" s="16" t="str">
        <f t="shared" si="375"/>
        <v/>
      </c>
      <c r="Q2524" s="16" t="str">
        <f t="shared" si="375"/>
        <v/>
      </c>
      <c r="R2524" s="5" t="str">
        <f t="shared" si="374"/>
        <v/>
      </c>
      <c r="S2524" s="5" t="str">
        <f t="shared" si="378"/>
        <v/>
      </c>
      <c r="T2524" s="5" t="str">
        <f t="shared" si="381"/>
        <v/>
      </c>
      <c r="U2524" s="5" t="str">
        <f t="shared" si="381"/>
        <v/>
      </c>
    </row>
    <row r="2525" spans="7:21" x14ac:dyDescent="0.2">
      <c r="G2525" s="8"/>
      <c r="H2525" s="5"/>
      <c r="J2525" s="10" t="str">
        <f t="shared" si="376"/>
        <v/>
      </c>
      <c r="K2525" s="10" t="str">
        <f t="shared" si="377"/>
        <v/>
      </c>
      <c r="L2525" s="11" t="str">
        <f t="shared" si="379"/>
        <v/>
      </c>
      <c r="M2525" s="9" t="str">
        <f>IF(G2525&lt;&gt;"",J2525/MAX(J$3:J2525)-1,"")</f>
        <v/>
      </c>
      <c r="N2525" s="9" t="str">
        <f>IF(G2525&lt;&gt;"",K2525/MAX(K$3:K2525)-1,"")</f>
        <v/>
      </c>
      <c r="O2525" s="16" t="str">
        <f t="shared" si="375"/>
        <v/>
      </c>
      <c r="P2525" s="16" t="str">
        <f t="shared" si="375"/>
        <v/>
      </c>
      <c r="Q2525" s="16" t="str">
        <f t="shared" si="375"/>
        <v/>
      </c>
      <c r="R2525" s="5" t="str">
        <f t="shared" si="374"/>
        <v/>
      </c>
      <c r="S2525" s="5" t="str">
        <f t="shared" si="378"/>
        <v/>
      </c>
      <c r="T2525" s="5" t="str">
        <f t="shared" si="381"/>
        <v/>
      </c>
      <c r="U2525" s="5" t="str">
        <f t="shared" si="381"/>
        <v/>
      </c>
    </row>
    <row r="2526" spans="7:21" x14ac:dyDescent="0.2">
      <c r="G2526" s="8"/>
      <c r="H2526" s="5"/>
      <c r="J2526" s="10" t="str">
        <f t="shared" si="376"/>
        <v/>
      </c>
      <c r="K2526" s="10" t="str">
        <f t="shared" si="377"/>
        <v/>
      </c>
      <c r="L2526" s="11" t="str">
        <f t="shared" si="379"/>
        <v/>
      </c>
      <c r="M2526" s="9" t="str">
        <f>IF(G2526&lt;&gt;"",J2526/MAX(J$3:J2526)-1,"")</f>
        <v/>
      </c>
      <c r="N2526" s="9" t="str">
        <f>IF(G2526&lt;&gt;"",K2526/MAX(K$3:K2526)-1,"")</f>
        <v/>
      </c>
      <c r="O2526" s="16" t="str">
        <f t="shared" si="375"/>
        <v/>
      </c>
      <c r="P2526" s="16" t="str">
        <f t="shared" si="375"/>
        <v/>
      </c>
      <c r="Q2526" s="16" t="str">
        <f t="shared" si="375"/>
        <v/>
      </c>
      <c r="R2526" s="5" t="str">
        <f t="shared" si="374"/>
        <v/>
      </c>
      <c r="S2526" s="5" t="str">
        <f t="shared" si="378"/>
        <v/>
      </c>
      <c r="T2526" s="5" t="str">
        <f t="shared" si="381"/>
        <v/>
      </c>
      <c r="U2526" s="5" t="str">
        <f t="shared" si="381"/>
        <v/>
      </c>
    </row>
    <row r="2527" spans="7:21" x14ac:dyDescent="0.2">
      <c r="G2527" s="8"/>
      <c r="H2527" s="5"/>
      <c r="J2527" s="10" t="str">
        <f t="shared" si="376"/>
        <v/>
      </c>
      <c r="K2527" s="10" t="str">
        <f t="shared" si="377"/>
        <v/>
      </c>
      <c r="L2527" s="11" t="str">
        <f t="shared" si="379"/>
        <v/>
      </c>
      <c r="M2527" s="9" t="str">
        <f>IF(G2527&lt;&gt;"",J2527/MAX(J$3:J2527)-1,"")</f>
        <v/>
      </c>
      <c r="N2527" s="9" t="str">
        <f>IF(G2527&lt;&gt;"",K2527/MAX(K$3:K2527)-1,"")</f>
        <v/>
      </c>
      <c r="O2527" s="16" t="str">
        <f t="shared" si="375"/>
        <v/>
      </c>
      <c r="P2527" s="16" t="str">
        <f t="shared" si="375"/>
        <v/>
      </c>
      <c r="Q2527" s="16" t="str">
        <f t="shared" si="375"/>
        <v/>
      </c>
      <c r="R2527" s="5" t="str">
        <f t="shared" si="374"/>
        <v/>
      </c>
      <c r="S2527" s="5" t="str">
        <f t="shared" si="378"/>
        <v/>
      </c>
      <c r="T2527" s="5" t="str">
        <f t="shared" si="381"/>
        <v/>
      </c>
      <c r="U2527" s="5" t="str">
        <f t="shared" si="381"/>
        <v/>
      </c>
    </row>
    <row r="2528" spans="7:21" x14ac:dyDescent="0.2">
      <c r="G2528" s="8"/>
      <c r="H2528" s="5"/>
      <c r="J2528" s="10" t="str">
        <f t="shared" si="376"/>
        <v/>
      </c>
      <c r="K2528" s="10" t="str">
        <f t="shared" si="377"/>
        <v/>
      </c>
      <c r="L2528" s="11" t="str">
        <f t="shared" si="379"/>
        <v/>
      </c>
      <c r="M2528" s="9" t="str">
        <f>IF(G2528&lt;&gt;"",J2528/MAX(J$3:J2528)-1,"")</f>
        <v/>
      </c>
      <c r="N2528" s="9" t="str">
        <f>IF(G2528&lt;&gt;"",K2528/MAX(K$3:K2528)-1,"")</f>
        <v/>
      </c>
      <c r="O2528" s="16" t="str">
        <f t="shared" si="375"/>
        <v/>
      </c>
      <c r="P2528" s="16" t="str">
        <f t="shared" si="375"/>
        <v/>
      </c>
      <c r="Q2528" s="16" t="str">
        <f t="shared" si="375"/>
        <v/>
      </c>
      <c r="R2528" s="5" t="str">
        <f t="shared" si="374"/>
        <v/>
      </c>
      <c r="S2528" s="5" t="str">
        <f t="shared" si="378"/>
        <v/>
      </c>
      <c r="T2528" s="5" t="str">
        <f t="shared" si="381"/>
        <v/>
      </c>
      <c r="U2528" s="5" t="str">
        <f t="shared" si="381"/>
        <v/>
      </c>
    </row>
    <row r="2529" spans="7:21" x14ac:dyDescent="0.2">
      <c r="G2529" s="8"/>
      <c r="H2529" s="5"/>
      <c r="J2529" s="10" t="str">
        <f t="shared" si="376"/>
        <v/>
      </c>
      <c r="K2529" s="10" t="str">
        <f t="shared" si="377"/>
        <v/>
      </c>
      <c r="L2529" s="11" t="str">
        <f t="shared" si="379"/>
        <v/>
      </c>
      <c r="M2529" s="9" t="str">
        <f>IF(G2529&lt;&gt;"",J2529/MAX(J$3:J2529)-1,"")</f>
        <v/>
      </c>
      <c r="N2529" s="9" t="str">
        <f>IF(G2529&lt;&gt;"",K2529/MAX(K$3:K2529)-1,"")</f>
        <v/>
      </c>
      <c r="O2529" s="16" t="str">
        <f t="shared" si="375"/>
        <v/>
      </c>
      <c r="P2529" s="16" t="str">
        <f t="shared" si="375"/>
        <v/>
      </c>
      <c r="Q2529" s="16" t="str">
        <f t="shared" si="375"/>
        <v/>
      </c>
      <c r="R2529" s="5" t="str">
        <f t="shared" si="374"/>
        <v/>
      </c>
      <c r="S2529" s="5" t="str">
        <f t="shared" si="378"/>
        <v/>
      </c>
      <c r="T2529" s="5" t="str">
        <f t="shared" si="381"/>
        <v/>
      </c>
      <c r="U2529" s="5" t="str">
        <f t="shared" si="381"/>
        <v/>
      </c>
    </row>
    <row r="2530" spans="7:21" x14ac:dyDescent="0.2">
      <c r="G2530" s="8"/>
      <c r="H2530" s="5"/>
      <c r="J2530" s="10" t="str">
        <f t="shared" si="376"/>
        <v/>
      </c>
      <c r="K2530" s="10" t="str">
        <f t="shared" si="377"/>
        <v/>
      </c>
      <c r="L2530" s="11" t="str">
        <f t="shared" si="379"/>
        <v/>
      </c>
      <c r="M2530" s="9" t="str">
        <f>IF(G2530&lt;&gt;"",J2530/MAX(J$3:J2530)-1,"")</f>
        <v/>
      </c>
      <c r="N2530" s="9" t="str">
        <f>IF(G2530&lt;&gt;"",K2530/MAX(K$3:K2530)-1,"")</f>
        <v/>
      </c>
      <c r="O2530" s="16" t="str">
        <f t="shared" si="375"/>
        <v/>
      </c>
      <c r="P2530" s="16" t="str">
        <f t="shared" si="375"/>
        <v/>
      </c>
      <c r="Q2530" s="16" t="str">
        <f t="shared" si="375"/>
        <v/>
      </c>
      <c r="R2530" s="5" t="str">
        <f t="shared" si="374"/>
        <v/>
      </c>
      <c r="S2530" s="5" t="str">
        <f t="shared" si="378"/>
        <v/>
      </c>
      <c r="T2530" s="5" t="str">
        <f t="shared" si="381"/>
        <v/>
      </c>
      <c r="U2530" s="5" t="str">
        <f t="shared" si="381"/>
        <v/>
      </c>
    </row>
    <row r="2531" spans="7:21" x14ac:dyDescent="0.2">
      <c r="G2531" s="8"/>
      <c r="H2531" s="5"/>
      <c r="J2531" s="10" t="str">
        <f t="shared" si="376"/>
        <v/>
      </c>
      <c r="K2531" s="10" t="str">
        <f t="shared" si="377"/>
        <v/>
      </c>
      <c r="L2531" s="11" t="str">
        <f t="shared" si="379"/>
        <v/>
      </c>
      <c r="M2531" s="9" t="str">
        <f>IF(G2531&lt;&gt;"",J2531/MAX(J$3:J2531)-1,"")</f>
        <v/>
      </c>
      <c r="N2531" s="9" t="str">
        <f>IF(G2531&lt;&gt;"",K2531/MAX(K$3:K2531)-1,"")</f>
        <v/>
      </c>
      <c r="O2531" s="16" t="str">
        <f t="shared" si="375"/>
        <v/>
      </c>
      <c r="P2531" s="16" t="str">
        <f t="shared" si="375"/>
        <v/>
      </c>
      <c r="Q2531" s="16" t="str">
        <f t="shared" si="375"/>
        <v/>
      </c>
      <c r="R2531" s="5" t="str">
        <f t="shared" si="374"/>
        <v/>
      </c>
      <c r="S2531" s="5" t="str">
        <f t="shared" si="378"/>
        <v/>
      </c>
      <c r="T2531" s="5" t="str">
        <f t="shared" si="381"/>
        <v/>
      </c>
      <c r="U2531" s="5" t="str">
        <f t="shared" si="381"/>
        <v/>
      </c>
    </row>
    <row r="2532" spans="7:21" x14ac:dyDescent="0.2">
      <c r="G2532" s="8"/>
      <c r="H2532" s="5"/>
      <c r="J2532" s="10" t="str">
        <f t="shared" si="376"/>
        <v/>
      </c>
      <c r="K2532" s="10" t="str">
        <f t="shared" si="377"/>
        <v/>
      </c>
      <c r="L2532" s="11" t="str">
        <f t="shared" si="379"/>
        <v/>
      </c>
      <c r="M2532" s="9" t="str">
        <f>IF(G2532&lt;&gt;"",J2532/MAX(J$3:J2532)-1,"")</f>
        <v/>
      </c>
      <c r="N2532" s="9" t="str">
        <f>IF(G2532&lt;&gt;"",K2532/MAX(K$3:K2532)-1,"")</f>
        <v/>
      </c>
      <c r="O2532" s="16" t="str">
        <f t="shared" si="375"/>
        <v/>
      </c>
      <c r="P2532" s="16" t="str">
        <f t="shared" si="375"/>
        <v/>
      </c>
      <c r="Q2532" s="16" t="str">
        <f t="shared" si="375"/>
        <v/>
      </c>
      <c r="R2532" s="5" t="str">
        <f t="shared" si="374"/>
        <v/>
      </c>
      <c r="S2532" s="5" t="str">
        <f t="shared" si="378"/>
        <v/>
      </c>
      <c r="T2532" s="5" t="str">
        <f t="shared" si="381"/>
        <v/>
      </c>
      <c r="U2532" s="5" t="str">
        <f t="shared" si="381"/>
        <v/>
      </c>
    </row>
    <row r="2533" spans="7:21" x14ac:dyDescent="0.2">
      <c r="G2533" s="8"/>
      <c r="H2533" s="5"/>
      <c r="J2533" s="10" t="str">
        <f t="shared" si="376"/>
        <v/>
      </c>
      <c r="K2533" s="10" t="str">
        <f t="shared" si="377"/>
        <v/>
      </c>
      <c r="L2533" s="11" t="str">
        <f t="shared" si="379"/>
        <v/>
      </c>
      <c r="M2533" s="9" t="str">
        <f>IF(G2533&lt;&gt;"",J2533/MAX(J$3:J2533)-1,"")</f>
        <v/>
      </c>
      <c r="N2533" s="9" t="str">
        <f>IF(G2533&lt;&gt;"",K2533/MAX(K$3:K2533)-1,"")</f>
        <v/>
      </c>
      <c r="O2533" s="16" t="str">
        <f t="shared" si="375"/>
        <v/>
      </c>
      <c r="P2533" s="16" t="str">
        <f t="shared" si="375"/>
        <v/>
      </c>
      <c r="Q2533" s="16" t="str">
        <f t="shared" si="375"/>
        <v/>
      </c>
      <c r="R2533" s="5" t="str">
        <f t="shared" si="374"/>
        <v/>
      </c>
      <c r="S2533" s="5" t="str">
        <f t="shared" si="378"/>
        <v/>
      </c>
      <c r="T2533" s="5" t="str">
        <f t="shared" si="381"/>
        <v/>
      </c>
      <c r="U2533" s="5" t="str">
        <f t="shared" si="381"/>
        <v/>
      </c>
    </row>
    <row r="2534" spans="7:21" x14ac:dyDescent="0.2">
      <c r="G2534" s="8"/>
      <c r="H2534" s="5"/>
      <c r="J2534" s="10" t="str">
        <f t="shared" si="376"/>
        <v/>
      </c>
      <c r="K2534" s="10" t="str">
        <f t="shared" si="377"/>
        <v/>
      </c>
      <c r="L2534" s="11" t="str">
        <f t="shared" si="379"/>
        <v/>
      </c>
      <c r="M2534" s="9" t="str">
        <f>IF(G2534&lt;&gt;"",J2534/MAX(J$3:J2534)-1,"")</f>
        <v/>
      </c>
      <c r="N2534" s="9" t="str">
        <f>IF(G2534&lt;&gt;"",K2534/MAX(K$3:K2534)-1,"")</f>
        <v/>
      </c>
      <c r="O2534" s="16" t="str">
        <f t="shared" si="375"/>
        <v/>
      </c>
      <c r="P2534" s="16" t="str">
        <f t="shared" si="375"/>
        <v/>
      </c>
      <c r="Q2534" s="16" t="str">
        <f t="shared" si="375"/>
        <v/>
      </c>
      <c r="R2534" s="5" t="str">
        <f t="shared" si="374"/>
        <v/>
      </c>
      <c r="S2534" s="5" t="str">
        <f t="shared" si="378"/>
        <v/>
      </c>
      <c r="T2534" s="5" t="str">
        <f t="shared" si="381"/>
        <v/>
      </c>
      <c r="U2534" s="5" t="str">
        <f t="shared" si="381"/>
        <v/>
      </c>
    </row>
    <row r="2535" spans="7:21" x14ac:dyDescent="0.2">
      <c r="G2535" s="8"/>
      <c r="H2535" s="5"/>
      <c r="J2535" s="10" t="str">
        <f t="shared" si="376"/>
        <v/>
      </c>
      <c r="K2535" s="10" t="str">
        <f t="shared" si="377"/>
        <v/>
      </c>
      <c r="L2535" s="11" t="str">
        <f t="shared" si="379"/>
        <v/>
      </c>
      <c r="M2535" s="9" t="str">
        <f>IF(G2535&lt;&gt;"",J2535/MAX(J$3:J2535)-1,"")</f>
        <v/>
      </c>
      <c r="N2535" s="9" t="str">
        <f>IF(G2535&lt;&gt;"",K2535/MAX(K$3:K2535)-1,"")</f>
        <v/>
      </c>
      <c r="O2535" s="16" t="str">
        <f t="shared" si="375"/>
        <v/>
      </c>
      <c r="P2535" s="16" t="str">
        <f t="shared" si="375"/>
        <v/>
      </c>
      <c r="Q2535" s="16" t="str">
        <f t="shared" si="375"/>
        <v/>
      </c>
      <c r="R2535" s="5" t="str">
        <f t="shared" si="374"/>
        <v/>
      </c>
      <c r="S2535" s="5" t="str">
        <f t="shared" si="378"/>
        <v/>
      </c>
      <c r="T2535" s="5" t="str">
        <f t="shared" si="381"/>
        <v/>
      </c>
      <c r="U2535" s="5" t="str">
        <f t="shared" si="381"/>
        <v/>
      </c>
    </row>
    <row r="2536" spans="7:21" x14ac:dyDescent="0.2">
      <c r="G2536" s="8"/>
      <c r="H2536" s="5"/>
      <c r="J2536" s="10" t="str">
        <f t="shared" si="376"/>
        <v/>
      </c>
      <c r="K2536" s="10" t="str">
        <f t="shared" si="377"/>
        <v/>
      </c>
      <c r="L2536" s="11" t="str">
        <f t="shared" si="379"/>
        <v/>
      </c>
      <c r="M2536" s="9" t="str">
        <f>IF(G2536&lt;&gt;"",J2536/MAX(J$3:J2536)-1,"")</f>
        <v/>
      </c>
      <c r="N2536" s="9" t="str">
        <f>IF(G2536&lt;&gt;"",K2536/MAX(K$3:K2536)-1,"")</f>
        <v/>
      </c>
      <c r="O2536" s="16" t="str">
        <f t="shared" si="375"/>
        <v/>
      </c>
      <c r="P2536" s="16" t="str">
        <f t="shared" si="375"/>
        <v/>
      </c>
      <c r="Q2536" s="16" t="str">
        <f t="shared" si="375"/>
        <v/>
      </c>
      <c r="R2536" s="5" t="str">
        <f t="shared" si="374"/>
        <v/>
      </c>
      <c r="S2536" s="5" t="str">
        <f t="shared" si="378"/>
        <v/>
      </c>
      <c r="T2536" s="5" t="str">
        <f t="shared" ref="T2536:U2551" si="382">IF($G2536&lt;&gt;"",_xlfn.STDEV.S(O2292:O2536),"")</f>
        <v/>
      </c>
      <c r="U2536" s="5" t="str">
        <f t="shared" si="382"/>
        <v/>
      </c>
    </row>
    <row r="2537" spans="7:21" x14ac:dyDescent="0.2">
      <c r="G2537" s="8"/>
      <c r="H2537" s="5"/>
      <c r="J2537" s="10" t="str">
        <f t="shared" si="376"/>
        <v/>
      </c>
      <c r="K2537" s="10" t="str">
        <f t="shared" si="377"/>
        <v/>
      </c>
      <c r="L2537" s="11" t="str">
        <f t="shared" si="379"/>
        <v/>
      </c>
      <c r="M2537" s="9" t="str">
        <f>IF(G2537&lt;&gt;"",J2537/MAX(J$3:J2537)-1,"")</f>
        <v/>
      </c>
      <c r="N2537" s="9" t="str">
        <f>IF(G2537&lt;&gt;"",K2537/MAX(K$3:K2537)-1,"")</f>
        <v/>
      </c>
      <c r="O2537" s="16" t="str">
        <f t="shared" si="375"/>
        <v/>
      </c>
      <c r="P2537" s="16" t="str">
        <f t="shared" si="375"/>
        <v/>
      </c>
      <c r="Q2537" s="16" t="str">
        <f t="shared" si="375"/>
        <v/>
      </c>
      <c r="R2537" s="5" t="str">
        <f t="shared" si="374"/>
        <v/>
      </c>
      <c r="S2537" s="5" t="str">
        <f t="shared" si="378"/>
        <v/>
      </c>
      <c r="T2537" s="5" t="str">
        <f t="shared" si="382"/>
        <v/>
      </c>
      <c r="U2537" s="5" t="str">
        <f t="shared" si="382"/>
        <v/>
      </c>
    </row>
    <row r="2538" spans="7:21" x14ac:dyDescent="0.2">
      <c r="G2538" s="8"/>
      <c r="H2538" s="5"/>
      <c r="J2538" s="10" t="str">
        <f t="shared" si="376"/>
        <v/>
      </c>
      <c r="K2538" s="10" t="str">
        <f t="shared" si="377"/>
        <v/>
      </c>
      <c r="L2538" s="11" t="str">
        <f t="shared" si="379"/>
        <v/>
      </c>
      <c r="M2538" s="9" t="str">
        <f>IF(G2538&lt;&gt;"",J2538/MAX(J$3:J2538)-1,"")</f>
        <v/>
      </c>
      <c r="N2538" s="9" t="str">
        <f>IF(G2538&lt;&gt;"",K2538/MAX(K$3:K2538)-1,"")</f>
        <v/>
      </c>
      <c r="O2538" s="16" t="str">
        <f t="shared" si="375"/>
        <v/>
      </c>
      <c r="P2538" s="16" t="str">
        <f t="shared" si="375"/>
        <v/>
      </c>
      <c r="Q2538" s="16" t="str">
        <f t="shared" si="375"/>
        <v/>
      </c>
      <c r="R2538" s="5" t="str">
        <f t="shared" si="374"/>
        <v/>
      </c>
      <c r="S2538" s="5" t="str">
        <f t="shared" si="378"/>
        <v/>
      </c>
      <c r="T2538" s="5" t="str">
        <f t="shared" si="382"/>
        <v/>
      </c>
      <c r="U2538" s="5" t="str">
        <f t="shared" si="382"/>
        <v/>
      </c>
    </row>
    <row r="2539" spans="7:21" x14ac:dyDescent="0.2">
      <c r="G2539" s="8"/>
      <c r="H2539" s="5"/>
      <c r="J2539" s="10" t="str">
        <f t="shared" si="376"/>
        <v/>
      </c>
      <c r="K2539" s="10" t="str">
        <f t="shared" si="377"/>
        <v/>
      </c>
      <c r="L2539" s="11" t="str">
        <f t="shared" si="379"/>
        <v/>
      </c>
      <c r="M2539" s="9" t="str">
        <f>IF(G2539&lt;&gt;"",J2539/MAX(J$3:J2539)-1,"")</f>
        <v/>
      </c>
      <c r="N2539" s="9" t="str">
        <f>IF(G2539&lt;&gt;"",K2539/MAX(K$3:K2539)-1,"")</f>
        <v/>
      </c>
      <c r="O2539" s="16" t="str">
        <f t="shared" si="375"/>
        <v/>
      </c>
      <c r="P2539" s="16" t="str">
        <f t="shared" si="375"/>
        <v/>
      </c>
      <c r="Q2539" s="16" t="str">
        <f t="shared" si="375"/>
        <v/>
      </c>
      <c r="R2539" s="5" t="str">
        <f t="shared" si="374"/>
        <v/>
      </c>
      <c r="S2539" s="5" t="str">
        <f t="shared" si="378"/>
        <v/>
      </c>
      <c r="T2539" s="5" t="str">
        <f t="shared" si="382"/>
        <v/>
      </c>
      <c r="U2539" s="5" t="str">
        <f t="shared" si="382"/>
        <v/>
      </c>
    </row>
    <row r="2540" spans="7:21" x14ac:dyDescent="0.2">
      <c r="G2540" s="8"/>
      <c r="H2540" s="5"/>
      <c r="J2540" s="10" t="str">
        <f t="shared" si="376"/>
        <v/>
      </c>
      <c r="K2540" s="10" t="str">
        <f t="shared" si="377"/>
        <v/>
      </c>
      <c r="L2540" s="11" t="str">
        <f t="shared" si="379"/>
        <v/>
      </c>
      <c r="M2540" s="9" t="str">
        <f>IF(G2540&lt;&gt;"",J2540/MAX(J$3:J2540)-1,"")</f>
        <v/>
      </c>
      <c r="N2540" s="9" t="str">
        <f>IF(G2540&lt;&gt;"",K2540/MAX(K$3:K2540)-1,"")</f>
        <v/>
      </c>
      <c r="O2540" s="16" t="str">
        <f t="shared" si="375"/>
        <v/>
      </c>
      <c r="P2540" s="16" t="str">
        <f t="shared" si="375"/>
        <v/>
      </c>
      <c r="Q2540" s="16" t="str">
        <f t="shared" si="375"/>
        <v/>
      </c>
      <c r="R2540" s="5" t="str">
        <f t="shared" si="374"/>
        <v/>
      </c>
      <c r="S2540" s="5" t="str">
        <f t="shared" si="378"/>
        <v/>
      </c>
      <c r="T2540" s="5" t="str">
        <f t="shared" si="382"/>
        <v/>
      </c>
      <c r="U2540" s="5" t="str">
        <f t="shared" si="382"/>
        <v/>
      </c>
    </row>
    <row r="2541" spans="7:21" x14ac:dyDescent="0.2">
      <c r="G2541" s="8"/>
      <c r="H2541" s="5"/>
      <c r="J2541" s="10" t="str">
        <f t="shared" si="376"/>
        <v/>
      </c>
      <c r="K2541" s="10" t="str">
        <f t="shared" si="377"/>
        <v/>
      </c>
      <c r="L2541" s="11" t="str">
        <f t="shared" si="379"/>
        <v/>
      </c>
      <c r="M2541" s="9" t="str">
        <f>IF(G2541&lt;&gt;"",J2541/MAX(J$3:J2541)-1,"")</f>
        <v/>
      </c>
      <c r="N2541" s="9" t="str">
        <f>IF(G2541&lt;&gt;"",K2541/MAX(K$3:K2541)-1,"")</f>
        <v/>
      </c>
      <c r="O2541" s="16" t="str">
        <f t="shared" si="375"/>
        <v/>
      </c>
      <c r="P2541" s="16" t="str">
        <f t="shared" si="375"/>
        <v/>
      </c>
      <c r="Q2541" s="16" t="str">
        <f t="shared" si="375"/>
        <v/>
      </c>
      <c r="R2541" s="5" t="str">
        <f t="shared" si="374"/>
        <v/>
      </c>
      <c r="S2541" s="5" t="str">
        <f t="shared" si="378"/>
        <v/>
      </c>
      <c r="T2541" s="5" t="str">
        <f t="shared" si="382"/>
        <v/>
      </c>
      <c r="U2541" s="5" t="str">
        <f t="shared" si="382"/>
        <v/>
      </c>
    </row>
    <row r="2542" spans="7:21" x14ac:dyDescent="0.2">
      <c r="G2542" s="8"/>
      <c r="H2542" s="5"/>
      <c r="J2542" s="10" t="str">
        <f t="shared" si="376"/>
        <v/>
      </c>
      <c r="K2542" s="10" t="str">
        <f t="shared" si="377"/>
        <v/>
      </c>
      <c r="L2542" s="11" t="str">
        <f t="shared" si="379"/>
        <v/>
      </c>
      <c r="M2542" s="9" t="str">
        <f>IF(G2542&lt;&gt;"",J2542/MAX(J$3:J2542)-1,"")</f>
        <v/>
      </c>
      <c r="N2542" s="9" t="str">
        <f>IF(G2542&lt;&gt;"",K2542/MAX(K$3:K2542)-1,"")</f>
        <v/>
      </c>
      <c r="O2542" s="16" t="str">
        <f t="shared" si="375"/>
        <v/>
      </c>
      <c r="P2542" s="16" t="str">
        <f t="shared" si="375"/>
        <v/>
      </c>
      <c r="Q2542" s="16" t="str">
        <f t="shared" si="375"/>
        <v/>
      </c>
      <c r="R2542" s="5" t="str">
        <f t="shared" si="374"/>
        <v/>
      </c>
      <c r="S2542" s="5" t="str">
        <f t="shared" si="378"/>
        <v/>
      </c>
      <c r="T2542" s="5" t="str">
        <f t="shared" si="382"/>
        <v/>
      </c>
      <c r="U2542" s="5" t="str">
        <f t="shared" si="382"/>
        <v/>
      </c>
    </row>
    <row r="2543" spans="7:21" x14ac:dyDescent="0.2">
      <c r="G2543" s="8"/>
      <c r="H2543" s="5"/>
      <c r="J2543" s="10" t="str">
        <f t="shared" si="376"/>
        <v/>
      </c>
      <c r="K2543" s="10" t="str">
        <f t="shared" si="377"/>
        <v/>
      </c>
      <c r="L2543" s="11" t="str">
        <f t="shared" si="379"/>
        <v/>
      </c>
      <c r="M2543" s="9" t="str">
        <f>IF(G2543&lt;&gt;"",J2543/MAX(J$3:J2543)-1,"")</f>
        <v/>
      </c>
      <c r="N2543" s="9" t="str">
        <f>IF(G2543&lt;&gt;"",K2543/MAX(K$3:K2543)-1,"")</f>
        <v/>
      </c>
      <c r="O2543" s="16" t="str">
        <f t="shared" si="375"/>
        <v/>
      </c>
      <c r="P2543" s="16" t="str">
        <f t="shared" si="375"/>
        <v/>
      </c>
      <c r="Q2543" s="16" t="str">
        <f t="shared" si="375"/>
        <v/>
      </c>
      <c r="R2543" s="5" t="str">
        <f t="shared" si="374"/>
        <v/>
      </c>
      <c r="S2543" s="5" t="str">
        <f t="shared" si="378"/>
        <v/>
      </c>
      <c r="T2543" s="5" t="str">
        <f t="shared" si="382"/>
        <v/>
      </c>
      <c r="U2543" s="5" t="str">
        <f t="shared" si="382"/>
        <v/>
      </c>
    </row>
    <row r="2544" spans="7:21" x14ac:dyDescent="0.2">
      <c r="G2544" s="8"/>
      <c r="H2544" s="5"/>
      <c r="J2544" s="10" t="str">
        <f t="shared" si="376"/>
        <v/>
      </c>
      <c r="K2544" s="10" t="str">
        <f t="shared" si="377"/>
        <v/>
      </c>
      <c r="L2544" s="11" t="str">
        <f t="shared" si="379"/>
        <v/>
      </c>
      <c r="M2544" s="9" t="str">
        <f>IF(G2544&lt;&gt;"",J2544/MAX(J$3:J2544)-1,"")</f>
        <v/>
      </c>
      <c r="N2544" s="9" t="str">
        <f>IF(G2544&lt;&gt;"",K2544/MAX(K$3:K2544)-1,"")</f>
        <v/>
      </c>
      <c r="O2544" s="16" t="str">
        <f t="shared" si="375"/>
        <v/>
      </c>
      <c r="P2544" s="16" t="str">
        <f t="shared" si="375"/>
        <v/>
      </c>
      <c r="Q2544" s="16" t="str">
        <f t="shared" si="375"/>
        <v/>
      </c>
      <c r="R2544" s="5" t="str">
        <f t="shared" si="374"/>
        <v/>
      </c>
      <c r="S2544" s="5" t="str">
        <f t="shared" si="378"/>
        <v/>
      </c>
      <c r="T2544" s="5" t="str">
        <f t="shared" si="382"/>
        <v/>
      </c>
      <c r="U2544" s="5" t="str">
        <f t="shared" si="382"/>
        <v/>
      </c>
    </row>
    <row r="2545" spans="7:21" x14ac:dyDescent="0.2">
      <c r="G2545" s="8"/>
      <c r="H2545" s="5"/>
      <c r="J2545" s="10" t="str">
        <f t="shared" si="376"/>
        <v/>
      </c>
      <c r="K2545" s="10" t="str">
        <f t="shared" si="377"/>
        <v/>
      </c>
      <c r="L2545" s="11" t="str">
        <f t="shared" si="379"/>
        <v/>
      </c>
      <c r="M2545" s="9" t="str">
        <f>IF(G2545&lt;&gt;"",J2545/MAX(J$3:J2545)-1,"")</f>
        <v/>
      </c>
      <c r="N2545" s="9" t="str">
        <f>IF(G2545&lt;&gt;"",K2545/MAX(K$3:K2545)-1,"")</f>
        <v/>
      </c>
      <c r="O2545" s="16" t="str">
        <f t="shared" si="375"/>
        <v/>
      </c>
      <c r="P2545" s="16" t="str">
        <f t="shared" si="375"/>
        <v/>
      </c>
      <c r="Q2545" s="16" t="str">
        <f t="shared" si="375"/>
        <v/>
      </c>
      <c r="R2545" s="5" t="str">
        <f t="shared" si="374"/>
        <v/>
      </c>
      <c r="S2545" s="5" t="str">
        <f t="shared" si="378"/>
        <v/>
      </c>
      <c r="T2545" s="5" t="str">
        <f t="shared" si="382"/>
        <v/>
      </c>
      <c r="U2545" s="5" t="str">
        <f t="shared" si="382"/>
        <v/>
      </c>
    </row>
    <row r="2546" spans="7:21" x14ac:dyDescent="0.2">
      <c r="G2546" s="8"/>
      <c r="H2546" s="5"/>
      <c r="J2546" s="10" t="str">
        <f t="shared" si="376"/>
        <v/>
      </c>
      <c r="K2546" s="10" t="str">
        <f t="shared" si="377"/>
        <v/>
      </c>
      <c r="L2546" s="11" t="str">
        <f t="shared" si="379"/>
        <v/>
      </c>
      <c r="M2546" s="9" t="str">
        <f>IF(G2546&lt;&gt;"",J2546/MAX(J$3:J2546)-1,"")</f>
        <v/>
      </c>
      <c r="N2546" s="9" t="str">
        <f>IF(G2546&lt;&gt;"",K2546/MAX(K$3:K2546)-1,"")</f>
        <v/>
      </c>
      <c r="O2546" s="16" t="str">
        <f t="shared" si="375"/>
        <v/>
      </c>
      <c r="P2546" s="16" t="str">
        <f t="shared" si="375"/>
        <v/>
      </c>
      <c r="Q2546" s="16" t="str">
        <f t="shared" si="375"/>
        <v/>
      </c>
      <c r="R2546" s="5" t="str">
        <f t="shared" si="374"/>
        <v/>
      </c>
      <c r="S2546" s="5" t="str">
        <f t="shared" si="378"/>
        <v/>
      </c>
      <c r="T2546" s="5" t="str">
        <f t="shared" si="382"/>
        <v/>
      </c>
      <c r="U2546" s="5" t="str">
        <f t="shared" si="382"/>
        <v/>
      </c>
    </row>
    <row r="2547" spans="7:21" x14ac:dyDescent="0.2">
      <c r="G2547" s="8"/>
      <c r="H2547" s="5"/>
      <c r="J2547" s="10" t="str">
        <f t="shared" si="376"/>
        <v/>
      </c>
      <c r="K2547" s="10" t="str">
        <f t="shared" si="377"/>
        <v/>
      </c>
      <c r="L2547" s="11" t="str">
        <f t="shared" si="379"/>
        <v/>
      </c>
      <c r="M2547" s="9" t="str">
        <f>IF(G2547&lt;&gt;"",J2547/MAX(J$3:J2547)-1,"")</f>
        <v/>
      </c>
      <c r="N2547" s="9" t="str">
        <f>IF(G2547&lt;&gt;"",K2547/MAX(K$3:K2547)-1,"")</f>
        <v/>
      </c>
      <c r="O2547" s="16" t="str">
        <f t="shared" si="375"/>
        <v/>
      </c>
      <c r="P2547" s="16" t="str">
        <f t="shared" si="375"/>
        <v/>
      </c>
      <c r="Q2547" s="16" t="str">
        <f t="shared" si="375"/>
        <v/>
      </c>
      <c r="R2547" s="5" t="str">
        <f t="shared" si="374"/>
        <v/>
      </c>
      <c r="S2547" s="5" t="str">
        <f t="shared" si="378"/>
        <v/>
      </c>
      <c r="T2547" s="5" t="str">
        <f t="shared" si="382"/>
        <v/>
      </c>
      <c r="U2547" s="5" t="str">
        <f t="shared" si="382"/>
        <v/>
      </c>
    </row>
    <row r="2548" spans="7:21" x14ac:dyDescent="0.2">
      <c r="G2548" s="8"/>
      <c r="H2548" s="5"/>
      <c r="J2548" s="10" t="str">
        <f t="shared" si="376"/>
        <v/>
      </c>
      <c r="K2548" s="10" t="str">
        <f t="shared" si="377"/>
        <v/>
      </c>
      <c r="L2548" s="11" t="str">
        <f t="shared" si="379"/>
        <v/>
      </c>
      <c r="M2548" s="9" t="str">
        <f>IF(G2548&lt;&gt;"",J2548/MAX(J$3:J2548)-1,"")</f>
        <v/>
      </c>
      <c r="N2548" s="9" t="str">
        <f>IF(G2548&lt;&gt;"",K2548/MAX(K$3:K2548)-1,"")</f>
        <v/>
      </c>
      <c r="O2548" s="16" t="str">
        <f t="shared" si="375"/>
        <v/>
      </c>
      <c r="P2548" s="16" t="str">
        <f t="shared" si="375"/>
        <v/>
      </c>
      <c r="Q2548" s="16" t="str">
        <f t="shared" si="375"/>
        <v/>
      </c>
      <c r="R2548" s="5" t="str">
        <f t="shared" si="374"/>
        <v/>
      </c>
      <c r="S2548" s="5" t="str">
        <f t="shared" si="378"/>
        <v/>
      </c>
      <c r="T2548" s="5" t="str">
        <f t="shared" si="382"/>
        <v/>
      </c>
      <c r="U2548" s="5" t="str">
        <f t="shared" si="382"/>
        <v/>
      </c>
    </row>
    <row r="2549" spans="7:21" x14ac:dyDescent="0.2">
      <c r="G2549" s="8"/>
      <c r="H2549" s="5"/>
      <c r="J2549" s="10" t="str">
        <f t="shared" si="376"/>
        <v/>
      </c>
      <c r="K2549" s="10" t="str">
        <f t="shared" si="377"/>
        <v/>
      </c>
      <c r="L2549" s="11" t="str">
        <f t="shared" si="379"/>
        <v/>
      </c>
      <c r="M2549" s="9" t="str">
        <f>IF(G2549&lt;&gt;"",J2549/MAX(J$3:J2549)-1,"")</f>
        <v/>
      </c>
      <c r="N2549" s="9" t="str">
        <f>IF(G2549&lt;&gt;"",K2549/MAX(K$3:K2549)-1,"")</f>
        <v/>
      </c>
      <c r="O2549" s="16" t="str">
        <f t="shared" si="375"/>
        <v/>
      </c>
      <c r="P2549" s="16" t="str">
        <f t="shared" si="375"/>
        <v/>
      </c>
      <c r="Q2549" s="16" t="str">
        <f t="shared" si="375"/>
        <v/>
      </c>
      <c r="R2549" s="5" t="str">
        <f t="shared" si="374"/>
        <v/>
      </c>
      <c r="S2549" s="5" t="str">
        <f t="shared" si="378"/>
        <v/>
      </c>
      <c r="T2549" s="5" t="str">
        <f t="shared" si="382"/>
        <v/>
      </c>
      <c r="U2549" s="5" t="str">
        <f t="shared" si="382"/>
        <v/>
      </c>
    </row>
    <row r="2550" spans="7:21" x14ac:dyDescent="0.2">
      <c r="G2550" s="8"/>
      <c r="H2550" s="5"/>
      <c r="J2550" s="10" t="str">
        <f t="shared" si="376"/>
        <v/>
      </c>
      <c r="K2550" s="10" t="str">
        <f t="shared" si="377"/>
        <v/>
      </c>
      <c r="L2550" s="11" t="str">
        <f t="shared" si="379"/>
        <v/>
      </c>
      <c r="M2550" s="9" t="str">
        <f>IF(G2550&lt;&gt;"",J2550/MAX(J$3:J2550)-1,"")</f>
        <v/>
      </c>
      <c r="N2550" s="9" t="str">
        <f>IF(G2550&lt;&gt;"",K2550/MAX(K$3:K2550)-1,"")</f>
        <v/>
      </c>
      <c r="O2550" s="16" t="str">
        <f t="shared" si="375"/>
        <v/>
      </c>
      <c r="P2550" s="16" t="str">
        <f t="shared" si="375"/>
        <v/>
      </c>
      <c r="Q2550" s="16" t="str">
        <f t="shared" si="375"/>
        <v/>
      </c>
      <c r="R2550" s="5" t="str">
        <f t="shared" si="374"/>
        <v/>
      </c>
      <c r="S2550" s="5" t="str">
        <f t="shared" si="378"/>
        <v/>
      </c>
      <c r="T2550" s="5" t="str">
        <f t="shared" si="382"/>
        <v/>
      </c>
      <c r="U2550" s="5" t="str">
        <f t="shared" si="382"/>
        <v/>
      </c>
    </row>
    <row r="2551" spans="7:21" x14ac:dyDescent="0.2">
      <c r="G2551" s="8"/>
      <c r="H2551" s="5"/>
      <c r="J2551" s="10" t="str">
        <f t="shared" si="376"/>
        <v/>
      </c>
      <c r="K2551" s="10" t="str">
        <f t="shared" si="377"/>
        <v/>
      </c>
      <c r="L2551" s="11" t="str">
        <f t="shared" si="379"/>
        <v/>
      </c>
      <c r="M2551" s="9" t="str">
        <f>IF(G2551&lt;&gt;"",J2551/MAX(J$3:J2551)-1,"")</f>
        <v/>
      </c>
      <c r="N2551" s="9" t="str">
        <f>IF(G2551&lt;&gt;"",K2551/MAX(K$3:K2551)-1,"")</f>
        <v/>
      </c>
      <c r="O2551" s="16" t="str">
        <f t="shared" si="375"/>
        <v/>
      </c>
      <c r="P2551" s="16" t="str">
        <f t="shared" si="375"/>
        <v/>
      </c>
      <c r="Q2551" s="16" t="str">
        <f t="shared" si="375"/>
        <v/>
      </c>
      <c r="R2551" s="5" t="str">
        <f t="shared" si="374"/>
        <v/>
      </c>
      <c r="S2551" s="5" t="str">
        <f t="shared" si="378"/>
        <v/>
      </c>
      <c r="T2551" s="5" t="str">
        <f t="shared" si="382"/>
        <v/>
      </c>
      <c r="U2551" s="5" t="str">
        <f t="shared" si="382"/>
        <v/>
      </c>
    </row>
    <row r="2552" spans="7:21" x14ac:dyDescent="0.2">
      <c r="G2552" s="8"/>
      <c r="H2552" s="5"/>
      <c r="J2552" s="10" t="str">
        <f t="shared" si="376"/>
        <v/>
      </c>
      <c r="K2552" s="10" t="str">
        <f t="shared" si="377"/>
        <v/>
      </c>
      <c r="L2552" s="11" t="str">
        <f t="shared" si="379"/>
        <v/>
      </c>
      <c r="M2552" s="9" t="str">
        <f>IF(G2552&lt;&gt;"",J2552/MAX(J$3:J2552)-1,"")</f>
        <v/>
      </c>
      <c r="N2552" s="9" t="str">
        <f>IF(G2552&lt;&gt;"",K2552/MAX(K$3:K2552)-1,"")</f>
        <v/>
      </c>
      <c r="O2552" s="16" t="str">
        <f t="shared" si="375"/>
        <v/>
      </c>
      <c r="P2552" s="16" t="str">
        <f t="shared" si="375"/>
        <v/>
      </c>
      <c r="Q2552" s="16" t="str">
        <f t="shared" si="375"/>
        <v/>
      </c>
      <c r="R2552" s="5" t="str">
        <f t="shared" si="374"/>
        <v/>
      </c>
      <c r="S2552" s="5" t="str">
        <f t="shared" si="378"/>
        <v/>
      </c>
      <c r="T2552" s="5" t="str">
        <f t="shared" ref="T2552:U2567" si="383">IF($G2552&lt;&gt;"",_xlfn.STDEV.S(O2308:O2552),"")</f>
        <v/>
      </c>
      <c r="U2552" s="5" t="str">
        <f t="shared" si="383"/>
        <v/>
      </c>
    </row>
    <row r="2553" spans="7:21" x14ac:dyDescent="0.2">
      <c r="G2553" s="8"/>
      <c r="H2553" s="5"/>
      <c r="J2553" s="10" t="str">
        <f t="shared" si="376"/>
        <v/>
      </c>
      <c r="K2553" s="10" t="str">
        <f t="shared" si="377"/>
        <v/>
      </c>
      <c r="L2553" s="11" t="str">
        <f t="shared" si="379"/>
        <v/>
      </c>
      <c r="M2553" s="9" t="str">
        <f>IF(G2553&lt;&gt;"",J2553/MAX(J$3:J2553)-1,"")</f>
        <v/>
      </c>
      <c r="N2553" s="9" t="str">
        <f>IF(G2553&lt;&gt;"",K2553/MAX(K$3:K2553)-1,"")</f>
        <v/>
      </c>
      <c r="O2553" s="16" t="str">
        <f t="shared" si="375"/>
        <v/>
      </c>
      <c r="P2553" s="16" t="str">
        <f t="shared" si="375"/>
        <v/>
      </c>
      <c r="Q2553" s="16" t="str">
        <f t="shared" si="375"/>
        <v/>
      </c>
      <c r="R2553" s="5" t="str">
        <f t="shared" si="374"/>
        <v/>
      </c>
      <c r="S2553" s="5" t="str">
        <f t="shared" si="378"/>
        <v/>
      </c>
      <c r="T2553" s="5" t="str">
        <f t="shared" si="383"/>
        <v/>
      </c>
      <c r="U2553" s="5" t="str">
        <f t="shared" si="383"/>
        <v/>
      </c>
    </row>
    <row r="2554" spans="7:21" x14ac:dyDescent="0.2">
      <c r="G2554" s="8"/>
      <c r="H2554" s="5"/>
      <c r="J2554" s="10" t="str">
        <f t="shared" si="376"/>
        <v/>
      </c>
      <c r="K2554" s="10" t="str">
        <f t="shared" si="377"/>
        <v/>
      </c>
      <c r="L2554" s="11" t="str">
        <f t="shared" si="379"/>
        <v/>
      </c>
      <c r="M2554" s="9" t="str">
        <f>IF(G2554&lt;&gt;"",J2554/MAX(J$3:J2554)-1,"")</f>
        <v/>
      </c>
      <c r="N2554" s="9" t="str">
        <f>IF(G2554&lt;&gt;"",K2554/MAX(K$3:K2554)-1,"")</f>
        <v/>
      </c>
      <c r="O2554" s="16" t="str">
        <f t="shared" si="375"/>
        <v/>
      </c>
      <c r="P2554" s="16" t="str">
        <f t="shared" si="375"/>
        <v/>
      </c>
      <c r="Q2554" s="16" t="str">
        <f t="shared" si="375"/>
        <v/>
      </c>
      <c r="R2554" s="5" t="str">
        <f t="shared" si="374"/>
        <v/>
      </c>
      <c r="S2554" s="5" t="str">
        <f t="shared" si="378"/>
        <v/>
      </c>
      <c r="T2554" s="5" t="str">
        <f t="shared" si="383"/>
        <v/>
      </c>
      <c r="U2554" s="5" t="str">
        <f t="shared" si="383"/>
        <v/>
      </c>
    </row>
    <row r="2555" spans="7:21" x14ac:dyDescent="0.2">
      <c r="G2555" s="8"/>
      <c r="H2555" s="5"/>
      <c r="J2555" s="10" t="str">
        <f t="shared" si="376"/>
        <v/>
      </c>
      <c r="K2555" s="10" t="str">
        <f t="shared" si="377"/>
        <v/>
      </c>
      <c r="L2555" s="11" t="str">
        <f t="shared" si="379"/>
        <v/>
      </c>
      <c r="M2555" s="9" t="str">
        <f>IF(G2555&lt;&gt;"",J2555/MAX(J$3:J2555)-1,"")</f>
        <v/>
      </c>
      <c r="N2555" s="9" t="str">
        <f>IF(G2555&lt;&gt;"",K2555/MAX(K$3:K2555)-1,"")</f>
        <v/>
      </c>
      <c r="O2555" s="16" t="str">
        <f t="shared" si="375"/>
        <v/>
      </c>
      <c r="P2555" s="16" t="str">
        <f t="shared" si="375"/>
        <v/>
      </c>
      <c r="Q2555" s="16" t="str">
        <f t="shared" si="375"/>
        <v/>
      </c>
      <c r="R2555" s="5" t="str">
        <f t="shared" si="374"/>
        <v/>
      </c>
      <c r="S2555" s="5" t="str">
        <f t="shared" si="378"/>
        <v/>
      </c>
      <c r="T2555" s="5" t="str">
        <f t="shared" si="383"/>
        <v/>
      </c>
      <c r="U2555" s="5" t="str">
        <f t="shared" si="383"/>
        <v/>
      </c>
    </row>
    <row r="2556" spans="7:21" x14ac:dyDescent="0.2">
      <c r="G2556" s="8"/>
      <c r="H2556" s="5"/>
      <c r="J2556" s="10" t="str">
        <f t="shared" si="376"/>
        <v/>
      </c>
      <c r="K2556" s="10" t="str">
        <f t="shared" si="377"/>
        <v/>
      </c>
      <c r="L2556" s="11" t="str">
        <f t="shared" si="379"/>
        <v/>
      </c>
      <c r="M2556" s="9" t="str">
        <f>IF(G2556&lt;&gt;"",J2556/MAX(J$3:J2556)-1,"")</f>
        <v/>
      </c>
      <c r="N2556" s="9" t="str">
        <f>IF(G2556&lt;&gt;"",K2556/MAX(K$3:K2556)-1,"")</f>
        <v/>
      </c>
      <c r="O2556" s="16" t="str">
        <f t="shared" si="375"/>
        <v/>
      </c>
      <c r="P2556" s="16" t="str">
        <f t="shared" si="375"/>
        <v/>
      </c>
      <c r="Q2556" s="16" t="str">
        <f t="shared" si="375"/>
        <v/>
      </c>
      <c r="R2556" s="5" t="str">
        <f t="shared" si="374"/>
        <v/>
      </c>
      <c r="S2556" s="5" t="str">
        <f t="shared" si="378"/>
        <v/>
      </c>
      <c r="T2556" s="5" t="str">
        <f t="shared" si="383"/>
        <v/>
      </c>
      <c r="U2556" s="5" t="str">
        <f t="shared" si="383"/>
        <v/>
      </c>
    </row>
    <row r="2557" spans="7:21" x14ac:dyDescent="0.2">
      <c r="G2557" s="8"/>
      <c r="H2557" s="5"/>
      <c r="J2557" s="10" t="str">
        <f t="shared" si="376"/>
        <v/>
      </c>
      <c r="K2557" s="10" t="str">
        <f t="shared" si="377"/>
        <v/>
      </c>
      <c r="L2557" s="11" t="str">
        <f t="shared" si="379"/>
        <v/>
      </c>
      <c r="M2557" s="9" t="str">
        <f>IF(G2557&lt;&gt;"",J2557/MAX(J$3:J2557)-1,"")</f>
        <v/>
      </c>
      <c r="N2557" s="9" t="str">
        <f>IF(G2557&lt;&gt;"",K2557/MAX(K$3:K2557)-1,"")</f>
        <v/>
      </c>
      <c r="O2557" s="16" t="str">
        <f t="shared" si="375"/>
        <v/>
      </c>
      <c r="P2557" s="16" t="str">
        <f t="shared" si="375"/>
        <v/>
      </c>
      <c r="Q2557" s="16" t="str">
        <f t="shared" si="375"/>
        <v/>
      </c>
      <c r="R2557" s="5" t="str">
        <f t="shared" ref="R2557:R2620" si="384">IF(G2557&lt;&gt;"",_xlfn.STDEV.S(Q2436:Q2557)*SQRT($B$5),"")</f>
        <v/>
      </c>
      <c r="S2557" s="5" t="str">
        <f t="shared" si="378"/>
        <v/>
      </c>
      <c r="T2557" s="5" t="str">
        <f t="shared" si="383"/>
        <v/>
      </c>
      <c r="U2557" s="5" t="str">
        <f t="shared" si="383"/>
        <v/>
      </c>
    </row>
    <row r="2558" spans="7:21" x14ac:dyDescent="0.2">
      <c r="G2558" s="8"/>
      <c r="H2558" s="5"/>
      <c r="J2558" s="10" t="str">
        <f t="shared" si="376"/>
        <v/>
      </c>
      <c r="K2558" s="10" t="str">
        <f t="shared" si="377"/>
        <v/>
      </c>
      <c r="L2558" s="11" t="str">
        <f t="shared" si="379"/>
        <v/>
      </c>
      <c r="M2558" s="9" t="str">
        <f>IF(G2558&lt;&gt;"",J2558/MAX(J$3:J2558)-1,"")</f>
        <v/>
      </c>
      <c r="N2558" s="9" t="str">
        <f>IF(G2558&lt;&gt;"",K2558/MAX(K$3:K2558)-1,"")</f>
        <v/>
      </c>
      <c r="O2558" s="16" t="str">
        <f t="shared" si="375"/>
        <v/>
      </c>
      <c r="P2558" s="16" t="str">
        <f t="shared" si="375"/>
        <v/>
      </c>
      <c r="Q2558" s="16" t="str">
        <f t="shared" si="375"/>
        <v/>
      </c>
      <c r="R2558" s="5" t="str">
        <f t="shared" si="384"/>
        <v/>
      </c>
      <c r="S2558" s="5" t="str">
        <f t="shared" si="378"/>
        <v/>
      </c>
      <c r="T2558" s="5" t="str">
        <f t="shared" si="383"/>
        <v/>
      </c>
      <c r="U2558" s="5" t="str">
        <f t="shared" si="383"/>
        <v/>
      </c>
    </row>
    <row r="2559" spans="7:21" x14ac:dyDescent="0.2">
      <c r="G2559" s="8"/>
      <c r="H2559" s="5"/>
      <c r="J2559" s="10" t="str">
        <f t="shared" si="376"/>
        <v/>
      </c>
      <c r="K2559" s="10" t="str">
        <f t="shared" si="377"/>
        <v/>
      </c>
      <c r="L2559" s="11" t="str">
        <f t="shared" si="379"/>
        <v/>
      </c>
      <c r="M2559" s="9" t="str">
        <f>IF(G2559&lt;&gt;"",J2559/MAX(J$3:J2559)-1,"")</f>
        <v/>
      </c>
      <c r="N2559" s="9" t="str">
        <f>IF(G2559&lt;&gt;"",K2559/MAX(K$3:K2559)-1,"")</f>
        <v/>
      </c>
      <c r="O2559" s="16" t="str">
        <f t="shared" si="375"/>
        <v/>
      </c>
      <c r="P2559" s="16" t="str">
        <f t="shared" si="375"/>
        <v/>
      </c>
      <c r="Q2559" s="16" t="str">
        <f t="shared" si="375"/>
        <v/>
      </c>
      <c r="R2559" s="5" t="str">
        <f t="shared" si="384"/>
        <v/>
      </c>
      <c r="S2559" s="5" t="str">
        <f t="shared" si="378"/>
        <v/>
      </c>
      <c r="T2559" s="5" t="str">
        <f t="shared" si="383"/>
        <v/>
      </c>
      <c r="U2559" s="5" t="str">
        <f t="shared" si="383"/>
        <v/>
      </c>
    </row>
    <row r="2560" spans="7:21" x14ac:dyDescent="0.2">
      <c r="G2560" s="8"/>
      <c r="H2560" s="5"/>
      <c r="J2560" s="10" t="str">
        <f t="shared" si="376"/>
        <v/>
      </c>
      <c r="K2560" s="10" t="str">
        <f t="shared" si="377"/>
        <v/>
      </c>
      <c r="L2560" s="11" t="str">
        <f t="shared" si="379"/>
        <v/>
      </c>
      <c r="M2560" s="9" t="str">
        <f>IF(G2560&lt;&gt;"",J2560/MAX(J$3:J2560)-1,"")</f>
        <v/>
      </c>
      <c r="N2560" s="9" t="str">
        <f>IF(G2560&lt;&gt;"",K2560/MAX(K$3:K2560)-1,"")</f>
        <v/>
      </c>
      <c r="O2560" s="16" t="str">
        <f t="shared" si="375"/>
        <v/>
      </c>
      <c r="P2560" s="16" t="str">
        <f t="shared" si="375"/>
        <v/>
      </c>
      <c r="Q2560" s="16" t="str">
        <f t="shared" si="375"/>
        <v/>
      </c>
      <c r="R2560" s="5" t="str">
        <f t="shared" si="384"/>
        <v/>
      </c>
      <c r="S2560" s="5" t="str">
        <f t="shared" si="378"/>
        <v/>
      </c>
      <c r="T2560" s="5" t="str">
        <f t="shared" si="383"/>
        <v/>
      </c>
      <c r="U2560" s="5" t="str">
        <f t="shared" si="383"/>
        <v/>
      </c>
    </row>
    <row r="2561" spans="7:21" x14ac:dyDescent="0.2">
      <c r="G2561" s="8"/>
      <c r="H2561" s="5"/>
      <c r="J2561" s="10" t="str">
        <f t="shared" si="376"/>
        <v/>
      </c>
      <c r="K2561" s="10" t="str">
        <f t="shared" si="377"/>
        <v/>
      </c>
      <c r="L2561" s="11" t="str">
        <f t="shared" si="379"/>
        <v/>
      </c>
      <c r="M2561" s="9" t="str">
        <f>IF(G2561&lt;&gt;"",J2561/MAX(J$3:J2561)-1,"")</f>
        <v/>
      </c>
      <c r="N2561" s="9" t="str">
        <f>IF(G2561&lt;&gt;"",K2561/MAX(K$3:K2561)-1,"")</f>
        <v/>
      </c>
      <c r="O2561" s="16" t="str">
        <f t="shared" si="375"/>
        <v/>
      </c>
      <c r="P2561" s="16" t="str">
        <f t="shared" si="375"/>
        <v/>
      </c>
      <c r="Q2561" s="16" t="str">
        <f t="shared" si="375"/>
        <v/>
      </c>
      <c r="R2561" s="5" t="str">
        <f t="shared" si="384"/>
        <v/>
      </c>
      <c r="S2561" s="5" t="str">
        <f t="shared" si="378"/>
        <v/>
      </c>
      <c r="T2561" s="5" t="str">
        <f t="shared" si="383"/>
        <v/>
      </c>
      <c r="U2561" s="5" t="str">
        <f t="shared" si="383"/>
        <v/>
      </c>
    </row>
    <row r="2562" spans="7:21" x14ac:dyDescent="0.2">
      <c r="G2562" s="8"/>
      <c r="H2562" s="5"/>
      <c r="J2562" s="10" t="str">
        <f t="shared" si="376"/>
        <v/>
      </c>
      <c r="K2562" s="10" t="str">
        <f t="shared" si="377"/>
        <v/>
      </c>
      <c r="L2562" s="11" t="str">
        <f t="shared" si="379"/>
        <v/>
      </c>
      <c r="M2562" s="9" t="str">
        <f>IF(G2562&lt;&gt;"",J2562/MAX(J$3:J2562)-1,"")</f>
        <v/>
      </c>
      <c r="N2562" s="9" t="str">
        <f>IF(G2562&lt;&gt;"",K2562/MAX(K$3:K2562)-1,"")</f>
        <v/>
      </c>
      <c r="O2562" s="16" t="str">
        <f t="shared" ref="O2562:Q2625" si="385">IF($G2562&lt;&gt;"",J2562/J2561-1,"")</f>
        <v/>
      </c>
      <c r="P2562" s="16" t="str">
        <f t="shared" si="385"/>
        <v/>
      </c>
      <c r="Q2562" s="16" t="str">
        <f t="shared" si="385"/>
        <v/>
      </c>
      <c r="R2562" s="5" t="str">
        <f t="shared" si="384"/>
        <v/>
      </c>
      <c r="S2562" s="5" t="str">
        <f t="shared" si="378"/>
        <v/>
      </c>
      <c r="T2562" s="5" t="str">
        <f t="shared" si="383"/>
        <v/>
      </c>
      <c r="U2562" s="5" t="str">
        <f t="shared" si="383"/>
        <v/>
      </c>
    </row>
    <row r="2563" spans="7:21" x14ac:dyDescent="0.2">
      <c r="G2563" s="8"/>
      <c r="H2563" s="5"/>
      <c r="J2563" s="10" t="str">
        <f t="shared" si="376"/>
        <v/>
      </c>
      <c r="K2563" s="10" t="str">
        <f t="shared" si="377"/>
        <v/>
      </c>
      <c r="L2563" s="11" t="str">
        <f t="shared" si="379"/>
        <v/>
      </c>
      <c r="M2563" s="9" t="str">
        <f>IF(G2563&lt;&gt;"",J2563/MAX(J$3:J2563)-1,"")</f>
        <v/>
      </c>
      <c r="N2563" s="9" t="str">
        <f>IF(G2563&lt;&gt;"",K2563/MAX(K$3:K2563)-1,"")</f>
        <v/>
      </c>
      <c r="O2563" s="16" t="str">
        <f t="shared" si="385"/>
        <v/>
      </c>
      <c r="P2563" s="16" t="str">
        <f t="shared" si="385"/>
        <v/>
      </c>
      <c r="Q2563" s="16" t="str">
        <f t="shared" si="385"/>
        <v/>
      </c>
      <c r="R2563" s="5" t="str">
        <f t="shared" si="384"/>
        <v/>
      </c>
      <c r="S2563" s="5" t="str">
        <f t="shared" si="378"/>
        <v/>
      </c>
      <c r="T2563" s="5" t="str">
        <f t="shared" si="383"/>
        <v/>
      </c>
      <c r="U2563" s="5" t="str">
        <f t="shared" si="383"/>
        <v/>
      </c>
    </row>
    <row r="2564" spans="7:21" x14ac:dyDescent="0.2">
      <c r="G2564" s="8"/>
      <c r="H2564" s="5"/>
      <c r="J2564" s="10" t="str">
        <f t="shared" ref="J2564:J2627" si="386">IF(G2564&lt;&gt;"",1+H2564,"")</f>
        <v/>
      </c>
      <c r="K2564" s="10" t="str">
        <f t="shared" ref="K2564:K2627" si="387">IF(G2564&lt;&gt;"",1+I2564,"")</f>
        <v/>
      </c>
      <c r="L2564" s="11" t="str">
        <f t="shared" si="379"/>
        <v/>
      </c>
      <c r="M2564" s="9" t="str">
        <f>IF(G2564&lt;&gt;"",J2564/MAX(J$3:J2564)-1,"")</f>
        <v/>
      </c>
      <c r="N2564" s="9" t="str">
        <f>IF(G2564&lt;&gt;"",K2564/MAX(K$3:K2564)-1,"")</f>
        <v/>
      </c>
      <c r="O2564" s="16" t="str">
        <f t="shared" si="385"/>
        <v/>
      </c>
      <c r="P2564" s="16" t="str">
        <f t="shared" si="385"/>
        <v/>
      </c>
      <c r="Q2564" s="16" t="str">
        <f t="shared" si="385"/>
        <v/>
      </c>
      <c r="R2564" s="5" t="str">
        <f t="shared" si="384"/>
        <v/>
      </c>
      <c r="S2564" s="5" t="str">
        <f t="shared" ref="S2564:S2627" si="388">IF(R2564&lt;&gt;"",B$12,"")</f>
        <v/>
      </c>
      <c r="T2564" s="5" t="str">
        <f t="shared" si="383"/>
        <v/>
      </c>
      <c r="U2564" s="5" t="str">
        <f t="shared" si="383"/>
        <v/>
      </c>
    </row>
    <row r="2565" spans="7:21" x14ac:dyDescent="0.2">
      <c r="G2565" s="8"/>
      <c r="H2565" s="5"/>
      <c r="J2565" s="10" t="str">
        <f t="shared" si="386"/>
        <v/>
      </c>
      <c r="K2565" s="10" t="str">
        <f t="shared" si="387"/>
        <v/>
      </c>
      <c r="L2565" s="11" t="str">
        <f t="shared" ref="L2565:L2628" si="389">IF(G2565&lt;&gt;"",J2565/K2565,"")</f>
        <v/>
      </c>
      <c r="M2565" s="9" t="str">
        <f>IF(G2565&lt;&gt;"",J2565/MAX(J$3:J2565)-1,"")</f>
        <v/>
      </c>
      <c r="N2565" s="9" t="str">
        <f>IF(G2565&lt;&gt;"",K2565/MAX(K$3:K2565)-1,"")</f>
        <v/>
      </c>
      <c r="O2565" s="16" t="str">
        <f t="shared" si="385"/>
        <v/>
      </c>
      <c r="P2565" s="16" t="str">
        <f t="shared" si="385"/>
        <v/>
      </c>
      <c r="Q2565" s="16" t="str">
        <f t="shared" si="385"/>
        <v/>
      </c>
      <c r="R2565" s="5" t="str">
        <f t="shared" si="384"/>
        <v/>
      </c>
      <c r="S2565" s="5" t="str">
        <f t="shared" si="388"/>
        <v/>
      </c>
      <c r="T2565" s="5" t="str">
        <f t="shared" si="383"/>
        <v/>
      </c>
      <c r="U2565" s="5" t="str">
        <f t="shared" si="383"/>
        <v/>
      </c>
    </row>
    <row r="2566" spans="7:21" x14ac:dyDescent="0.2">
      <c r="G2566" s="8"/>
      <c r="H2566" s="5"/>
      <c r="J2566" s="10" t="str">
        <f t="shared" si="386"/>
        <v/>
      </c>
      <c r="K2566" s="10" t="str">
        <f t="shared" si="387"/>
        <v/>
      </c>
      <c r="L2566" s="11" t="str">
        <f t="shared" si="389"/>
        <v/>
      </c>
      <c r="M2566" s="9" t="str">
        <f>IF(G2566&lt;&gt;"",J2566/MAX(J$3:J2566)-1,"")</f>
        <v/>
      </c>
      <c r="N2566" s="9" t="str">
        <f>IF(G2566&lt;&gt;"",K2566/MAX(K$3:K2566)-1,"")</f>
        <v/>
      </c>
      <c r="O2566" s="16" t="str">
        <f t="shared" si="385"/>
        <v/>
      </c>
      <c r="P2566" s="16" t="str">
        <f t="shared" si="385"/>
        <v/>
      </c>
      <c r="Q2566" s="16" t="str">
        <f t="shared" si="385"/>
        <v/>
      </c>
      <c r="R2566" s="5" t="str">
        <f t="shared" si="384"/>
        <v/>
      </c>
      <c r="S2566" s="5" t="str">
        <f t="shared" si="388"/>
        <v/>
      </c>
      <c r="T2566" s="5" t="str">
        <f t="shared" si="383"/>
        <v/>
      </c>
      <c r="U2566" s="5" t="str">
        <f t="shared" si="383"/>
        <v/>
      </c>
    </row>
    <row r="2567" spans="7:21" x14ac:dyDescent="0.2">
      <c r="G2567" s="8"/>
      <c r="H2567" s="5"/>
      <c r="J2567" s="10" t="str">
        <f t="shared" si="386"/>
        <v/>
      </c>
      <c r="K2567" s="10" t="str">
        <f t="shared" si="387"/>
        <v/>
      </c>
      <c r="L2567" s="11" t="str">
        <f t="shared" si="389"/>
        <v/>
      </c>
      <c r="M2567" s="9" t="str">
        <f>IF(G2567&lt;&gt;"",J2567/MAX(J$3:J2567)-1,"")</f>
        <v/>
      </c>
      <c r="N2567" s="9" t="str">
        <f>IF(G2567&lt;&gt;"",K2567/MAX(K$3:K2567)-1,"")</f>
        <v/>
      </c>
      <c r="O2567" s="16" t="str">
        <f t="shared" si="385"/>
        <v/>
      </c>
      <c r="P2567" s="16" t="str">
        <f t="shared" si="385"/>
        <v/>
      </c>
      <c r="Q2567" s="16" t="str">
        <f t="shared" si="385"/>
        <v/>
      </c>
      <c r="R2567" s="5" t="str">
        <f t="shared" si="384"/>
        <v/>
      </c>
      <c r="S2567" s="5" t="str">
        <f t="shared" si="388"/>
        <v/>
      </c>
      <c r="T2567" s="5" t="str">
        <f t="shared" si="383"/>
        <v/>
      </c>
      <c r="U2567" s="5" t="str">
        <f t="shared" si="383"/>
        <v/>
      </c>
    </row>
    <row r="2568" spans="7:21" x14ac:dyDescent="0.2">
      <c r="G2568" s="8"/>
      <c r="H2568" s="5"/>
      <c r="J2568" s="10" t="str">
        <f t="shared" si="386"/>
        <v/>
      </c>
      <c r="K2568" s="10" t="str">
        <f t="shared" si="387"/>
        <v/>
      </c>
      <c r="L2568" s="11" t="str">
        <f t="shared" si="389"/>
        <v/>
      </c>
      <c r="M2568" s="9" t="str">
        <f>IF(G2568&lt;&gt;"",J2568/MAX(J$3:J2568)-1,"")</f>
        <v/>
      </c>
      <c r="N2568" s="9" t="str">
        <f>IF(G2568&lt;&gt;"",K2568/MAX(K$3:K2568)-1,"")</f>
        <v/>
      </c>
      <c r="O2568" s="16" t="str">
        <f t="shared" si="385"/>
        <v/>
      </c>
      <c r="P2568" s="16" t="str">
        <f t="shared" si="385"/>
        <v/>
      </c>
      <c r="Q2568" s="16" t="str">
        <f t="shared" si="385"/>
        <v/>
      </c>
      <c r="R2568" s="5" t="str">
        <f t="shared" si="384"/>
        <v/>
      </c>
      <c r="S2568" s="5" t="str">
        <f t="shared" si="388"/>
        <v/>
      </c>
      <c r="T2568" s="5" t="str">
        <f t="shared" ref="T2568:U2583" si="390">IF($G2568&lt;&gt;"",_xlfn.STDEV.S(O2324:O2568),"")</f>
        <v/>
      </c>
      <c r="U2568" s="5" t="str">
        <f t="shared" si="390"/>
        <v/>
      </c>
    </row>
    <row r="2569" spans="7:21" x14ac:dyDescent="0.2">
      <c r="G2569" s="8"/>
      <c r="H2569" s="5"/>
      <c r="J2569" s="10" t="str">
        <f t="shared" si="386"/>
        <v/>
      </c>
      <c r="K2569" s="10" t="str">
        <f t="shared" si="387"/>
        <v/>
      </c>
      <c r="L2569" s="11" t="str">
        <f t="shared" si="389"/>
        <v/>
      </c>
      <c r="M2569" s="9" t="str">
        <f>IF(G2569&lt;&gt;"",J2569/MAX(J$3:J2569)-1,"")</f>
        <v/>
      </c>
      <c r="N2569" s="9" t="str">
        <f>IF(G2569&lt;&gt;"",K2569/MAX(K$3:K2569)-1,"")</f>
        <v/>
      </c>
      <c r="O2569" s="16" t="str">
        <f t="shared" si="385"/>
        <v/>
      </c>
      <c r="P2569" s="16" t="str">
        <f t="shared" si="385"/>
        <v/>
      </c>
      <c r="Q2569" s="16" t="str">
        <f t="shared" si="385"/>
        <v/>
      </c>
      <c r="R2569" s="5" t="str">
        <f t="shared" si="384"/>
        <v/>
      </c>
      <c r="S2569" s="5" t="str">
        <f t="shared" si="388"/>
        <v/>
      </c>
      <c r="T2569" s="5" t="str">
        <f t="shared" si="390"/>
        <v/>
      </c>
      <c r="U2569" s="5" t="str">
        <f t="shared" si="390"/>
        <v/>
      </c>
    </row>
    <row r="2570" spans="7:21" x14ac:dyDescent="0.2">
      <c r="G2570" s="8"/>
      <c r="H2570" s="5"/>
      <c r="J2570" s="10" t="str">
        <f t="shared" si="386"/>
        <v/>
      </c>
      <c r="K2570" s="10" t="str">
        <f t="shared" si="387"/>
        <v/>
      </c>
      <c r="L2570" s="11" t="str">
        <f t="shared" si="389"/>
        <v/>
      </c>
      <c r="M2570" s="9" t="str">
        <f>IF(G2570&lt;&gt;"",J2570/MAX(J$3:J2570)-1,"")</f>
        <v/>
      </c>
      <c r="N2570" s="9" t="str">
        <f>IF(G2570&lt;&gt;"",K2570/MAX(K$3:K2570)-1,"")</f>
        <v/>
      </c>
      <c r="O2570" s="16" t="str">
        <f t="shared" si="385"/>
        <v/>
      </c>
      <c r="P2570" s="16" t="str">
        <f t="shared" si="385"/>
        <v/>
      </c>
      <c r="Q2570" s="16" t="str">
        <f t="shared" si="385"/>
        <v/>
      </c>
      <c r="R2570" s="5" t="str">
        <f t="shared" si="384"/>
        <v/>
      </c>
      <c r="S2570" s="5" t="str">
        <f t="shared" si="388"/>
        <v/>
      </c>
      <c r="T2570" s="5" t="str">
        <f t="shared" si="390"/>
        <v/>
      </c>
      <c r="U2570" s="5" t="str">
        <f t="shared" si="390"/>
        <v/>
      </c>
    </row>
    <row r="2571" spans="7:21" x14ac:dyDescent="0.2">
      <c r="G2571" s="8"/>
      <c r="H2571" s="5"/>
      <c r="J2571" s="10" t="str">
        <f t="shared" si="386"/>
        <v/>
      </c>
      <c r="K2571" s="10" t="str">
        <f t="shared" si="387"/>
        <v/>
      </c>
      <c r="L2571" s="11" t="str">
        <f t="shared" si="389"/>
        <v/>
      </c>
      <c r="M2571" s="9" t="str">
        <f>IF(G2571&lt;&gt;"",J2571/MAX(J$3:J2571)-1,"")</f>
        <v/>
      </c>
      <c r="N2571" s="9" t="str">
        <f>IF(G2571&lt;&gt;"",K2571/MAX(K$3:K2571)-1,"")</f>
        <v/>
      </c>
      <c r="O2571" s="16" t="str">
        <f t="shared" si="385"/>
        <v/>
      </c>
      <c r="P2571" s="16" t="str">
        <f t="shared" si="385"/>
        <v/>
      </c>
      <c r="Q2571" s="16" t="str">
        <f t="shared" si="385"/>
        <v/>
      </c>
      <c r="R2571" s="5" t="str">
        <f t="shared" si="384"/>
        <v/>
      </c>
      <c r="S2571" s="5" t="str">
        <f t="shared" si="388"/>
        <v/>
      </c>
      <c r="T2571" s="5" t="str">
        <f t="shared" si="390"/>
        <v/>
      </c>
      <c r="U2571" s="5" t="str">
        <f t="shared" si="390"/>
        <v/>
      </c>
    </row>
    <row r="2572" spans="7:21" x14ac:dyDescent="0.2">
      <c r="G2572" s="8"/>
      <c r="H2572" s="5"/>
      <c r="J2572" s="10" t="str">
        <f t="shared" si="386"/>
        <v/>
      </c>
      <c r="K2572" s="10" t="str">
        <f t="shared" si="387"/>
        <v/>
      </c>
      <c r="L2572" s="11" t="str">
        <f t="shared" si="389"/>
        <v/>
      </c>
      <c r="M2572" s="9" t="str">
        <f>IF(G2572&lt;&gt;"",J2572/MAX(J$3:J2572)-1,"")</f>
        <v/>
      </c>
      <c r="N2572" s="9" t="str">
        <f>IF(G2572&lt;&gt;"",K2572/MAX(K$3:K2572)-1,"")</f>
        <v/>
      </c>
      <c r="O2572" s="16" t="str">
        <f t="shared" si="385"/>
        <v/>
      </c>
      <c r="P2572" s="16" t="str">
        <f t="shared" si="385"/>
        <v/>
      </c>
      <c r="Q2572" s="16" t="str">
        <f t="shared" si="385"/>
        <v/>
      </c>
      <c r="R2572" s="5" t="str">
        <f t="shared" si="384"/>
        <v/>
      </c>
      <c r="S2572" s="5" t="str">
        <f t="shared" si="388"/>
        <v/>
      </c>
      <c r="T2572" s="5" t="str">
        <f t="shared" si="390"/>
        <v/>
      </c>
      <c r="U2572" s="5" t="str">
        <f t="shared" si="390"/>
        <v/>
      </c>
    </row>
    <row r="2573" spans="7:21" x14ac:dyDescent="0.2">
      <c r="G2573" s="8"/>
      <c r="H2573" s="5"/>
      <c r="J2573" s="10" t="str">
        <f t="shared" si="386"/>
        <v/>
      </c>
      <c r="K2573" s="10" t="str">
        <f t="shared" si="387"/>
        <v/>
      </c>
      <c r="L2573" s="11" t="str">
        <f t="shared" si="389"/>
        <v/>
      </c>
      <c r="M2573" s="9" t="str">
        <f>IF(G2573&lt;&gt;"",J2573/MAX(J$3:J2573)-1,"")</f>
        <v/>
      </c>
      <c r="N2573" s="9" t="str">
        <f>IF(G2573&lt;&gt;"",K2573/MAX(K$3:K2573)-1,"")</f>
        <v/>
      </c>
      <c r="O2573" s="16" t="str">
        <f t="shared" si="385"/>
        <v/>
      </c>
      <c r="P2573" s="16" t="str">
        <f t="shared" si="385"/>
        <v/>
      </c>
      <c r="Q2573" s="16" t="str">
        <f t="shared" si="385"/>
        <v/>
      </c>
      <c r="R2573" s="5" t="str">
        <f t="shared" si="384"/>
        <v/>
      </c>
      <c r="S2573" s="5" t="str">
        <f t="shared" si="388"/>
        <v/>
      </c>
      <c r="T2573" s="5" t="str">
        <f t="shared" si="390"/>
        <v/>
      </c>
      <c r="U2573" s="5" t="str">
        <f t="shared" si="390"/>
        <v/>
      </c>
    </row>
    <row r="2574" spans="7:21" x14ac:dyDescent="0.2">
      <c r="G2574" s="8"/>
      <c r="H2574" s="5"/>
      <c r="J2574" s="10" t="str">
        <f t="shared" si="386"/>
        <v/>
      </c>
      <c r="K2574" s="10" t="str">
        <f t="shared" si="387"/>
        <v/>
      </c>
      <c r="L2574" s="11" t="str">
        <f t="shared" si="389"/>
        <v/>
      </c>
      <c r="M2574" s="9" t="str">
        <f>IF(G2574&lt;&gt;"",J2574/MAX(J$3:J2574)-1,"")</f>
        <v/>
      </c>
      <c r="N2574" s="9" t="str">
        <f>IF(G2574&lt;&gt;"",K2574/MAX(K$3:K2574)-1,"")</f>
        <v/>
      </c>
      <c r="O2574" s="16" t="str">
        <f t="shared" si="385"/>
        <v/>
      </c>
      <c r="P2574" s="16" t="str">
        <f t="shared" si="385"/>
        <v/>
      </c>
      <c r="Q2574" s="16" t="str">
        <f t="shared" si="385"/>
        <v/>
      </c>
      <c r="R2574" s="5" t="str">
        <f t="shared" si="384"/>
        <v/>
      </c>
      <c r="S2574" s="5" t="str">
        <f t="shared" si="388"/>
        <v/>
      </c>
      <c r="T2574" s="5" t="str">
        <f t="shared" si="390"/>
        <v/>
      </c>
      <c r="U2574" s="5" t="str">
        <f t="shared" si="390"/>
        <v/>
      </c>
    </row>
    <row r="2575" spans="7:21" x14ac:dyDescent="0.2">
      <c r="G2575" s="8"/>
      <c r="H2575" s="5"/>
      <c r="J2575" s="10" t="str">
        <f t="shared" si="386"/>
        <v/>
      </c>
      <c r="K2575" s="10" t="str">
        <f t="shared" si="387"/>
        <v/>
      </c>
      <c r="L2575" s="11" t="str">
        <f t="shared" si="389"/>
        <v/>
      </c>
      <c r="M2575" s="9" t="str">
        <f>IF(G2575&lt;&gt;"",J2575/MAX(J$3:J2575)-1,"")</f>
        <v/>
      </c>
      <c r="N2575" s="9" t="str">
        <f>IF(G2575&lt;&gt;"",K2575/MAX(K$3:K2575)-1,"")</f>
        <v/>
      </c>
      <c r="O2575" s="16" t="str">
        <f t="shared" si="385"/>
        <v/>
      </c>
      <c r="P2575" s="16" t="str">
        <f t="shared" si="385"/>
        <v/>
      </c>
      <c r="Q2575" s="16" t="str">
        <f t="shared" si="385"/>
        <v/>
      </c>
      <c r="R2575" s="5" t="str">
        <f t="shared" si="384"/>
        <v/>
      </c>
      <c r="S2575" s="5" t="str">
        <f t="shared" si="388"/>
        <v/>
      </c>
      <c r="T2575" s="5" t="str">
        <f t="shared" si="390"/>
        <v/>
      </c>
      <c r="U2575" s="5" t="str">
        <f t="shared" si="390"/>
        <v/>
      </c>
    </row>
    <row r="2576" spans="7:21" x14ac:dyDescent="0.2">
      <c r="G2576" s="8"/>
      <c r="H2576" s="5"/>
      <c r="J2576" s="10" t="str">
        <f t="shared" si="386"/>
        <v/>
      </c>
      <c r="K2576" s="10" t="str">
        <f t="shared" si="387"/>
        <v/>
      </c>
      <c r="L2576" s="11" t="str">
        <f t="shared" si="389"/>
        <v/>
      </c>
      <c r="M2576" s="9" t="str">
        <f>IF(G2576&lt;&gt;"",J2576/MAX(J$3:J2576)-1,"")</f>
        <v/>
      </c>
      <c r="N2576" s="9" t="str">
        <f>IF(G2576&lt;&gt;"",K2576/MAX(K$3:K2576)-1,"")</f>
        <v/>
      </c>
      <c r="O2576" s="16" t="str">
        <f t="shared" si="385"/>
        <v/>
      </c>
      <c r="P2576" s="16" t="str">
        <f t="shared" si="385"/>
        <v/>
      </c>
      <c r="Q2576" s="16" t="str">
        <f t="shared" si="385"/>
        <v/>
      </c>
      <c r="R2576" s="5" t="str">
        <f t="shared" si="384"/>
        <v/>
      </c>
      <c r="S2576" s="5" t="str">
        <f t="shared" si="388"/>
        <v/>
      </c>
      <c r="T2576" s="5" t="str">
        <f t="shared" si="390"/>
        <v/>
      </c>
      <c r="U2576" s="5" t="str">
        <f t="shared" si="390"/>
        <v/>
      </c>
    </row>
    <row r="2577" spans="7:21" x14ac:dyDescent="0.2">
      <c r="G2577" s="8"/>
      <c r="H2577" s="5"/>
      <c r="J2577" s="10" t="str">
        <f t="shared" si="386"/>
        <v/>
      </c>
      <c r="K2577" s="10" t="str">
        <f t="shared" si="387"/>
        <v/>
      </c>
      <c r="L2577" s="11" t="str">
        <f t="shared" si="389"/>
        <v/>
      </c>
      <c r="M2577" s="9" t="str">
        <f>IF(G2577&lt;&gt;"",J2577/MAX(J$3:J2577)-1,"")</f>
        <v/>
      </c>
      <c r="N2577" s="9" t="str">
        <f>IF(G2577&lt;&gt;"",K2577/MAX(K$3:K2577)-1,"")</f>
        <v/>
      </c>
      <c r="O2577" s="16" t="str">
        <f t="shared" si="385"/>
        <v/>
      </c>
      <c r="P2577" s="16" t="str">
        <f t="shared" si="385"/>
        <v/>
      </c>
      <c r="Q2577" s="16" t="str">
        <f t="shared" si="385"/>
        <v/>
      </c>
      <c r="R2577" s="5" t="str">
        <f t="shared" si="384"/>
        <v/>
      </c>
      <c r="S2577" s="5" t="str">
        <f t="shared" si="388"/>
        <v/>
      </c>
      <c r="T2577" s="5" t="str">
        <f t="shared" si="390"/>
        <v/>
      </c>
      <c r="U2577" s="5" t="str">
        <f t="shared" si="390"/>
        <v/>
      </c>
    </row>
    <row r="2578" spans="7:21" x14ac:dyDescent="0.2">
      <c r="G2578" s="8"/>
      <c r="H2578" s="5"/>
      <c r="J2578" s="10" t="str">
        <f t="shared" si="386"/>
        <v/>
      </c>
      <c r="K2578" s="10" t="str">
        <f t="shared" si="387"/>
        <v/>
      </c>
      <c r="L2578" s="11" t="str">
        <f t="shared" si="389"/>
        <v/>
      </c>
      <c r="M2578" s="9" t="str">
        <f>IF(G2578&lt;&gt;"",J2578/MAX(J$3:J2578)-1,"")</f>
        <v/>
      </c>
      <c r="N2578" s="9" t="str">
        <f>IF(G2578&lt;&gt;"",K2578/MAX(K$3:K2578)-1,"")</f>
        <v/>
      </c>
      <c r="O2578" s="16" t="str">
        <f t="shared" si="385"/>
        <v/>
      </c>
      <c r="P2578" s="16" t="str">
        <f t="shared" si="385"/>
        <v/>
      </c>
      <c r="Q2578" s="16" t="str">
        <f t="shared" si="385"/>
        <v/>
      </c>
      <c r="R2578" s="5" t="str">
        <f t="shared" si="384"/>
        <v/>
      </c>
      <c r="S2578" s="5" t="str">
        <f t="shared" si="388"/>
        <v/>
      </c>
      <c r="T2578" s="5" t="str">
        <f t="shared" si="390"/>
        <v/>
      </c>
      <c r="U2578" s="5" t="str">
        <f t="shared" si="390"/>
        <v/>
      </c>
    </row>
    <row r="2579" spans="7:21" x14ac:dyDescent="0.2">
      <c r="G2579" s="8"/>
      <c r="H2579" s="5"/>
      <c r="J2579" s="10" t="str">
        <f t="shared" si="386"/>
        <v/>
      </c>
      <c r="K2579" s="10" t="str">
        <f t="shared" si="387"/>
        <v/>
      </c>
      <c r="L2579" s="11" t="str">
        <f t="shared" si="389"/>
        <v/>
      </c>
      <c r="M2579" s="9" t="str">
        <f>IF(G2579&lt;&gt;"",J2579/MAX(J$3:J2579)-1,"")</f>
        <v/>
      </c>
      <c r="N2579" s="9" t="str">
        <f>IF(G2579&lt;&gt;"",K2579/MAX(K$3:K2579)-1,"")</f>
        <v/>
      </c>
      <c r="O2579" s="16" t="str">
        <f t="shared" si="385"/>
        <v/>
      </c>
      <c r="P2579" s="16" t="str">
        <f t="shared" si="385"/>
        <v/>
      </c>
      <c r="Q2579" s="16" t="str">
        <f t="shared" si="385"/>
        <v/>
      </c>
      <c r="R2579" s="5" t="str">
        <f t="shared" si="384"/>
        <v/>
      </c>
      <c r="S2579" s="5" t="str">
        <f t="shared" si="388"/>
        <v/>
      </c>
      <c r="T2579" s="5" t="str">
        <f t="shared" si="390"/>
        <v/>
      </c>
      <c r="U2579" s="5" t="str">
        <f t="shared" si="390"/>
        <v/>
      </c>
    </row>
    <row r="2580" spans="7:21" x14ac:dyDescent="0.2">
      <c r="G2580" s="8"/>
      <c r="H2580" s="5"/>
      <c r="J2580" s="10" t="str">
        <f t="shared" si="386"/>
        <v/>
      </c>
      <c r="K2580" s="10" t="str">
        <f t="shared" si="387"/>
        <v/>
      </c>
      <c r="L2580" s="11" t="str">
        <f t="shared" si="389"/>
        <v/>
      </c>
      <c r="M2580" s="9" t="str">
        <f>IF(G2580&lt;&gt;"",J2580/MAX(J$3:J2580)-1,"")</f>
        <v/>
      </c>
      <c r="N2580" s="9" t="str">
        <f>IF(G2580&lt;&gt;"",K2580/MAX(K$3:K2580)-1,"")</f>
        <v/>
      </c>
      <c r="O2580" s="16" t="str">
        <f t="shared" si="385"/>
        <v/>
      </c>
      <c r="P2580" s="16" t="str">
        <f t="shared" si="385"/>
        <v/>
      </c>
      <c r="Q2580" s="16" t="str">
        <f t="shared" si="385"/>
        <v/>
      </c>
      <c r="R2580" s="5" t="str">
        <f t="shared" si="384"/>
        <v/>
      </c>
      <c r="S2580" s="5" t="str">
        <f t="shared" si="388"/>
        <v/>
      </c>
      <c r="T2580" s="5" t="str">
        <f t="shared" si="390"/>
        <v/>
      </c>
      <c r="U2580" s="5" t="str">
        <f t="shared" si="390"/>
        <v/>
      </c>
    </row>
    <row r="2581" spans="7:21" x14ac:dyDescent="0.2">
      <c r="G2581" s="8"/>
      <c r="H2581" s="5"/>
      <c r="J2581" s="10" t="str">
        <f t="shared" si="386"/>
        <v/>
      </c>
      <c r="K2581" s="10" t="str">
        <f t="shared" si="387"/>
        <v/>
      </c>
      <c r="L2581" s="11" t="str">
        <f t="shared" si="389"/>
        <v/>
      </c>
      <c r="M2581" s="9" t="str">
        <f>IF(G2581&lt;&gt;"",J2581/MAX(J$3:J2581)-1,"")</f>
        <v/>
      </c>
      <c r="N2581" s="9" t="str">
        <f>IF(G2581&lt;&gt;"",K2581/MAX(K$3:K2581)-1,"")</f>
        <v/>
      </c>
      <c r="O2581" s="16" t="str">
        <f t="shared" si="385"/>
        <v/>
      </c>
      <c r="P2581" s="16" t="str">
        <f t="shared" si="385"/>
        <v/>
      </c>
      <c r="Q2581" s="16" t="str">
        <f t="shared" si="385"/>
        <v/>
      </c>
      <c r="R2581" s="5" t="str">
        <f t="shared" si="384"/>
        <v/>
      </c>
      <c r="S2581" s="5" t="str">
        <f t="shared" si="388"/>
        <v/>
      </c>
      <c r="T2581" s="5" t="str">
        <f t="shared" si="390"/>
        <v/>
      </c>
      <c r="U2581" s="5" t="str">
        <f t="shared" si="390"/>
        <v/>
      </c>
    </row>
    <row r="2582" spans="7:21" x14ac:dyDescent="0.2">
      <c r="G2582" s="8"/>
      <c r="H2582" s="5"/>
      <c r="J2582" s="10" t="str">
        <f t="shared" si="386"/>
        <v/>
      </c>
      <c r="K2582" s="10" t="str">
        <f t="shared" si="387"/>
        <v/>
      </c>
      <c r="L2582" s="11" t="str">
        <f t="shared" si="389"/>
        <v/>
      </c>
      <c r="M2582" s="9" t="str">
        <f>IF(G2582&lt;&gt;"",J2582/MAX(J$3:J2582)-1,"")</f>
        <v/>
      </c>
      <c r="N2582" s="9" t="str">
        <f>IF(G2582&lt;&gt;"",K2582/MAX(K$3:K2582)-1,"")</f>
        <v/>
      </c>
      <c r="O2582" s="16" t="str">
        <f t="shared" si="385"/>
        <v/>
      </c>
      <c r="P2582" s="16" t="str">
        <f t="shared" si="385"/>
        <v/>
      </c>
      <c r="Q2582" s="16" t="str">
        <f t="shared" si="385"/>
        <v/>
      </c>
      <c r="R2582" s="5" t="str">
        <f t="shared" si="384"/>
        <v/>
      </c>
      <c r="S2582" s="5" t="str">
        <f t="shared" si="388"/>
        <v/>
      </c>
      <c r="T2582" s="5" t="str">
        <f t="shared" si="390"/>
        <v/>
      </c>
      <c r="U2582" s="5" t="str">
        <f t="shared" si="390"/>
        <v/>
      </c>
    </row>
    <row r="2583" spans="7:21" x14ac:dyDescent="0.2">
      <c r="G2583" s="8"/>
      <c r="H2583" s="5"/>
      <c r="J2583" s="10" t="str">
        <f t="shared" si="386"/>
        <v/>
      </c>
      <c r="K2583" s="10" t="str">
        <f t="shared" si="387"/>
        <v/>
      </c>
      <c r="L2583" s="11" t="str">
        <f t="shared" si="389"/>
        <v/>
      </c>
      <c r="M2583" s="9" t="str">
        <f>IF(G2583&lt;&gt;"",J2583/MAX(J$3:J2583)-1,"")</f>
        <v/>
      </c>
      <c r="N2583" s="9" t="str">
        <f>IF(G2583&lt;&gt;"",K2583/MAX(K$3:K2583)-1,"")</f>
        <v/>
      </c>
      <c r="O2583" s="16" t="str">
        <f t="shared" si="385"/>
        <v/>
      </c>
      <c r="P2583" s="16" t="str">
        <f t="shared" si="385"/>
        <v/>
      </c>
      <c r="Q2583" s="16" t="str">
        <f t="shared" si="385"/>
        <v/>
      </c>
      <c r="R2583" s="5" t="str">
        <f t="shared" si="384"/>
        <v/>
      </c>
      <c r="S2583" s="5" t="str">
        <f t="shared" si="388"/>
        <v/>
      </c>
      <c r="T2583" s="5" t="str">
        <f t="shared" si="390"/>
        <v/>
      </c>
      <c r="U2583" s="5" t="str">
        <f t="shared" si="390"/>
        <v/>
      </c>
    </row>
    <row r="2584" spans="7:21" x14ac:dyDescent="0.2">
      <c r="G2584" s="8"/>
      <c r="H2584" s="5"/>
      <c r="J2584" s="10" t="str">
        <f t="shared" si="386"/>
        <v/>
      </c>
      <c r="K2584" s="10" t="str">
        <f t="shared" si="387"/>
        <v/>
      </c>
      <c r="L2584" s="11" t="str">
        <f t="shared" si="389"/>
        <v/>
      </c>
      <c r="M2584" s="9" t="str">
        <f>IF(G2584&lt;&gt;"",J2584/MAX(J$3:J2584)-1,"")</f>
        <v/>
      </c>
      <c r="N2584" s="9" t="str">
        <f>IF(G2584&lt;&gt;"",K2584/MAX(K$3:K2584)-1,"")</f>
        <v/>
      </c>
      <c r="O2584" s="16" t="str">
        <f t="shared" si="385"/>
        <v/>
      </c>
      <c r="P2584" s="16" t="str">
        <f t="shared" si="385"/>
        <v/>
      </c>
      <c r="Q2584" s="16" t="str">
        <f t="shared" si="385"/>
        <v/>
      </c>
      <c r="R2584" s="5" t="str">
        <f t="shared" si="384"/>
        <v/>
      </c>
      <c r="S2584" s="5" t="str">
        <f t="shared" si="388"/>
        <v/>
      </c>
      <c r="T2584" s="5" t="str">
        <f t="shared" ref="T2584:U2599" si="391">IF($G2584&lt;&gt;"",_xlfn.STDEV.S(O2340:O2584),"")</f>
        <v/>
      </c>
      <c r="U2584" s="5" t="str">
        <f t="shared" si="391"/>
        <v/>
      </c>
    </row>
    <row r="2585" spans="7:21" x14ac:dyDescent="0.2">
      <c r="G2585" s="8"/>
      <c r="H2585" s="5"/>
      <c r="J2585" s="10" t="str">
        <f t="shared" si="386"/>
        <v/>
      </c>
      <c r="K2585" s="10" t="str">
        <f t="shared" si="387"/>
        <v/>
      </c>
      <c r="L2585" s="11" t="str">
        <f t="shared" si="389"/>
        <v/>
      </c>
      <c r="M2585" s="9" t="str">
        <f>IF(G2585&lt;&gt;"",J2585/MAX(J$3:J2585)-1,"")</f>
        <v/>
      </c>
      <c r="N2585" s="9" t="str">
        <f>IF(G2585&lt;&gt;"",K2585/MAX(K$3:K2585)-1,"")</f>
        <v/>
      </c>
      <c r="O2585" s="16" t="str">
        <f t="shared" si="385"/>
        <v/>
      </c>
      <c r="P2585" s="16" t="str">
        <f t="shared" si="385"/>
        <v/>
      </c>
      <c r="Q2585" s="16" t="str">
        <f t="shared" si="385"/>
        <v/>
      </c>
      <c r="R2585" s="5" t="str">
        <f t="shared" si="384"/>
        <v/>
      </c>
      <c r="S2585" s="5" t="str">
        <f t="shared" si="388"/>
        <v/>
      </c>
      <c r="T2585" s="5" t="str">
        <f t="shared" si="391"/>
        <v/>
      </c>
      <c r="U2585" s="5" t="str">
        <f t="shared" si="391"/>
        <v/>
      </c>
    </row>
    <row r="2586" spans="7:21" x14ac:dyDescent="0.2">
      <c r="G2586" s="8"/>
      <c r="H2586" s="5"/>
      <c r="J2586" s="10" t="str">
        <f t="shared" si="386"/>
        <v/>
      </c>
      <c r="K2586" s="10" t="str">
        <f t="shared" si="387"/>
        <v/>
      </c>
      <c r="L2586" s="11" t="str">
        <f t="shared" si="389"/>
        <v/>
      </c>
      <c r="M2586" s="9" t="str">
        <f>IF(G2586&lt;&gt;"",J2586/MAX(J$3:J2586)-1,"")</f>
        <v/>
      </c>
      <c r="N2586" s="9" t="str">
        <f>IF(G2586&lt;&gt;"",K2586/MAX(K$3:K2586)-1,"")</f>
        <v/>
      </c>
      <c r="O2586" s="16" t="str">
        <f t="shared" si="385"/>
        <v/>
      </c>
      <c r="P2586" s="16" t="str">
        <f t="shared" si="385"/>
        <v/>
      </c>
      <c r="Q2586" s="16" t="str">
        <f t="shared" si="385"/>
        <v/>
      </c>
      <c r="R2586" s="5" t="str">
        <f t="shared" si="384"/>
        <v/>
      </c>
      <c r="S2586" s="5" t="str">
        <f t="shared" si="388"/>
        <v/>
      </c>
      <c r="T2586" s="5" t="str">
        <f t="shared" si="391"/>
        <v/>
      </c>
      <c r="U2586" s="5" t="str">
        <f t="shared" si="391"/>
        <v/>
      </c>
    </row>
    <row r="2587" spans="7:21" x14ac:dyDescent="0.2">
      <c r="G2587" s="8"/>
      <c r="H2587" s="5"/>
      <c r="J2587" s="10" t="str">
        <f t="shared" si="386"/>
        <v/>
      </c>
      <c r="K2587" s="10" t="str">
        <f t="shared" si="387"/>
        <v/>
      </c>
      <c r="L2587" s="11" t="str">
        <f t="shared" si="389"/>
        <v/>
      </c>
      <c r="M2587" s="9" t="str">
        <f>IF(G2587&lt;&gt;"",J2587/MAX(J$3:J2587)-1,"")</f>
        <v/>
      </c>
      <c r="N2587" s="9" t="str">
        <f>IF(G2587&lt;&gt;"",K2587/MAX(K$3:K2587)-1,"")</f>
        <v/>
      </c>
      <c r="O2587" s="16" t="str">
        <f t="shared" si="385"/>
        <v/>
      </c>
      <c r="P2587" s="16" t="str">
        <f t="shared" si="385"/>
        <v/>
      </c>
      <c r="Q2587" s="16" t="str">
        <f t="shared" si="385"/>
        <v/>
      </c>
      <c r="R2587" s="5" t="str">
        <f t="shared" si="384"/>
        <v/>
      </c>
      <c r="S2587" s="5" t="str">
        <f t="shared" si="388"/>
        <v/>
      </c>
      <c r="T2587" s="5" t="str">
        <f t="shared" si="391"/>
        <v/>
      </c>
      <c r="U2587" s="5" t="str">
        <f t="shared" si="391"/>
        <v/>
      </c>
    </row>
    <row r="2588" spans="7:21" x14ac:dyDescent="0.2">
      <c r="G2588" s="8"/>
      <c r="H2588" s="5"/>
      <c r="J2588" s="10" t="str">
        <f t="shared" si="386"/>
        <v/>
      </c>
      <c r="K2588" s="10" t="str">
        <f t="shared" si="387"/>
        <v/>
      </c>
      <c r="L2588" s="11" t="str">
        <f t="shared" si="389"/>
        <v/>
      </c>
      <c r="M2588" s="9" t="str">
        <f>IF(G2588&lt;&gt;"",J2588/MAX(J$3:J2588)-1,"")</f>
        <v/>
      </c>
      <c r="N2588" s="9" t="str">
        <f>IF(G2588&lt;&gt;"",K2588/MAX(K$3:K2588)-1,"")</f>
        <v/>
      </c>
      <c r="O2588" s="16" t="str">
        <f t="shared" si="385"/>
        <v/>
      </c>
      <c r="P2588" s="16" t="str">
        <f t="shared" si="385"/>
        <v/>
      </c>
      <c r="Q2588" s="16" t="str">
        <f t="shared" si="385"/>
        <v/>
      </c>
      <c r="R2588" s="5" t="str">
        <f t="shared" si="384"/>
        <v/>
      </c>
      <c r="S2588" s="5" t="str">
        <f t="shared" si="388"/>
        <v/>
      </c>
      <c r="T2588" s="5" t="str">
        <f t="shared" si="391"/>
        <v/>
      </c>
      <c r="U2588" s="5" t="str">
        <f t="shared" si="391"/>
        <v/>
      </c>
    </row>
    <row r="2589" spans="7:21" x14ac:dyDescent="0.2">
      <c r="G2589" s="8"/>
      <c r="H2589" s="5"/>
      <c r="J2589" s="10" t="str">
        <f t="shared" si="386"/>
        <v/>
      </c>
      <c r="K2589" s="10" t="str">
        <f t="shared" si="387"/>
        <v/>
      </c>
      <c r="L2589" s="11" t="str">
        <f t="shared" si="389"/>
        <v/>
      </c>
      <c r="M2589" s="9" t="str">
        <f>IF(G2589&lt;&gt;"",J2589/MAX(J$3:J2589)-1,"")</f>
        <v/>
      </c>
      <c r="N2589" s="9" t="str">
        <f>IF(G2589&lt;&gt;"",K2589/MAX(K$3:K2589)-1,"")</f>
        <v/>
      </c>
      <c r="O2589" s="16" t="str">
        <f t="shared" si="385"/>
        <v/>
      </c>
      <c r="P2589" s="16" t="str">
        <f t="shared" si="385"/>
        <v/>
      </c>
      <c r="Q2589" s="16" t="str">
        <f t="shared" si="385"/>
        <v/>
      </c>
      <c r="R2589" s="5" t="str">
        <f t="shared" si="384"/>
        <v/>
      </c>
      <c r="S2589" s="5" t="str">
        <f t="shared" si="388"/>
        <v/>
      </c>
      <c r="T2589" s="5" t="str">
        <f t="shared" si="391"/>
        <v/>
      </c>
      <c r="U2589" s="5" t="str">
        <f t="shared" si="391"/>
        <v/>
      </c>
    </row>
    <row r="2590" spans="7:21" x14ac:dyDescent="0.2">
      <c r="G2590" s="8"/>
      <c r="H2590" s="5"/>
      <c r="J2590" s="10" t="str">
        <f t="shared" si="386"/>
        <v/>
      </c>
      <c r="K2590" s="10" t="str">
        <f t="shared" si="387"/>
        <v/>
      </c>
      <c r="L2590" s="11" t="str">
        <f t="shared" si="389"/>
        <v/>
      </c>
      <c r="M2590" s="9" t="str">
        <f>IF(G2590&lt;&gt;"",J2590/MAX(J$3:J2590)-1,"")</f>
        <v/>
      </c>
      <c r="N2590" s="9" t="str">
        <f>IF(G2590&lt;&gt;"",K2590/MAX(K$3:K2590)-1,"")</f>
        <v/>
      </c>
      <c r="O2590" s="16" t="str">
        <f t="shared" si="385"/>
        <v/>
      </c>
      <c r="P2590" s="16" t="str">
        <f t="shared" si="385"/>
        <v/>
      </c>
      <c r="Q2590" s="16" t="str">
        <f t="shared" si="385"/>
        <v/>
      </c>
      <c r="R2590" s="5" t="str">
        <f t="shared" si="384"/>
        <v/>
      </c>
      <c r="S2590" s="5" t="str">
        <f t="shared" si="388"/>
        <v/>
      </c>
      <c r="T2590" s="5" t="str">
        <f t="shared" si="391"/>
        <v/>
      </c>
      <c r="U2590" s="5" t="str">
        <f t="shared" si="391"/>
        <v/>
      </c>
    </row>
    <row r="2591" spans="7:21" x14ac:dyDescent="0.2">
      <c r="G2591" s="8"/>
      <c r="H2591" s="5"/>
      <c r="J2591" s="10" t="str">
        <f t="shared" si="386"/>
        <v/>
      </c>
      <c r="K2591" s="10" t="str">
        <f t="shared" si="387"/>
        <v/>
      </c>
      <c r="L2591" s="11" t="str">
        <f t="shared" si="389"/>
        <v/>
      </c>
      <c r="M2591" s="9" t="str">
        <f>IF(G2591&lt;&gt;"",J2591/MAX(J$3:J2591)-1,"")</f>
        <v/>
      </c>
      <c r="N2591" s="9" t="str">
        <f>IF(G2591&lt;&gt;"",K2591/MAX(K$3:K2591)-1,"")</f>
        <v/>
      </c>
      <c r="O2591" s="16" t="str">
        <f t="shared" si="385"/>
        <v/>
      </c>
      <c r="P2591" s="16" t="str">
        <f t="shared" si="385"/>
        <v/>
      </c>
      <c r="Q2591" s="16" t="str">
        <f t="shared" si="385"/>
        <v/>
      </c>
      <c r="R2591" s="5" t="str">
        <f t="shared" si="384"/>
        <v/>
      </c>
      <c r="S2591" s="5" t="str">
        <f t="shared" si="388"/>
        <v/>
      </c>
      <c r="T2591" s="5" t="str">
        <f t="shared" si="391"/>
        <v/>
      </c>
      <c r="U2591" s="5" t="str">
        <f t="shared" si="391"/>
        <v/>
      </c>
    </row>
    <row r="2592" spans="7:21" x14ac:dyDescent="0.2">
      <c r="G2592" s="8"/>
      <c r="H2592" s="5"/>
      <c r="J2592" s="10" t="str">
        <f t="shared" si="386"/>
        <v/>
      </c>
      <c r="K2592" s="10" t="str">
        <f t="shared" si="387"/>
        <v/>
      </c>
      <c r="L2592" s="11" t="str">
        <f t="shared" si="389"/>
        <v/>
      </c>
      <c r="M2592" s="9" t="str">
        <f>IF(G2592&lt;&gt;"",J2592/MAX(J$3:J2592)-1,"")</f>
        <v/>
      </c>
      <c r="N2592" s="9" t="str">
        <f>IF(G2592&lt;&gt;"",K2592/MAX(K$3:K2592)-1,"")</f>
        <v/>
      </c>
      <c r="O2592" s="16" t="str">
        <f t="shared" si="385"/>
        <v/>
      </c>
      <c r="P2592" s="16" t="str">
        <f t="shared" si="385"/>
        <v/>
      </c>
      <c r="Q2592" s="16" t="str">
        <f t="shared" si="385"/>
        <v/>
      </c>
      <c r="R2592" s="5" t="str">
        <f t="shared" si="384"/>
        <v/>
      </c>
      <c r="S2592" s="5" t="str">
        <f t="shared" si="388"/>
        <v/>
      </c>
      <c r="T2592" s="5" t="str">
        <f t="shared" si="391"/>
        <v/>
      </c>
      <c r="U2592" s="5" t="str">
        <f t="shared" si="391"/>
        <v/>
      </c>
    </row>
    <row r="2593" spans="7:21" x14ac:dyDescent="0.2">
      <c r="G2593" s="8"/>
      <c r="H2593" s="5"/>
      <c r="J2593" s="10" t="str">
        <f t="shared" si="386"/>
        <v/>
      </c>
      <c r="K2593" s="10" t="str">
        <f t="shared" si="387"/>
        <v/>
      </c>
      <c r="L2593" s="11" t="str">
        <f t="shared" si="389"/>
        <v/>
      </c>
      <c r="M2593" s="9" t="str">
        <f>IF(G2593&lt;&gt;"",J2593/MAX(J$3:J2593)-1,"")</f>
        <v/>
      </c>
      <c r="N2593" s="9" t="str">
        <f>IF(G2593&lt;&gt;"",K2593/MAX(K$3:K2593)-1,"")</f>
        <v/>
      </c>
      <c r="O2593" s="16" t="str">
        <f t="shared" si="385"/>
        <v/>
      </c>
      <c r="P2593" s="16" t="str">
        <f t="shared" si="385"/>
        <v/>
      </c>
      <c r="Q2593" s="16" t="str">
        <f t="shared" si="385"/>
        <v/>
      </c>
      <c r="R2593" s="5" t="str">
        <f t="shared" si="384"/>
        <v/>
      </c>
      <c r="S2593" s="5" t="str">
        <f t="shared" si="388"/>
        <v/>
      </c>
      <c r="T2593" s="5" t="str">
        <f t="shared" si="391"/>
        <v/>
      </c>
      <c r="U2593" s="5" t="str">
        <f t="shared" si="391"/>
        <v/>
      </c>
    </row>
    <row r="2594" spans="7:21" x14ac:dyDescent="0.2">
      <c r="G2594" s="8"/>
      <c r="H2594" s="5"/>
      <c r="J2594" s="10" t="str">
        <f t="shared" si="386"/>
        <v/>
      </c>
      <c r="K2594" s="10" t="str">
        <f t="shared" si="387"/>
        <v/>
      </c>
      <c r="L2594" s="11" t="str">
        <f t="shared" si="389"/>
        <v/>
      </c>
      <c r="M2594" s="9" t="str">
        <f>IF(G2594&lt;&gt;"",J2594/MAX(J$3:J2594)-1,"")</f>
        <v/>
      </c>
      <c r="N2594" s="9" t="str">
        <f>IF(G2594&lt;&gt;"",K2594/MAX(K$3:K2594)-1,"")</f>
        <v/>
      </c>
      <c r="O2594" s="16" t="str">
        <f t="shared" si="385"/>
        <v/>
      </c>
      <c r="P2594" s="16" t="str">
        <f t="shared" si="385"/>
        <v/>
      </c>
      <c r="Q2594" s="16" t="str">
        <f t="shared" si="385"/>
        <v/>
      </c>
      <c r="R2594" s="5" t="str">
        <f t="shared" si="384"/>
        <v/>
      </c>
      <c r="S2594" s="5" t="str">
        <f t="shared" si="388"/>
        <v/>
      </c>
      <c r="T2594" s="5" t="str">
        <f t="shared" si="391"/>
        <v/>
      </c>
      <c r="U2594" s="5" t="str">
        <f t="shared" si="391"/>
        <v/>
      </c>
    </row>
    <row r="2595" spans="7:21" x14ac:dyDescent="0.2">
      <c r="G2595" s="8"/>
      <c r="H2595" s="5"/>
      <c r="J2595" s="10" t="str">
        <f t="shared" si="386"/>
        <v/>
      </c>
      <c r="K2595" s="10" t="str">
        <f t="shared" si="387"/>
        <v/>
      </c>
      <c r="L2595" s="11" t="str">
        <f t="shared" si="389"/>
        <v/>
      </c>
      <c r="M2595" s="9" t="str">
        <f>IF(G2595&lt;&gt;"",J2595/MAX(J$3:J2595)-1,"")</f>
        <v/>
      </c>
      <c r="N2595" s="9" t="str">
        <f>IF(G2595&lt;&gt;"",K2595/MAX(K$3:K2595)-1,"")</f>
        <v/>
      </c>
      <c r="O2595" s="16" t="str">
        <f t="shared" si="385"/>
        <v/>
      </c>
      <c r="P2595" s="16" t="str">
        <f t="shared" si="385"/>
        <v/>
      </c>
      <c r="Q2595" s="16" t="str">
        <f t="shared" si="385"/>
        <v/>
      </c>
      <c r="R2595" s="5" t="str">
        <f t="shared" si="384"/>
        <v/>
      </c>
      <c r="S2595" s="5" t="str">
        <f t="shared" si="388"/>
        <v/>
      </c>
      <c r="T2595" s="5" t="str">
        <f t="shared" si="391"/>
        <v/>
      </c>
      <c r="U2595" s="5" t="str">
        <f t="shared" si="391"/>
        <v/>
      </c>
    </row>
    <row r="2596" spans="7:21" x14ac:dyDescent="0.2">
      <c r="G2596" s="8"/>
      <c r="H2596" s="5"/>
      <c r="J2596" s="10" t="str">
        <f t="shared" si="386"/>
        <v/>
      </c>
      <c r="K2596" s="10" t="str">
        <f t="shared" si="387"/>
        <v/>
      </c>
      <c r="L2596" s="11" t="str">
        <f t="shared" si="389"/>
        <v/>
      </c>
      <c r="M2596" s="9" t="str">
        <f>IF(G2596&lt;&gt;"",J2596/MAX(J$3:J2596)-1,"")</f>
        <v/>
      </c>
      <c r="N2596" s="9" t="str">
        <f>IF(G2596&lt;&gt;"",K2596/MAX(K$3:K2596)-1,"")</f>
        <v/>
      </c>
      <c r="O2596" s="16" t="str">
        <f t="shared" si="385"/>
        <v/>
      </c>
      <c r="P2596" s="16" t="str">
        <f t="shared" si="385"/>
        <v/>
      </c>
      <c r="Q2596" s="16" t="str">
        <f t="shared" si="385"/>
        <v/>
      </c>
      <c r="R2596" s="5" t="str">
        <f t="shared" si="384"/>
        <v/>
      </c>
      <c r="S2596" s="5" t="str">
        <f t="shared" si="388"/>
        <v/>
      </c>
      <c r="T2596" s="5" t="str">
        <f t="shared" si="391"/>
        <v/>
      </c>
      <c r="U2596" s="5" t="str">
        <f t="shared" si="391"/>
        <v/>
      </c>
    </row>
    <row r="2597" spans="7:21" x14ac:dyDescent="0.2">
      <c r="G2597" s="8"/>
      <c r="H2597" s="5"/>
      <c r="J2597" s="10" t="str">
        <f t="shared" si="386"/>
        <v/>
      </c>
      <c r="K2597" s="10" t="str">
        <f t="shared" si="387"/>
        <v/>
      </c>
      <c r="L2597" s="11" t="str">
        <f t="shared" si="389"/>
        <v/>
      </c>
      <c r="M2597" s="9" t="str">
        <f>IF(G2597&lt;&gt;"",J2597/MAX(J$3:J2597)-1,"")</f>
        <v/>
      </c>
      <c r="N2597" s="9" t="str">
        <f>IF(G2597&lt;&gt;"",K2597/MAX(K$3:K2597)-1,"")</f>
        <v/>
      </c>
      <c r="O2597" s="16" t="str">
        <f t="shared" si="385"/>
        <v/>
      </c>
      <c r="P2597" s="16" t="str">
        <f t="shared" si="385"/>
        <v/>
      </c>
      <c r="Q2597" s="16" t="str">
        <f t="shared" si="385"/>
        <v/>
      </c>
      <c r="R2597" s="5" t="str">
        <f t="shared" si="384"/>
        <v/>
      </c>
      <c r="S2597" s="5" t="str">
        <f t="shared" si="388"/>
        <v/>
      </c>
      <c r="T2597" s="5" t="str">
        <f t="shared" si="391"/>
        <v/>
      </c>
      <c r="U2597" s="5" t="str">
        <f t="shared" si="391"/>
        <v/>
      </c>
    </row>
    <row r="2598" spans="7:21" x14ac:dyDescent="0.2">
      <c r="G2598" s="8"/>
      <c r="H2598" s="5"/>
      <c r="J2598" s="10" t="str">
        <f t="shared" si="386"/>
        <v/>
      </c>
      <c r="K2598" s="10" t="str">
        <f t="shared" si="387"/>
        <v/>
      </c>
      <c r="L2598" s="11" t="str">
        <f t="shared" si="389"/>
        <v/>
      </c>
      <c r="M2598" s="9" t="str">
        <f>IF(G2598&lt;&gt;"",J2598/MAX(J$3:J2598)-1,"")</f>
        <v/>
      </c>
      <c r="N2598" s="9" t="str">
        <f>IF(G2598&lt;&gt;"",K2598/MAX(K$3:K2598)-1,"")</f>
        <v/>
      </c>
      <c r="O2598" s="16" t="str">
        <f t="shared" si="385"/>
        <v/>
      </c>
      <c r="P2598" s="16" t="str">
        <f t="shared" si="385"/>
        <v/>
      </c>
      <c r="Q2598" s="16" t="str">
        <f t="shared" si="385"/>
        <v/>
      </c>
      <c r="R2598" s="5" t="str">
        <f t="shared" si="384"/>
        <v/>
      </c>
      <c r="S2598" s="5" t="str">
        <f t="shared" si="388"/>
        <v/>
      </c>
      <c r="T2598" s="5" t="str">
        <f t="shared" si="391"/>
        <v/>
      </c>
      <c r="U2598" s="5" t="str">
        <f t="shared" si="391"/>
        <v/>
      </c>
    </row>
    <row r="2599" spans="7:21" x14ac:dyDescent="0.2">
      <c r="G2599" s="8"/>
      <c r="H2599" s="5"/>
      <c r="J2599" s="10" t="str">
        <f t="shared" si="386"/>
        <v/>
      </c>
      <c r="K2599" s="10" t="str">
        <f t="shared" si="387"/>
        <v/>
      </c>
      <c r="L2599" s="11" t="str">
        <f t="shared" si="389"/>
        <v/>
      </c>
      <c r="M2599" s="9" t="str">
        <f>IF(G2599&lt;&gt;"",J2599/MAX(J$3:J2599)-1,"")</f>
        <v/>
      </c>
      <c r="N2599" s="9" t="str">
        <f>IF(G2599&lt;&gt;"",K2599/MAX(K$3:K2599)-1,"")</f>
        <v/>
      </c>
      <c r="O2599" s="16" t="str">
        <f t="shared" si="385"/>
        <v/>
      </c>
      <c r="P2599" s="16" t="str">
        <f t="shared" si="385"/>
        <v/>
      </c>
      <c r="Q2599" s="16" t="str">
        <f t="shared" si="385"/>
        <v/>
      </c>
      <c r="R2599" s="5" t="str">
        <f t="shared" si="384"/>
        <v/>
      </c>
      <c r="S2599" s="5" t="str">
        <f t="shared" si="388"/>
        <v/>
      </c>
      <c r="T2599" s="5" t="str">
        <f t="shared" si="391"/>
        <v/>
      </c>
      <c r="U2599" s="5" t="str">
        <f t="shared" si="391"/>
        <v/>
      </c>
    </row>
    <row r="2600" spans="7:21" x14ac:dyDescent="0.2">
      <c r="G2600" s="8"/>
      <c r="H2600" s="5"/>
      <c r="J2600" s="10" t="str">
        <f t="shared" si="386"/>
        <v/>
      </c>
      <c r="K2600" s="10" t="str">
        <f t="shared" si="387"/>
        <v/>
      </c>
      <c r="L2600" s="11" t="str">
        <f t="shared" si="389"/>
        <v/>
      </c>
      <c r="M2600" s="9" t="str">
        <f>IF(G2600&lt;&gt;"",J2600/MAX(J$3:J2600)-1,"")</f>
        <v/>
      </c>
      <c r="N2600" s="9" t="str">
        <f>IF(G2600&lt;&gt;"",K2600/MAX(K$3:K2600)-1,"")</f>
        <v/>
      </c>
      <c r="O2600" s="16" t="str">
        <f t="shared" si="385"/>
        <v/>
      </c>
      <c r="P2600" s="16" t="str">
        <f t="shared" si="385"/>
        <v/>
      </c>
      <c r="Q2600" s="16" t="str">
        <f t="shared" si="385"/>
        <v/>
      </c>
      <c r="R2600" s="5" t="str">
        <f t="shared" si="384"/>
        <v/>
      </c>
      <c r="S2600" s="5" t="str">
        <f t="shared" si="388"/>
        <v/>
      </c>
      <c r="T2600" s="5" t="str">
        <f t="shared" ref="T2600:U2615" si="392">IF($G2600&lt;&gt;"",_xlfn.STDEV.S(O2356:O2600),"")</f>
        <v/>
      </c>
      <c r="U2600" s="5" t="str">
        <f t="shared" si="392"/>
        <v/>
      </c>
    </row>
    <row r="2601" spans="7:21" x14ac:dyDescent="0.2">
      <c r="G2601" s="8"/>
      <c r="H2601" s="5"/>
      <c r="J2601" s="10" t="str">
        <f t="shared" si="386"/>
        <v/>
      </c>
      <c r="K2601" s="10" t="str">
        <f t="shared" si="387"/>
        <v/>
      </c>
      <c r="L2601" s="11" t="str">
        <f t="shared" si="389"/>
        <v/>
      </c>
      <c r="M2601" s="9" t="str">
        <f>IF(G2601&lt;&gt;"",J2601/MAX(J$3:J2601)-1,"")</f>
        <v/>
      </c>
      <c r="N2601" s="9" t="str">
        <f>IF(G2601&lt;&gt;"",K2601/MAX(K$3:K2601)-1,"")</f>
        <v/>
      </c>
      <c r="O2601" s="16" t="str">
        <f t="shared" si="385"/>
        <v/>
      </c>
      <c r="P2601" s="16" t="str">
        <f t="shared" si="385"/>
        <v/>
      </c>
      <c r="Q2601" s="16" t="str">
        <f t="shared" si="385"/>
        <v/>
      </c>
      <c r="R2601" s="5" t="str">
        <f t="shared" si="384"/>
        <v/>
      </c>
      <c r="S2601" s="5" t="str">
        <f t="shared" si="388"/>
        <v/>
      </c>
      <c r="T2601" s="5" t="str">
        <f t="shared" si="392"/>
        <v/>
      </c>
      <c r="U2601" s="5" t="str">
        <f t="shared" si="392"/>
        <v/>
      </c>
    </row>
    <row r="2602" spans="7:21" x14ac:dyDescent="0.2">
      <c r="G2602" s="8"/>
      <c r="H2602" s="5"/>
      <c r="J2602" s="10" t="str">
        <f t="shared" si="386"/>
        <v/>
      </c>
      <c r="K2602" s="10" t="str">
        <f t="shared" si="387"/>
        <v/>
      </c>
      <c r="L2602" s="11" t="str">
        <f t="shared" si="389"/>
        <v/>
      </c>
      <c r="M2602" s="9" t="str">
        <f>IF(G2602&lt;&gt;"",J2602/MAX(J$3:J2602)-1,"")</f>
        <v/>
      </c>
      <c r="N2602" s="9" t="str">
        <f>IF(G2602&lt;&gt;"",K2602/MAX(K$3:K2602)-1,"")</f>
        <v/>
      </c>
      <c r="O2602" s="16" t="str">
        <f t="shared" si="385"/>
        <v/>
      </c>
      <c r="P2602" s="16" t="str">
        <f t="shared" si="385"/>
        <v/>
      </c>
      <c r="Q2602" s="16" t="str">
        <f t="shared" si="385"/>
        <v/>
      </c>
      <c r="R2602" s="5" t="str">
        <f t="shared" si="384"/>
        <v/>
      </c>
      <c r="S2602" s="5" t="str">
        <f t="shared" si="388"/>
        <v/>
      </c>
      <c r="T2602" s="5" t="str">
        <f t="shared" si="392"/>
        <v/>
      </c>
      <c r="U2602" s="5" t="str">
        <f t="shared" si="392"/>
        <v/>
      </c>
    </row>
    <row r="2603" spans="7:21" x14ac:dyDescent="0.2">
      <c r="G2603" s="8"/>
      <c r="H2603" s="5"/>
      <c r="J2603" s="10" t="str">
        <f t="shared" si="386"/>
        <v/>
      </c>
      <c r="K2603" s="10" t="str">
        <f t="shared" si="387"/>
        <v/>
      </c>
      <c r="L2603" s="11" t="str">
        <f t="shared" si="389"/>
        <v/>
      </c>
      <c r="M2603" s="9" t="str">
        <f>IF(G2603&lt;&gt;"",J2603/MAX(J$3:J2603)-1,"")</f>
        <v/>
      </c>
      <c r="N2603" s="9" t="str">
        <f>IF(G2603&lt;&gt;"",K2603/MAX(K$3:K2603)-1,"")</f>
        <v/>
      </c>
      <c r="O2603" s="16" t="str">
        <f t="shared" si="385"/>
        <v/>
      </c>
      <c r="P2603" s="16" t="str">
        <f t="shared" si="385"/>
        <v/>
      </c>
      <c r="Q2603" s="16" t="str">
        <f t="shared" si="385"/>
        <v/>
      </c>
      <c r="R2603" s="5" t="str">
        <f t="shared" si="384"/>
        <v/>
      </c>
      <c r="S2603" s="5" t="str">
        <f t="shared" si="388"/>
        <v/>
      </c>
      <c r="T2603" s="5" t="str">
        <f t="shared" si="392"/>
        <v/>
      </c>
      <c r="U2603" s="5" t="str">
        <f t="shared" si="392"/>
        <v/>
      </c>
    </row>
    <row r="2604" spans="7:21" x14ac:dyDescent="0.2">
      <c r="G2604" s="8"/>
      <c r="H2604" s="5"/>
      <c r="J2604" s="10" t="str">
        <f t="shared" si="386"/>
        <v/>
      </c>
      <c r="K2604" s="10" t="str">
        <f t="shared" si="387"/>
        <v/>
      </c>
      <c r="L2604" s="11" t="str">
        <f t="shared" si="389"/>
        <v/>
      </c>
      <c r="M2604" s="9" t="str">
        <f>IF(G2604&lt;&gt;"",J2604/MAX(J$3:J2604)-1,"")</f>
        <v/>
      </c>
      <c r="N2604" s="9" t="str">
        <f>IF(G2604&lt;&gt;"",K2604/MAX(K$3:K2604)-1,"")</f>
        <v/>
      </c>
      <c r="O2604" s="16" t="str">
        <f t="shared" si="385"/>
        <v/>
      </c>
      <c r="P2604" s="16" t="str">
        <f t="shared" si="385"/>
        <v/>
      </c>
      <c r="Q2604" s="16" t="str">
        <f t="shared" si="385"/>
        <v/>
      </c>
      <c r="R2604" s="5" t="str">
        <f t="shared" si="384"/>
        <v/>
      </c>
      <c r="S2604" s="5" t="str">
        <f t="shared" si="388"/>
        <v/>
      </c>
      <c r="T2604" s="5" t="str">
        <f t="shared" si="392"/>
        <v/>
      </c>
      <c r="U2604" s="5" t="str">
        <f t="shared" si="392"/>
        <v/>
      </c>
    </row>
    <row r="2605" spans="7:21" x14ac:dyDescent="0.2">
      <c r="G2605" s="8"/>
      <c r="H2605" s="5"/>
      <c r="J2605" s="10" t="str">
        <f t="shared" si="386"/>
        <v/>
      </c>
      <c r="K2605" s="10" t="str">
        <f t="shared" si="387"/>
        <v/>
      </c>
      <c r="L2605" s="11" t="str">
        <f t="shared" si="389"/>
        <v/>
      </c>
      <c r="M2605" s="9" t="str">
        <f>IF(G2605&lt;&gt;"",J2605/MAX(J$3:J2605)-1,"")</f>
        <v/>
      </c>
      <c r="N2605" s="9" t="str">
        <f>IF(G2605&lt;&gt;"",K2605/MAX(K$3:K2605)-1,"")</f>
        <v/>
      </c>
      <c r="O2605" s="16" t="str">
        <f t="shared" si="385"/>
        <v/>
      </c>
      <c r="P2605" s="16" t="str">
        <f t="shared" si="385"/>
        <v/>
      </c>
      <c r="Q2605" s="16" t="str">
        <f t="shared" si="385"/>
        <v/>
      </c>
      <c r="R2605" s="5" t="str">
        <f t="shared" si="384"/>
        <v/>
      </c>
      <c r="S2605" s="5" t="str">
        <f t="shared" si="388"/>
        <v/>
      </c>
      <c r="T2605" s="5" t="str">
        <f t="shared" si="392"/>
        <v/>
      </c>
      <c r="U2605" s="5" t="str">
        <f t="shared" si="392"/>
        <v/>
      </c>
    </row>
    <row r="2606" spans="7:21" x14ac:dyDescent="0.2">
      <c r="G2606" s="8"/>
      <c r="H2606" s="5"/>
      <c r="J2606" s="10" t="str">
        <f t="shared" si="386"/>
        <v/>
      </c>
      <c r="K2606" s="10" t="str">
        <f t="shared" si="387"/>
        <v/>
      </c>
      <c r="L2606" s="11" t="str">
        <f t="shared" si="389"/>
        <v/>
      </c>
      <c r="M2606" s="9" t="str">
        <f>IF(G2606&lt;&gt;"",J2606/MAX(J$3:J2606)-1,"")</f>
        <v/>
      </c>
      <c r="N2606" s="9" t="str">
        <f>IF(G2606&lt;&gt;"",K2606/MAX(K$3:K2606)-1,"")</f>
        <v/>
      </c>
      <c r="O2606" s="16" t="str">
        <f t="shared" si="385"/>
        <v/>
      </c>
      <c r="P2606" s="16" t="str">
        <f t="shared" si="385"/>
        <v/>
      </c>
      <c r="Q2606" s="16" t="str">
        <f t="shared" si="385"/>
        <v/>
      </c>
      <c r="R2606" s="5" t="str">
        <f t="shared" si="384"/>
        <v/>
      </c>
      <c r="S2606" s="5" t="str">
        <f t="shared" si="388"/>
        <v/>
      </c>
      <c r="T2606" s="5" t="str">
        <f t="shared" si="392"/>
        <v/>
      </c>
      <c r="U2606" s="5" t="str">
        <f t="shared" si="392"/>
        <v/>
      </c>
    </row>
    <row r="2607" spans="7:21" x14ac:dyDescent="0.2">
      <c r="G2607" s="8"/>
      <c r="H2607" s="5"/>
      <c r="J2607" s="10" t="str">
        <f t="shared" si="386"/>
        <v/>
      </c>
      <c r="K2607" s="10" t="str">
        <f t="shared" si="387"/>
        <v/>
      </c>
      <c r="L2607" s="11" t="str">
        <f t="shared" si="389"/>
        <v/>
      </c>
      <c r="M2607" s="9" t="str">
        <f>IF(G2607&lt;&gt;"",J2607/MAX(J$3:J2607)-1,"")</f>
        <v/>
      </c>
      <c r="N2607" s="9" t="str">
        <f>IF(G2607&lt;&gt;"",K2607/MAX(K$3:K2607)-1,"")</f>
        <v/>
      </c>
      <c r="O2607" s="16" t="str">
        <f t="shared" si="385"/>
        <v/>
      </c>
      <c r="P2607" s="16" t="str">
        <f t="shared" si="385"/>
        <v/>
      </c>
      <c r="Q2607" s="16" t="str">
        <f t="shared" si="385"/>
        <v/>
      </c>
      <c r="R2607" s="5" t="str">
        <f t="shared" si="384"/>
        <v/>
      </c>
      <c r="S2607" s="5" t="str">
        <f t="shared" si="388"/>
        <v/>
      </c>
      <c r="T2607" s="5" t="str">
        <f t="shared" si="392"/>
        <v/>
      </c>
      <c r="U2607" s="5" t="str">
        <f t="shared" si="392"/>
        <v/>
      </c>
    </row>
    <row r="2608" spans="7:21" x14ac:dyDescent="0.2">
      <c r="G2608" s="8"/>
      <c r="H2608" s="5"/>
      <c r="J2608" s="10" t="str">
        <f t="shared" si="386"/>
        <v/>
      </c>
      <c r="K2608" s="10" t="str">
        <f t="shared" si="387"/>
        <v/>
      </c>
      <c r="L2608" s="11" t="str">
        <f t="shared" si="389"/>
        <v/>
      </c>
      <c r="M2608" s="9" t="str">
        <f>IF(G2608&lt;&gt;"",J2608/MAX(J$3:J2608)-1,"")</f>
        <v/>
      </c>
      <c r="N2608" s="9" t="str">
        <f>IF(G2608&lt;&gt;"",K2608/MAX(K$3:K2608)-1,"")</f>
        <v/>
      </c>
      <c r="O2608" s="16" t="str">
        <f t="shared" si="385"/>
        <v/>
      </c>
      <c r="P2608" s="16" t="str">
        <f t="shared" si="385"/>
        <v/>
      </c>
      <c r="Q2608" s="16" t="str">
        <f t="shared" si="385"/>
        <v/>
      </c>
      <c r="R2608" s="5" t="str">
        <f t="shared" si="384"/>
        <v/>
      </c>
      <c r="S2608" s="5" t="str">
        <f t="shared" si="388"/>
        <v/>
      </c>
      <c r="T2608" s="5" t="str">
        <f t="shared" si="392"/>
        <v/>
      </c>
      <c r="U2608" s="5" t="str">
        <f t="shared" si="392"/>
        <v/>
      </c>
    </row>
    <row r="2609" spans="7:21" x14ac:dyDescent="0.2">
      <c r="G2609" s="8"/>
      <c r="H2609" s="5"/>
      <c r="J2609" s="10" t="str">
        <f t="shared" si="386"/>
        <v/>
      </c>
      <c r="K2609" s="10" t="str">
        <f t="shared" si="387"/>
        <v/>
      </c>
      <c r="L2609" s="11" t="str">
        <f t="shared" si="389"/>
        <v/>
      </c>
      <c r="M2609" s="9" t="str">
        <f>IF(G2609&lt;&gt;"",J2609/MAX(J$3:J2609)-1,"")</f>
        <v/>
      </c>
      <c r="N2609" s="9" t="str">
        <f>IF(G2609&lt;&gt;"",K2609/MAX(K$3:K2609)-1,"")</f>
        <v/>
      </c>
      <c r="O2609" s="16" t="str">
        <f t="shared" si="385"/>
        <v/>
      </c>
      <c r="P2609" s="16" t="str">
        <f t="shared" si="385"/>
        <v/>
      </c>
      <c r="Q2609" s="16" t="str">
        <f t="shared" si="385"/>
        <v/>
      </c>
      <c r="R2609" s="5" t="str">
        <f t="shared" si="384"/>
        <v/>
      </c>
      <c r="S2609" s="5" t="str">
        <f t="shared" si="388"/>
        <v/>
      </c>
      <c r="T2609" s="5" t="str">
        <f t="shared" si="392"/>
        <v/>
      </c>
      <c r="U2609" s="5" t="str">
        <f t="shared" si="392"/>
        <v/>
      </c>
    </row>
    <row r="2610" spans="7:21" x14ac:dyDescent="0.2">
      <c r="G2610" s="8"/>
      <c r="H2610" s="5"/>
      <c r="J2610" s="10" t="str">
        <f t="shared" si="386"/>
        <v/>
      </c>
      <c r="K2610" s="10" t="str">
        <f t="shared" si="387"/>
        <v/>
      </c>
      <c r="L2610" s="11" t="str">
        <f t="shared" si="389"/>
        <v/>
      </c>
      <c r="M2610" s="9" t="str">
        <f>IF(G2610&lt;&gt;"",J2610/MAX(J$3:J2610)-1,"")</f>
        <v/>
      </c>
      <c r="N2610" s="9" t="str">
        <f>IF(G2610&lt;&gt;"",K2610/MAX(K$3:K2610)-1,"")</f>
        <v/>
      </c>
      <c r="O2610" s="16" t="str">
        <f t="shared" si="385"/>
        <v/>
      </c>
      <c r="P2610" s="16" t="str">
        <f t="shared" si="385"/>
        <v/>
      </c>
      <c r="Q2610" s="16" t="str">
        <f t="shared" si="385"/>
        <v/>
      </c>
      <c r="R2610" s="5" t="str">
        <f t="shared" si="384"/>
        <v/>
      </c>
      <c r="S2610" s="5" t="str">
        <f t="shared" si="388"/>
        <v/>
      </c>
      <c r="T2610" s="5" t="str">
        <f t="shared" si="392"/>
        <v/>
      </c>
      <c r="U2610" s="5" t="str">
        <f t="shared" si="392"/>
        <v/>
      </c>
    </row>
    <row r="2611" spans="7:21" x14ac:dyDescent="0.2">
      <c r="G2611" s="8"/>
      <c r="H2611" s="5"/>
      <c r="J2611" s="10" t="str">
        <f t="shared" si="386"/>
        <v/>
      </c>
      <c r="K2611" s="10" t="str">
        <f t="shared" si="387"/>
        <v/>
      </c>
      <c r="L2611" s="11" t="str">
        <f t="shared" si="389"/>
        <v/>
      </c>
      <c r="M2611" s="9" t="str">
        <f>IF(G2611&lt;&gt;"",J2611/MAX(J$3:J2611)-1,"")</f>
        <v/>
      </c>
      <c r="N2611" s="9" t="str">
        <f>IF(G2611&lt;&gt;"",K2611/MAX(K$3:K2611)-1,"")</f>
        <v/>
      </c>
      <c r="O2611" s="16" t="str">
        <f t="shared" si="385"/>
        <v/>
      </c>
      <c r="P2611" s="16" t="str">
        <f t="shared" si="385"/>
        <v/>
      </c>
      <c r="Q2611" s="16" t="str">
        <f t="shared" si="385"/>
        <v/>
      </c>
      <c r="R2611" s="5" t="str">
        <f t="shared" si="384"/>
        <v/>
      </c>
      <c r="S2611" s="5" t="str">
        <f t="shared" si="388"/>
        <v/>
      </c>
      <c r="T2611" s="5" t="str">
        <f t="shared" si="392"/>
        <v/>
      </c>
      <c r="U2611" s="5" t="str">
        <f t="shared" si="392"/>
        <v/>
      </c>
    </row>
    <row r="2612" spans="7:21" x14ac:dyDescent="0.2">
      <c r="G2612" s="8"/>
      <c r="H2612" s="5"/>
      <c r="J2612" s="10" t="str">
        <f t="shared" si="386"/>
        <v/>
      </c>
      <c r="K2612" s="10" t="str">
        <f t="shared" si="387"/>
        <v/>
      </c>
      <c r="L2612" s="11" t="str">
        <f t="shared" si="389"/>
        <v/>
      </c>
      <c r="M2612" s="9" t="str">
        <f>IF(G2612&lt;&gt;"",J2612/MAX(J$3:J2612)-1,"")</f>
        <v/>
      </c>
      <c r="N2612" s="9" t="str">
        <f>IF(G2612&lt;&gt;"",K2612/MAX(K$3:K2612)-1,"")</f>
        <v/>
      </c>
      <c r="O2612" s="16" t="str">
        <f t="shared" si="385"/>
        <v/>
      </c>
      <c r="P2612" s="16" t="str">
        <f t="shared" si="385"/>
        <v/>
      </c>
      <c r="Q2612" s="16" t="str">
        <f t="shared" si="385"/>
        <v/>
      </c>
      <c r="R2612" s="5" t="str">
        <f t="shared" si="384"/>
        <v/>
      </c>
      <c r="S2612" s="5" t="str">
        <f t="shared" si="388"/>
        <v/>
      </c>
      <c r="T2612" s="5" t="str">
        <f t="shared" si="392"/>
        <v/>
      </c>
      <c r="U2612" s="5" t="str">
        <f t="shared" si="392"/>
        <v/>
      </c>
    </row>
    <row r="2613" spans="7:21" x14ac:dyDescent="0.2">
      <c r="G2613" s="8"/>
      <c r="H2613" s="5"/>
      <c r="J2613" s="10" t="str">
        <f t="shared" si="386"/>
        <v/>
      </c>
      <c r="K2613" s="10" t="str">
        <f t="shared" si="387"/>
        <v/>
      </c>
      <c r="L2613" s="11" t="str">
        <f t="shared" si="389"/>
        <v/>
      </c>
      <c r="M2613" s="9" t="str">
        <f>IF(G2613&lt;&gt;"",J2613/MAX(J$3:J2613)-1,"")</f>
        <v/>
      </c>
      <c r="N2613" s="9" t="str">
        <f>IF(G2613&lt;&gt;"",K2613/MAX(K$3:K2613)-1,"")</f>
        <v/>
      </c>
      <c r="O2613" s="16" t="str">
        <f t="shared" si="385"/>
        <v/>
      </c>
      <c r="P2613" s="16" t="str">
        <f t="shared" si="385"/>
        <v/>
      </c>
      <c r="Q2613" s="16" t="str">
        <f t="shared" si="385"/>
        <v/>
      </c>
      <c r="R2613" s="5" t="str">
        <f t="shared" si="384"/>
        <v/>
      </c>
      <c r="S2613" s="5" t="str">
        <f t="shared" si="388"/>
        <v/>
      </c>
      <c r="T2613" s="5" t="str">
        <f t="shared" si="392"/>
        <v/>
      </c>
      <c r="U2613" s="5" t="str">
        <f t="shared" si="392"/>
        <v/>
      </c>
    </row>
    <row r="2614" spans="7:21" x14ac:dyDescent="0.2">
      <c r="G2614" s="8"/>
      <c r="H2614" s="5"/>
      <c r="J2614" s="10" t="str">
        <f t="shared" si="386"/>
        <v/>
      </c>
      <c r="K2614" s="10" t="str">
        <f t="shared" si="387"/>
        <v/>
      </c>
      <c r="L2614" s="11" t="str">
        <f t="shared" si="389"/>
        <v/>
      </c>
      <c r="M2614" s="9" t="str">
        <f>IF(G2614&lt;&gt;"",J2614/MAX(J$3:J2614)-1,"")</f>
        <v/>
      </c>
      <c r="N2614" s="9" t="str">
        <f>IF(G2614&lt;&gt;"",K2614/MAX(K$3:K2614)-1,"")</f>
        <v/>
      </c>
      <c r="O2614" s="16" t="str">
        <f t="shared" si="385"/>
        <v/>
      </c>
      <c r="P2614" s="16" t="str">
        <f t="shared" si="385"/>
        <v/>
      </c>
      <c r="Q2614" s="16" t="str">
        <f t="shared" si="385"/>
        <v/>
      </c>
      <c r="R2614" s="5" t="str">
        <f t="shared" si="384"/>
        <v/>
      </c>
      <c r="S2614" s="5" t="str">
        <f t="shared" si="388"/>
        <v/>
      </c>
      <c r="T2614" s="5" t="str">
        <f t="shared" si="392"/>
        <v/>
      </c>
      <c r="U2614" s="5" t="str">
        <f t="shared" si="392"/>
        <v/>
      </c>
    </row>
    <row r="2615" spans="7:21" x14ac:dyDescent="0.2">
      <c r="G2615" s="8"/>
      <c r="H2615" s="5"/>
      <c r="J2615" s="10" t="str">
        <f t="shared" si="386"/>
        <v/>
      </c>
      <c r="K2615" s="10" t="str">
        <f t="shared" si="387"/>
        <v/>
      </c>
      <c r="L2615" s="11" t="str">
        <f t="shared" si="389"/>
        <v/>
      </c>
      <c r="M2615" s="9" t="str">
        <f>IF(G2615&lt;&gt;"",J2615/MAX(J$3:J2615)-1,"")</f>
        <v/>
      </c>
      <c r="N2615" s="9" t="str">
        <f>IF(G2615&lt;&gt;"",K2615/MAX(K$3:K2615)-1,"")</f>
        <v/>
      </c>
      <c r="O2615" s="16" t="str">
        <f t="shared" si="385"/>
        <v/>
      </c>
      <c r="P2615" s="16" t="str">
        <f t="shared" si="385"/>
        <v/>
      </c>
      <c r="Q2615" s="16" t="str">
        <f t="shared" si="385"/>
        <v/>
      </c>
      <c r="R2615" s="5" t="str">
        <f t="shared" si="384"/>
        <v/>
      </c>
      <c r="S2615" s="5" t="str">
        <f t="shared" si="388"/>
        <v/>
      </c>
      <c r="T2615" s="5" t="str">
        <f t="shared" si="392"/>
        <v/>
      </c>
      <c r="U2615" s="5" t="str">
        <f t="shared" si="392"/>
        <v/>
      </c>
    </row>
    <row r="2616" spans="7:21" x14ac:dyDescent="0.2">
      <c r="G2616" s="8"/>
      <c r="H2616" s="5"/>
      <c r="J2616" s="10" t="str">
        <f t="shared" si="386"/>
        <v/>
      </c>
      <c r="K2616" s="10" t="str">
        <f t="shared" si="387"/>
        <v/>
      </c>
      <c r="L2616" s="11" t="str">
        <f t="shared" si="389"/>
        <v/>
      </c>
      <c r="M2616" s="9" t="str">
        <f>IF(G2616&lt;&gt;"",J2616/MAX(J$3:J2616)-1,"")</f>
        <v/>
      </c>
      <c r="N2616" s="9" t="str">
        <f>IF(G2616&lt;&gt;"",K2616/MAX(K$3:K2616)-1,"")</f>
        <v/>
      </c>
      <c r="O2616" s="16" t="str">
        <f t="shared" si="385"/>
        <v/>
      </c>
      <c r="P2616" s="16" t="str">
        <f t="shared" si="385"/>
        <v/>
      </c>
      <c r="Q2616" s="16" t="str">
        <f t="shared" si="385"/>
        <v/>
      </c>
      <c r="R2616" s="5" t="str">
        <f t="shared" si="384"/>
        <v/>
      </c>
      <c r="S2616" s="5" t="str">
        <f t="shared" si="388"/>
        <v/>
      </c>
      <c r="T2616" s="5" t="str">
        <f t="shared" ref="T2616:U2631" si="393">IF($G2616&lt;&gt;"",_xlfn.STDEV.S(O2372:O2616),"")</f>
        <v/>
      </c>
      <c r="U2616" s="5" t="str">
        <f t="shared" si="393"/>
        <v/>
      </c>
    </row>
    <row r="2617" spans="7:21" x14ac:dyDescent="0.2">
      <c r="G2617" s="8"/>
      <c r="H2617" s="5"/>
      <c r="J2617" s="10" t="str">
        <f t="shared" si="386"/>
        <v/>
      </c>
      <c r="K2617" s="10" t="str">
        <f t="shared" si="387"/>
        <v/>
      </c>
      <c r="L2617" s="11" t="str">
        <f t="shared" si="389"/>
        <v/>
      </c>
      <c r="M2617" s="9" t="str">
        <f>IF(G2617&lt;&gt;"",J2617/MAX(J$3:J2617)-1,"")</f>
        <v/>
      </c>
      <c r="N2617" s="9" t="str">
        <f>IF(G2617&lt;&gt;"",K2617/MAX(K$3:K2617)-1,"")</f>
        <v/>
      </c>
      <c r="O2617" s="16" t="str">
        <f t="shared" si="385"/>
        <v/>
      </c>
      <c r="P2617" s="16" t="str">
        <f t="shared" si="385"/>
        <v/>
      </c>
      <c r="Q2617" s="16" t="str">
        <f t="shared" si="385"/>
        <v/>
      </c>
      <c r="R2617" s="5" t="str">
        <f t="shared" si="384"/>
        <v/>
      </c>
      <c r="S2617" s="5" t="str">
        <f t="shared" si="388"/>
        <v/>
      </c>
      <c r="T2617" s="5" t="str">
        <f t="shared" si="393"/>
        <v/>
      </c>
      <c r="U2617" s="5" t="str">
        <f t="shared" si="393"/>
        <v/>
      </c>
    </row>
    <row r="2618" spans="7:21" x14ac:dyDescent="0.2">
      <c r="G2618" s="8"/>
      <c r="H2618" s="5"/>
      <c r="J2618" s="10" t="str">
        <f t="shared" si="386"/>
        <v/>
      </c>
      <c r="K2618" s="10" t="str">
        <f t="shared" si="387"/>
        <v/>
      </c>
      <c r="L2618" s="11" t="str">
        <f t="shared" si="389"/>
        <v/>
      </c>
      <c r="M2618" s="9" t="str">
        <f>IF(G2618&lt;&gt;"",J2618/MAX(J$3:J2618)-1,"")</f>
        <v/>
      </c>
      <c r="N2618" s="9" t="str">
        <f>IF(G2618&lt;&gt;"",K2618/MAX(K$3:K2618)-1,"")</f>
        <v/>
      </c>
      <c r="O2618" s="16" t="str">
        <f t="shared" si="385"/>
        <v/>
      </c>
      <c r="P2618" s="16" t="str">
        <f t="shared" si="385"/>
        <v/>
      </c>
      <c r="Q2618" s="16" t="str">
        <f t="shared" si="385"/>
        <v/>
      </c>
      <c r="R2618" s="5" t="str">
        <f t="shared" si="384"/>
        <v/>
      </c>
      <c r="S2618" s="5" t="str">
        <f t="shared" si="388"/>
        <v/>
      </c>
      <c r="T2618" s="5" t="str">
        <f t="shared" si="393"/>
        <v/>
      </c>
      <c r="U2618" s="5" t="str">
        <f t="shared" si="393"/>
        <v/>
      </c>
    </row>
    <row r="2619" spans="7:21" x14ac:dyDescent="0.2">
      <c r="G2619" s="8"/>
      <c r="H2619" s="5"/>
      <c r="J2619" s="10" t="str">
        <f t="shared" si="386"/>
        <v/>
      </c>
      <c r="K2619" s="10" t="str">
        <f t="shared" si="387"/>
        <v/>
      </c>
      <c r="L2619" s="11" t="str">
        <f t="shared" si="389"/>
        <v/>
      </c>
      <c r="M2619" s="9" t="str">
        <f>IF(G2619&lt;&gt;"",J2619/MAX(J$3:J2619)-1,"")</f>
        <v/>
      </c>
      <c r="N2619" s="9" t="str">
        <f>IF(G2619&lt;&gt;"",K2619/MAX(K$3:K2619)-1,"")</f>
        <v/>
      </c>
      <c r="O2619" s="16" t="str">
        <f t="shared" si="385"/>
        <v/>
      </c>
      <c r="P2619" s="16" t="str">
        <f t="shared" si="385"/>
        <v/>
      </c>
      <c r="Q2619" s="16" t="str">
        <f t="shared" si="385"/>
        <v/>
      </c>
      <c r="R2619" s="5" t="str">
        <f t="shared" si="384"/>
        <v/>
      </c>
      <c r="S2619" s="5" t="str">
        <f t="shared" si="388"/>
        <v/>
      </c>
      <c r="T2619" s="5" t="str">
        <f t="shared" si="393"/>
        <v/>
      </c>
      <c r="U2619" s="5" t="str">
        <f t="shared" si="393"/>
        <v/>
      </c>
    </row>
    <row r="2620" spans="7:21" x14ac:dyDescent="0.2">
      <c r="G2620" s="8"/>
      <c r="H2620" s="5"/>
      <c r="J2620" s="10" t="str">
        <f t="shared" si="386"/>
        <v/>
      </c>
      <c r="K2620" s="10" t="str">
        <f t="shared" si="387"/>
        <v/>
      </c>
      <c r="L2620" s="11" t="str">
        <f t="shared" si="389"/>
        <v/>
      </c>
      <c r="M2620" s="9" t="str">
        <f>IF(G2620&lt;&gt;"",J2620/MAX(J$3:J2620)-1,"")</f>
        <v/>
      </c>
      <c r="N2620" s="9" t="str">
        <f>IF(G2620&lt;&gt;"",K2620/MAX(K$3:K2620)-1,"")</f>
        <v/>
      </c>
      <c r="O2620" s="16" t="str">
        <f t="shared" si="385"/>
        <v/>
      </c>
      <c r="P2620" s="16" t="str">
        <f t="shared" si="385"/>
        <v/>
      </c>
      <c r="Q2620" s="16" t="str">
        <f t="shared" si="385"/>
        <v/>
      </c>
      <c r="R2620" s="5" t="str">
        <f t="shared" si="384"/>
        <v/>
      </c>
      <c r="S2620" s="5" t="str">
        <f t="shared" si="388"/>
        <v/>
      </c>
      <c r="T2620" s="5" t="str">
        <f t="shared" si="393"/>
        <v/>
      </c>
      <c r="U2620" s="5" t="str">
        <f t="shared" si="393"/>
        <v/>
      </c>
    </row>
    <row r="2621" spans="7:21" x14ac:dyDescent="0.2">
      <c r="G2621" s="8"/>
      <c r="H2621" s="5"/>
      <c r="J2621" s="10" t="str">
        <f t="shared" si="386"/>
        <v/>
      </c>
      <c r="K2621" s="10" t="str">
        <f t="shared" si="387"/>
        <v/>
      </c>
      <c r="L2621" s="11" t="str">
        <f t="shared" si="389"/>
        <v/>
      </c>
      <c r="M2621" s="9" t="str">
        <f>IF(G2621&lt;&gt;"",J2621/MAX(J$3:J2621)-1,"")</f>
        <v/>
      </c>
      <c r="N2621" s="9" t="str">
        <f>IF(G2621&lt;&gt;"",K2621/MAX(K$3:K2621)-1,"")</f>
        <v/>
      </c>
      <c r="O2621" s="16" t="str">
        <f t="shared" si="385"/>
        <v/>
      </c>
      <c r="P2621" s="16" t="str">
        <f t="shared" si="385"/>
        <v/>
      </c>
      <c r="Q2621" s="16" t="str">
        <f t="shared" si="385"/>
        <v/>
      </c>
      <c r="R2621" s="5" t="str">
        <f t="shared" ref="R2621:R2684" si="394">IF(G2621&lt;&gt;"",_xlfn.STDEV.S(Q2500:Q2621)*SQRT($B$5),"")</f>
        <v/>
      </c>
      <c r="S2621" s="5" t="str">
        <f t="shared" si="388"/>
        <v/>
      </c>
      <c r="T2621" s="5" t="str">
        <f t="shared" si="393"/>
        <v/>
      </c>
      <c r="U2621" s="5" t="str">
        <f t="shared" si="393"/>
        <v/>
      </c>
    </row>
    <row r="2622" spans="7:21" x14ac:dyDescent="0.2">
      <c r="G2622" s="8"/>
      <c r="H2622" s="5"/>
      <c r="J2622" s="10" t="str">
        <f t="shared" si="386"/>
        <v/>
      </c>
      <c r="K2622" s="10" t="str">
        <f t="shared" si="387"/>
        <v/>
      </c>
      <c r="L2622" s="11" t="str">
        <f t="shared" si="389"/>
        <v/>
      </c>
      <c r="M2622" s="9" t="str">
        <f>IF(G2622&lt;&gt;"",J2622/MAX(J$3:J2622)-1,"")</f>
        <v/>
      </c>
      <c r="N2622" s="9" t="str">
        <f>IF(G2622&lt;&gt;"",K2622/MAX(K$3:K2622)-1,"")</f>
        <v/>
      </c>
      <c r="O2622" s="16" t="str">
        <f t="shared" si="385"/>
        <v/>
      </c>
      <c r="P2622" s="16" t="str">
        <f t="shared" si="385"/>
        <v/>
      </c>
      <c r="Q2622" s="16" t="str">
        <f t="shared" si="385"/>
        <v/>
      </c>
      <c r="R2622" s="5" t="str">
        <f t="shared" si="394"/>
        <v/>
      </c>
      <c r="S2622" s="5" t="str">
        <f t="shared" si="388"/>
        <v/>
      </c>
      <c r="T2622" s="5" t="str">
        <f t="shared" si="393"/>
        <v/>
      </c>
      <c r="U2622" s="5" t="str">
        <f t="shared" si="393"/>
        <v/>
      </c>
    </row>
    <row r="2623" spans="7:21" x14ac:dyDescent="0.2">
      <c r="G2623" s="8"/>
      <c r="H2623" s="5"/>
      <c r="J2623" s="10" t="str">
        <f t="shared" si="386"/>
        <v/>
      </c>
      <c r="K2623" s="10" t="str">
        <f t="shared" si="387"/>
        <v/>
      </c>
      <c r="L2623" s="11" t="str">
        <f t="shared" si="389"/>
        <v/>
      </c>
      <c r="M2623" s="9" t="str">
        <f>IF(G2623&lt;&gt;"",J2623/MAX(J$3:J2623)-1,"")</f>
        <v/>
      </c>
      <c r="N2623" s="9" t="str">
        <f>IF(G2623&lt;&gt;"",K2623/MAX(K$3:K2623)-1,"")</f>
        <v/>
      </c>
      <c r="O2623" s="16" t="str">
        <f t="shared" si="385"/>
        <v/>
      </c>
      <c r="P2623" s="16" t="str">
        <f t="shared" si="385"/>
        <v/>
      </c>
      <c r="Q2623" s="16" t="str">
        <f t="shared" si="385"/>
        <v/>
      </c>
      <c r="R2623" s="5" t="str">
        <f t="shared" si="394"/>
        <v/>
      </c>
      <c r="S2623" s="5" t="str">
        <f t="shared" si="388"/>
        <v/>
      </c>
      <c r="T2623" s="5" t="str">
        <f t="shared" si="393"/>
        <v/>
      </c>
      <c r="U2623" s="5" t="str">
        <f t="shared" si="393"/>
        <v/>
      </c>
    </row>
    <row r="2624" spans="7:21" x14ac:dyDescent="0.2">
      <c r="G2624" s="8"/>
      <c r="H2624" s="5"/>
      <c r="J2624" s="10" t="str">
        <f t="shared" si="386"/>
        <v/>
      </c>
      <c r="K2624" s="10" t="str">
        <f t="shared" si="387"/>
        <v/>
      </c>
      <c r="L2624" s="11" t="str">
        <f t="shared" si="389"/>
        <v/>
      </c>
      <c r="M2624" s="9" t="str">
        <f>IF(G2624&lt;&gt;"",J2624/MAX(J$3:J2624)-1,"")</f>
        <v/>
      </c>
      <c r="N2624" s="9" t="str">
        <f>IF(G2624&lt;&gt;"",K2624/MAX(K$3:K2624)-1,"")</f>
        <v/>
      </c>
      <c r="O2624" s="16" t="str">
        <f t="shared" si="385"/>
        <v/>
      </c>
      <c r="P2624" s="16" t="str">
        <f t="shared" si="385"/>
        <v/>
      </c>
      <c r="Q2624" s="16" t="str">
        <f t="shared" si="385"/>
        <v/>
      </c>
      <c r="R2624" s="5" t="str">
        <f t="shared" si="394"/>
        <v/>
      </c>
      <c r="S2624" s="5" t="str">
        <f t="shared" si="388"/>
        <v/>
      </c>
      <c r="T2624" s="5" t="str">
        <f t="shared" si="393"/>
        <v/>
      </c>
      <c r="U2624" s="5" t="str">
        <f t="shared" si="393"/>
        <v/>
      </c>
    </row>
    <row r="2625" spans="7:21" x14ac:dyDescent="0.2">
      <c r="G2625" s="8"/>
      <c r="H2625" s="5"/>
      <c r="J2625" s="10" t="str">
        <f t="shared" si="386"/>
        <v/>
      </c>
      <c r="K2625" s="10" t="str">
        <f t="shared" si="387"/>
        <v/>
      </c>
      <c r="L2625" s="11" t="str">
        <f t="shared" si="389"/>
        <v/>
      </c>
      <c r="M2625" s="9" t="str">
        <f>IF(G2625&lt;&gt;"",J2625/MAX(J$3:J2625)-1,"")</f>
        <v/>
      </c>
      <c r="N2625" s="9" t="str">
        <f>IF(G2625&lt;&gt;"",K2625/MAX(K$3:K2625)-1,"")</f>
        <v/>
      </c>
      <c r="O2625" s="16" t="str">
        <f t="shared" si="385"/>
        <v/>
      </c>
      <c r="P2625" s="16" t="str">
        <f t="shared" si="385"/>
        <v/>
      </c>
      <c r="Q2625" s="16" t="str">
        <f t="shared" si="385"/>
        <v/>
      </c>
      <c r="R2625" s="5" t="str">
        <f t="shared" si="394"/>
        <v/>
      </c>
      <c r="S2625" s="5" t="str">
        <f t="shared" si="388"/>
        <v/>
      </c>
      <c r="T2625" s="5" t="str">
        <f t="shared" si="393"/>
        <v/>
      </c>
      <c r="U2625" s="5" t="str">
        <f t="shared" si="393"/>
        <v/>
      </c>
    </row>
    <row r="2626" spans="7:21" x14ac:dyDescent="0.2">
      <c r="G2626" s="8"/>
      <c r="H2626" s="5"/>
      <c r="J2626" s="10" t="str">
        <f t="shared" si="386"/>
        <v/>
      </c>
      <c r="K2626" s="10" t="str">
        <f t="shared" si="387"/>
        <v/>
      </c>
      <c r="L2626" s="11" t="str">
        <f t="shared" si="389"/>
        <v/>
      </c>
      <c r="M2626" s="9" t="str">
        <f>IF(G2626&lt;&gt;"",J2626/MAX(J$3:J2626)-1,"")</f>
        <v/>
      </c>
      <c r="N2626" s="9" t="str">
        <f>IF(G2626&lt;&gt;"",K2626/MAX(K$3:K2626)-1,"")</f>
        <v/>
      </c>
      <c r="O2626" s="16" t="str">
        <f t="shared" ref="O2626:Q2689" si="395">IF($G2626&lt;&gt;"",J2626/J2625-1,"")</f>
        <v/>
      </c>
      <c r="P2626" s="16" t="str">
        <f t="shared" si="395"/>
        <v/>
      </c>
      <c r="Q2626" s="16" t="str">
        <f t="shared" si="395"/>
        <v/>
      </c>
      <c r="R2626" s="5" t="str">
        <f t="shared" si="394"/>
        <v/>
      </c>
      <c r="S2626" s="5" t="str">
        <f t="shared" si="388"/>
        <v/>
      </c>
      <c r="T2626" s="5" t="str">
        <f t="shared" si="393"/>
        <v/>
      </c>
      <c r="U2626" s="5" t="str">
        <f t="shared" si="393"/>
        <v/>
      </c>
    </row>
    <row r="2627" spans="7:21" x14ac:dyDescent="0.2">
      <c r="G2627" s="8"/>
      <c r="H2627" s="5"/>
      <c r="J2627" s="10" t="str">
        <f t="shared" si="386"/>
        <v/>
      </c>
      <c r="K2627" s="10" t="str">
        <f t="shared" si="387"/>
        <v/>
      </c>
      <c r="L2627" s="11" t="str">
        <f t="shared" si="389"/>
        <v/>
      </c>
      <c r="M2627" s="9" t="str">
        <f>IF(G2627&lt;&gt;"",J2627/MAX(J$3:J2627)-1,"")</f>
        <v/>
      </c>
      <c r="N2627" s="9" t="str">
        <f>IF(G2627&lt;&gt;"",K2627/MAX(K$3:K2627)-1,"")</f>
        <v/>
      </c>
      <c r="O2627" s="16" t="str">
        <f t="shared" si="395"/>
        <v/>
      </c>
      <c r="P2627" s="16" t="str">
        <f t="shared" si="395"/>
        <v/>
      </c>
      <c r="Q2627" s="16" t="str">
        <f t="shared" si="395"/>
        <v/>
      </c>
      <c r="R2627" s="5" t="str">
        <f t="shared" si="394"/>
        <v/>
      </c>
      <c r="S2627" s="5" t="str">
        <f t="shared" si="388"/>
        <v/>
      </c>
      <c r="T2627" s="5" t="str">
        <f t="shared" si="393"/>
        <v/>
      </c>
      <c r="U2627" s="5" t="str">
        <f t="shared" si="393"/>
        <v/>
      </c>
    </row>
    <row r="2628" spans="7:21" x14ac:dyDescent="0.2">
      <c r="G2628" s="8"/>
      <c r="H2628" s="5"/>
      <c r="J2628" s="10" t="str">
        <f t="shared" ref="J2628:J2691" si="396">IF(G2628&lt;&gt;"",1+H2628,"")</f>
        <v/>
      </c>
      <c r="K2628" s="10" t="str">
        <f t="shared" ref="K2628:K2691" si="397">IF(G2628&lt;&gt;"",1+I2628,"")</f>
        <v/>
      </c>
      <c r="L2628" s="11" t="str">
        <f t="shared" si="389"/>
        <v/>
      </c>
      <c r="M2628" s="9" t="str">
        <f>IF(G2628&lt;&gt;"",J2628/MAX(J$3:J2628)-1,"")</f>
        <v/>
      </c>
      <c r="N2628" s="9" t="str">
        <f>IF(G2628&lt;&gt;"",K2628/MAX(K$3:K2628)-1,"")</f>
        <v/>
      </c>
      <c r="O2628" s="16" t="str">
        <f t="shared" si="395"/>
        <v/>
      </c>
      <c r="P2628" s="16" t="str">
        <f t="shared" si="395"/>
        <v/>
      </c>
      <c r="Q2628" s="16" t="str">
        <f t="shared" si="395"/>
        <v/>
      </c>
      <c r="R2628" s="5" t="str">
        <f t="shared" si="394"/>
        <v/>
      </c>
      <c r="S2628" s="5" t="str">
        <f t="shared" ref="S2628:S2691" si="398">IF(R2628&lt;&gt;"",B$12,"")</f>
        <v/>
      </c>
      <c r="T2628" s="5" t="str">
        <f t="shared" si="393"/>
        <v/>
      </c>
      <c r="U2628" s="5" t="str">
        <f t="shared" si="393"/>
        <v/>
      </c>
    </row>
    <row r="2629" spans="7:21" x14ac:dyDescent="0.2">
      <c r="G2629" s="8"/>
      <c r="H2629" s="5"/>
      <c r="J2629" s="10" t="str">
        <f t="shared" si="396"/>
        <v/>
      </c>
      <c r="K2629" s="10" t="str">
        <f t="shared" si="397"/>
        <v/>
      </c>
      <c r="L2629" s="11" t="str">
        <f t="shared" ref="L2629:L2692" si="399">IF(G2629&lt;&gt;"",J2629/K2629,"")</f>
        <v/>
      </c>
      <c r="M2629" s="9" t="str">
        <f>IF(G2629&lt;&gt;"",J2629/MAX(J$3:J2629)-1,"")</f>
        <v/>
      </c>
      <c r="N2629" s="9" t="str">
        <f>IF(G2629&lt;&gt;"",K2629/MAX(K$3:K2629)-1,"")</f>
        <v/>
      </c>
      <c r="O2629" s="16" t="str">
        <f t="shared" si="395"/>
        <v/>
      </c>
      <c r="P2629" s="16" t="str">
        <f t="shared" si="395"/>
        <v/>
      </c>
      <c r="Q2629" s="16" t="str">
        <f t="shared" si="395"/>
        <v/>
      </c>
      <c r="R2629" s="5" t="str">
        <f t="shared" si="394"/>
        <v/>
      </c>
      <c r="S2629" s="5" t="str">
        <f t="shared" si="398"/>
        <v/>
      </c>
      <c r="T2629" s="5" t="str">
        <f t="shared" si="393"/>
        <v/>
      </c>
      <c r="U2629" s="5" t="str">
        <f t="shared" si="393"/>
        <v/>
      </c>
    </row>
    <row r="2630" spans="7:21" x14ac:dyDescent="0.2">
      <c r="G2630" s="8"/>
      <c r="H2630" s="5"/>
      <c r="J2630" s="10" t="str">
        <f t="shared" si="396"/>
        <v/>
      </c>
      <c r="K2630" s="10" t="str">
        <f t="shared" si="397"/>
        <v/>
      </c>
      <c r="L2630" s="11" t="str">
        <f t="shared" si="399"/>
        <v/>
      </c>
      <c r="M2630" s="9" t="str">
        <f>IF(G2630&lt;&gt;"",J2630/MAX(J$3:J2630)-1,"")</f>
        <v/>
      </c>
      <c r="N2630" s="9" t="str">
        <f>IF(G2630&lt;&gt;"",K2630/MAX(K$3:K2630)-1,"")</f>
        <v/>
      </c>
      <c r="O2630" s="16" t="str">
        <f t="shared" si="395"/>
        <v/>
      </c>
      <c r="P2630" s="16" t="str">
        <f t="shared" si="395"/>
        <v/>
      </c>
      <c r="Q2630" s="16" t="str">
        <f t="shared" si="395"/>
        <v/>
      </c>
      <c r="R2630" s="5" t="str">
        <f t="shared" si="394"/>
        <v/>
      </c>
      <c r="S2630" s="5" t="str">
        <f t="shared" si="398"/>
        <v/>
      </c>
      <c r="T2630" s="5" t="str">
        <f t="shared" si="393"/>
        <v/>
      </c>
      <c r="U2630" s="5" t="str">
        <f t="shared" si="393"/>
        <v/>
      </c>
    </row>
    <row r="2631" spans="7:21" x14ac:dyDescent="0.2">
      <c r="G2631" s="8"/>
      <c r="H2631" s="5"/>
      <c r="J2631" s="10" t="str">
        <f t="shared" si="396"/>
        <v/>
      </c>
      <c r="K2631" s="10" t="str">
        <f t="shared" si="397"/>
        <v/>
      </c>
      <c r="L2631" s="11" t="str">
        <f t="shared" si="399"/>
        <v/>
      </c>
      <c r="M2631" s="9" t="str">
        <f>IF(G2631&lt;&gt;"",J2631/MAX(J$3:J2631)-1,"")</f>
        <v/>
      </c>
      <c r="N2631" s="9" t="str">
        <f>IF(G2631&lt;&gt;"",K2631/MAX(K$3:K2631)-1,"")</f>
        <v/>
      </c>
      <c r="O2631" s="16" t="str">
        <f t="shared" si="395"/>
        <v/>
      </c>
      <c r="P2631" s="16" t="str">
        <f t="shared" si="395"/>
        <v/>
      </c>
      <c r="Q2631" s="16" t="str">
        <f t="shared" si="395"/>
        <v/>
      </c>
      <c r="R2631" s="5" t="str">
        <f t="shared" si="394"/>
        <v/>
      </c>
      <c r="S2631" s="5" t="str">
        <f t="shared" si="398"/>
        <v/>
      </c>
      <c r="T2631" s="5" t="str">
        <f t="shared" si="393"/>
        <v/>
      </c>
      <c r="U2631" s="5" t="str">
        <f t="shared" si="393"/>
        <v/>
      </c>
    </row>
    <row r="2632" spans="7:21" x14ac:dyDescent="0.2">
      <c r="G2632" s="8"/>
      <c r="H2632" s="5"/>
      <c r="J2632" s="10" t="str">
        <f t="shared" si="396"/>
        <v/>
      </c>
      <c r="K2632" s="10" t="str">
        <f t="shared" si="397"/>
        <v/>
      </c>
      <c r="L2632" s="11" t="str">
        <f t="shared" si="399"/>
        <v/>
      </c>
      <c r="M2632" s="9" t="str">
        <f>IF(G2632&lt;&gt;"",J2632/MAX(J$3:J2632)-1,"")</f>
        <v/>
      </c>
      <c r="N2632" s="9" t="str">
        <f>IF(G2632&lt;&gt;"",K2632/MAX(K$3:K2632)-1,"")</f>
        <v/>
      </c>
      <c r="O2632" s="16" t="str">
        <f t="shared" si="395"/>
        <v/>
      </c>
      <c r="P2632" s="16" t="str">
        <f t="shared" si="395"/>
        <v/>
      </c>
      <c r="Q2632" s="16" t="str">
        <f t="shared" si="395"/>
        <v/>
      </c>
      <c r="R2632" s="5" t="str">
        <f t="shared" si="394"/>
        <v/>
      </c>
      <c r="S2632" s="5" t="str">
        <f t="shared" si="398"/>
        <v/>
      </c>
      <c r="T2632" s="5" t="str">
        <f t="shared" ref="T2632:U2647" si="400">IF($G2632&lt;&gt;"",_xlfn.STDEV.S(O2388:O2632),"")</f>
        <v/>
      </c>
      <c r="U2632" s="5" t="str">
        <f t="shared" si="400"/>
        <v/>
      </c>
    </row>
    <row r="2633" spans="7:21" x14ac:dyDescent="0.2">
      <c r="G2633" s="8"/>
      <c r="H2633" s="5"/>
      <c r="J2633" s="10" t="str">
        <f t="shared" si="396"/>
        <v/>
      </c>
      <c r="K2633" s="10" t="str">
        <f t="shared" si="397"/>
        <v/>
      </c>
      <c r="L2633" s="11" t="str">
        <f t="shared" si="399"/>
        <v/>
      </c>
      <c r="M2633" s="9" t="str">
        <f>IF(G2633&lt;&gt;"",J2633/MAX(J$3:J2633)-1,"")</f>
        <v/>
      </c>
      <c r="N2633" s="9" t="str">
        <f>IF(G2633&lt;&gt;"",K2633/MAX(K$3:K2633)-1,"")</f>
        <v/>
      </c>
      <c r="O2633" s="16" t="str">
        <f t="shared" si="395"/>
        <v/>
      </c>
      <c r="P2633" s="16" t="str">
        <f t="shared" si="395"/>
        <v/>
      </c>
      <c r="Q2633" s="16" t="str">
        <f t="shared" si="395"/>
        <v/>
      </c>
      <c r="R2633" s="5" t="str">
        <f t="shared" si="394"/>
        <v/>
      </c>
      <c r="S2633" s="5" t="str">
        <f t="shared" si="398"/>
        <v/>
      </c>
      <c r="T2633" s="5" t="str">
        <f t="shared" si="400"/>
        <v/>
      </c>
      <c r="U2633" s="5" t="str">
        <f t="shared" si="400"/>
        <v/>
      </c>
    </row>
    <row r="2634" spans="7:21" x14ac:dyDescent="0.2">
      <c r="G2634" s="8"/>
      <c r="H2634" s="5"/>
      <c r="J2634" s="10" t="str">
        <f t="shared" si="396"/>
        <v/>
      </c>
      <c r="K2634" s="10" t="str">
        <f t="shared" si="397"/>
        <v/>
      </c>
      <c r="L2634" s="11" t="str">
        <f t="shared" si="399"/>
        <v/>
      </c>
      <c r="M2634" s="9" t="str">
        <f>IF(G2634&lt;&gt;"",J2634/MAX(J$3:J2634)-1,"")</f>
        <v/>
      </c>
      <c r="N2634" s="9" t="str">
        <f>IF(G2634&lt;&gt;"",K2634/MAX(K$3:K2634)-1,"")</f>
        <v/>
      </c>
      <c r="O2634" s="16" t="str">
        <f t="shared" si="395"/>
        <v/>
      </c>
      <c r="P2634" s="16" t="str">
        <f t="shared" si="395"/>
        <v/>
      </c>
      <c r="Q2634" s="16" t="str">
        <f t="shared" si="395"/>
        <v/>
      </c>
      <c r="R2634" s="5" t="str">
        <f t="shared" si="394"/>
        <v/>
      </c>
      <c r="S2634" s="5" t="str">
        <f t="shared" si="398"/>
        <v/>
      </c>
      <c r="T2634" s="5" t="str">
        <f t="shared" si="400"/>
        <v/>
      </c>
      <c r="U2634" s="5" t="str">
        <f t="shared" si="400"/>
        <v/>
      </c>
    </row>
    <row r="2635" spans="7:21" x14ac:dyDescent="0.2">
      <c r="G2635" s="8"/>
      <c r="H2635" s="5"/>
      <c r="J2635" s="10" t="str">
        <f t="shared" si="396"/>
        <v/>
      </c>
      <c r="K2635" s="10" t="str">
        <f t="shared" si="397"/>
        <v/>
      </c>
      <c r="L2635" s="11" t="str">
        <f t="shared" si="399"/>
        <v/>
      </c>
      <c r="M2635" s="9" t="str">
        <f>IF(G2635&lt;&gt;"",J2635/MAX(J$3:J2635)-1,"")</f>
        <v/>
      </c>
      <c r="N2635" s="9" t="str">
        <f>IF(G2635&lt;&gt;"",K2635/MAX(K$3:K2635)-1,"")</f>
        <v/>
      </c>
      <c r="O2635" s="16" t="str">
        <f t="shared" si="395"/>
        <v/>
      </c>
      <c r="P2635" s="16" t="str">
        <f t="shared" si="395"/>
        <v/>
      </c>
      <c r="Q2635" s="16" t="str">
        <f t="shared" si="395"/>
        <v/>
      </c>
      <c r="R2635" s="5" t="str">
        <f t="shared" si="394"/>
        <v/>
      </c>
      <c r="S2635" s="5" t="str">
        <f t="shared" si="398"/>
        <v/>
      </c>
      <c r="T2635" s="5" t="str">
        <f t="shared" si="400"/>
        <v/>
      </c>
      <c r="U2635" s="5" t="str">
        <f t="shared" si="400"/>
        <v/>
      </c>
    </row>
    <row r="2636" spans="7:21" x14ac:dyDescent="0.2">
      <c r="G2636" s="8"/>
      <c r="H2636" s="5"/>
      <c r="J2636" s="10" t="str">
        <f t="shared" si="396"/>
        <v/>
      </c>
      <c r="K2636" s="10" t="str">
        <f t="shared" si="397"/>
        <v/>
      </c>
      <c r="L2636" s="11" t="str">
        <f t="shared" si="399"/>
        <v/>
      </c>
      <c r="M2636" s="9" t="str">
        <f>IF(G2636&lt;&gt;"",J2636/MAX(J$3:J2636)-1,"")</f>
        <v/>
      </c>
      <c r="N2636" s="9" t="str">
        <f>IF(G2636&lt;&gt;"",K2636/MAX(K$3:K2636)-1,"")</f>
        <v/>
      </c>
      <c r="O2636" s="16" t="str">
        <f t="shared" si="395"/>
        <v/>
      </c>
      <c r="P2636" s="16" t="str">
        <f t="shared" si="395"/>
        <v/>
      </c>
      <c r="Q2636" s="16" t="str">
        <f t="shared" si="395"/>
        <v/>
      </c>
      <c r="R2636" s="5" t="str">
        <f t="shared" si="394"/>
        <v/>
      </c>
      <c r="S2636" s="5" t="str">
        <f t="shared" si="398"/>
        <v/>
      </c>
      <c r="T2636" s="5" t="str">
        <f t="shared" si="400"/>
        <v/>
      </c>
      <c r="U2636" s="5" t="str">
        <f t="shared" si="400"/>
        <v/>
      </c>
    </row>
    <row r="2637" spans="7:21" x14ac:dyDescent="0.2">
      <c r="G2637" s="8"/>
      <c r="H2637" s="5"/>
      <c r="J2637" s="10" t="str">
        <f t="shared" si="396"/>
        <v/>
      </c>
      <c r="K2637" s="10" t="str">
        <f t="shared" si="397"/>
        <v/>
      </c>
      <c r="L2637" s="11" t="str">
        <f t="shared" si="399"/>
        <v/>
      </c>
      <c r="M2637" s="9" t="str">
        <f>IF(G2637&lt;&gt;"",J2637/MAX(J$3:J2637)-1,"")</f>
        <v/>
      </c>
      <c r="N2637" s="9" t="str">
        <f>IF(G2637&lt;&gt;"",K2637/MAX(K$3:K2637)-1,"")</f>
        <v/>
      </c>
      <c r="O2637" s="16" t="str">
        <f t="shared" si="395"/>
        <v/>
      </c>
      <c r="P2637" s="16" t="str">
        <f t="shared" si="395"/>
        <v/>
      </c>
      <c r="Q2637" s="16" t="str">
        <f t="shared" si="395"/>
        <v/>
      </c>
      <c r="R2637" s="5" t="str">
        <f t="shared" si="394"/>
        <v/>
      </c>
      <c r="S2637" s="5" t="str">
        <f t="shared" si="398"/>
        <v/>
      </c>
      <c r="T2637" s="5" t="str">
        <f t="shared" si="400"/>
        <v/>
      </c>
      <c r="U2637" s="5" t="str">
        <f t="shared" si="400"/>
        <v/>
      </c>
    </row>
    <row r="2638" spans="7:21" x14ac:dyDescent="0.2">
      <c r="G2638" s="8"/>
      <c r="H2638" s="5"/>
      <c r="J2638" s="10" t="str">
        <f t="shared" si="396"/>
        <v/>
      </c>
      <c r="K2638" s="10" t="str">
        <f t="shared" si="397"/>
        <v/>
      </c>
      <c r="L2638" s="11" t="str">
        <f t="shared" si="399"/>
        <v/>
      </c>
      <c r="M2638" s="9" t="str">
        <f>IF(G2638&lt;&gt;"",J2638/MAX(J$3:J2638)-1,"")</f>
        <v/>
      </c>
      <c r="N2638" s="9" t="str">
        <f>IF(G2638&lt;&gt;"",K2638/MAX(K$3:K2638)-1,"")</f>
        <v/>
      </c>
      <c r="O2638" s="16" t="str">
        <f t="shared" si="395"/>
        <v/>
      </c>
      <c r="P2638" s="16" t="str">
        <f t="shared" si="395"/>
        <v/>
      </c>
      <c r="Q2638" s="16" t="str">
        <f t="shared" si="395"/>
        <v/>
      </c>
      <c r="R2638" s="5" t="str">
        <f t="shared" si="394"/>
        <v/>
      </c>
      <c r="S2638" s="5" t="str">
        <f t="shared" si="398"/>
        <v/>
      </c>
      <c r="T2638" s="5" t="str">
        <f t="shared" si="400"/>
        <v/>
      </c>
      <c r="U2638" s="5" t="str">
        <f t="shared" si="400"/>
        <v/>
      </c>
    </row>
    <row r="2639" spans="7:21" x14ac:dyDescent="0.2">
      <c r="G2639" s="8"/>
      <c r="H2639" s="5"/>
      <c r="J2639" s="10" t="str">
        <f t="shared" si="396"/>
        <v/>
      </c>
      <c r="K2639" s="10" t="str">
        <f t="shared" si="397"/>
        <v/>
      </c>
      <c r="L2639" s="11" t="str">
        <f t="shared" si="399"/>
        <v/>
      </c>
      <c r="M2639" s="9" t="str">
        <f>IF(G2639&lt;&gt;"",J2639/MAX(J$3:J2639)-1,"")</f>
        <v/>
      </c>
      <c r="N2639" s="9" t="str">
        <f>IF(G2639&lt;&gt;"",K2639/MAX(K$3:K2639)-1,"")</f>
        <v/>
      </c>
      <c r="O2639" s="16" t="str">
        <f t="shared" si="395"/>
        <v/>
      </c>
      <c r="P2639" s="16" t="str">
        <f t="shared" si="395"/>
        <v/>
      </c>
      <c r="Q2639" s="16" t="str">
        <f t="shared" si="395"/>
        <v/>
      </c>
      <c r="R2639" s="5" t="str">
        <f t="shared" si="394"/>
        <v/>
      </c>
      <c r="S2639" s="5" t="str">
        <f t="shared" si="398"/>
        <v/>
      </c>
      <c r="T2639" s="5" t="str">
        <f t="shared" si="400"/>
        <v/>
      </c>
      <c r="U2639" s="5" t="str">
        <f t="shared" si="400"/>
        <v/>
      </c>
    </row>
    <row r="2640" spans="7:21" x14ac:dyDescent="0.2">
      <c r="G2640" s="8"/>
      <c r="H2640" s="5"/>
      <c r="J2640" s="10" t="str">
        <f t="shared" si="396"/>
        <v/>
      </c>
      <c r="K2640" s="10" t="str">
        <f t="shared" si="397"/>
        <v/>
      </c>
      <c r="L2640" s="11" t="str">
        <f t="shared" si="399"/>
        <v/>
      </c>
      <c r="M2640" s="9" t="str">
        <f>IF(G2640&lt;&gt;"",J2640/MAX(J$3:J2640)-1,"")</f>
        <v/>
      </c>
      <c r="N2640" s="9" t="str">
        <f>IF(G2640&lt;&gt;"",K2640/MAX(K$3:K2640)-1,"")</f>
        <v/>
      </c>
      <c r="O2640" s="16" t="str">
        <f t="shared" si="395"/>
        <v/>
      </c>
      <c r="P2640" s="16" t="str">
        <f t="shared" si="395"/>
        <v/>
      </c>
      <c r="Q2640" s="16" t="str">
        <f t="shared" si="395"/>
        <v/>
      </c>
      <c r="R2640" s="5" t="str">
        <f t="shared" si="394"/>
        <v/>
      </c>
      <c r="S2640" s="5" t="str">
        <f t="shared" si="398"/>
        <v/>
      </c>
      <c r="T2640" s="5" t="str">
        <f t="shared" si="400"/>
        <v/>
      </c>
      <c r="U2640" s="5" t="str">
        <f t="shared" si="400"/>
        <v/>
      </c>
    </row>
    <row r="2641" spans="7:21" x14ac:dyDescent="0.2">
      <c r="G2641" s="8"/>
      <c r="H2641" s="5"/>
      <c r="J2641" s="10" t="str">
        <f t="shared" si="396"/>
        <v/>
      </c>
      <c r="K2641" s="10" t="str">
        <f t="shared" si="397"/>
        <v/>
      </c>
      <c r="L2641" s="11" t="str">
        <f t="shared" si="399"/>
        <v/>
      </c>
      <c r="M2641" s="9" t="str">
        <f>IF(G2641&lt;&gt;"",J2641/MAX(J$3:J2641)-1,"")</f>
        <v/>
      </c>
      <c r="N2641" s="9" t="str">
        <f>IF(G2641&lt;&gt;"",K2641/MAX(K$3:K2641)-1,"")</f>
        <v/>
      </c>
      <c r="O2641" s="16" t="str">
        <f t="shared" si="395"/>
        <v/>
      </c>
      <c r="P2641" s="16" t="str">
        <f t="shared" si="395"/>
        <v/>
      </c>
      <c r="Q2641" s="16" t="str">
        <f t="shared" si="395"/>
        <v/>
      </c>
      <c r="R2641" s="5" t="str">
        <f t="shared" si="394"/>
        <v/>
      </c>
      <c r="S2641" s="5" t="str">
        <f t="shared" si="398"/>
        <v/>
      </c>
      <c r="T2641" s="5" t="str">
        <f t="shared" si="400"/>
        <v/>
      </c>
      <c r="U2641" s="5" t="str">
        <f t="shared" si="400"/>
        <v/>
      </c>
    </row>
    <row r="2642" spans="7:21" x14ac:dyDescent="0.2">
      <c r="G2642" s="8"/>
      <c r="H2642" s="5"/>
      <c r="J2642" s="10" t="str">
        <f t="shared" si="396"/>
        <v/>
      </c>
      <c r="K2642" s="10" t="str">
        <f t="shared" si="397"/>
        <v/>
      </c>
      <c r="L2642" s="11" t="str">
        <f t="shared" si="399"/>
        <v/>
      </c>
      <c r="M2642" s="9" t="str">
        <f>IF(G2642&lt;&gt;"",J2642/MAX(J$3:J2642)-1,"")</f>
        <v/>
      </c>
      <c r="N2642" s="9" t="str">
        <f>IF(G2642&lt;&gt;"",K2642/MAX(K$3:K2642)-1,"")</f>
        <v/>
      </c>
      <c r="O2642" s="16" t="str">
        <f t="shared" si="395"/>
        <v/>
      </c>
      <c r="P2642" s="16" t="str">
        <f t="shared" si="395"/>
        <v/>
      </c>
      <c r="Q2642" s="16" t="str">
        <f t="shared" si="395"/>
        <v/>
      </c>
      <c r="R2642" s="5" t="str">
        <f t="shared" si="394"/>
        <v/>
      </c>
      <c r="S2642" s="5" t="str">
        <f t="shared" si="398"/>
        <v/>
      </c>
      <c r="T2642" s="5" t="str">
        <f t="shared" si="400"/>
        <v/>
      </c>
      <c r="U2642" s="5" t="str">
        <f t="shared" si="400"/>
        <v/>
      </c>
    </row>
    <row r="2643" spans="7:21" x14ac:dyDescent="0.2">
      <c r="G2643" s="8"/>
      <c r="H2643" s="5"/>
      <c r="J2643" s="10" t="str">
        <f t="shared" si="396"/>
        <v/>
      </c>
      <c r="K2643" s="10" t="str">
        <f t="shared" si="397"/>
        <v/>
      </c>
      <c r="L2643" s="11" t="str">
        <f t="shared" si="399"/>
        <v/>
      </c>
      <c r="M2643" s="9" t="str">
        <f>IF(G2643&lt;&gt;"",J2643/MAX(J$3:J2643)-1,"")</f>
        <v/>
      </c>
      <c r="N2643" s="9" t="str">
        <f>IF(G2643&lt;&gt;"",K2643/MAX(K$3:K2643)-1,"")</f>
        <v/>
      </c>
      <c r="O2643" s="16" t="str">
        <f t="shared" si="395"/>
        <v/>
      </c>
      <c r="P2643" s="16" t="str">
        <f t="shared" si="395"/>
        <v/>
      </c>
      <c r="Q2643" s="16" t="str">
        <f t="shared" si="395"/>
        <v/>
      </c>
      <c r="R2643" s="5" t="str">
        <f t="shared" si="394"/>
        <v/>
      </c>
      <c r="S2643" s="5" t="str">
        <f t="shared" si="398"/>
        <v/>
      </c>
      <c r="T2643" s="5" t="str">
        <f t="shared" si="400"/>
        <v/>
      </c>
      <c r="U2643" s="5" t="str">
        <f t="shared" si="400"/>
        <v/>
      </c>
    </row>
    <row r="2644" spans="7:21" x14ac:dyDescent="0.2">
      <c r="G2644" s="8"/>
      <c r="H2644" s="5"/>
      <c r="J2644" s="10" t="str">
        <f t="shared" si="396"/>
        <v/>
      </c>
      <c r="K2644" s="10" t="str">
        <f t="shared" si="397"/>
        <v/>
      </c>
      <c r="L2644" s="11" t="str">
        <f t="shared" si="399"/>
        <v/>
      </c>
      <c r="M2644" s="9" t="str">
        <f>IF(G2644&lt;&gt;"",J2644/MAX(J$3:J2644)-1,"")</f>
        <v/>
      </c>
      <c r="N2644" s="9" t="str">
        <f>IF(G2644&lt;&gt;"",K2644/MAX(K$3:K2644)-1,"")</f>
        <v/>
      </c>
      <c r="O2644" s="16" t="str">
        <f t="shared" si="395"/>
        <v/>
      </c>
      <c r="P2644" s="16" t="str">
        <f t="shared" si="395"/>
        <v/>
      </c>
      <c r="Q2644" s="16" t="str">
        <f t="shared" si="395"/>
        <v/>
      </c>
      <c r="R2644" s="5" t="str">
        <f t="shared" si="394"/>
        <v/>
      </c>
      <c r="S2644" s="5" t="str">
        <f t="shared" si="398"/>
        <v/>
      </c>
      <c r="T2644" s="5" t="str">
        <f t="shared" si="400"/>
        <v/>
      </c>
      <c r="U2644" s="5" t="str">
        <f t="shared" si="400"/>
        <v/>
      </c>
    </row>
    <row r="2645" spans="7:21" x14ac:dyDescent="0.2">
      <c r="G2645" s="8"/>
      <c r="H2645" s="5"/>
      <c r="J2645" s="10" t="str">
        <f t="shared" si="396"/>
        <v/>
      </c>
      <c r="K2645" s="10" t="str">
        <f t="shared" si="397"/>
        <v/>
      </c>
      <c r="L2645" s="11" t="str">
        <f t="shared" si="399"/>
        <v/>
      </c>
      <c r="M2645" s="9" t="str">
        <f>IF(G2645&lt;&gt;"",J2645/MAX(J$3:J2645)-1,"")</f>
        <v/>
      </c>
      <c r="N2645" s="9" t="str">
        <f>IF(G2645&lt;&gt;"",K2645/MAX(K$3:K2645)-1,"")</f>
        <v/>
      </c>
      <c r="O2645" s="16" t="str">
        <f t="shared" si="395"/>
        <v/>
      </c>
      <c r="P2645" s="16" t="str">
        <f t="shared" si="395"/>
        <v/>
      </c>
      <c r="Q2645" s="16" t="str">
        <f t="shared" si="395"/>
        <v/>
      </c>
      <c r="R2645" s="5" t="str">
        <f t="shared" si="394"/>
        <v/>
      </c>
      <c r="S2645" s="5" t="str">
        <f t="shared" si="398"/>
        <v/>
      </c>
      <c r="T2645" s="5" t="str">
        <f t="shared" si="400"/>
        <v/>
      </c>
      <c r="U2645" s="5" t="str">
        <f t="shared" si="400"/>
        <v/>
      </c>
    </row>
    <row r="2646" spans="7:21" x14ac:dyDescent="0.2">
      <c r="G2646" s="8"/>
      <c r="H2646" s="5"/>
      <c r="J2646" s="10" t="str">
        <f t="shared" si="396"/>
        <v/>
      </c>
      <c r="K2646" s="10" t="str">
        <f t="shared" si="397"/>
        <v/>
      </c>
      <c r="L2646" s="11" t="str">
        <f t="shared" si="399"/>
        <v/>
      </c>
      <c r="M2646" s="9" t="str">
        <f>IF(G2646&lt;&gt;"",J2646/MAX(J$3:J2646)-1,"")</f>
        <v/>
      </c>
      <c r="N2646" s="9" t="str">
        <f>IF(G2646&lt;&gt;"",K2646/MAX(K$3:K2646)-1,"")</f>
        <v/>
      </c>
      <c r="O2646" s="16" t="str">
        <f t="shared" si="395"/>
        <v/>
      </c>
      <c r="P2646" s="16" t="str">
        <f t="shared" si="395"/>
        <v/>
      </c>
      <c r="Q2646" s="16" t="str">
        <f t="shared" si="395"/>
        <v/>
      </c>
      <c r="R2646" s="5" t="str">
        <f t="shared" si="394"/>
        <v/>
      </c>
      <c r="S2646" s="5" t="str">
        <f t="shared" si="398"/>
        <v/>
      </c>
      <c r="T2646" s="5" t="str">
        <f t="shared" si="400"/>
        <v/>
      </c>
      <c r="U2646" s="5" t="str">
        <f t="shared" si="400"/>
        <v/>
      </c>
    </row>
    <row r="2647" spans="7:21" x14ac:dyDescent="0.2">
      <c r="G2647" s="8"/>
      <c r="H2647" s="5"/>
      <c r="J2647" s="10" t="str">
        <f t="shared" si="396"/>
        <v/>
      </c>
      <c r="K2647" s="10" t="str">
        <f t="shared" si="397"/>
        <v/>
      </c>
      <c r="L2647" s="11" t="str">
        <f t="shared" si="399"/>
        <v/>
      </c>
      <c r="M2647" s="9" t="str">
        <f>IF(G2647&lt;&gt;"",J2647/MAX(J$3:J2647)-1,"")</f>
        <v/>
      </c>
      <c r="N2647" s="9" t="str">
        <f>IF(G2647&lt;&gt;"",K2647/MAX(K$3:K2647)-1,"")</f>
        <v/>
      </c>
      <c r="O2647" s="16" t="str">
        <f t="shared" si="395"/>
        <v/>
      </c>
      <c r="P2647" s="16" t="str">
        <f t="shared" si="395"/>
        <v/>
      </c>
      <c r="Q2647" s="16" t="str">
        <f t="shared" si="395"/>
        <v/>
      </c>
      <c r="R2647" s="5" t="str">
        <f t="shared" si="394"/>
        <v/>
      </c>
      <c r="S2647" s="5" t="str">
        <f t="shared" si="398"/>
        <v/>
      </c>
      <c r="T2647" s="5" t="str">
        <f t="shared" si="400"/>
        <v/>
      </c>
      <c r="U2647" s="5" t="str">
        <f t="shared" si="400"/>
        <v/>
      </c>
    </row>
    <row r="2648" spans="7:21" x14ac:dyDescent="0.2">
      <c r="G2648" s="8"/>
      <c r="H2648" s="5"/>
      <c r="J2648" s="10" t="str">
        <f t="shared" si="396"/>
        <v/>
      </c>
      <c r="K2648" s="10" t="str">
        <f t="shared" si="397"/>
        <v/>
      </c>
      <c r="L2648" s="11" t="str">
        <f t="shared" si="399"/>
        <v/>
      </c>
      <c r="M2648" s="9" t="str">
        <f>IF(G2648&lt;&gt;"",J2648/MAX(J$3:J2648)-1,"")</f>
        <v/>
      </c>
      <c r="N2648" s="9" t="str">
        <f>IF(G2648&lt;&gt;"",K2648/MAX(K$3:K2648)-1,"")</f>
        <v/>
      </c>
      <c r="O2648" s="16" t="str">
        <f t="shared" si="395"/>
        <v/>
      </c>
      <c r="P2648" s="16" t="str">
        <f t="shared" si="395"/>
        <v/>
      </c>
      <c r="Q2648" s="16" t="str">
        <f t="shared" si="395"/>
        <v/>
      </c>
      <c r="R2648" s="5" t="str">
        <f t="shared" si="394"/>
        <v/>
      </c>
      <c r="S2648" s="5" t="str">
        <f t="shared" si="398"/>
        <v/>
      </c>
      <c r="T2648" s="5" t="str">
        <f t="shared" ref="T2648:U2663" si="401">IF($G2648&lt;&gt;"",_xlfn.STDEV.S(O2404:O2648),"")</f>
        <v/>
      </c>
      <c r="U2648" s="5" t="str">
        <f t="shared" si="401"/>
        <v/>
      </c>
    </row>
    <row r="2649" spans="7:21" x14ac:dyDescent="0.2">
      <c r="G2649" s="8"/>
      <c r="H2649" s="5"/>
      <c r="J2649" s="10" t="str">
        <f t="shared" si="396"/>
        <v/>
      </c>
      <c r="K2649" s="10" t="str">
        <f t="shared" si="397"/>
        <v/>
      </c>
      <c r="L2649" s="11" t="str">
        <f t="shared" si="399"/>
        <v/>
      </c>
      <c r="M2649" s="9" t="str">
        <f>IF(G2649&lt;&gt;"",J2649/MAX(J$3:J2649)-1,"")</f>
        <v/>
      </c>
      <c r="N2649" s="9" t="str">
        <f>IF(G2649&lt;&gt;"",K2649/MAX(K$3:K2649)-1,"")</f>
        <v/>
      </c>
      <c r="O2649" s="16" t="str">
        <f t="shared" si="395"/>
        <v/>
      </c>
      <c r="P2649" s="16" t="str">
        <f t="shared" si="395"/>
        <v/>
      </c>
      <c r="Q2649" s="16" t="str">
        <f t="shared" si="395"/>
        <v/>
      </c>
      <c r="R2649" s="5" t="str">
        <f t="shared" si="394"/>
        <v/>
      </c>
      <c r="S2649" s="5" t="str">
        <f t="shared" si="398"/>
        <v/>
      </c>
      <c r="T2649" s="5" t="str">
        <f t="shared" si="401"/>
        <v/>
      </c>
      <c r="U2649" s="5" t="str">
        <f t="shared" si="401"/>
        <v/>
      </c>
    </row>
    <row r="2650" spans="7:21" x14ac:dyDescent="0.2">
      <c r="G2650" s="8"/>
      <c r="H2650" s="5"/>
      <c r="J2650" s="10" t="str">
        <f t="shared" si="396"/>
        <v/>
      </c>
      <c r="K2650" s="10" t="str">
        <f t="shared" si="397"/>
        <v/>
      </c>
      <c r="L2650" s="11" t="str">
        <f t="shared" si="399"/>
        <v/>
      </c>
      <c r="M2650" s="9" t="str">
        <f>IF(G2650&lt;&gt;"",J2650/MAX(J$3:J2650)-1,"")</f>
        <v/>
      </c>
      <c r="N2650" s="9" t="str">
        <f>IF(G2650&lt;&gt;"",K2650/MAX(K$3:K2650)-1,"")</f>
        <v/>
      </c>
      <c r="O2650" s="16" t="str">
        <f t="shared" si="395"/>
        <v/>
      </c>
      <c r="P2650" s="16" t="str">
        <f t="shared" si="395"/>
        <v/>
      </c>
      <c r="Q2650" s="16" t="str">
        <f t="shared" si="395"/>
        <v/>
      </c>
      <c r="R2650" s="5" t="str">
        <f t="shared" si="394"/>
        <v/>
      </c>
      <c r="S2650" s="5" t="str">
        <f t="shared" si="398"/>
        <v/>
      </c>
      <c r="T2650" s="5" t="str">
        <f t="shared" si="401"/>
        <v/>
      </c>
      <c r="U2650" s="5" t="str">
        <f t="shared" si="401"/>
        <v/>
      </c>
    </row>
    <row r="2651" spans="7:21" x14ac:dyDescent="0.2">
      <c r="G2651" s="8"/>
      <c r="H2651" s="5"/>
      <c r="J2651" s="10" t="str">
        <f t="shared" si="396"/>
        <v/>
      </c>
      <c r="K2651" s="10" t="str">
        <f t="shared" si="397"/>
        <v/>
      </c>
      <c r="L2651" s="11" t="str">
        <f t="shared" si="399"/>
        <v/>
      </c>
      <c r="M2651" s="9" t="str">
        <f>IF(G2651&lt;&gt;"",J2651/MAX(J$3:J2651)-1,"")</f>
        <v/>
      </c>
      <c r="N2651" s="9" t="str">
        <f>IF(G2651&lt;&gt;"",K2651/MAX(K$3:K2651)-1,"")</f>
        <v/>
      </c>
      <c r="O2651" s="16" t="str">
        <f t="shared" si="395"/>
        <v/>
      </c>
      <c r="P2651" s="16" t="str">
        <f t="shared" si="395"/>
        <v/>
      </c>
      <c r="Q2651" s="16" t="str">
        <f t="shared" si="395"/>
        <v/>
      </c>
      <c r="R2651" s="5" t="str">
        <f t="shared" si="394"/>
        <v/>
      </c>
      <c r="S2651" s="5" t="str">
        <f t="shared" si="398"/>
        <v/>
      </c>
      <c r="T2651" s="5" t="str">
        <f t="shared" si="401"/>
        <v/>
      </c>
      <c r="U2651" s="5" t="str">
        <f t="shared" si="401"/>
        <v/>
      </c>
    </row>
    <row r="2652" spans="7:21" x14ac:dyDescent="0.2">
      <c r="G2652" s="8"/>
      <c r="H2652" s="5"/>
      <c r="J2652" s="10" t="str">
        <f t="shared" si="396"/>
        <v/>
      </c>
      <c r="K2652" s="10" t="str">
        <f t="shared" si="397"/>
        <v/>
      </c>
      <c r="L2652" s="11" t="str">
        <f t="shared" si="399"/>
        <v/>
      </c>
      <c r="M2652" s="9" t="str">
        <f>IF(G2652&lt;&gt;"",J2652/MAX(J$3:J2652)-1,"")</f>
        <v/>
      </c>
      <c r="N2652" s="9" t="str">
        <f>IF(G2652&lt;&gt;"",K2652/MAX(K$3:K2652)-1,"")</f>
        <v/>
      </c>
      <c r="O2652" s="16" t="str">
        <f t="shared" si="395"/>
        <v/>
      </c>
      <c r="P2652" s="16" t="str">
        <f t="shared" si="395"/>
        <v/>
      </c>
      <c r="Q2652" s="16" t="str">
        <f t="shared" si="395"/>
        <v/>
      </c>
      <c r="R2652" s="5" t="str">
        <f t="shared" si="394"/>
        <v/>
      </c>
      <c r="S2652" s="5" t="str">
        <f t="shared" si="398"/>
        <v/>
      </c>
      <c r="T2652" s="5" t="str">
        <f t="shared" si="401"/>
        <v/>
      </c>
      <c r="U2652" s="5" t="str">
        <f t="shared" si="401"/>
        <v/>
      </c>
    </row>
    <row r="2653" spans="7:21" x14ac:dyDescent="0.2">
      <c r="G2653" s="8"/>
      <c r="H2653" s="5"/>
      <c r="J2653" s="10" t="str">
        <f t="shared" si="396"/>
        <v/>
      </c>
      <c r="K2653" s="10" t="str">
        <f t="shared" si="397"/>
        <v/>
      </c>
      <c r="L2653" s="11" t="str">
        <f t="shared" si="399"/>
        <v/>
      </c>
      <c r="M2653" s="9" t="str">
        <f>IF(G2653&lt;&gt;"",J2653/MAX(J$3:J2653)-1,"")</f>
        <v/>
      </c>
      <c r="N2653" s="9" t="str">
        <f>IF(G2653&lt;&gt;"",K2653/MAX(K$3:K2653)-1,"")</f>
        <v/>
      </c>
      <c r="O2653" s="16" t="str">
        <f t="shared" si="395"/>
        <v/>
      </c>
      <c r="P2653" s="16" t="str">
        <f t="shared" si="395"/>
        <v/>
      </c>
      <c r="Q2653" s="16" t="str">
        <f t="shared" si="395"/>
        <v/>
      </c>
      <c r="R2653" s="5" t="str">
        <f t="shared" si="394"/>
        <v/>
      </c>
      <c r="S2653" s="5" t="str">
        <f t="shared" si="398"/>
        <v/>
      </c>
      <c r="T2653" s="5" t="str">
        <f t="shared" si="401"/>
        <v/>
      </c>
      <c r="U2653" s="5" t="str">
        <f t="shared" si="401"/>
        <v/>
      </c>
    </row>
    <row r="2654" spans="7:21" x14ac:dyDescent="0.2">
      <c r="G2654" s="8"/>
      <c r="H2654" s="5"/>
      <c r="J2654" s="10" t="str">
        <f t="shared" si="396"/>
        <v/>
      </c>
      <c r="K2654" s="10" t="str">
        <f t="shared" si="397"/>
        <v/>
      </c>
      <c r="L2654" s="11" t="str">
        <f t="shared" si="399"/>
        <v/>
      </c>
      <c r="M2654" s="9" t="str">
        <f>IF(G2654&lt;&gt;"",J2654/MAX(J$3:J2654)-1,"")</f>
        <v/>
      </c>
      <c r="N2654" s="9" t="str">
        <f>IF(G2654&lt;&gt;"",K2654/MAX(K$3:K2654)-1,"")</f>
        <v/>
      </c>
      <c r="O2654" s="16" t="str">
        <f t="shared" si="395"/>
        <v/>
      </c>
      <c r="P2654" s="16" t="str">
        <f t="shared" si="395"/>
        <v/>
      </c>
      <c r="Q2654" s="16" t="str">
        <f t="shared" si="395"/>
        <v/>
      </c>
      <c r="R2654" s="5" t="str">
        <f t="shared" si="394"/>
        <v/>
      </c>
      <c r="S2654" s="5" t="str">
        <f t="shared" si="398"/>
        <v/>
      </c>
      <c r="T2654" s="5" t="str">
        <f t="shared" si="401"/>
        <v/>
      </c>
      <c r="U2654" s="5" t="str">
        <f t="shared" si="401"/>
        <v/>
      </c>
    </row>
    <row r="2655" spans="7:21" x14ac:dyDescent="0.2">
      <c r="G2655" s="8"/>
      <c r="H2655" s="5"/>
      <c r="J2655" s="10" t="str">
        <f t="shared" si="396"/>
        <v/>
      </c>
      <c r="K2655" s="10" t="str">
        <f t="shared" si="397"/>
        <v/>
      </c>
      <c r="L2655" s="11" t="str">
        <f t="shared" si="399"/>
        <v/>
      </c>
      <c r="M2655" s="9" t="str">
        <f>IF(G2655&lt;&gt;"",J2655/MAX(J$3:J2655)-1,"")</f>
        <v/>
      </c>
      <c r="N2655" s="9" t="str">
        <f>IF(G2655&lt;&gt;"",K2655/MAX(K$3:K2655)-1,"")</f>
        <v/>
      </c>
      <c r="O2655" s="16" t="str">
        <f t="shared" si="395"/>
        <v/>
      </c>
      <c r="P2655" s="16" t="str">
        <f t="shared" si="395"/>
        <v/>
      </c>
      <c r="Q2655" s="16" t="str">
        <f t="shared" si="395"/>
        <v/>
      </c>
      <c r="R2655" s="5" t="str">
        <f t="shared" si="394"/>
        <v/>
      </c>
      <c r="S2655" s="5" t="str">
        <f t="shared" si="398"/>
        <v/>
      </c>
      <c r="T2655" s="5" t="str">
        <f t="shared" si="401"/>
        <v/>
      </c>
      <c r="U2655" s="5" t="str">
        <f t="shared" si="401"/>
        <v/>
      </c>
    </row>
    <row r="2656" spans="7:21" x14ac:dyDescent="0.2">
      <c r="G2656" s="8"/>
      <c r="H2656" s="5"/>
      <c r="J2656" s="10" t="str">
        <f t="shared" si="396"/>
        <v/>
      </c>
      <c r="K2656" s="10" t="str">
        <f t="shared" si="397"/>
        <v/>
      </c>
      <c r="L2656" s="11" t="str">
        <f t="shared" si="399"/>
        <v/>
      </c>
      <c r="M2656" s="9" t="str">
        <f>IF(G2656&lt;&gt;"",J2656/MAX(J$3:J2656)-1,"")</f>
        <v/>
      </c>
      <c r="N2656" s="9" t="str">
        <f>IF(G2656&lt;&gt;"",K2656/MAX(K$3:K2656)-1,"")</f>
        <v/>
      </c>
      <c r="O2656" s="16" t="str">
        <f t="shared" si="395"/>
        <v/>
      </c>
      <c r="P2656" s="16" t="str">
        <f t="shared" si="395"/>
        <v/>
      </c>
      <c r="Q2656" s="16" t="str">
        <f t="shared" si="395"/>
        <v/>
      </c>
      <c r="R2656" s="5" t="str">
        <f t="shared" si="394"/>
        <v/>
      </c>
      <c r="S2656" s="5" t="str">
        <f t="shared" si="398"/>
        <v/>
      </c>
      <c r="T2656" s="5" t="str">
        <f t="shared" si="401"/>
        <v/>
      </c>
      <c r="U2656" s="5" t="str">
        <f t="shared" si="401"/>
        <v/>
      </c>
    </row>
    <row r="2657" spans="7:21" x14ac:dyDescent="0.2">
      <c r="G2657" s="8"/>
      <c r="H2657" s="5"/>
      <c r="J2657" s="10" t="str">
        <f t="shared" si="396"/>
        <v/>
      </c>
      <c r="K2657" s="10" t="str">
        <f t="shared" si="397"/>
        <v/>
      </c>
      <c r="L2657" s="11" t="str">
        <f t="shared" si="399"/>
        <v/>
      </c>
      <c r="M2657" s="9" t="str">
        <f>IF(G2657&lt;&gt;"",J2657/MAX(J$3:J2657)-1,"")</f>
        <v/>
      </c>
      <c r="N2657" s="9" t="str">
        <f>IF(G2657&lt;&gt;"",K2657/MAX(K$3:K2657)-1,"")</f>
        <v/>
      </c>
      <c r="O2657" s="16" t="str">
        <f t="shared" si="395"/>
        <v/>
      </c>
      <c r="P2657" s="16" t="str">
        <f t="shared" si="395"/>
        <v/>
      </c>
      <c r="Q2657" s="16" t="str">
        <f t="shared" si="395"/>
        <v/>
      </c>
      <c r="R2657" s="5" t="str">
        <f t="shared" si="394"/>
        <v/>
      </c>
      <c r="S2657" s="5" t="str">
        <f t="shared" si="398"/>
        <v/>
      </c>
      <c r="T2657" s="5" t="str">
        <f t="shared" si="401"/>
        <v/>
      </c>
      <c r="U2657" s="5" t="str">
        <f t="shared" si="401"/>
        <v/>
      </c>
    </row>
    <row r="2658" spans="7:21" x14ac:dyDescent="0.2">
      <c r="G2658" s="8"/>
      <c r="H2658" s="5"/>
      <c r="J2658" s="10" t="str">
        <f t="shared" si="396"/>
        <v/>
      </c>
      <c r="K2658" s="10" t="str">
        <f t="shared" si="397"/>
        <v/>
      </c>
      <c r="L2658" s="11" t="str">
        <f t="shared" si="399"/>
        <v/>
      </c>
      <c r="M2658" s="9" t="str">
        <f>IF(G2658&lt;&gt;"",J2658/MAX(J$3:J2658)-1,"")</f>
        <v/>
      </c>
      <c r="N2658" s="9" t="str">
        <f>IF(G2658&lt;&gt;"",K2658/MAX(K$3:K2658)-1,"")</f>
        <v/>
      </c>
      <c r="O2658" s="16" t="str">
        <f t="shared" si="395"/>
        <v/>
      </c>
      <c r="P2658" s="16" t="str">
        <f t="shared" si="395"/>
        <v/>
      </c>
      <c r="Q2658" s="16" t="str">
        <f t="shared" si="395"/>
        <v/>
      </c>
      <c r="R2658" s="5" t="str">
        <f t="shared" si="394"/>
        <v/>
      </c>
      <c r="S2658" s="5" t="str">
        <f t="shared" si="398"/>
        <v/>
      </c>
      <c r="T2658" s="5" t="str">
        <f t="shared" si="401"/>
        <v/>
      </c>
      <c r="U2658" s="5" t="str">
        <f t="shared" si="401"/>
        <v/>
      </c>
    </row>
    <row r="2659" spans="7:21" x14ac:dyDescent="0.2">
      <c r="G2659" s="8"/>
      <c r="H2659" s="5"/>
      <c r="J2659" s="10" t="str">
        <f t="shared" si="396"/>
        <v/>
      </c>
      <c r="K2659" s="10" t="str">
        <f t="shared" si="397"/>
        <v/>
      </c>
      <c r="L2659" s="11" t="str">
        <f t="shared" si="399"/>
        <v/>
      </c>
      <c r="M2659" s="9" t="str">
        <f>IF(G2659&lt;&gt;"",J2659/MAX(J$3:J2659)-1,"")</f>
        <v/>
      </c>
      <c r="N2659" s="9" t="str">
        <f>IF(G2659&lt;&gt;"",K2659/MAX(K$3:K2659)-1,"")</f>
        <v/>
      </c>
      <c r="O2659" s="16" t="str">
        <f t="shared" si="395"/>
        <v/>
      </c>
      <c r="P2659" s="16" t="str">
        <f t="shared" si="395"/>
        <v/>
      </c>
      <c r="Q2659" s="16" t="str">
        <f t="shared" si="395"/>
        <v/>
      </c>
      <c r="R2659" s="5" t="str">
        <f t="shared" si="394"/>
        <v/>
      </c>
      <c r="S2659" s="5" t="str">
        <f t="shared" si="398"/>
        <v/>
      </c>
      <c r="T2659" s="5" t="str">
        <f t="shared" si="401"/>
        <v/>
      </c>
      <c r="U2659" s="5" t="str">
        <f t="shared" si="401"/>
        <v/>
      </c>
    </row>
    <row r="2660" spans="7:21" x14ac:dyDescent="0.2">
      <c r="G2660" s="8"/>
      <c r="H2660" s="5"/>
      <c r="J2660" s="10" t="str">
        <f t="shared" si="396"/>
        <v/>
      </c>
      <c r="K2660" s="10" t="str">
        <f t="shared" si="397"/>
        <v/>
      </c>
      <c r="L2660" s="11" t="str">
        <f t="shared" si="399"/>
        <v/>
      </c>
      <c r="M2660" s="9" t="str">
        <f>IF(G2660&lt;&gt;"",J2660/MAX(J$3:J2660)-1,"")</f>
        <v/>
      </c>
      <c r="N2660" s="9" t="str">
        <f>IF(G2660&lt;&gt;"",K2660/MAX(K$3:K2660)-1,"")</f>
        <v/>
      </c>
      <c r="O2660" s="16" t="str">
        <f t="shared" si="395"/>
        <v/>
      </c>
      <c r="P2660" s="16" t="str">
        <f t="shared" si="395"/>
        <v/>
      </c>
      <c r="Q2660" s="16" t="str">
        <f t="shared" si="395"/>
        <v/>
      </c>
      <c r="R2660" s="5" t="str">
        <f t="shared" si="394"/>
        <v/>
      </c>
      <c r="S2660" s="5" t="str">
        <f t="shared" si="398"/>
        <v/>
      </c>
      <c r="T2660" s="5" t="str">
        <f t="shared" si="401"/>
        <v/>
      </c>
      <c r="U2660" s="5" t="str">
        <f t="shared" si="401"/>
        <v/>
      </c>
    </row>
    <row r="2661" spans="7:21" x14ac:dyDescent="0.2">
      <c r="G2661" s="8"/>
      <c r="H2661" s="5"/>
      <c r="J2661" s="10" t="str">
        <f t="shared" si="396"/>
        <v/>
      </c>
      <c r="K2661" s="10" t="str">
        <f t="shared" si="397"/>
        <v/>
      </c>
      <c r="L2661" s="11" t="str">
        <f t="shared" si="399"/>
        <v/>
      </c>
      <c r="M2661" s="9" t="str">
        <f>IF(G2661&lt;&gt;"",J2661/MAX(J$3:J2661)-1,"")</f>
        <v/>
      </c>
      <c r="N2661" s="9" t="str">
        <f>IF(G2661&lt;&gt;"",K2661/MAX(K$3:K2661)-1,"")</f>
        <v/>
      </c>
      <c r="O2661" s="16" t="str">
        <f t="shared" si="395"/>
        <v/>
      </c>
      <c r="P2661" s="16" t="str">
        <f t="shared" si="395"/>
        <v/>
      </c>
      <c r="Q2661" s="16" t="str">
        <f t="shared" si="395"/>
        <v/>
      </c>
      <c r="R2661" s="5" t="str">
        <f t="shared" si="394"/>
        <v/>
      </c>
      <c r="S2661" s="5" t="str">
        <f t="shared" si="398"/>
        <v/>
      </c>
      <c r="T2661" s="5" t="str">
        <f t="shared" si="401"/>
        <v/>
      </c>
      <c r="U2661" s="5" t="str">
        <f t="shared" si="401"/>
        <v/>
      </c>
    </row>
    <row r="2662" spans="7:21" x14ac:dyDescent="0.2">
      <c r="G2662" s="8"/>
      <c r="H2662" s="5"/>
      <c r="J2662" s="10" t="str">
        <f t="shared" si="396"/>
        <v/>
      </c>
      <c r="K2662" s="10" t="str">
        <f t="shared" si="397"/>
        <v/>
      </c>
      <c r="L2662" s="11" t="str">
        <f t="shared" si="399"/>
        <v/>
      </c>
      <c r="M2662" s="9" t="str">
        <f>IF(G2662&lt;&gt;"",J2662/MAX(J$3:J2662)-1,"")</f>
        <v/>
      </c>
      <c r="N2662" s="9" t="str">
        <f>IF(G2662&lt;&gt;"",K2662/MAX(K$3:K2662)-1,"")</f>
        <v/>
      </c>
      <c r="O2662" s="16" t="str">
        <f t="shared" si="395"/>
        <v/>
      </c>
      <c r="P2662" s="16" t="str">
        <f t="shared" si="395"/>
        <v/>
      </c>
      <c r="Q2662" s="16" t="str">
        <f t="shared" si="395"/>
        <v/>
      </c>
      <c r="R2662" s="5" t="str">
        <f t="shared" si="394"/>
        <v/>
      </c>
      <c r="S2662" s="5" t="str">
        <f t="shared" si="398"/>
        <v/>
      </c>
      <c r="T2662" s="5" t="str">
        <f t="shared" si="401"/>
        <v/>
      </c>
      <c r="U2662" s="5" t="str">
        <f t="shared" si="401"/>
        <v/>
      </c>
    </row>
    <row r="2663" spans="7:21" x14ac:dyDescent="0.2">
      <c r="G2663" s="8"/>
      <c r="H2663" s="5"/>
      <c r="J2663" s="10" t="str">
        <f t="shared" si="396"/>
        <v/>
      </c>
      <c r="K2663" s="10" t="str">
        <f t="shared" si="397"/>
        <v/>
      </c>
      <c r="L2663" s="11" t="str">
        <f t="shared" si="399"/>
        <v/>
      </c>
      <c r="M2663" s="9" t="str">
        <f>IF(G2663&lt;&gt;"",J2663/MAX(J$3:J2663)-1,"")</f>
        <v/>
      </c>
      <c r="N2663" s="9" t="str">
        <f>IF(G2663&lt;&gt;"",K2663/MAX(K$3:K2663)-1,"")</f>
        <v/>
      </c>
      <c r="O2663" s="16" t="str">
        <f t="shared" si="395"/>
        <v/>
      </c>
      <c r="P2663" s="16" t="str">
        <f t="shared" si="395"/>
        <v/>
      </c>
      <c r="Q2663" s="16" t="str">
        <f t="shared" si="395"/>
        <v/>
      </c>
      <c r="R2663" s="5" t="str">
        <f t="shared" si="394"/>
        <v/>
      </c>
      <c r="S2663" s="5" t="str">
        <f t="shared" si="398"/>
        <v/>
      </c>
      <c r="T2663" s="5" t="str">
        <f t="shared" si="401"/>
        <v/>
      </c>
      <c r="U2663" s="5" t="str">
        <f t="shared" si="401"/>
        <v/>
      </c>
    </row>
    <row r="2664" spans="7:21" x14ac:dyDescent="0.2">
      <c r="G2664" s="8"/>
      <c r="H2664" s="5"/>
      <c r="J2664" s="10" t="str">
        <f t="shared" si="396"/>
        <v/>
      </c>
      <c r="K2664" s="10" t="str">
        <f t="shared" si="397"/>
        <v/>
      </c>
      <c r="L2664" s="11" t="str">
        <f t="shared" si="399"/>
        <v/>
      </c>
      <c r="M2664" s="9" t="str">
        <f>IF(G2664&lt;&gt;"",J2664/MAX(J$3:J2664)-1,"")</f>
        <v/>
      </c>
      <c r="N2664" s="9" t="str">
        <f>IF(G2664&lt;&gt;"",K2664/MAX(K$3:K2664)-1,"")</f>
        <v/>
      </c>
      <c r="O2664" s="16" t="str">
        <f t="shared" si="395"/>
        <v/>
      </c>
      <c r="P2664" s="16" t="str">
        <f t="shared" si="395"/>
        <v/>
      </c>
      <c r="Q2664" s="16" t="str">
        <f t="shared" si="395"/>
        <v/>
      </c>
      <c r="R2664" s="5" t="str">
        <f t="shared" si="394"/>
        <v/>
      </c>
      <c r="S2664" s="5" t="str">
        <f t="shared" si="398"/>
        <v/>
      </c>
      <c r="T2664" s="5" t="str">
        <f t="shared" ref="T2664:U2679" si="402">IF($G2664&lt;&gt;"",_xlfn.STDEV.S(O2420:O2664),"")</f>
        <v/>
      </c>
      <c r="U2664" s="5" t="str">
        <f t="shared" si="402"/>
        <v/>
      </c>
    </row>
    <row r="2665" spans="7:21" x14ac:dyDescent="0.2">
      <c r="G2665" s="8"/>
      <c r="H2665" s="5"/>
      <c r="J2665" s="10" t="str">
        <f t="shared" si="396"/>
        <v/>
      </c>
      <c r="K2665" s="10" t="str">
        <f t="shared" si="397"/>
        <v/>
      </c>
      <c r="L2665" s="11" t="str">
        <f t="shared" si="399"/>
        <v/>
      </c>
      <c r="M2665" s="9" t="str">
        <f>IF(G2665&lt;&gt;"",J2665/MAX(J$3:J2665)-1,"")</f>
        <v/>
      </c>
      <c r="N2665" s="9" t="str">
        <f>IF(G2665&lt;&gt;"",K2665/MAX(K$3:K2665)-1,"")</f>
        <v/>
      </c>
      <c r="O2665" s="16" t="str">
        <f t="shared" si="395"/>
        <v/>
      </c>
      <c r="P2665" s="16" t="str">
        <f t="shared" si="395"/>
        <v/>
      </c>
      <c r="Q2665" s="16" t="str">
        <f t="shared" si="395"/>
        <v/>
      </c>
      <c r="R2665" s="5" t="str">
        <f t="shared" si="394"/>
        <v/>
      </c>
      <c r="S2665" s="5" t="str">
        <f t="shared" si="398"/>
        <v/>
      </c>
      <c r="T2665" s="5" t="str">
        <f t="shared" si="402"/>
        <v/>
      </c>
      <c r="U2665" s="5" t="str">
        <f t="shared" si="402"/>
        <v/>
      </c>
    </row>
    <row r="2666" spans="7:21" x14ac:dyDescent="0.2">
      <c r="G2666" s="8"/>
      <c r="H2666" s="5"/>
      <c r="J2666" s="10" t="str">
        <f t="shared" si="396"/>
        <v/>
      </c>
      <c r="K2666" s="10" t="str">
        <f t="shared" si="397"/>
        <v/>
      </c>
      <c r="L2666" s="11" t="str">
        <f t="shared" si="399"/>
        <v/>
      </c>
      <c r="M2666" s="9" t="str">
        <f>IF(G2666&lt;&gt;"",J2666/MAX(J$3:J2666)-1,"")</f>
        <v/>
      </c>
      <c r="N2666" s="9" t="str">
        <f>IF(G2666&lt;&gt;"",K2666/MAX(K$3:K2666)-1,"")</f>
        <v/>
      </c>
      <c r="O2666" s="16" t="str">
        <f t="shared" si="395"/>
        <v/>
      </c>
      <c r="P2666" s="16" t="str">
        <f t="shared" si="395"/>
        <v/>
      </c>
      <c r="Q2666" s="16" t="str">
        <f t="shared" si="395"/>
        <v/>
      </c>
      <c r="R2666" s="5" t="str">
        <f t="shared" si="394"/>
        <v/>
      </c>
      <c r="S2666" s="5" t="str">
        <f t="shared" si="398"/>
        <v/>
      </c>
      <c r="T2666" s="5" t="str">
        <f t="shared" si="402"/>
        <v/>
      </c>
      <c r="U2666" s="5" t="str">
        <f t="shared" si="402"/>
        <v/>
      </c>
    </row>
    <row r="2667" spans="7:21" x14ac:dyDescent="0.2">
      <c r="G2667" s="8"/>
      <c r="H2667" s="5"/>
      <c r="J2667" s="10" t="str">
        <f t="shared" si="396"/>
        <v/>
      </c>
      <c r="K2667" s="10" t="str">
        <f t="shared" si="397"/>
        <v/>
      </c>
      <c r="L2667" s="11" t="str">
        <f t="shared" si="399"/>
        <v/>
      </c>
      <c r="M2667" s="9" t="str">
        <f>IF(G2667&lt;&gt;"",J2667/MAX(J$3:J2667)-1,"")</f>
        <v/>
      </c>
      <c r="N2667" s="9" t="str">
        <f>IF(G2667&lt;&gt;"",K2667/MAX(K$3:K2667)-1,"")</f>
        <v/>
      </c>
      <c r="O2667" s="16" t="str">
        <f t="shared" si="395"/>
        <v/>
      </c>
      <c r="P2667" s="16" t="str">
        <f t="shared" si="395"/>
        <v/>
      </c>
      <c r="Q2667" s="16" t="str">
        <f t="shared" si="395"/>
        <v/>
      </c>
      <c r="R2667" s="5" t="str">
        <f t="shared" si="394"/>
        <v/>
      </c>
      <c r="S2667" s="5" t="str">
        <f t="shared" si="398"/>
        <v/>
      </c>
      <c r="T2667" s="5" t="str">
        <f t="shared" si="402"/>
        <v/>
      </c>
      <c r="U2667" s="5" t="str">
        <f t="shared" si="402"/>
        <v/>
      </c>
    </row>
    <row r="2668" spans="7:21" x14ac:dyDescent="0.2">
      <c r="G2668" s="8"/>
      <c r="H2668" s="5"/>
      <c r="J2668" s="10" t="str">
        <f t="shared" si="396"/>
        <v/>
      </c>
      <c r="K2668" s="10" t="str">
        <f t="shared" si="397"/>
        <v/>
      </c>
      <c r="L2668" s="11" t="str">
        <f t="shared" si="399"/>
        <v/>
      </c>
      <c r="M2668" s="9" t="str">
        <f>IF(G2668&lt;&gt;"",J2668/MAX(J$3:J2668)-1,"")</f>
        <v/>
      </c>
      <c r="N2668" s="9" t="str">
        <f>IF(G2668&lt;&gt;"",K2668/MAX(K$3:K2668)-1,"")</f>
        <v/>
      </c>
      <c r="O2668" s="16" t="str">
        <f t="shared" si="395"/>
        <v/>
      </c>
      <c r="P2668" s="16" t="str">
        <f t="shared" si="395"/>
        <v/>
      </c>
      <c r="Q2668" s="16" t="str">
        <f t="shared" si="395"/>
        <v/>
      </c>
      <c r="R2668" s="5" t="str">
        <f t="shared" si="394"/>
        <v/>
      </c>
      <c r="S2668" s="5" t="str">
        <f t="shared" si="398"/>
        <v/>
      </c>
      <c r="T2668" s="5" t="str">
        <f t="shared" si="402"/>
        <v/>
      </c>
      <c r="U2668" s="5" t="str">
        <f t="shared" si="402"/>
        <v/>
      </c>
    </row>
    <row r="2669" spans="7:21" x14ac:dyDescent="0.2">
      <c r="G2669" s="8"/>
      <c r="H2669" s="5"/>
      <c r="J2669" s="10" t="str">
        <f t="shared" si="396"/>
        <v/>
      </c>
      <c r="K2669" s="10" t="str">
        <f t="shared" si="397"/>
        <v/>
      </c>
      <c r="L2669" s="11" t="str">
        <f t="shared" si="399"/>
        <v/>
      </c>
      <c r="M2669" s="9" t="str">
        <f>IF(G2669&lt;&gt;"",J2669/MAX(J$3:J2669)-1,"")</f>
        <v/>
      </c>
      <c r="N2669" s="9" t="str">
        <f>IF(G2669&lt;&gt;"",K2669/MAX(K$3:K2669)-1,"")</f>
        <v/>
      </c>
      <c r="O2669" s="16" t="str">
        <f t="shared" si="395"/>
        <v/>
      </c>
      <c r="P2669" s="16" t="str">
        <f t="shared" si="395"/>
        <v/>
      </c>
      <c r="Q2669" s="16" t="str">
        <f t="shared" si="395"/>
        <v/>
      </c>
      <c r="R2669" s="5" t="str">
        <f t="shared" si="394"/>
        <v/>
      </c>
      <c r="S2669" s="5" t="str">
        <f t="shared" si="398"/>
        <v/>
      </c>
      <c r="T2669" s="5" t="str">
        <f t="shared" si="402"/>
        <v/>
      </c>
      <c r="U2669" s="5" t="str">
        <f t="shared" si="402"/>
        <v/>
      </c>
    </row>
    <row r="2670" spans="7:21" x14ac:dyDescent="0.2">
      <c r="G2670" s="8"/>
      <c r="H2670" s="5"/>
      <c r="J2670" s="10" t="str">
        <f t="shared" si="396"/>
        <v/>
      </c>
      <c r="K2670" s="10" t="str">
        <f t="shared" si="397"/>
        <v/>
      </c>
      <c r="L2670" s="11" t="str">
        <f t="shared" si="399"/>
        <v/>
      </c>
      <c r="M2670" s="9" t="str">
        <f>IF(G2670&lt;&gt;"",J2670/MAX(J$3:J2670)-1,"")</f>
        <v/>
      </c>
      <c r="N2670" s="9" t="str">
        <f>IF(G2670&lt;&gt;"",K2670/MAX(K$3:K2670)-1,"")</f>
        <v/>
      </c>
      <c r="O2670" s="16" t="str">
        <f t="shared" si="395"/>
        <v/>
      </c>
      <c r="P2670" s="16" t="str">
        <f t="shared" si="395"/>
        <v/>
      </c>
      <c r="Q2670" s="16" t="str">
        <f t="shared" si="395"/>
        <v/>
      </c>
      <c r="R2670" s="5" t="str">
        <f t="shared" si="394"/>
        <v/>
      </c>
      <c r="S2670" s="5" t="str">
        <f t="shared" si="398"/>
        <v/>
      </c>
      <c r="T2670" s="5" t="str">
        <f t="shared" si="402"/>
        <v/>
      </c>
      <c r="U2670" s="5" t="str">
        <f t="shared" si="402"/>
        <v/>
      </c>
    </row>
    <row r="2671" spans="7:21" x14ac:dyDescent="0.2">
      <c r="G2671" s="8"/>
      <c r="H2671" s="5"/>
      <c r="J2671" s="10" t="str">
        <f t="shared" si="396"/>
        <v/>
      </c>
      <c r="K2671" s="10" t="str">
        <f t="shared" si="397"/>
        <v/>
      </c>
      <c r="L2671" s="11" t="str">
        <f t="shared" si="399"/>
        <v/>
      </c>
      <c r="M2671" s="9" t="str">
        <f>IF(G2671&lt;&gt;"",J2671/MAX(J$3:J2671)-1,"")</f>
        <v/>
      </c>
      <c r="N2671" s="9" t="str">
        <f>IF(G2671&lt;&gt;"",K2671/MAX(K$3:K2671)-1,"")</f>
        <v/>
      </c>
      <c r="O2671" s="16" t="str">
        <f t="shared" si="395"/>
        <v/>
      </c>
      <c r="P2671" s="16" t="str">
        <f t="shared" si="395"/>
        <v/>
      </c>
      <c r="Q2671" s="16" t="str">
        <f t="shared" si="395"/>
        <v/>
      </c>
      <c r="R2671" s="5" t="str">
        <f t="shared" si="394"/>
        <v/>
      </c>
      <c r="S2671" s="5" t="str">
        <f t="shared" si="398"/>
        <v/>
      </c>
      <c r="T2671" s="5" t="str">
        <f t="shared" si="402"/>
        <v/>
      </c>
      <c r="U2671" s="5" t="str">
        <f t="shared" si="402"/>
        <v/>
      </c>
    </row>
    <row r="2672" spans="7:21" x14ac:dyDescent="0.2">
      <c r="G2672" s="8"/>
      <c r="H2672" s="5"/>
      <c r="J2672" s="10" t="str">
        <f t="shared" si="396"/>
        <v/>
      </c>
      <c r="K2672" s="10" t="str">
        <f t="shared" si="397"/>
        <v/>
      </c>
      <c r="L2672" s="11" t="str">
        <f t="shared" si="399"/>
        <v/>
      </c>
      <c r="M2672" s="9" t="str">
        <f>IF(G2672&lt;&gt;"",J2672/MAX(J$3:J2672)-1,"")</f>
        <v/>
      </c>
      <c r="N2672" s="9" t="str">
        <f>IF(G2672&lt;&gt;"",K2672/MAX(K$3:K2672)-1,"")</f>
        <v/>
      </c>
      <c r="O2672" s="16" t="str">
        <f t="shared" si="395"/>
        <v/>
      </c>
      <c r="P2672" s="16" t="str">
        <f t="shared" si="395"/>
        <v/>
      </c>
      <c r="Q2672" s="16" t="str">
        <f t="shared" si="395"/>
        <v/>
      </c>
      <c r="R2672" s="5" t="str">
        <f t="shared" si="394"/>
        <v/>
      </c>
      <c r="S2672" s="5" t="str">
        <f t="shared" si="398"/>
        <v/>
      </c>
      <c r="T2672" s="5" t="str">
        <f t="shared" si="402"/>
        <v/>
      </c>
      <c r="U2672" s="5" t="str">
        <f t="shared" si="402"/>
        <v/>
      </c>
    </row>
    <row r="2673" spans="7:21" x14ac:dyDescent="0.2">
      <c r="G2673" s="8"/>
      <c r="H2673" s="5"/>
      <c r="J2673" s="10" t="str">
        <f t="shared" si="396"/>
        <v/>
      </c>
      <c r="K2673" s="10" t="str">
        <f t="shared" si="397"/>
        <v/>
      </c>
      <c r="L2673" s="11" t="str">
        <f t="shared" si="399"/>
        <v/>
      </c>
      <c r="M2673" s="9" t="str">
        <f>IF(G2673&lt;&gt;"",J2673/MAX(J$3:J2673)-1,"")</f>
        <v/>
      </c>
      <c r="N2673" s="9" t="str">
        <f>IF(G2673&lt;&gt;"",K2673/MAX(K$3:K2673)-1,"")</f>
        <v/>
      </c>
      <c r="O2673" s="16" t="str">
        <f t="shared" si="395"/>
        <v/>
      </c>
      <c r="P2673" s="16" t="str">
        <f t="shared" si="395"/>
        <v/>
      </c>
      <c r="Q2673" s="16" t="str">
        <f t="shared" si="395"/>
        <v/>
      </c>
      <c r="R2673" s="5" t="str">
        <f t="shared" si="394"/>
        <v/>
      </c>
      <c r="S2673" s="5" t="str">
        <f t="shared" si="398"/>
        <v/>
      </c>
      <c r="T2673" s="5" t="str">
        <f t="shared" si="402"/>
        <v/>
      </c>
      <c r="U2673" s="5" t="str">
        <f t="shared" si="402"/>
        <v/>
      </c>
    </row>
    <row r="2674" spans="7:21" x14ac:dyDescent="0.2">
      <c r="G2674" s="8"/>
      <c r="H2674" s="5"/>
      <c r="J2674" s="10" t="str">
        <f t="shared" si="396"/>
        <v/>
      </c>
      <c r="K2674" s="10" t="str">
        <f t="shared" si="397"/>
        <v/>
      </c>
      <c r="L2674" s="11" t="str">
        <f t="shared" si="399"/>
        <v/>
      </c>
      <c r="M2674" s="9" t="str">
        <f>IF(G2674&lt;&gt;"",J2674/MAX(J$3:J2674)-1,"")</f>
        <v/>
      </c>
      <c r="N2674" s="9" t="str">
        <f>IF(G2674&lt;&gt;"",K2674/MAX(K$3:K2674)-1,"")</f>
        <v/>
      </c>
      <c r="O2674" s="16" t="str">
        <f t="shared" si="395"/>
        <v/>
      </c>
      <c r="P2674" s="16" t="str">
        <f t="shared" si="395"/>
        <v/>
      </c>
      <c r="Q2674" s="16" t="str">
        <f t="shared" si="395"/>
        <v/>
      </c>
      <c r="R2674" s="5" t="str">
        <f t="shared" si="394"/>
        <v/>
      </c>
      <c r="S2674" s="5" t="str">
        <f t="shared" si="398"/>
        <v/>
      </c>
      <c r="T2674" s="5" t="str">
        <f t="shared" si="402"/>
        <v/>
      </c>
      <c r="U2674" s="5" t="str">
        <f t="shared" si="402"/>
        <v/>
      </c>
    </row>
    <row r="2675" spans="7:21" x14ac:dyDescent="0.2">
      <c r="G2675" s="8"/>
      <c r="H2675" s="5"/>
      <c r="J2675" s="10" t="str">
        <f t="shared" si="396"/>
        <v/>
      </c>
      <c r="K2675" s="10" t="str">
        <f t="shared" si="397"/>
        <v/>
      </c>
      <c r="L2675" s="11" t="str">
        <f t="shared" si="399"/>
        <v/>
      </c>
      <c r="M2675" s="9" t="str">
        <f>IF(G2675&lt;&gt;"",J2675/MAX(J$3:J2675)-1,"")</f>
        <v/>
      </c>
      <c r="N2675" s="9" t="str">
        <f>IF(G2675&lt;&gt;"",K2675/MAX(K$3:K2675)-1,"")</f>
        <v/>
      </c>
      <c r="O2675" s="16" t="str">
        <f t="shared" si="395"/>
        <v/>
      </c>
      <c r="P2675" s="16" t="str">
        <f t="shared" si="395"/>
        <v/>
      </c>
      <c r="Q2675" s="16" t="str">
        <f t="shared" si="395"/>
        <v/>
      </c>
      <c r="R2675" s="5" t="str">
        <f t="shared" si="394"/>
        <v/>
      </c>
      <c r="S2675" s="5" t="str">
        <f t="shared" si="398"/>
        <v/>
      </c>
      <c r="T2675" s="5" t="str">
        <f t="shared" si="402"/>
        <v/>
      </c>
      <c r="U2675" s="5" t="str">
        <f t="shared" si="402"/>
        <v/>
      </c>
    </row>
    <row r="2676" spans="7:21" x14ac:dyDescent="0.2">
      <c r="G2676" s="8"/>
      <c r="H2676" s="5"/>
      <c r="J2676" s="10" t="str">
        <f t="shared" si="396"/>
        <v/>
      </c>
      <c r="K2676" s="10" t="str">
        <f t="shared" si="397"/>
        <v/>
      </c>
      <c r="L2676" s="11" t="str">
        <f t="shared" si="399"/>
        <v/>
      </c>
      <c r="M2676" s="9" t="str">
        <f>IF(G2676&lt;&gt;"",J2676/MAX(J$3:J2676)-1,"")</f>
        <v/>
      </c>
      <c r="N2676" s="9" t="str">
        <f>IF(G2676&lt;&gt;"",K2676/MAX(K$3:K2676)-1,"")</f>
        <v/>
      </c>
      <c r="O2676" s="16" t="str">
        <f t="shared" si="395"/>
        <v/>
      </c>
      <c r="P2676" s="16" t="str">
        <f t="shared" si="395"/>
        <v/>
      </c>
      <c r="Q2676" s="16" t="str">
        <f t="shared" si="395"/>
        <v/>
      </c>
      <c r="R2676" s="5" t="str">
        <f t="shared" si="394"/>
        <v/>
      </c>
      <c r="S2676" s="5" t="str">
        <f t="shared" si="398"/>
        <v/>
      </c>
      <c r="T2676" s="5" t="str">
        <f t="shared" si="402"/>
        <v/>
      </c>
      <c r="U2676" s="5" t="str">
        <f t="shared" si="402"/>
        <v/>
      </c>
    </row>
    <row r="2677" spans="7:21" x14ac:dyDescent="0.2">
      <c r="G2677" s="8"/>
      <c r="H2677" s="5"/>
      <c r="J2677" s="10" t="str">
        <f t="shared" si="396"/>
        <v/>
      </c>
      <c r="K2677" s="10" t="str">
        <f t="shared" si="397"/>
        <v/>
      </c>
      <c r="L2677" s="11" t="str">
        <f t="shared" si="399"/>
        <v/>
      </c>
      <c r="M2677" s="9" t="str">
        <f>IF(G2677&lt;&gt;"",J2677/MAX(J$3:J2677)-1,"")</f>
        <v/>
      </c>
      <c r="N2677" s="9" t="str">
        <f>IF(G2677&lt;&gt;"",K2677/MAX(K$3:K2677)-1,"")</f>
        <v/>
      </c>
      <c r="O2677" s="16" t="str">
        <f t="shared" si="395"/>
        <v/>
      </c>
      <c r="P2677" s="16" t="str">
        <f t="shared" si="395"/>
        <v/>
      </c>
      <c r="Q2677" s="16" t="str">
        <f t="shared" si="395"/>
        <v/>
      </c>
      <c r="R2677" s="5" t="str">
        <f t="shared" si="394"/>
        <v/>
      </c>
      <c r="S2677" s="5" t="str">
        <f t="shared" si="398"/>
        <v/>
      </c>
      <c r="T2677" s="5" t="str">
        <f t="shared" si="402"/>
        <v/>
      </c>
      <c r="U2677" s="5" t="str">
        <f t="shared" si="402"/>
        <v/>
      </c>
    </row>
    <row r="2678" spans="7:21" x14ac:dyDescent="0.2">
      <c r="G2678" s="8"/>
      <c r="H2678" s="5"/>
      <c r="J2678" s="10" t="str">
        <f t="shared" si="396"/>
        <v/>
      </c>
      <c r="K2678" s="10" t="str">
        <f t="shared" si="397"/>
        <v/>
      </c>
      <c r="L2678" s="11" t="str">
        <f t="shared" si="399"/>
        <v/>
      </c>
      <c r="M2678" s="9" t="str">
        <f>IF(G2678&lt;&gt;"",J2678/MAX(J$3:J2678)-1,"")</f>
        <v/>
      </c>
      <c r="N2678" s="9" t="str">
        <f>IF(G2678&lt;&gt;"",K2678/MAX(K$3:K2678)-1,"")</f>
        <v/>
      </c>
      <c r="O2678" s="16" t="str">
        <f t="shared" si="395"/>
        <v/>
      </c>
      <c r="P2678" s="16" t="str">
        <f t="shared" si="395"/>
        <v/>
      </c>
      <c r="Q2678" s="16" t="str">
        <f t="shared" si="395"/>
        <v/>
      </c>
      <c r="R2678" s="5" t="str">
        <f t="shared" si="394"/>
        <v/>
      </c>
      <c r="S2678" s="5" t="str">
        <f t="shared" si="398"/>
        <v/>
      </c>
      <c r="T2678" s="5" t="str">
        <f t="shared" si="402"/>
        <v/>
      </c>
      <c r="U2678" s="5" t="str">
        <f t="shared" si="402"/>
        <v/>
      </c>
    </row>
    <row r="2679" spans="7:21" x14ac:dyDescent="0.2">
      <c r="G2679" s="8"/>
      <c r="H2679" s="5"/>
      <c r="J2679" s="10" t="str">
        <f t="shared" si="396"/>
        <v/>
      </c>
      <c r="K2679" s="10" t="str">
        <f t="shared" si="397"/>
        <v/>
      </c>
      <c r="L2679" s="11" t="str">
        <f t="shared" si="399"/>
        <v/>
      </c>
      <c r="M2679" s="9" t="str">
        <f>IF(G2679&lt;&gt;"",J2679/MAX(J$3:J2679)-1,"")</f>
        <v/>
      </c>
      <c r="N2679" s="9" t="str">
        <f>IF(G2679&lt;&gt;"",K2679/MAX(K$3:K2679)-1,"")</f>
        <v/>
      </c>
      <c r="O2679" s="16" t="str">
        <f t="shared" si="395"/>
        <v/>
      </c>
      <c r="P2679" s="16" t="str">
        <f t="shared" si="395"/>
        <v/>
      </c>
      <c r="Q2679" s="16" t="str">
        <f t="shared" si="395"/>
        <v/>
      </c>
      <c r="R2679" s="5" t="str">
        <f t="shared" si="394"/>
        <v/>
      </c>
      <c r="S2679" s="5" t="str">
        <f t="shared" si="398"/>
        <v/>
      </c>
      <c r="T2679" s="5" t="str">
        <f t="shared" si="402"/>
        <v/>
      </c>
      <c r="U2679" s="5" t="str">
        <f t="shared" si="402"/>
        <v/>
      </c>
    </row>
    <row r="2680" spans="7:21" x14ac:dyDescent="0.2">
      <c r="G2680" s="8"/>
      <c r="H2680" s="5"/>
      <c r="J2680" s="10" t="str">
        <f t="shared" si="396"/>
        <v/>
      </c>
      <c r="K2680" s="10" t="str">
        <f t="shared" si="397"/>
        <v/>
      </c>
      <c r="L2680" s="11" t="str">
        <f t="shared" si="399"/>
        <v/>
      </c>
      <c r="M2680" s="9" t="str">
        <f>IF(G2680&lt;&gt;"",J2680/MAX(J$3:J2680)-1,"")</f>
        <v/>
      </c>
      <c r="N2680" s="9" t="str">
        <f>IF(G2680&lt;&gt;"",K2680/MAX(K$3:K2680)-1,"")</f>
        <v/>
      </c>
      <c r="O2680" s="16" t="str">
        <f t="shared" si="395"/>
        <v/>
      </c>
      <c r="P2680" s="16" t="str">
        <f t="shared" si="395"/>
        <v/>
      </c>
      <c r="Q2680" s="16" t="str">
        <f t="shared" si="395"/>
        <v/>
      </c>
      <c r="R2680" s="5" t="str">
        <f t="shared" si="394"/>
        <v/>
      </c>
      <c r="S2680" s="5" t="str">
        <f t="shared" si="398"/>
        <v/>
      </c>
      <c r="T2680" s="5" t="str">
        <f t="shared" ref="T2680:U2695" si="403">IF($G2680&lt;&gt;"",_xlfn.STDEV.S(O2436:O2680),"")</f>
        <v/>
      </c>
      <c r="U2680" s="5" t="str">
        <f t="shared" si="403"/>
        <v/>
      </c>
    </row>
    <row r="2681" spans="7:21" x14ac:dyDescent="0.2">
      <c r="G2681" s="8"/>
      <c r="H2681" s="5"/>
      <c r="J2681" s="10" t="str">
        <f t="shared" si="396"/>
        <v/>
      </c>
      <c r="K2681" s="10" t="str">
        <f t="shared" si="397"/>
        <v/>
      </c>
      <c r="L2681" s="11" t="str">
        <f t="shared" si="399"/>
        <v/>
      </c>
      <c r="M2681" s="9" t="str">
        <f>IF(G2681&lt;&gt;"",J2681/MAX(J$3:J2681)-1,"")</f>
        <v/>
      </c>
      <c r="N2681" s="9" t="str">
        <f>IF(G2681&lt;&gt;"",K2681/MAX(K$3:K2681)-1,"")</f>
        <v/>
      </c>
      <c r="O2681" s="16" t="str">
        <f t="shared" si="395"/>
        <v/>
      </c>
      <c r="P2681" s="16" t="str">
        <f t="shared" si="395"/>
        <v/>
      </c>
      <c r="Q2681" s="16" t="str">
        <f t="shared" si="395"/>
        <v/>
      </c>
      <c r="R2681" s="5" t="str">
        <f t="shared" si="394"/>
        <v/>
      </c>
      <c r="S2681" s="5" t="str">
        <f t="shared" si="398"/>
        <v/>
      </c>
      <c r="T2681" s="5" t="str">
        <f t="shared" si="403"/>
        <v/>
      </c>
      <c r="U2681" s="5" t="str">
        <f t="shared" si="403"/>
        <v/>
      </c>
    </row>
    <row r="2682" spans="7:21" x14ac:dyDescent="0.2">
      <c r="G2682" s="8"/>
      <c r="H2682" s="5"/>
      <c r="J2682" s="10" t="str">
        <f t="shared" si="396"/>
        <v/>
      </c>
      <c r="K2682" s="10" t="str">
        <f t="shared" si="397"/>
        <v/>
      </c>
      <c r="L2682" s="11" t="str">
        <f t="shared" si="399"/>
        <v/>
      </c>
      <c r="M2682" s="9" t="str">
        <f>IF(G2682&lt;&gt;"",J2682/MAX(J$3:J2682)-1,"")</f>
        <v/>
      </c>
      <c r="N2682" s="9" t="str">
        <f>IF(G2682&lt;&gt;"",K2682/MAX(K$3:K2682)-1,"")</f>
        <v/>
      </c>
      <c r="O2682" s="16" t="str">
        <f t="shared" si="395"/>
        <v/>
      </c>
      <c r="P2682" s="16" t="str">
        <f t="shared" si="395"/>
        <v/>
      </c>
      <c r="Q2682" s="16" t="str">
        <f t="shared" si="395"/>
        <v/>
      </c>
      <c r="R2682" s="5" t="str">
        <f t="shared" si="394"/>
        <v/>
      </c>
      <c r="S2682" s="5" t="str">
        <f t="shared" si="398"/>
        <v/>
      </c>
      <c r="T2682" s="5" t="str">
        <f t="shared" si="403"/>
        <v/>
      </c>
      <c r="U2682" s="5" t="str">
        <f t="shared" si="403"/>
        <v/>
      </c>
    </row>
    <row r="2683" spans="7:21" x14ac:dyDescent="0.2">
      <c r="G2683" s="8"/>
      <c r="H2683" s="5"/>
      <c r="J2683" s="10" t="str">
        <f t="shared" si="396"/>
        <v/>
      </c>
      <c r="K2683" s="10" t="str">
        <f t="shared" si="397"/>
        <v/>
      </c>
      <c r="L2683" s="11" t="str">
        <f t="shared" si="399"/>
        <v/>
      </c>
      <c r="M2683" s="9" t="str">
        <f>IF(G2683&lt;&gt;"",J2683/MAX(J$3:J2683)-1,"")</f>
        <v/>
      </c>
      <c r="N2683" s="9" t="str">
        <f>IF(G2683&lt;&gt;"",K2683/MAX(K$3:K2683)-1,"")</f>
        <v/>
      </c>
      <c r="O2683" s="16" t="str">
        <f t="shared" si="395"/>
        <v/>
      </c>
      <c r="P2683" s="16" t="str">
        <f t="shared" si="395"/>
        <v/>
      </c>
      <c r="Q2683" s="16" t="str">
        <f t="shared" si="395"/>
        <v/>
      </c>
      <c r="R2683" s="5" t="str">
        <f t="shared" si="394"/>
        <v/>
      </c>
      <c r="S2683" s="5" t="str">
        <f t="shared" si="398"/>
        <v/>
      </c>
      <c r="T2683" s="5" t="str">
        <f t="shared" si="403"/>
        <v/>
      </c>
      <c r="U2683" s="5" t="str">
        <f t="shared" si="403"/>
        <v/>
      </c>
    </row>
    <row r="2684" spans="7:21" x14ac:dyDescent="0.2">
      <c r="G2684" s="8"/>
      <c r="H2684" s="5"/>
      <c r="J2684" s="10" t="str">
        <f t="shared" si="396"/>
        <v/>
      </c>
      <c r="K2684" s="10" t="str">
        <f t="shared" si="397"/>
        <v/>
      </c>
      <c r="L2684" s="11" t="str">
        <f t="shared" si="399"/>
        <v/>
      </c>
      <c r="M2684" s="9" t="str">
        <f>IF(G2684&lt;&gt;"",J2684/MAX(J$3:J2684)-1,"")</f>
        <v/>
      </c>
      <c r="N2684" s="9" t="str">
        <f>IF(G2684&lt;&gt;"",K2684/MAX(K$3:K2684)-1,"")</f>
        <v/>
      </c>
      <c r="O2684" s="16" t="str">
        <f t="shared" si="395"/>
        <v/>
      </c>
      <c r="P2684" s="16" t="str">
        <f t="shared" si="395"/>
        <v/>
      </c>
      <c r="Q2684" s="16" t="str">
        <f t="shared" si="395"/>
        <v/>
      </c>
      <c r="R2684" s="5" t="str">
        <f t="shared" si="394"/>
        <v/>
      </c>
      <c r="S2684" s="5" t="str">
        <f t="shared" si="398"/>
        <v/>
      </c>
      <c r="T2684" s="5" t="str">
        <f t="shared" si="403"/>
        <v/>
      </c>
      <c r="U2684" s="5" t="str">
        <f t="shared" si="403"/>
        <v/>
      </c>
    </row>
    <row r="2685" spans="7:21" x14ac:dyDescent="0.2">
      <c r="G2685" s="8"/>
      <c r="H2685" s="5"/>
      <c r="J2685" s="10" t="str">
        <f t="shared" si="396"/>
        <v/>
      </c>
      <c r="K2685" s="10" t="str">
        <f t="shared" si="397"/>
        <v/>
      </c>
      <c r="L2685" s="11" t="str">
        <f t="shared" si="399"/>
        <v/>
      </c>
      <c r="M2685" s="9" t="str">
        <f>IF(G2685&lt;&gt;"",J2685/MAX(J$3:J2685)-1,"")</f>
        <v/>
      </c>
      <c r="N2685" s="9" t="str">
        <f>IF(G2685&lt;&gt;"",K2685/MAX(K$3:K2685)-1,"")</f>
        <v/>
      </c>
      <c r="O2685" s="16" t="str">
        <f t="shared" si="395"/>
        <v/>
      </c>
      <c r="P2685" s="16" t="str">
        <f t="shared" si="395"/>
        <v/>
      </c>
      <c r="Q2685" s="16" t="str">
        <f t="shared" si="395"/>
        <v/>
      </c>
      <c r="R2685" s="5" t="str">
        <f t="shared" ref="R2685:R2748" si="404">IF(G2685&lt;&gt;"",_xlfn.STDEV.S(Q2564:Q2685)*SQRT($B$5),"")</f>
        <v/>
      </c>
      <c r="S2685" s="5" t="str">
        <f t="shared" si="398"/>
        <v/>
      </c>
      <c r="T2685" s="5" t="str">
        <f t="shared" si="403"/>
        <v/>
      </c>
      <c r="U2685" s="5" t="str">
        <f t="shared" si="403"/>
        <v/>
      </c>
    </row>
    <row r="2686" spans="7:21" x14ac:dyDescent="0.2">
      <c r="G2686" s="8"/>
      <c r="H2686" s="5"/>
      <c r="J2686" s="10" t="str">
        <f t="shared" si="396"/>
        <v/>
      </c>
      <c r="K2686" s="10" t="str">
        <f t="shared" si="397"/>
        <v/>
      </c>
      <c r="L2686" s="11" t="str">
        <f t="shared" si="399"/>
        <v/>
      </c>
      <c r="M2686" s="9" t="str">
        <f>IF(G2686&lt;&gt;"",J2686/MAX(J$3:J2686)-1,"")</f>
        <v/>
      </c>
      <c r="N2686" s="9" t="str">
        <f>IF(G2686&lt;&gt;"",K2686/MAX(K$3:K2686)-1,"")</f>
        <v/>
      </c>
      <c r="O2686" s="16" t="str">
        <f t="shared" si="395"/>
        <v/>
      </c>
      <c r="P2686" s="16" t="str">
        <f t="shared" si="395"/>
        <v/>
      </c>
      <c r="Q2686" s="16" t="str">
        <f t="shared" si="395"/>
        <v/>
      </c>
      <c r="R2686" s="5" t="str">
        <f t="shared" si="404"/>
        <v/>
      </c>
      <c r="S2686" s="5" t="str">
        <f t="shared" si="398"/>
        <v/>
      </c>
      <c r="T2686" s="5" t="str">
        <f t="shared" si="403"/>
        <v/>
      </c>
      <c r="U2686" s="5" t="str">
        <f t="shared" si="403"/>
        <v/>
      </c>
    </row>
    <row r="2687" spans="7:21" x14ac:dyDescent="0.2">
      <c r="G2687" s="8"/>
      <c r="H2687" s="5"/>
      <c r="J2687" s="10" t="str">
        <f t="shared" si="396"/>
        <v/>
      </c>
      <c r="K2687" s="10" t="str">
        <f t="shared" si="397"/>
        <v/>
      </c>
      <c r="L2687" s="11" t="str">
        <f t="shared" si="399"/>
        <v/>
      </c>
      <c r="M2687" s="9" t="str">
        <f>IF(G2687&lt;&gt;"",J2687/MAX(J$3:J2687)-1,"")</f>
        <v/>
      </c>
      <c r="N2687" s="9" t="str">
        <f>IF(G2687&lt;&gt;"",K2687/MAX(K$3:K2687)-1,"")</f>
        <v/>
      </c>
      <c r="O2687" s="16" t="str">
        <f t="shared" si="395"/>
        <v/>
      </c>
      <c r="P2687" s="16" t="str">
        <f t="shared" si="395"/>
        <v/>
      </c>
      <c r="Q2687" s="16" t="str">
        <f t="shared" si="395"/>
        <v/>
      </c>
      <c r="R2687" s="5" t="str">
        <f t="shared" si="404"/>
        <v/>
      </c>
      <c r="S2687" s="5" t="str">
        <f t="shared" si="398"/>
        <v/>
      </c>
      <c r="T2687" s="5" t="str">
        <f t="shared" si="403"/>
        <v/>
      </c>
      <c r="U2687" s="5" t="str">
        <f t="shared" si="403"/>
        <v/>
      </c>
    </row>
    <row r="2688" spans="7:21" x14ac:dyDescent="0.2">
      <c r="G2688" s="8"/>
      <c r="H2688" s="5"/>
      <c r="J2688" s="10" t="str">
        <f t="shared" si="396"/>
        <v/>
      </c>
      <c r="K2688" s="10" t="str">
        <f t="shared" si="397"/>
        <v/>
      </c>
      <c r="L2688" s="11" t="str">
        <f t="shared" si="399"/>
        <v/>
      </c>
      <c r="M2688" s="9" t="str">
        <f>IF(G2688&lt;&gt;"",J2688/MAX(J$3:J2688)-1,"")</f>
        <v/>
      </c>
      <c r="N2688" s="9" t="str">
        <f>IF(G2688&lt;&gt;"",K2688/MAX(K$3:K2688)-1,"")</f>
        <v/>
      </c>
      <c r="O2688" s="16" t="str">
        <f t="shared" si="395"/>
        <v/>
      </c>
      <c r="P2688" s="16" t="str">
        <f t="shared" si="395"/>
        <v/>
      </c>
      <c r="Q2688" s="16" t="str">
        <f t="shared" si="395"/>
        <v/>
      </c>
      <c r="R2688" s="5" t="str">
        <f t="shared" si="404"/>
        <v/>
      </c>
      <c r="S2688" s="5" t="str">
        <f t="shared" si="398"/>
        <v/>
      </c>
      <c r="T2688" s="5" t="str">
        <f t="shared" si="403"/>
        <v/>
      </c>
      <c r="U2688" s="5" t="str">
        <f t="shared" si="403"/>
        <v/>
      </c>
    </row>
    <row r="2689" spans="7:21" x14ac:dyDescent="0.2">
      <c r="G2689" s="8"/>
      <c r="H2689" s="5"/>
      <c r="J2689" s="10" t="str">
        <f t="shared" si="396"/>
        <v/>
      </c>
      <c r="K2689" s="10" t="str">
        <f t="shared" si="397"/>
        <v/>
      </c>
      <c r="L2689" s="11" t="str">
        <f t="shared" si="399"/>
        <v/>
      </c>
      <c r="M2689" s="9" t="str">
        <f>IF(G2689&lt;&gt;"",J2689/MAX(J$3:J2689)-1,"")</f>
        <v/>
      </c>
      <c r="N2689" s="9" t="str">
        <f>IF(G2689&lt;&gt;"",K2689/MAX(K$3:K2689)-1,"")</f>
        <v/>
      </c>
      <c r="O2689" s="16" t="str">
        <f t="shared" si="395"/>
        <v/>
      </c>
      <c r="P2689" s="16" t="str">
        <f t="shared" si="395"/>
        <v/>
      </c>
      <c r="Q2689" s="16" t="str">
        <f t="shared" si="395"/>
        <v/>
      </c>
      <c r="R2689" s="5" t="str">
        <f t="shared" si="404"/>
        <v/>
      </c>
      <c r="S2689" s="5" t="str">
        <f t="shared" si="398"/>
        <v/>
      </c>
      <c r="T2689" s="5" t="str">
        <f t="shared" si="403"/>
        <v/>
      </c>
      <c r="U2689" s="5" t="str">
        <f t="shared" si="403"/>
        <v/>
      </c>
    </row>
    <row r="2690" spans="7:21" x14ac:dyDescent="0.2">
      <c r="G2690" s="8"/>
      <c r="H2690" s="5"/>
      <c r="J2690" s="10" t="str">
        <f t="shared" si="396"/>
        <v/>
      </c>
      <c r="K2690" s="10" t="str">
        <f t="shared" si="397"/>
        <v/>
      </c>
      <c r="L2690" s="11" t="str">
        <f t="shared" si="399"/>
        <v/>
      </c>
      <c r="M2690" s="9" t="str">
        <f>IF(G2690&lt;&gt;"",J2690/MAX(J$3:J2690)-1,"")</f>
        <v/>
      </c>
      <c r="N2690" s="9" t="str">
        <f>IF(G2690&lt;&gt;"",K2690/MAX(K$3:K2690)-1,"")</f>
        <v/>
      </c>
      <c r="O2690" s="16" t="str">
        <f t="shared" ref="O2690:Q2753" si="405">IF($G2690&lt;&gt;"",J2690/J2689-1,"")</f>
        <v/>
      </c>
      <c r="P2690" s="16" t="str">
        <f t="shared" si="405"/>
        <v/>
      </c>
      <c r="Q2690" s="16" t="str">
        <f t="shared" si="405"/>
        <v/>
      </c>
      <c r="R2690" s="5" t="str">
        <f t="shared" si="404"/>
        <v/>
      </c>
      <c r="S2690" s="5" t="str">
        <f t="shared" si="398"/>
        <v/>
      </c>
      <c r="T2690" s="5" t="str">
        <f t="shared" si="403"/>
        <v/>
      </c>
      <c r="U2690" s="5" t="str">
        <f t="shared" si="403"/>
        <v/>
      </c>
    </row>
    <row r="2691" spans="7:21" x14ac:dyDescent="0.2">
      <c r="G2691" s="8"/>
      <c r="H2691" s="5"/>
      <c r="J2691" s="10" t="str">
        <f t="shared" si="396"/>
        <v/>
      </c>
      <c r="K2691" s="10" t="str">
        <f t="shared" si="397"/>
        <v/>
      </c>
      <c r="L2691" s="11" t="str">
        <f t="shared" si="399"/>
        <v/>
      </c>
      <c r="M2691" s="9" t="str">
        <f>IF(G2691&lt;&gt;"",J2691/MAX(J$3:J2691)-1,"")</f>
        <v/>
      </c>
      <c r="N2691" s="9" t="str">
        <f>IF(G2691&lt;&gt;"",K2691/MAX(K$3:K2691)-1,"")</f>
        <v/>
      </c>
      <c r="O2691" s="16" t="str">
        <f t="shared" si="405"/>
        <v/>
      </c>
      <c r="P2691" s="16" t="str">
        <f t="shared" si="405"/>
        <v/>
      </c>
      <c r="Q2691" s="16" t="str">
        <f t="shared" si="405"/>
        <v/>
      </c>
      <c r="R2691" s="5" t="str">
        <f t="shared" si="404"/>
        <v/>
      </c>
      <c r="S2691" s="5" t="str">
        <f t="shared" si="398"/>
        <v/>
      </c>
      <c r="T2691" s="5" t="str">
        <f t="shared" si="403"/>
        <v/>
      </c>
      <c r="U2691" s="5" t="str">
        <f t="shared" si="403"/>
        <v/>
      </c>
    </row>
    <row r="2692" spans="7:21" x14ac:dyDescent="0.2">
      <c r="G2692" s="8"/>
      <c r="H2692" s="5"/>
      <c r="J2692" s="10" t="str">
        <f t="shared" ref="J2692:J2755" si="406">IF(G2692&lt;&gt;"",1+H2692,"")</f>
        <v/>
      </c>
      <c r="K2692" s="10" t="str">
        <f t="shared" ref="K2692:K2755" si="407">IF(G2692&lt;&gt;"",1+I2692,"")</f>
        <v/>
      </c>
      <c r="L2692" s="11" t="str">
        <f t="shared" si="399"/>
        <v/>
      </c>
      <c r="M2692" s="9" t="str">
        <f>IF(G2692&lt;&gt;"",J2692/MAX(J$3:J2692)-1,"")</f>
        <v/>
      </c>
      <c r="N2692" s="9" t="str">
        <f>IF(G2692&lt;&gt;"",K2692/MAX(K$3:K2692)-1,"")</f>
        <v/>
      </c>
      <c r="O2692" s="16" t="str">
        <f t="shared" si="405"/>
        <v/>
      </c>
      <c r="P2692" s="16" t="str">
        <f t="shared" si="405"/>
        <v/>
      </c>
      <c r="Q2692" s="16" t="str">
        <f t="shared" si="405"/>
        <v/>
      </c>
      <c r="R2692" s="5" t="str">
        <f t="shared" si="404"/>
        <v/>
      </c>
      <c r="S2692" s="5" t="str">
        <f t="shared" ref="S2692:S2755" si="408">IF(R2692&lt;&gt;"",B$12,"")</f>
        <v/>
      </c>
      <c r="T2692" s="5" t="str">
        <f t="shared" si="403"/>
        <v/>
      </c>
      <c r="U2692" s="5" t="str">
        <f t="shared" si="403"/>
        <v/>
      </c>
    </row>
    <row r="2693" spans="7:21" x14ac:dyDescent="0.2">
      <c r="G2693" s="8"/>
      <c r="H2693" s="5"/>
      <c r="J2693" s="10" t="str">
        <f t="shared" si="406"/>
        <v/>
      </c>
      <c r="K2693" s="10" t="str">
        <f t="shared" si="407"/>
        <v/>
      </c>
      <c r="L2693" s="11" t="str">
        <f t="shared" ref="L2693:L2756" si="409">IF(G2693&lt;&gt;"",J2693/K2693,"")</f>
        <v/>
      </c>
      <c r="M2693" s="9" t="str">
        <f>IF(G2693&lt;&gt;"",J2693/MAX(J$3:J2693)-1,"")</f>
        <v/>
      </c>
      <c r="N2693" s="9" t="str">
        <f>IF(G2693&lt;&gt;"",K2693/MAX(K$3:K2693)-1,"")</f>
        <v/>
      </c>
      <c r="O2693" s="16" t="str">
        <f t="shared" si="405"/>
        <v/>
      </c>
      <c r="P2693" s="16" t="str">
        <f t="shared" si="405"/>
        <v/>
      </c>
      <c r="Q2693" s="16" t="str">
        <f t="shared" si="405"/>
        <v/>
      </c>
      <c r="R2693" s="5" t="str">
        <f t="shared" si="404"/>
        <v/>
      </c>
      <c r="S2693" s="5" t="str">
        <f t="shared" si="408"/>
        <v/>
      </c>
      <c r="T2693" s="5" t="str">
        <f t="shared" si="403"/>
        <v/>
      </c>
      <c r="U2693" s="5" t="str">
        <f t="shared" si="403"/>
        <v/>
      </c>
    </row>
    <row r="2694" spans="7:21" x14ac:dyDescent="0.2">
      <c r="G2694" s="8"/>
      <c r="H2694" s="5"/>
      <c r="J2694" s="10" t="str">
        <f t="shared" si="406"/>
        <v/>
      </c>
      <c r="K2694" s="10" t="str">
        <f t="shared" si="407"/>
        <v/>
      </c>
      <c r="L2694" s="11" t="str">
        <f t="shared" si="409"/>
        <v/>
      </c>
      <c r="M2694" s="9" t="str">
        <f>IF(G2694&lt;&gt;"",J2694/MAX(J$3:J2694)-1,"")</f>
        <v/>
      </c>
      <c r="N2694" s="9" t="str">
        <f>IF(G2694&lt;&gt;"",K2694/MAX(K$3:K2694)-1,"")</f>
        <v/>
      </c>
      <c r="O2694" s="16" t="str">
        <f t="shared" si="405"/>
        <v/>
      </c>
      <c r="P2694" s="16" t="str">
        <f t="shared" si="405"/>
        <v/>
      </c>
      <c r="Q2694" s="16" t="str">
        <f t="shared" si="405"/>
        <v/>
      </c>
      <c r="R2694" s="5" t="str">
        <f t="shared" si="404"/>
        <v/>
      </c>
      <c r="S2694" s="5" t="str">
        <f t="shared" si="408"/>
        <v/>
      </c>
      <c r="T2694" s="5" t="str">
        <f t="shared" si="403"/>
        <v/>
      </c>
      <c r="U2694" s="5" t="str">
        <f t="shared" si="403"/>
        <v/>
      </c>
    </row>
    <row r="2695" spans="7:21" x14ac:dyDescent="0.2">
      <c r="G2695" s="8"/>
      <c r="H2695" s="5"/>
      <c r="J2695" s="10" t="str">
        <f t="shared" si="406"/>
        <v/>
      </c>
      <c r="K2695" s="10" t="str">
        <f t="shared" si="407"/>
        <v/>
      </c>
      <c r="L2695" s="11" t="str">
        <f t="shared" si="409"/>
        <v/>
      </c>
      <c r="M2695" s="9" t="str">
        <f>IF(G2695&lt;&gt;"",J2695/MAX(J$3:J2695)-1,"")</f>
        <v/>
      </c>
      <c r="N2695" s="9" t="str">
        <f>IF(G2695&lt;&gt;"",K2695/MAX(K$3:K2695)-1,"")</f>
        <v/>
      </c>
      <c r="O2695" s="16" t="str">
        <f t="shared" si="405"/>
        <v/>
      </c>
      <c r="P2695" s="16" t="str">
        <f t="shared" si="405"/>
        <v/>
      </c>
      <c r="Q2695" s="16" t="str">
        <f t="shared" si="405"/>
        <v/>
      </c>
      <c r="R2695" s="5" t="str">
        <f t="shared" si="404"/>
        <v/>
      </c>
      <c r="S2695" s="5" t="str">
        <f t="shared" si="408"/>
        <v/>
      </c>
      <c r="T2695" s="5" t="str">
        <f t="shared" si="403"/>
        <v/>
      </c>
      <c r="U2695" s="5" t="str">
        <f t="shared" si="403"/>
        <v/>
      </c>
    </row>
    <row r="2696" spans="7:21" x14ac:dyDescent="0.2">
      <c r="G2696" s="8"/>
      <c r="H2696" s="5"/>
      <c r="J2696" s="10" t="str">
        <f t="shared" si="406"/>
        <v/>
      </c>
      <c r="K2696" s="10" t="str">
        <f t="shared" si="407"/>
        <v/>
      </c>
      <c r="L2696" s="11" t="str">
        <f t="shared" si="409"/>
        <v/>
      </c>
      <c r="M2696" s="9" t="str">
        <f>IF(G2696&lt;&gt;"",J2696/MAX(J$3:J2696)-1,"")</f>
        <v/>
      </c>
      <c r="N2696" s="9" t="str">
        <f>IF(G2696&lt;&gt;"",K2696/MAX(K$3:K2696)-1,"")</f>
        <v/>
      </c>
      <c r="O2696" s="16" t="str">
        <f t="shared" si="405"/>
        <v/>
      </c>
      <c r="P2696" s="16" t="str">
        <f t="shared" si="405"/>
        <v/>
      </c>
      <c r="Q2696" s="16" t="str">
        <f t="shared" si="405"/>
        <v/>
      </c>
      <c r="R2696" s="5" t="str">
        <f t="shared" si="404"/>
        <v/>
      </c>
      <c r="S2696" s="5" t="str">
        <f t="shared" si="408"/>
        <v/>
      </c>
      <c r="T2696" s="5" t="str">
        <f t="shared" ref="T2696:U2711" si="410">IF($G2696&lt;&gt;"",_xlfn.STDEV.S(O2452:O2696),"")</f>
        <v/>
      </c>
      <c r="U2696" s="5" t="str">
        <f t="shared" si="410"/>
        <v/>
      </c>
    </row>
    <row r="2697" spans="7:21" x14ac:dyDescent="0.2">
      <c r="G2697" s="8"/>
      <c r="H2697" s="5"/>
      <c r="J2697" s="10" t="str">
        <f t="shared" si="406"/>
        <v/>
      </c>
      <c r="K2697" s="10" t="str">
        <f t="shared" si="407"/>
        <v/>
      </c>
      <c r="L2697" s="11" t="str">
        <f t="shared" si="409"/>
        <v/>
      </c>
      <c r="M2697" s="9" t="str">
        <f>IF(G2697&lt;&gt;"",J2697/MAX(J$3:J2697)-1,"")</f>
        <v/>
      </c>
      <c r="N2697" s="9" t="str">
        <f>IF(G2697&lt;&gt;"",K2697/MAX(K$3:K2697)-1,"")</f>
        <v/>
      </c>
      <c r="O2697" s="16" t="str">
        <f t="shared" si="405"/>
        <v/>
      </c>
      <c r="P2697" s="16" t="str">
        <f t="shared" si="405"/>
        <v/>
      </c>
      <c r="Q2697" s="16" t="str">
        <f t="shared" si="405"/>
        <v/>
      </c>
      <c r="R2697" s="5" t="str">
        <f t="shared" si="404"/>
        <v/>
      </c>
      <c r="S2697" s="5" t="str">
        <f t="shared" si="408"/>
        <v/>
      </c>
      <c r="T2697" s="5" t="str">
        <f t="shared" si="410"/>
        <v/>
      </c>
      <c r="U2697" s="5" t="str">
        <f t="shared" si="410"/>
        <v/>
      </c>
    </row>
    <row r="2698" spans="7:21" x14ac:dyDescent="0.2">
      <c r="G2698" s="8"/>
      <c r="H2698" s="5"/>
      <c r="J2698" s="10" t="str">
        <f t="shared" si="406"/>
        <v/>
      </c>
      <c r="K2698" s="10" t="str">
        <f t="shared" si="407"/>
        <v/>
      </c>
      <c r="L2698" s="11" t="str">
        <f t="shared" si="409"/>
        <v/>
      </c>
      <c r="M2698" s="9" t="str">
        <f>IF(G2698&lt;&gt;"",J2698/MAX(J$3:J2698)-1,"")</f>
        <v/>
      </c>
      <c r="N2698" s="9" t="str">
        <f>IF(G2698&lt;&gt;"",K2698/MAX(K$3:K2698)-1,"")</f>
        <v/>
      </c>
      <c r="O2698" s="16" t="str">
        <f t="shared" si="405"/>
        <v/>
      </c>
      <c r="P2698" s="16" t="str">
        <f t="shared" si="405"/>
        <v/>
      </c>
      <c r="Q2698" s="16" t="str">
        <f t="shared" si="405"/>
        <v/>
      </c>
      <c r="R2698" s="5" t="str">
        <f t="shared" si="404"/>
        <v/>
      </c>
      <c r="S2698" s="5" t="str">
        <f t="shared" si="408"/>
        <v/>
      </c>
      <c r="T2698" s="5" t="str">
        <f t="shared" si="410"/>
        <v/>
      </c>
      <c r="U2698" s="5" t="str">
        <f t="shared" si="410"/>
        <v/>
      </c>
    </row>
    <row r="2699" spans="7:21" x14ac:dyDescent="0.2">
      <c r="G2699" s="8"/>
      <c r="H2699" s="5"/>
      <c r="J2699" s="10" t="str">
        <f t="shared" si="406"/>
        <v/>
      </c>
      <c r="K2699" s="10" t="str">
        <f t="shared" si="407"/>
        <v/>
      </c>
      <c r="L2699" s="11" t="str">
        <f t="shared" si="409"/>
        <v/>
      </c>
      <c r="M2699" s="9" t="str">
        <f>IF(G2699&lt;&gt;"",J2699/MAX(J$3:J2699)-1,"")</f>
        <v/>
      </c>
      <c r="N2699" s="9" t="str">
        <f>IF(G2699&lt;&gt;"",K2699/MAX(K$3:K2699)-1,"")</f>
        <v/>
      </c>
      <c r="O2699" s="16" t="str">
        <f t="shared" si="405"/>
        <v/>
      </c>
      <c r="P2699" s="16" t="str">
        <f t="shared" si="405"/>
        <v/>
      </c>
      <c r="Q2699" s="16" t="str">
        <f t="shared" si="405"/>
        <v/>
      </c>
      <c r="R2699" s="5" t="str">
        <f t="shared" si="404"/>
        <v/>
      </c>
      <c r="S2699" s="5" t="str">
        <f t="shared" si="408"/>
        <v/>
      </c>
      <c r="T2699" s="5" t="str">
        <f t="shared" si="410"/>
        <v/>
      </c>
      <c r="U2699" s="5" t="str">
        <f t="shared" si="410"/>
        <v/>
      </c>
    </row>
    <row r="2700" spans="7:21" x14ac:dyDescent="0.2">
      <c r="G2700" s="8"/>
      <c r="H2700" s="5"/>
      <c r="J2700" s="10" t="str">
        <f t="shared" si="406"/>
        <v/>
      </c>
      <c r="K2700" s="10" t="str">
        <f t="shared" si="407"/>
        <v/>
      </c>
      <c r="L2700" s="11" t="str">
        <f t="shared" si="409"/>
        <v/>
      </c>
      <c r="M2700" s="9" t="str">
        <f>IF(G2700&lt;&gt;"",J2700/MAX(J$3:J2700)-1,"")</f>
        <v/>
      </c>
      <c r="N2700" s="9" t="str">
        <f>IF(G2700&lt;&gt;"",K2700/MAX(K$3:K2700)-1,"")</f>
        <v/>
      </c>
      <c r="O2700" s="16" t="str">
        <f t="shared" si="405"/>
        <v/>
      </c>
      <c r="P2700" s="16" t="str">
        <f t="shared" si="405"/>
        <v/>
      </c>
      <c r="Q2700" s="16" t="str">
        <f t="shared" si="405"/>
        <v/>
      </c>
      <c r="R2700" s="5" t="str">
        <f t="shared" si="404"/>
        <v/>
      </c>
      <c r="S2700" s="5" t="str">
        <f t="shared" si="408"/>
        <v/>
      </c>
      <c r="T2700" s="5" t="str">
        <f t="shared" si="410"/>
        <v/>
      </c>
      <c r="U2700" s="5" t="str">
        <f t="shared" si="410"/>
        <v/>
      </c>
    </row>
    <row r="2701" spans="7:21" x14ac:dyDescent="0.2">
      <c r="G2701" s="8"/>
      <c r="H2701" s="5"/>
      <c r="J2701" s="10" t="str">
        <f t="shared" si="406"/>
        <v/>
      </c>
      <c r="K2701" s="10" t="str">
        <f t="shared" si="407"/>
        <v/>
      </c>
      <c r="L2701" s="11" t="str">
        <f t="shared" si="409"/>
        <v/>
      </c>
      <c r="M2701" s="9" t="str">
        <f>IF(G2701&lt;&gt;"",J2701/MAX(J$3:J2701)-1,"")</f>
        <v/>
      </c>
      <c r="N2701" s="9" t="str">
        <f>IF(G2701&lt;&gt;"",K2701/MAX(K$3:K2701)-1,"")</f>
        <v/>
      </c>
      <c r="O2701" s="16" t="str">
        <f t="shared" si="405"/>
        <v/>
      </c>
      <c r="P2701" s="16" t="str">
        <f t="shared" si="405"/>
        <v/>
      </c>
      <c r="Q2701" s="16" t="str">
        <f t="shared" si="405"/>
        <v/>
      </c>
      <c r="R2701" s="5" t="str">
        <f t="shared" si="404"/>
        <v/>
      </c>
      <c r="S2701" s="5" t="str">
        <f t="shared" si="408"/>
        <v/>
      </c>
      <c r="T2701" s="5" t="str">
        <f t="shared" si="410"/>
        <v/>
      </c>
      <c r="U2701" s="5" t="str">
        <f t="shared" si="410"/>
        <v/>
      </c>
    </row>
    <row r="2702" spans="7:21" x14ac:dyDescent="0.2">
      <c r="G2702" s="8"/>
      <c r="H2702" s="5"/>
      <c r="J2702" s="10" t="str">
        <f t="shared" si="406"/>
        <v/>
      </c>
      <c r="K2702" s="10" t="str">
        <f t="shared" si="407"/>
        <v/>
      </c>
      <c r="L2702" s="11" t="str">
        <f t="shared" si="409"/>
        <v/>
      </c>
      <c r="M2702" s="9" t="str">
        <f>IF(G2702&lt;&gt;"",J2702/MAX(J$3:J2702)-1,"")</f>
        <v/>
      </c>
      <c r="N2702" s="9" t="str">
        <f>IF(G2702&lt;&gt;"",K2702/MAX(K$3:K2702)-1,"")</f>
        <v/>
      </c>
      <c r="O2702" s="16" t="str">
        <f t="shared" si="405"/>
        <v/>
      </c>
      <c r="P2702" s="16" t="str">
        <f t="shared" si="405"/>
        <v/>
      </c>
      <c r="Q2702" s="16" t="str">
        <f t="shared" si="405"/>
        <v/>
      </c>
      <c r="R2702" s="5" t="str">
        <f t="shared" si="404"/>
        <v/>
      </c>
      <c r="S2702" s="5" t="str">
        <f t="shared" si="408"/>
        <v/>
      </c>
      <c r="T2702" s="5" t="str">
        <f t="shared" si="410"/>
        <v/>
      </c>
      <c r="U2702" s="5" t="str">
        <f t="shared" si="410"/>
        <v/>
      </c>
    </row>
    <row r="2703" spans="7:21" x14ac:dyDescent="0.2">
      <c r="G2703" s="8"/>
      <c r="H2703" s="5"/>
      <c r="J2703" s="10" t="str">
        <f t="shared" si="406"/>
        <v/>
      </c>
      <c r="K2703" s="10" t="str">
        <f t="shared" si="407"/>
        <v/>
      </c>
      <c r="L2703" s="11" t="str">
        <f t="shared" si="409"/>
        <v/>
      </c>
      <c r="M2703" s="9" t="str">
        <f>IF(G2703&lt;&gt;"",J2703/MAX(J$3:J2703)-1,"")</f>
        <v/>
      </c>
      <c r="N2703" s="9" t="str">
        <f>IF(G2703&lt;&gt;"",K2703/MAX(K$3:K2703)-1,"")</f>
        <v/>
      </c>
      <c r="O2703" s="16" t="str">
        <f t="shared" si="405"/>
        <v/>
      </c>
      <c r="P2703" s="16" t="str">
        <f t="shared" si="405"/>
        <v/>
      </c>
      <c r="Q2703" s="16" t="str">
        <f t="shared" si="405"/>
        <v/>
      </c>
      <c r="R2703" s="5" t="str">
        <f t="shared" si="404"/>
        <v/>
      </c>
      <c r="S2703" s="5" t="str">
        <f t="shared" si="408"/>
        <v/>
      </c>
      <c r="T2703" s="5" t="str">
        <f t="shared" si="410"/>
        <v/>
      </c>
      <c r="U2703" s="5" t="str">
        <f t="shared" si="410"/>
        <v/>
      </c>
    </row>
    <row r="2704" spans="7:21" x14ac:dyDescent="0.2">
      <c r="G2704" s="8"/>
      <c r="H2704" s="5"/>
      <c r="J2704" s="10" t="str">
        <f t="shared" si="406"/>
        <v/>
      </c>
      <c r="K2704" s="10" t="str">
        <f t="shared" si="407"/>
        <v/>
      </c>
      <c r="L2704" s="11" t="str">
        <f t="shared" si="409"/>
        <v/>
      </c>
      <c r="M2704" s="9" t="str">
        <f>IF(G2704&lt;&gt;"",J2704/MAX(J$3:J2704)-1,"")</f>
        <v/>
      </c>
      <c r="N2704" s="9" t="str">
        <f>IF(G2704&lt;&gt;"",K2704/MAX(K$3:K2704)-1,"")</f>
        <v/>
      </c>
      <c r="O2704" s="16" t="str">
        <f t="shared" si="405"/>
        <v/>
      </c>
      <c r="P2704" s="16" t="str">
        <f t="shared" si="405"/>
        <v/>
      </c>
      <c r="Q2704" s="16" t="str">
        <f t="shared" si="405"/>
        <v/>
      </c>
      <c r="R2704" s="5" t="str">
        <f t="shared" si="404"/>
        <v/>
      </c>
      <c r="S2704" s="5" t="str">
        <f t="shared" si="408"/>
        <v/>
      </c>
      <c r="T2704" s="5" t="str">
        <f t="shared" si="410"/>
        <v/>
      </c>
      <c r="U2704" s="5" t="str">
        <f t="shared" si="410"/>
        <v/>
      </c>
    </row>
    <row r="2705" spans="7:21" x14ac:dyDescent="0.2">
      <c r="G2705" s="8"/>
      <c r="H2705" s="5"/>
      <c r="J2705" s="10" t="str">
        <f t="shared" si="406"/>
        <v/>
      </c>
      <c r="K2705" s="10" t="str">
        <f t="shared" si="407"/>
        <v/>
      </c>
      <c r="L2705" s="11" t="str">
        <f t="shared" si="409"/>
        <v/>
      </c>
      <c r="M2705" s="9" t="str">
        <f>IF(G2705&lt;&gt;"",J2705/MAX(J$3:J2705)-1,"")</f>
        <v/>
      </c>
      <c r="N2705" s="9" t="str">
        <f>IF(G2705&lt;&gt;"",K2705/MAX(K$3:K2705)-1,"")</f>
        <v/>
      </c>
      <c r="O2705" s="16" t="str">
        <f t="shared" si="405"/>
        <v/>
      </c>
      <c r="P2705" s="16" t="str">
        <f t="shared" si="405"/>
        <v/>
      </c>
      <c r="Q2705" s="16" t="str">
        <f t="shared" si="405"/>
        <v/>
      </c>
      <c r="R2705" s="5" t="str">
        <f t="shared" si="404"/>
        <v/>
      </c>
      <c r="S2705" s="5" t="str">
        <f t="shared" si="408"/>
        <v/>
      </c>
      <c r="T2705" s="5" t="str">
        <f t="shared" si="410"/>
        <v/>
      </c>
      <c r="U2705" s="5" t="str">
        <f t="shared" si="410"/>
        <v/>
      </c>
    </row>
    <row r="2706" spans="7:21" x14ac:dyDescent="0.2">
      <c r="G2706" s="8"/>
      <c r="H2706" s="5"/>
      <c r="J2706" s="10" t="str">
        <f t="shared" si="406"/>
        <v/>
      </c>
      <c r="K2706" s="10" t="str">
        <f t="shared" si="407"/>
        <v/>
      </c>
      <c r="L2706" s="11" t="str">
        <f t="shared" si="409"/>
        <v/>
      </c>
      <c r="M2706" s="9" t="str">
        <f>IF(G2706&lt;&gt;"",J2706/MAX(J$3:J2706)-1,"")</f>
        <v/>
      </c>
      <c r="N2706" s="9" t="str">
        <f>IF(G2706&lt;&gt;"",K2706/MAX(K$3:K2706)-1,"")</f>
        <v/>
      </c>
      <c r="O2706" s="16" t="str">
        <f t="shared" si="405"/>
        <v/>
      </c>
      <c r="P2706" s="16" t="str">
        <f t="shared" si="405"/>
        <v/>
      </c>
      <c r="Q2706" s="16" t="str">
        <f t="shared" si="405"/>
        <v/>
      </c>
      <c r="R2706" s="5" t="str">
        <f t="shared" si="404"/>
        <v/>
      </c>
      <c r="S2706" s="5" t="str">
        <f t="shared" si="408"/>
        <v/>
      </c>
      <c r="T2706" s="5" t="str">
        <f t="shared" si="410"/>
        <v/>
      </c>
      <c r="U2706" s="5" t="str">
        <f t="shared" si="410"/>
        <v/>
      </c>
    </row>
    <row r="2707" spans="7:21" x14ac:dyDescent="0.2">
      <c r="G2707" s="8"/>
      <c r="H2707" s="5"/>
      <c r="J2707" s="10" t="str">
        <f t="shared" si="406"/>
        <v/>
      </c>
      <c r="K2707" s="10" t="str">
        <f t="shared" si="407"/>
        <v/>
      </c>
      <c r="L2707" s="11" t="str">
        <f t="shared" si="409"/>
        <v/>
      </c>
      <c r="M2707" s="9" t="str">
        <f>IF(G2707&lt;&gt;"",J2707/MAX(J$3:J2707)-1,"")</f>
        <v/>
      </c>
      <c r="N2707" s="9" t="str">
        <f>IF(G2707&lt;&gt;"",K2707/MAX(K$3:K2707)-1,"")</f>
        <v/>
      </c>
      <c r="O2707" s="16" t="str">
        <f t="shared" si="405"/>
        <v/>
      </c>
      <c r="P2707" s="16" t="str">
        <f t="shared" si="405"/>
        <v/>
      </c>
      <c r="Q2707" s="16" t="str">
        <f t="shared" si="405"/>
        <v/>
      </c>
      <c r="R2707" s="5" t="str">
        <f t="shared" si="404"/>
        <v/>
      </c>
      <c r="S2707" s="5" t="str">
        <f t="shared" si="408"/>
        <v/>
      </c>
      <c r="T2707" s="5" t="str">
        <f t="shared" si="410"/>
        <v/>
      </c>
      <c r="U2707" s="5" t="str">
        <f t="shared" si="410"/>
        <v/>
      </c>
    </row>
    <row r="2708" spans="7:21" x14ac:dyDescent="0.2">
      <c r="G2708" s="8"/>
      <c r="H2708" s="5"/>
      <c r="J2708" s="10" t="str">
        <f t="shared" si="406"/>
        <v/>
      </c>
      <c r="K2708" s="10" t="str">
        <f t="shared" si="407"/>
        <v/>
      </c>
      <c r="L2708" s="11" t="str">
        <f t="shared" si="409"/>
        <v/>
      </c>
      <c r="M2708" s="9" t="str">
        <f>IF(G2708&lt;&gt;"",J2708/MAX(J$3:J2708)-1,"")</f>
        <v/>
      </c>
      <c r="N2708" s="9" t="str">
        <f>IF(G2708&lt;&gt;"",K2708/MAX(K$3:K2708)-1,"")</f>
        <v/>
      </c>
      <c r="O2708" s="16" t="str">
        <f t="shared" si="405"/>
        <v/>
      </c>
      <c r="P2708" s="16" t="str">
        <f t="shared" si="405"/>
        <v/>
      </c>
      <c r="Q2708" s="16" t="str">
        <f t="shared" si="405"/>
        <v/>
      </c>
      <c r="R2708" s="5" t="str">
        <f t="shared" si="404"/>
        <v/>
      </c>
      <c r="S2708" s="5" t="str">
        <f t="shared" si="408"/>
        <v/>
      </c>
      <c r="T2708" s="5" t="str">
        <f t="shared" si="410"/>
        <v/>
      </c>
      <c r="U2708" s="5" t="str">
        <f t="shared" si="410"/>
        <v/>
      </c>
    </row>
    <row r="2709" spans="7:21" x14ac:dyDescent="0.2">
      <c r="G2709" s="8"/>
      <c r="H2709" s="5"/>
      <c r="J2709" s="10" t="str">
        <f t="shared" si="406"/>
        <v/>
      </c>
      <c r="K2709" s="10" t="str">
        <f t="shared" si="407"/>
        <v/>
      </c>
      <c r="L2709" s="11" t="str">
        <f t="shared" si="409"/>
        <v/>
      </c>
      <c r="M2709" s="9" t="str">
        <f>IF(G2709&lt;&gt;"",J2709/MAX(J$3:J2709)-1,"")</f>
        <v/>
      </c>
      <c r="N2709" s="9" t="str">
        <f>IF(G2709&lt;&gt;"",K2709/MAX(K$3:K2709)-1,"")</f>
        <v/>
      </c>
      <c r="O2709" s="16" t="str">
        <f t="shared" si="405"/>
        <v/>
      </c>
      <c r="P2709" s="16" t="str">
        <f t="shared" si="405"/>
        <v/>
      </c>
      <c r="Q2709" s="16" t="str">
        <f t="shared" si="405"/>
        <v/>
      </c>
      <c r="R2709" s="5" t="str">
        <f t="shared" si="404"/>
        <v/>
      </c>
      <c r="S2709" s="5" t="str">
        <f t="shared" si="408"/>
        <v/>
      </c>
      <c r="T2709" s="5" t="str">
        <f t="shared" si="410"/>
        <v/>
      </c>
      <c r="U2709" s="5" t="str">
        <f t="shared" si="410"/>
        <v/>
      </c>
    </row>
    <row r="2710" spans="7:21" x14ac:dyDescent="0.2">
      <c r="G2710" s="8"/>
      <c r="H2710" s="5"/>
      <c r="J2710" s="10" t="str">
        <f t="shared" si="406"/>
        <v/>
      </c>
      <c r="K2710" s="10" t="str">
        <f t="shared" si="407"/>
        <v/>
      </c>
      <c r="L2710" s="11" t="str">
        <f t="shared" si="409"/>
        <v/>
      </c>
      <c r="M2710" s="9" t="str">
        <f>IF(G2710&lt;&gt;"",J2710/MAX(J$3:J2710)-1,"")</f>
        <v/>
      </c>
      <c r="N2710" s="9" t="str">
        <f>IF(G2710&lt;&gt;"",K2710/MAX(K$3:K2710)-1,"")</f>
        <v/>
      </c>
      <c r="O2710" s="16" t="str">
        <f t="shared" si="405"/>
        <v/>
      </c>
      <c r="P2710" s="16" t="str">
        <f t="shared" si="405"/>
        <v/>
      </c>
      <c r="Q2710" s="16" t="str">
        <f t="shared" si="405"/>
        <v/>
      </c>
      <c r="R2710" s="5" t="str">
        <f t="shared" si="404"/>
        <v/>
      </c>
      <c r="S2710" s="5" t="str">
        <f t="shared" si="408"/>
        <v/>
      </c>
      <c r="T2710" s="5" t="str">
        <f t="shared" si="410"/>
        <v/>
      </c>
      <c r="U2710" s="5" t="str">
        <f t="shared" si="410"/>
        <v/>
      </c>
    </row>
    <row r="2711" spans="7:21" x14ac:dyDescent="0.2">
      <c r="G2711" s="8"/>
      <c r="H2711" s="5"/>
      <c r="J2711" s="10" t="str">
        <f t="shared" si="406"/>
        <v/>
      </c>
      <c r="K2711" s="10" t="str">
        <f t="shared" si="407"/>
        <v/>
      </c>
      <c r="L2711" s="11" t="str">
        <f t="shared" si="409"/>
        <v/>
      </c>
      <c r="M2711" s="9" t="str">
        <f>IF(G2711&lt;&gt;"",J2711/MAX(J$3:J2711)-1,"")</f>
        <v/>
      </c>
      <c r="N2711" s="9" t="str">
        <f>IF(G2711&lt;&gt;"",K2711/MAX(K$3:K2711)-1,"")</f>
        <v/>
      </c>
      <c r="O2711" s="16" t="str">
        <f t="shared" si="405"/>
        <v/>
      </c>
      <c r="P2711" s="16" t="str">
        <f t="shared" si="405"/>
        <v/>
      </c>
      <c r="Q2711" s="16" t="str">
        <f t="shared" si="405"/>
        <v/>
      </c>
      <c r="R2711" s="5" t="str">
        <f t="shared" si="404"/>
        <v/>
      </c>
      <c r="S2711" s="5" t="str">
        <f t="shared" si="408"/>
        <v/>
      </c>
      <c r="T2711" s="5" t="str">
        <f t="shared" si="410"/>
        <v/>
      </c>
      <c r="U2711" s="5" t="str">
        <f t="shared" si="410"/>
        <v/>
      </c>
    </row>
    <row r="2712" spans="7:21" x14ac:dyDescent="0.2">
      <c r="G2712" s="8"/>
      <c r="H2712" s="5"/>
      <c r="J2712" s="10" t="str">
        <f t="shared" si="406"/>
        <v/>
      </c>
      <c r="K2712" s="10" t="str">
        <f t="shared" si="407"/>
        <v/>
      </c>
      <c r="L2712" s="11" t="str">
        <f t="shared" si="409"/>
        <v/>
      </c>
      <c r="M2712" s="9" t="str">
        <f>IF(G2712&lt;&gt;"",J2712/MAX(J$3:J2712)-1,"")</f>
        <v/>
      </c>
      <c r="N2712" s="9" t="str">
        <f>IF(G2712&lt;&gt;"",K2712/MAX(K$3:K2712)-1,"")</f>
        <v/>
      </c>
      <c r="O2712" s="16" t="str">
        <f t="shared" si="405"/>
        <v/>
      </c>
      <c r="P2712" s="16" t="str">
        <f t="shared" si="405"/>
        <v/>
      </c>
      <c r="Q2712" s="16" t="str">
        <f t="shared" si="405"/>
        <v/>
      </c>
      <c r="R2712" s="5" t="str">
        <f t="shared" si="404"/>
        <v/>
      </c>
      <c r="S2712" s="5" t="str">
        <f t="shared" si="408"/>
        <v/>
      </c>
      <c r="T2712" s="5" t="str">
        <f t="shared" ref="T2712:U2727" si="411">IF($G2712&lt;&gt;"",_xlfn.STDEV.S(O2468:O2712),"")</f>
        <v/>
      </c>
      <c r="U2712" s="5" t="str">
        <f t="shared" si="411"/>
        <v/>
      </c>
    </row>
    <row r="2713" spans="7:21" x14ac:dyDescent="0.2">
      <c r="G2713" s="8"/>
      <c r="H2713" s="5"/>
      <c r="J2713" s="10" t="str">
        <f t="shared" si="406"/>
        <v/>
      </c>
      <c r="K2713" s="10" t="str">
        <f t="shared" si="407"/>
        <v/>
      </c>
      <c r="L2713" s="11" t="str">
        <f t="shared" si="409"/>
        <v/>
      </c>
      <c r="M2713" s="9" t="str">
        <f>IF(G2713&lt;&gt;"",J2713/MAX(J$3:J2713)-1,"")</f>
        <v/>
      </c>
      <c r="N2713" s="9" t="str">
        <f>IF(G2713&lt;&gt;"",K2713/MAX(K$3:K2713)-1,"")</f>
        <v/>
      </c>
      <c r="O2713" s="16" t="str">
        <f t="shared" si="405"/>
        <v/>
      </c>
      <c r="P2713" s="16" t="str">
        <f t="shared" si="405"/>
        <v/>
      </c>
      <c r="Q2713" s="16" t="str">
        <f t="shared" si="405"/>
        <v/>
      </c>
      <c r="R2713" s="5" t="str">
        <f t="shared" si="404"/>
        <v/>
      </c>
      <c r="S2713" s="5" t="str">
        <f t="shared" si="408"/>
        <v/>
      </c>
      <c r="T2713" s="5" t="str">
        <f t="shared" si="411"/>
        <v/>
      </c>
      <c r="U2713" s="5" t="str">
        <f t="shared" si="411"/>
        <v/>
      </c>
    </row>
    <row r="2714" spans="7:21" x14ac:dyDescent="0.2">
      <c r="G2714" s="8"/>
      <c r="H2714" s="5"/>
      <c r="J2714" s="10" t="str">
        <f t="shared" si="406"/>
        <v/>
      </c>
      <c r="K2714" s="10" t="str">
        <f t="shared" si="407"/>
        <v/>
      </c>
      <c r="L2714" s="11" t="str">
        <f t="shared" si="409"/>
        <v/>
      </c>
      <c r="M2714" s="9" t="str">
        <f>IF(G2714&lt;&gt;"",J2714/MAX(J$3:J2714)-1,"")</f>
        <v/>
      </c>
      <c r="N2714" s="9" t="str">
        <f>IF(G2714&lt;&gt;"",K2714/MAX(K$3:K2714)-1,"")</f>
        <v/>
      </c>
      <c r="O2714" s="16" t="str">
        <f t="shared" si="405"/>
        <v/>
      </c>
      <c r="P2714" s="16" t="str">
        <f t="shared" si="405"/>
        <v/>
      </c>
      <c r="Q2714" s="16" t="str">
        <f t="shared" si="405"/>
        <v/>
      </c>
      <c r="R2714" s="5" t="str">
        <f t="shared" si="404"/>
        <v/>
      </c>
      <c r="S2714" s="5" t="str">
        <f t="shared" si="408"/>
        <v/>
      </c>
      <c r="T2714" s="5" t="str">
        <f t="shared" si="411"/>
        <v/>
      </c>
      <c r="U2714" s="5" t="str">
        <f t="shared" si="411"/>
        <v/>
      </c>
    </row>
    <row r="2715" spans="7:21" x14ac:dyDescent="0.2">
      <c r="G2715" s="8"/>
      <c r="H2715" s="5"/>
      <c r="J2715" s="10" t="str">
        <f t="shared" si="406"/>
        <v/>
      </c>
      <c r="K2715" s="10" t="str">
        <f t="shared" si="407"/>
        <v/>
      </c>
      <c r="L2715" s="11" t="str">
        <f t="shared" si="409"/>
        <v/>
      </c>
      <c r="M2715" s="9" t="str">
        <f>IF(G2715&lt;&gt;"",J2715/MAX(J$3:J2715)-1,"")</f>
        <v/>
      </c>
      <c r="N2715" s="9" t="str">
        <f>IF(G2715&lt;&gt;"",K2715/MAX(K$3:K2715)-1,"")</f>
        <v/>
      </c>
      <c r="O2715" s="16" t="str">
        <f t="shared" si="405"/>
        <v/>
      </c>
      <c r="P2715" s="16" t="str">
        <f t="shared" si="405"/>
        <v/>
      </c>
      <c r="Q2715" s="16" t="str">
        <f t="shared" si="405"/>
        <v/>
      </c>
      <c r="R2715" s="5" t="str">
        <f t="shared" si="404"/>
        <v/>
      </c>
      <c r="S2715" s="5" t="str">
        <f t="shared" si="408"/>
        <v/>
      </c>
      <c r="T2715" s="5" t="str">
        <f t="shared" si="411"/>
        <v/>
      </c>
      <c r="U2715" s="5" t="str">
        <f t="shared" si="411"/>
        <v/>
      </c>
    </row>
    <row r="2716" spans="7:21" x14ac:dyDescent="0.2">
      <c r="G2716" s="8"/>
      <c r="H2716" s="5"/>
      <c r="J2716" s="10" t="str">
        <f t="shared" si="406"/>
        <v/>
      </c>
      <c r="K2716" s="10" t="str">
        <f t="shared" si="407"/>
        <v/>
      </c>
      <c r="L2716" s="11" t="str">
        <f t="shared" si="409"/>
        <v/>
      </c>
      <c r="M2716" s="9" t="str">
        <f>IF(G2716&lt;&gt;"",J2716/MAX(J$3:J2716)-1,"")</f>
        <v/>
      </c>
      <c r="N2716" s="9" t="str">
        <f>IF(G2716&lt;&gt;"",K2716/MAX(K$3:K2716)-1,"")</f>
        <v/>
      </c>
      <c r="O2716" s="16" t="str">
        <f t="shared" si="405"/>
        <v/>
      </c>
      <c r="P2716" s="16" t="str">
        <f t="shared" si="405"/>
        <v/>
      </c>
      <c r="Q2716" s="16" t="str">
        <f t="shared" si="405"/>
        <v/>
      </c>
      <c r="R2716" s="5" t="str">
        <f t="shared" si="404"/>
        <v/>
      </c>
      <c r="S2716" s="5" t="str">
        <f t="shared" si="408"/>
        <v/>
      </c>
      <c r="T2716" s="5" t="str">
        <f t="shared" si="411"/>
        <v/>
      </c>
      <c r="U2716" s="5" t="str">
        <f t="shared" si="411"/>
        <v/>
      </c>
    </row>
    <row r="2717" spans="7:21" x14ac:dyDescent="0.2">
      <c r="G2717" s="8"/>
      <c r="H2717" s="5"/>
      <c r="J2717" s="10" t="str">
        <f t="shared" si="406"/>
        <v/>
      </c>
      <c r="K2717" s="10" t="str">
        <f t="shared" si="407"/>
        <v/>
      </c>
      <c r="L2717" s="11" t="str">
        <f t="shared" si="409"/>
        <v/>
      </c>
      <c r="M2717" s="9" t="str">
        <f>IF(G2717&lt;&gt;"",J2717/MAX(J$3:J2717)-1,"")</f>
        <v/>
      </c>
      <c r="N2717" s="9" t="str">
        <f>IF(G2717&lt;&gt;"",K2717/MAX(K$3:K2717)-1,"")</f>
        <v/>
      </c>
      <c r="O2717" s="16" t="str">
        <f t="shared" si="405"/>
        <v/>
      </c>
      <c r="P2717" s="16" t="str">
        <f t="shared" si="405"/>
        <v/>
      </c>
      <c r="Q2717" s="16" t="str">
        <f t="shared" si="405"/>
        <v/>
      </c>
      <c r="R2717" s="5" t="str">
        <f t="shared" si="404"/>
        <v/>
      </c>
      <c r="S2717" s="5" t="str">
        <f t="shared" si="408"/>
        <v/>
      </c>
      <c r="T2717" s="5" t="str">
        <f t="shared" si="411"/>
        <v/>
      </c>
      <c r="U2717" s="5" t="str">
        <f t="shared" si="411"/>
        <v/>
      </c>
    </row>
    <row r="2718" spans="7:21" x14ac:dyDescent="0.2">
      <c r="G2718" s="8"/>
      <c r="H2718" s="5"/>
      <c r="J2718" s="10" t="str">
        <f t="shared" si="406"/>
        <v/>
      </c>
      <c r="K2718" s="10" t="str">
        <f t="shared" si="407"/>
        <v/>
      </c>
      <c r="L2718" s="11" t="str">
        <f t="shared" si="409"/>
        <v/>
      </c>
      <c r="M2718" s="9" t="str">
        <f>IF(G2718&lt;&gt;"",J2718/MAX(J$3:J2718)-1,"")</f>
        <v/>
      </c>
      <c r="N2718" s="9" t="str">
        <f>IF(G2718&lt;&gt;"",K2718/MAX(K$3:K2718)-1,"")</f>
        <v/>
      </c>
      <c r="O2718" s="16" t="str">
        <f t="shared" si="405"/>
        <v/>
      </c>
      <c r="P2718" s="16" t="str">
        <f t="shared" si="405"/>
        <v/>
      </c>
      <c r="Q2718" s="16" t="str">
        <f t="shared" si="405"/>
        <v/>
      </c>
      <c r="R2718" s="5" t="str">
        <f t="shared" si="404"/>
        <v/>
      </c>
      <c r="S2718" s="5" t="str">
        <f t="shared" si="408"/>
        <v/>
      </c>
      <c r="T2718" s="5" t="str">
        <f t="shared" si="411"/>
        <v/>
      </c>
      <c r="U2718" s="5" t="str">
        <f t="shared" si="411"/>
        <v/>
      </c>
    </row>
    <row r="2719" spans="7:21" x14ac:dyDescent="0.2">
      <c r="G2719" s="8"/>
      <c r="H2719" s="5"/>
      <c r="J2719" s="10" t="str">
        <f t="shared" si="406"/>
        <v/>
      </c>
      <c r="K2719" s="10" t="str">
        <f t="shared" si="407"/>
        <v/>
      </c>
      <c r="L2719" s="11" t="str">
        <f t="shared" si="409"/>
        <v/>
      </c>
      <c r="M2719" s="9" t="str">
        <f>IF(G2719&lt;&gt;"",J2719/MAX(J$3:J2719)-1,"")</f>
        <v/>
      </c>
      <c r="N2719" s="9" t="str">
        <f>IF(G2719&lt;&gt;"",K2719/MAX(K$3:K2719)-1,"")</f>
        <v/>
      </c>
      <c r="O2719" s="16" t="str">
        <f t="shared" si="405"/>
        <v/>
      </c>
      <c r="P2719" s="16" t="str">
        <f t="shared" si="405"/>
        <v/>
      </c>
      <c r="Q2719" s="16" t="str">
        <f t="shared" si="405"/>
        <v/>
      </c>
      <c r="R2719" s="5" t="str">
        <f t="shared" si="404"/>
        <v/>
      </c>
      <c r="S2719" s="5" t="str">
        <f t="shared" si="408"/>
        <v/>
      </c>
      <c r="T2719" s="5" t="str">
        <f t="shared" si="411"/>
        <v/>
      </c>
      <c r="U2719" s="5" t="str">
        <f t="shared" si="411"/>
        <v/>
      </c>
    </row>
    <row r="2720" spans="7:21" x14ac:dyDescent="0.2">
      <c r="G2720" s="8"/>
      <c r="H2720" s="5"/>
      <c r="J2720" s="10" t="str">
        <f t="shared" si="406"/>
        <v/>
      </c>
      <c r="K2720" s="10" t="str">
        <f t="shared" si="407"/>
        <v/>
      </c>
      <c r="L2720" s="11" t="str">
        <f t="shared" si="409"/>
        <v/>
      </c>
      <c r="M2720" s="9" t="str">
        <f>IF(G2720&lt;&gt;"",J2720/MAX(J$3:J2720)-1,"")</f>
        <v/>
      </c>
      <c r="N2720" s="9" t="str">
        <f>IF(G2720&lt;&gt;"",K2720/MAX(K$3:K2720)-1,"")</f>
        <v/>
      </c>
      <c r="O2720" s="16" t="str">
        <f t="shared" si="405"/>
        <v/>
      </c>
      <c r="P2720" s="16" t="str">
        <f t="shared" si="405"/>
        <v/>
      </c>
      <c r="Q2720" s="16" t="str">
        <f t="shared" si="405"/>
        <v/>
      </c>
      <c r="R2720" s="5" t="str">
        <f t="shared" si="404"/>
        <v/>
      </c>
      <c r="S2720" s="5" t="str">
        <f t="shared" si="408"/>
        <v/>
      </c>
      <c r="T2720" s="5" t="str">
        <f t="shared" si="411"/>
        <v/>
      </c>
      <c r="U2720" s="5" t="str">
        <f t="shared" si="411"/>
        <v/>
      </c>
    </row>
    <row r="2721" spans="7:21" x14ac:dyDescent="0.2">
      <c r="G2721" s="8"/>
      <c r="H2721" s="5"/>
      <c r="J2721" s="10" t="str">
        <f t="shared" si="406"/>
        <v/>
      </c>
      <c r="K2721" s="10" t="str">
        <f t="shared" si="407"/>
        <v/>
      </c>
      <c r="L2721" s="11" t="str">
        <f t="shared" si="409"/>
        <v/>
      </c>
      <c r="M2721" s="9" t="str">
        <f>IF(G2721&lt;&gt;"",J2721/MAX(J$3:J2721)-1,"")</f>
        <v/>
      </c>
      <c r="N2721" s="9" t="str">
        <f>IF(G2721&lt;&gt;"",K2721/MAX(K$3:K2721)-1,"")</f>
        <v/>
      </c>
      <c r="O2721" s="16" t="str">
        <f t="shared" si="405"/>
        <v/>
      </c>
      <c r="P2721" s="16" t="str">
        <f t="shared" si="405"/>
        <v/>
      </c>
      <c r="Q2721" s="16" t="str">
        <f t="shared" si="405"/>
        <v/>
      </c>
      <c r="R2721" s="5" t="str">
        <f t="shared" si="404"/>
        <v/>
      </c>
      <c r="S2721" s="5" t="str">
        <f t="shared" si="408"/>
        <v/>
      </c>
      <c r="T2721" s="5" t="str">
        <f t="shared" si="411"/>
        <v/>
      </c>
      <c r="U2721" s="5" t="str">
        <f t="shared" si="411"/>
        <v/>
      </c>
    </row>
    <row r="2722" spans="7:21" x14ac:dyDescent="0.2">
      <c r="G2722" s="8"/>
      <c r="H2722" s="5"/>
      <c r="J2722" s="10" t="str">
        <f t="shared" si="406"/>
        <v/>
      </c>
      <c r="K2722" s="10" t="str">
        <f t="shared" si="407"/>
        <v/>
      </c>
      <c r="L2722" s="11" t="str">
        <f t="shared" si="409"/>
        <v/>
      </c>
      <c r="M2722" s="9" t="str">
        <f>IF(G2722&lt;&gt;"",J2722/MAX(J$3:J2722)-1,"")</f>
        <v/>
      </c>
      <c r="N2722" s="9" t="str">
        <f>IF(G2722&lt;&gt;"",K2722/MAX(K$3:K2722)-1,"")</f>
        <v/>
      </c>
      <c r="O2722" s="16" t="str">
        <f t="shared" si="405"/>
        <v/>
      </c>
      <c r="P2722" s="16" t="str">
        <f t="shared" si="405"/>
        <v/>
      </c>
      <c r="Q2722" s="16" t="str">
        <f t="shared" si="405"/>
        <v/>
      </c>
      <c r="R2722" s="5" t="str">
        <f t="shared" si="404"/>
        <v/>
      </c>
      <c r="S2722" s="5" t="str">
        <f t="shared" si="408"/>
        <v/>
      </c>
      <c r="T2722" s="5" t="str">
        <f t="shared" si="411"/>
        <v/>
      </c>
      <c r="U2722" s="5" t="str">
        <f t="shared" si="411"/>
        <v/>
      </c>
    </row>
    <row r="2723" spans="7:21" x14ac:dyDescent="0.2">
      <c r="G2723" s="8"/>
      <c r="H2723" s="5"/>
      <c r="J2723" s="10" t="str">
        <f t="shared" si="406"/>
        <v/>
      </c>
      <c r="K2723" s="10" t="str">
        <f t="shared" si="407"/>
        <v/>
      </c>
      <c r="L2723" s="11" t="str">
        <f t="shared" si="409"/>
        <v/>
      </c>
      <c r="M2723" s="9" t="str">
        <f>IF(G2723&lt;&gt;"",J2723/MAX(J$3:J2723)-1,"")</f>
        <v/>
      </c>
      <c r="N2723" s="9" t="str">
        <f>IF(G2723&lt;&gt;"",K2723/MAX(K$3:K2723)-1,"")</f>
        <v/>
      </c>
      <c r="O2723" s="16" t="str">
        <f t="shared" si="405"/>
        <v/>
      </c>
      <c r="P2723" s="16" t="str">
        <f t="shared" si="405"/>
        <v/>
      </c>
      <c r="Q2723" s="16" t="str">
        <f t="shared" si="405"/>
        <v/>
      </c>
      <c r="R2723" s="5" t="str">
        <f t="shared" si="404"/>
        <v/>
      </c>
      <c r="S2723" s="5" t="str">
        <f t="shared" si="408"/>
        <v/>
      </c>
      <c r="T2723" s="5" t="str">
        <f t="shared" si="411"/>
        <v/>
      </c>
      <c r="U2723" s="5" t="str">
        <f t="shared" si="411"/>
        <v/>
      </c>
    </row>
    <row r="2724" spans="7:21" x14ac:dyDescent="0.2">
      <c r="G2724" s="8"/>
      <c r="H2724" s="5"/>
      <c r="J2724" s="10" t="str">
        <f t="shared" si="406"/>
        <v/>
      </c>
      <c r="K2724" s="10" t="str">
        <f t="shared" si="407"/>
        <v/>
      </c>
      <c r="L2724" s="11" t="str">
        <f t="shared" si="409"/>
        <v/>
      </c>
      <c r="M2724" s="9" t="str">
        <f>IF(G2724&lt;&gt;"",J2724/MAX(J$3:J2724)-1,"")</f>
        <v/>
      </c>
      <c r="N2724" s="9" t="str">
        <f>IF(G2724&lt;&gt;"",K2724/MAX(K$3:K2724)-1,"")</f>
        <v/>
      </c>
      <c r="O2724" s="16" t="str">
        <f t="shared" si="405"/>
        <v/>
      </c>
      <c r="P2724" s="16" t="str">
        <f t="shared" si="405"/>
        <v/>
      </c>
      <c r="Q2724" s="16" t="str">
        <f t="shared" si="405"/>
        <v/>
      </c>
      <c r="R2724" s="5" t="str">
        <f t="shared" si="404"/>
        <v/>
      </c>
      <c r="S2724" s="5" t="str">
        <f t="shared" si="408"/>
        <v/>
      </c>
      <c r="T2724" s="5" t="str">
        <f t="shared" si="411"/>
        <v/>
      </c>
      <c r="U2724" s="5" t="str">
        <f t="shared" si="411"/>
        <v/>
      </c>
    </row>
    <row r="2725" spans="7:21" x14ac:dyDescent="0.2">
      <c r="G2725" s="8"/>
      <c r="H2725" s="5"/>
      <c r="J2725" s="10" t="str">
        <f t="shared" si="406"/>
        <v/>
      </c>
      <c r="K2725" s="10" t="str">
        <f t="shared" si="407"/>
        <v/>
      </c>
      <c r="L2725" s="11" t="str">
        <f t="shared" si="409"/>
        <v/>
      </c>
      <c r="M2725" s="9" t="str">
        <f>IF(G2725&lt;&gt;"",J2725/MAX(J$3:J2725)-1,"")</f>
        <v/>
      </c>
      <c r="N2725" s="9" t="str">
        <f>IF(G2725&lt;&gt;"",K2725/MAX(K$3:K2725)-1,"")</f>
        <v/>
      </c>
      <c r="O2725" s="16" t="str">
        <f t="shared" si="405"/>
        <v/>
      </c>
      <c r="P2725" s="16" t="str">
        <f t="shared" si="405"/>
        <v/>
      </c>
      <c r="Q2725" s="16" t="str">
        <f t="shared" si="405"/>
        <v/>
      </c>
      <c r="R2725" s="5" t="str">
        <f t="shared" si="404"/>
        <v/>
      </c>
      <c r="S2725" s="5" t="str">
        <f t="shared" si="408"/>
        <v/>
      </c>
      <c r="T2725" s="5" t="str">
        <f t="shared" si="411"/>
        <v/>
      </c>
      <c r="U2725" s="5" t="str">
        <f t="shared" si="411"/>
        <v/>
      </c>
    </row>
    <row r="2726" spans="7:21" x14ac:dyDescent="0.2">
      <c r="G2726" s="8"/>
      <c r="H2726" s="5"/>
      <c r="J2726" s="10" t="str">
        <f t="shared" si="406"/>
        <v/>
      </c>
      <c r="K2726" s="10" t="str">
        <f t="shared" si="407"/>
        <v/>
      </c>
      <c r="L2726" s="11" t="str">
        <f t="shared" si="409"/>
        <v/>
      </c>
      <c r="M2726" s="9" t="str">
        <f>IF(G2726&lt;&gt;"",J2726/MAX(J$3:J2726)-1,"")</f>
        <v/>
      </c>
      <c r="N2726" s="9" t="str">
        <f>IF(G2726&lt;&gt;"",K2726/MAX(K$3:K2726)-1,"")</f>
        <v/>
      </c>
      <c r="O2726" s="16" t="str">
        <f t="shared" si="405"/>
        <v/>
      </c>
      <c r="P2726" s="16" t="str">
        <f t="shared" si="405"/>
        <v/>
      </c>
      <c r="Q2726" s="16" t="str">
        <f t="shared" si="405"/>
        <v/>
      </c>
      <c r="R2726" s="5" t="str">
        <f t="shared" si="404"/>
        <v/>
      </c>
      <c r="S2726" s="5" t="str">
        <f t="shared" si="408"/>
        <v/>
      </c>
      <c r="T2726" s="5" t="str">
        <f t="shared" si="411"/>
        <v/>
      </c>
      <c r="U2726" s="5" t="str">
        <f t="shared" si="411"/>
        <v/>
      </c>
    </row>
    <row r="2727" spans="7:21" x14ac:dyDescent="0.2">
      <c r="G2727" s="8"/>
      <c r="H2727" s="5"/>
      <c r="J2727" s="10" t="str">
        <f t="shared" si="406"/>
        <v/>
      </c>
      <c r="K2727" s="10" t="str">
        <f t="shared" si="407"/>
        <v/>
      </c>
      <c r="L2727" s="11" t="str">
        <f t="shared" si="409"/>
        <v/>
      </c>
      <c r="M2727" s="9" t="str">
        <f>IF(G2727&lt;&gt;"",J2727/MAX(J$3:J2727)-1,"")</f>
        <v/>
      </c>
      <c r="N2727" s="9" t="str">
        <f>IF(G2727&lt;&gt;"",K2727/MAX(K$3:K2727)-1,"")</f>
        <v/>
      </c>
      <c r="O2727" s="16" t="str">
        <f t="shared" si="405"/>
        <v/>
      </c>
      <c r="P2727" s="16" t="str">
        <f t="shared" si="405"/>
        <v/>
      </c>
      <c r="Q2727" s="16" t="str">
        <f t="shared" si="405"/>
        <v/>
      </c>
      <c r="R2727" s="5" t="str">
        <f t="shared" si="404"/>
        <v/>
      </c>
      <c r="S2727" s="5" t="str">
        <f t="shared" si="408"/>
        <v/>
      </c>
      <c r="T2727" s="5" t="str">
        <f t="shared" si="411"/>
        <v/>
      </c>
      <c r="U2727" s="5" t="str">
        <f t="shared" si="411"/>
        <v/>
      </c>
    </row>
    <row r="2728" spans="7:21" x14ac:dyDescent="0.2">
      <c r="G2728" s="8"/>
      <c r="H2728" s="5"/>
      <c r="J2728" s="10" t="str">
        <f t="shared" si="406"/>
        <v/>
      </c>
      <c r="K2728" s="10" t="str">
        <f t="shared" si="407"/>
        <v/>
      </c>
      <c r="L2728" s="11" t="str">
        <f t="shared" si="409"/>
        <v/>
      </c>
      <c r="M2728" s="9" t="str">
        <f>IF(G2728&lt;&gt;"",J2728/MAX(J$3:J2728)-1,"")</f>
        <v/>
      </c>
      <c r="N2728" s="9" t="str">
        <f>IF(G2728&lt;&gt;"",K2728/MAX(K$3:K2728)-1,"")</f>
        <v/>
      </c>
      <c r="O2728" s="16" t="str">
        <f t="shared" si="405"/>
        <v/>
      </c>
      <c r="P2728" s="16" t="str">
        <f t="shared" si="405"/>
        <v/>
      </c>
      <c r="Q2728" s="16" t="str">
        <f t="shared" si="405"/>
        <v/>
      </c>
      <c r="R2728" s="5" t="str">
        <f t="shared" si="404"/>
        <v/>
      </c>
      <c r="S2728" s="5" t="str">
        <f t="shared" si="408"/>
        <v/>
      </c>
      <c r="T2728" s="5" t="str">
        <f t="shared" ref="T2728:U2743" si="412">IF($G2728&lt;&gt;"",_xlfn.STDEV.S(O2484:O2728),"")</f>
        <v/>
      </c>
      <c r="U2728" s="5" t="str">
        <f t="shared" si="412"/>
        <v/>
      </c>
    </row>
    <row r="2729" spans="7:21" x14ac:dyDescent="0.2">
      <c r="G2729" s="8"/>
      <c r="H2729" s="5"/>
      <c r="J2729" s="10" t="str">
        <f t="shared" si="406"/>
        <v/>
      </c>
      <c r="K2729" s="10" t="str">
        <f t="shared" si="407"/>
        <v/>
      </c>
      <c r="L2729" s="11" t="str">
        <f t="shared" si="409"/>
        <v/>
      </c>
      <c r="M2729" s="9" t="str">
        <f>IF(G2729&lt;&gt;"",J2729/MAX(J$3:J2729)-1,"")</f>
        <v/>
      </c>
      <c r="N2729" s="9" t="str">
        <f>IF(G2729&lt;&gt;"",K2729/MAX(K$3:K2729)-1,"")</f>
        <v/>
      </c>
      <c r="O2729" s="16" t="str">
        <f t="shared" si="405"/>
        <v/>
      </c>
      <c r="P2729" s="16" t="str">
        <f t="shared" si="405"/>
        <v/>
      </c>
      <c r="Q2729" s="16" t="str">
        <f t="shared" si="405"/>
        <v/>
      </c>
      <c r="R2729" s="5" t="str">
        <f t="shared" si="404"/>
        <v/>
      </c>
      <c r="S2729" s="5" t="str">
        <f t="shared" si="408"/>
        <v/>
      </c>
      <c r="T2729" s="5" t="str">
        <f t="shared" si="412"/>
        <v/>
      </c>
      <c r="U2729" s="5" t="str">
        <f t="shared" si="412"/>
        <v/>
      </c>
    </row>
    <row r="2730" spans="7:21" x14ac:dyDescent="0.2">
      <c r="G2730" s="8"/>
      <c r="H2730" s="5"/>
      <c r="J2730" s="10" t="str">
        <f t="shared" si="406"/>
        <v/>
      </c>
      <c r="K2730" s="10" t="str">
        <f t="shared" si="407"/>
        <v/>
      </c>
      <c r="L2730" s="11" t="str">
        <f t="shared" si="409"/>
        <v/>
      </c>
      <c r="M2730" s="9" t="str">
        <f>IF(G2730&lt;&gt;"",J2730/MAX(J$3:J2730)-1,"")</f>
        <v/>
      </c>
      <c r="N2730" s="9" t="str">
        <f>IF(G2730&lt;&gt;"",K2730/MAX(K$3:K2730)-1,"")</f>
        <v/>
      </c>
      <c r="O2730" s="16" t="str">
        <f t="shared" si="405"/>
        <v/>
      </c>
      <c r="P2730" s="16" t="str">
        <f t="shared" si="405"/>
        <v/>
      </c>
      <c r="Q2730" s="16" t="str">
        <f t="shared" si="405"/>
        <v/>
      </c>
      <c r="R2730" s="5" t="str">
        <f t="shared" si="404"/>
        <v/>
      </c>
      <c r="S2730" s="5" t="str">
        <f t="shared" si="408"/>
        <v/>
      </c>
      <c r="T2730" s="5" t="str">
        <f t="shared" si="412"/>
        <v/>
      </c>
      <c r="U2730" s="5" t="str">
        <f t="shared" si="412"/>
        <v/>
      </c>
    </row>
    <row r="2731" spans="7:21" x14ac:dyDescent="0.2">
      <c r="G2731" s="8"/>
      <c r="H2731" s="5"/>
      <c r="J2731" s="10" t="str">
        <f t="shared" si="406"/>
        <v/>
      </c>
      <c r="K2731" s="10" t="str">
        <f t="shared" si="407"/>
        <v/>
      </c>
      <c r="L2731" s="11" t="str">
        <f t="shared" si="409"/>
        <v/>
      </c>
      <c r="M2731" s="9" t="str">
        <f>IF(G2731&lt;&gt;"",J2731/MAX(J$3:J2731)-1,"")</f>
        <v/>
      </c>
      <c r="N2731" s="9" t="str">
        <f>IF(G2731&lt;&gt;"",K2731/MAX(K$3:K2731)-1,"")</f>
        <v/>
      </c>
      <c r="O2731" s="16" t="str">
        <f t="shared" si="405"/>
        <v/>
      </c>
      <c r="P2731" s="16" t="str">
        <f t="shared" si="405"/>
        <v/>
      </c>
      <c r="Q2731" s="16" t="str">
        <f t="shared" si="405"/>
        <v/>
      </c>
      <c r="R2731" s="5" t="str">
        <f t="shared" si="404"/>
        <v/>
      </c>
      <c r="S2731" s="5" t="str">
        <f t="shared" si="408"/>
        <v/>
      </c>
      <c r="T2731" s="5" t="str">
        <f t="shared" si="412"/>
        <v/>
      </c>
      <c r="U2731" s="5" t="str">
        <f t="shared" si="412"/>
        <v/>
      </c>
    </row>
    <row r="2732" spans="7:21" x14ac:dyDescent="0.2">
      <c r="G2732" s="8"/>
      <c r="H2732" s="5"/>
      <c r="J2732" s="10" t="str">
        <f t="shared" si="406"/>
        <v/>
      </c>
      <c r="K2732" s="10" t="str">
        <f t="shared" si="407"/>
        <v/>
      </c>
      <c r="L2732" s="11" t="str">
        <f t="shared" si="409"/>
        <v/>
      </c>
      <c r="M2732" s="9" t="str">
        <f>IF(G2732&lt;&gt;"",J2732/MAX(J$3:J2732)-1,"")</f>
        <v/>
      </c>
      <c r="N2732" s="9" t="str">
        <f>IF(G2732&lt;&gt;"",K2732/MAX(K$3:K2732)-1,"")</f>
        <v/>
      </c>
      <c r="O2732" s="16" t="str">
        <f t="shared" si="405"/>
        <v/>
      </c>
      <c r="P2732" s="16" t="str">
        <f t="shared" si="405"/>
        <v/>
      </c>
      <c r="Q2732" s="16" t="str">
        <f t="shared" si="405"/>
        <v/>
      </c>
      <c r="R2732" s="5" t="str">
        <f t="shared" si="404"/>
        <v/>
      </c>
      <c r="S2732" s="5" t="str">
        <f t="shared" si="408"/>
        <v/>
      </c>
      <c r="T2732" s="5" t="str">
        <f t="shared" si="412"/>
        <v/>
      </c>
      <c r="U2732" s="5" t="str">
        <f t="shared" si="412"/>
        <v/>
      </c>
    </row>
    <row r="2733" spans="7:21" x14ac:dyDescent="0.2">
      <c r="G2733" s="8"/>
      <c r="H2733" s="5"/>
      <c r="J2733" s="10" t="str">
        <f t="shared" si="406"/>
        <v/>
      </c>
      <c r="K2733" s="10" t="str">
        <f t="shared" si="407"/>
        <v/>
      </c>
      <c r="L2733" s="11" t="str">
        <f t="shared" si="409"/>
        <v/>
      </c>
      <c r="M2733" s="9" t="str">
        <f>IF(G2733&lt;&gt;"",J2733/MAX(J$3:J2733)-1,"")</f>
        <v/>
      </c>
      <c r="N2733" s="9" t="str">
        <f>IF(G2733&lt;&gt;"",K2733/MAX(K$3:K2733)-1,"")</f>
        <v/>
      </c>
      <c r="O2733" s="16" t="str">
        <f t="shared" si="405"/>
        <v/>
      </c>
      <c r="P2733" s="16" t="str">
        <f t="shared" si="405"/>
        <v/>
      </c>
      <c r="Q2733" s="16" t="str">
        <f t="shared" si="405"/>
        <v/>
      </c>
      <c r="R2733" s="5" t="str">
        <f t="shared" si="404"/>
        <v/>
      </c>
      <c r="S2733" s="5" t="str">
        <f t="shared" si="408"/>
        <v/>
      </c>
      <c r="T2733" s="5" t="str">
        <f t="shared" si="412"/>
        <v/>
      </c>
      <c r="U2733" s="5" t="str">
        <f t="shared" si="412"/>
        <v/>
      </c>
    </row>
    <row r="2734" spans="7:21" x14ac:dyDescent="0.2">
      <c r="G2734" s="8"/>
      <c r="H2734" s="5"/>
      <c r="J2734" s="10" t="str">
        <f t="shared" si="406"/>
        <v/>
      </c>
      <c r="K2734" s="10" t="str">
        <f t="shared" si="407"/>
        <v/>
      </c>
      <c r="L2734" s="11" t="str">
        <f t="shared" si="409"/>
        <v/>
      </c>
      <c r="M2734" s="9" t="str">
        <f>IF(G2734&lt;&gt;"",J2734/MAX(J$3:J2734)-1,"")</f>
        <v/>
      </c>
      <c r="N2734" s="9" t="str">
        <f>IF(G2734&lt;&gt;"",K2734/MAX(K$3:K2734)-1,"")</f>
        <v/>
      </c>
      <c r="O2734" s="16" t="str">
        <f t="shared" si="405"/>
        <v/>
      </c>
      <c r="P2734" s="16" t="str">
        <f t="shared" si="405"/>
        <v/>
      </c>
      <c r="Q2734" s="16" t="str">
        <f t="shared" si="405"/>
        <v/>
      </c>
      <c r="R2734" s="5" t="str">
        <f t="shared" si="404"/>
        <v/>
      </c>
      <c r="S2734" s="5" t="str">
        <f t="shared" si="408"/>
        <v/>
      </c>
      <c r="T2734" s="5" t="str">
        <f t="shared" si="412"/>
        <v/>
      </c>
      <c r="U2734" s="5" t="str">
        <f t="shared" si="412"/>
        <v/>
      </c>
    </row>
    <row r="2735" spans="7:21" x14ac:dyDescent="0.2">
      <c r="G2735" s="8"/>
      <c r="H2735" s="5"/>
      <c r="J2735" s="10" t="str">
        <f t="shared" si="406"/>
        <v/>
      </c>
      <c r="K2735" s="10" t="str">
        <f t="shared" si="407"/>
        <v/>
      </c>
      <c r="L2735" s="11" t="str">
        <f t="shared" si="409"/>
        <v/>
      </c>
      <c r="M2735" s="9" t="str">
        <f>IF(G2735&lt;&gt;"",J2735/MAX(J$3:J2735)-1,"")</f>
        <v/>
      </c>
      <c r="N2735" s="9" t="str">
        <f>IF(G2735&lt;&gt;"",K2735/MAX(K$3:K2735)-1,"")</f>
        <v/>
      </c>
      <c r="O2735" s="16" t="str">
        <f t="shared" si="405"/>
        <v/>
      </c>
      <c r="P2735" s="16" t="str">
        <f t="shared" si="405"/>
        <v/>
      </c>
      <c r="Q2735" s="16" t="str">
        <f t="shared" si="405"/>
        <v/>
      </c>
      <c r="R2735" s="5" t="str">
        <f t="shared" si="404"/>
        <v/>
      </c>
      <c r="S2735" s="5" t="str">
        <f t="shared" si="408"/>
        <v/>
      </c>
      <c r="T2735" s="5" t="str">
        <f t="shared" si="412"/>
        <v/>
      </c>
      <c r="U2735" s="5" t="str">
        <f t="shared" si="412"/>
        <v/>
      </c>
    </row>
    <row r="2736" spans="7:21" x14ac:dyDescent="0.2">
      <c r="G2736" s="8"/>
      <c r="H2736" s="5"/>
      <c r="J2736" s="10" t="str">
        <f t="shared" si="406"/>
        <v/>
      </c>
      <c r="K2736" s="10" t="str">
        <f t="shared" si="407"/>
        <v/>
      </c>
      <c r="L2736" s="11" t="str">
        <f t="shared" si="409"/>
        <v/>
      </c>
      <c r="M2736" s="9" t="str">
        <f>IF(G2736&lt;&gt;"",J2736/MAX(J$3:J2736)-1,"")</f>
        <v/>
      </c>
      <c r="N2736" s="9" t="str">
        <f>IF(G2736&lt;&gt;"",K2736/MAX(K$3:K2736)-1,"")</f>
        <v/>
      </c>
      <c r="O2736" s="16" t="str">
        <f t="shared" si="405"/>
        <v/>
      </c>
      <c r="P2736" s="16" t="str">
        <f t="shared" si="405"/>
        <v/>
      </c>
      <c r="Q2736" s="16" t="str">
        <f t="shared" si="405"/>
        <v/>
      </c>
      <c r="R2736" s="5" t="str">
        <f t="shared" si="404"/>
        <v/>
      </c>
      <c r="S2736" s="5" t="str">
        <f t="shared" si="408"/>
        <v/>
      </c>
      <c r="T2736" s="5" t="str">
        <f t="shared" si="412"/>
        <v/>
      </c>
      <c r="U2736" s="5" t="str">
        <f t="shared" si="412"/>
        <v/>
      </c>
    </row>
    <row r="2737" spans="7:21" x14ac:dyDescent="0.2">
      <c r="G2737" s="8"/>
      <c r="H2737" s="5"/>
      <c r="J2737" s="10" t="str">
        <f t="shared" si="406"/>
        <v/>
      </c>
      <c r="K2737" s="10" t="str">
        <f t="shared" si="407"/>
        <v/>
      </c>
      <c r="L2737" s="11" t="str">
        <f t="shared" si="409"/>
        <v/>
      </c>
      <c r="M2737" s="9" t="str">
        <f>IF(G2737&lt;&gt;"",J2737/MAX(J$3:J2737)-1,"")</f>
        <v/>
      </c>
      <c r="N2737" s="9" t="str">
        <f>IF(G2737&lt;&gt;"",K2737/MAX(K$3:K2737)-1,"")</f>
        <v/>
      </c>
      <c r="O2737" s="16" t="str">
        <f t="shared" si="405"/>
        <v/>
      </c>
      <c r="P2737" s="16" t="str">
        <f t="shared" si="405"/>
        <v/>
      </c>
      <c r="Q2737" s="16" t="str">
        <f t="shared" si="405"/>
        <v/>
      </c>
      <c r="R2737" s="5" t="str">
        <f t="shared" si="404"/>
        <v/>
      </c>
      <c r="S2737" s="5" t="str">
        <f t="shared" si="408"/>
        <v/>
      </c>
      <c r="T2737" s="5" t="str">
        <f t="shared" si="412"/>
        <v/>
      </c>
      <c r="U2737" s="5" t="str">
        <f t="shared" si="412"/>
        <v/>
      </c>
    </row>
    <row r="2738" spans="7:21" x14ac:dyDescent="0.2">
      <c r="G2738" s="8"/>
      <c r="H2738" s="5"/>
      <c r="J2738" s="10" t="str">
        <f t="shared" si="406"/>
        <v/>
      </c>
      <c r="K2738" s="10" t="str">
        <f t="shared" si="407"/>
        <v/>
      </c>
      <c r="L2738" s="11" t="str">
        <f t="shared" si="409"/>
        <v/>
      </c>
      <c r="M2738" s="9" t="str">
        <f>IF(G2738&lt;&gt;"",J2738/MAX(J$3:J2738)-1,"")</f>
        <v/>
      </c>
      <c r="N2738" s="9" t="str">
        <f>IF(G2738&lt;&gt;"",K2738/MAX(K$3:K2738)-1,"")</f>
        <v/>
      </c>
      <c r="O2738" s="16" t="str">
        <f t="shared" si="405"/>
        <v/>
      </c>
      <c r="P2738" s="16" t="str">
        <f t="shared" si="405"/>
        <v/>
      </c>
      <c r="Q2738" s="16" t="str">
        <f t="shared" si="405"/>
        <v/>
      </c>
      <c r="R2738" s="5" t="str">
        <f t="shared" si="404"/>
        <v/>
      </c>
      <c r="S2738" s="5" t="str">
        <f t="shared" si="408"/>
        <v/>
      </c>
      <c r="T2738" s="5" t="str">
        <f t="shared" si="412"/>
        <v/>
      </c>
      <c r="U2738" s="5" t="str">
        <f t="shared" si="412"/>
        <v/>
      </c>
    </row>
    <row r="2739" spans="7:21" x14ac:dyDescent="0.2">
      <c r="G2739" s="8"/>
      <c r="H2739" s="5"/>
      <c r="J2739" s="10" t="str">
        <f t="shared" si="406"/>
        <v/>
      </c>
      <c r="K2739" s="10" t="str">
        <f t="shared" si="407"/>
        <v/>
      </c>
      <c r="L2739" s="11" t="str">
        <f t="shared" si="409"/>
        <v/>
      </c>
      <c r="M2739" s="9" t="str">
        <f>IF(G2739&lt;&gt;"",J2739/MAX(J$3:J2739)-1,"")</f>
        <v/>
      </c>
      <c r="N2739" s="9" t="str">
        <f>IF(G2739&lt;&gt;"",K2739/MAX(K$3:K2739)-1,"")</f>
        <v/>
      </c>
      <c r="O2739" s="16" t="str">
        <f t="shared" si="405"/>
        <v/>
      </c>
      <c r="P2739" s="16" t="str">
        <f t="shared" si="405"/>
        <v/>
      </c>
      <c r="Q2739" s="16" t="str">
        <f t="shared" si="405"/>
        <v/>
      </c>
      <c r="R2739" s="5" t="str">
        <f t="shared" si="404"/>
        <v/>
      </c>
      <c r="S2739" s="5" t="str">
        <f t="shared" si="408"/>
        <v/>
      </c>
      <c r="T2739" s="5" t="str">
        <f t="shared" si="412"/>
        <v/>
      </c>
      <c r="U2739" s="5" t="str">
        <f t="shared" si="412"/>
        <v/>
      </c>
    </row>
    <row r="2740" spans="7:21" x14ac:dyDescent="0.2">
      <c r="G2740" s="8"/>
      <c r="H2740" s="5"/>
      <c r="J2740" s="10" t="str">
        <f t="shared" si="406"/>
        <v/>
      </c>
      <c r="K2740" s="10" t="str">
        <f t="shared" si="407"/>
        <v/>
      </c>
      <c r="L2740" s="11" t="str">
        <f t="shared" si="409"/>
        <v/>
      </c>
      <c r="M2740" s="9" t="str">
        <f>IF(G2740&lt;&gt;"",J2740/MAX(J$3:J2740)-1,"")</f>
        <v/>
      </c>
      <c r="N2740" s="9" t="str">
        <f>IF(G2740&lt;&gt;"",K2740/MAX(K$3:K2740)-1,"")</f>
        <v/>
      </c>
      <c r="O2740" s="16" t="str">
        <f t="shared" si="405"/>
        <v/>
      </c>
      <c r="P2740" s="16" t="str">
        <f t="shared" si="405"/>
        <v/>
      </c>
      <c r="Q2740" s="16" t="str">
        <f t="shared" si="405"/>
        <v/>
      </c>
      <c r="R2740" s="5" t="str">
        <f t="shared" si="404"/>
        <v/>
      </c>
      <c r="S2740" s="5" t="str">
        <f t="shared" si="408"/>
        <v/>
      </c>
      <c r="T2740" s="5" t="str">
        <f t="shared" si="412"/>
        <v/>
      </c>
      <c r="U2740" s="5" t="str">
        <f t="shared" si="412"/>
        <v/>
      </c>
    </row>
    <row r="2741" spans="7:21" x14ac:dyDescent="0.2">
      <c r="G2741" s="8"/>
      <c r="H2741" s="5"/>
      <c r="J2741" s="10" t="str">
        <f t="shared" si="406"/>
        <v/>
      </c>
      <c r="K2741" s="10" t="str">
        <f t="shared" si="407"/>
        <v/>
      </c>
      <c r="L2741" s="11" t="str">
        <f t="shared" si="409"/>
        <v/>
      </c>
      <c r="M2741" s="9" t="str">
        <f>IF(G2741&lt;&gt;"",J2741/MAX(J$3:J2741)-1,"")</f>
        <v/>
      </c>
      <c r="N2741" s="9" t="str">
        <f>IF(G2741&lt;&gt;"",K2741/MAX(K$3:K2741)-1,"")</f>
        <v/>
      </c>
      <c r="O2741" s="16" t="str">
        <f t="shared" si="405"/>
        <v/>
      </c>
      <c r="P2741" s="16" t="str">
        <f t="shared" si="405"/>
        <v/>
      </c>
      <c r="Q2741" s="16" t="str">
        <f t="shared" si="405"/>
        <v/>
      </c>
      <c r="R2741" s="5" t="str">
        <f t="shared" si="404"/>
        <v/>
      </c>
      <c r="S2741" s="5" t="str">
        <f t="shared" si="408"/>
        <v/>
      </c>
      <c r="T2741" s="5" t="str">
        <f t="shared" si="412"/>
        <v/>
      </c>
      <c r="U2741" s="5" t="str">
        <f t="shared" si="412"/>
        <v/>
      </c>
    </row>
    <row r="2742" spans="7:21" x14ac:dyDescent="0.2">
      <c r="G2742" s="8"/>
      <c r="H2742" s="5"/>
      <c r="J2742" s="10" t="str">
        <f t="shared" si="406"/>
        <v/>
      </c>
      <c r="K2742" s="10" t="str">
        <f t="shared" si="407"/>
        <v/>
      </c>
      <c r="L2742" s="11" t="str">
        <f t="shared" si="409"/>
        <v/>
      </c>
      <c r="M2742" s="9" t="str">
        <f>IF(G2742&lt;&gt;"",J2742/MAX(J$3:J2742)-1,"")</f>
        <v/>
      </c>
      <c r="N2742" s="9" t="str">
        <f>IF(G2742&lt;&gt;"",K2742/MAX(K$3:K2742)-1,"")</f>
        <v/>
      </c>
      <c r="O2742" s="16" t="str">
        <f t="shared" si="405"/>
        <v/>
      </c>
      <c r="P2742" s="16" t="str">
        <f t="shared" si="405"/>
        <v/>
      </c>
      <c r="Q2742" s="16" t="str">
        <f t="shared" si="405"/>
        <v/>
      </c>
      <c r="R2742" s="5" t="str">
        <f t="shared" si="404"/>
        <v/>
      </c>
      <c r="S2742" s="5" t="str">
        <f t="shared" si="408"/>
        <v/>
      </c>
      <c r="T2742" s="5" t="str">
        <f t="shared" si="412"/>
        <v/>
      </c>
      <c r="U2742" s="5" t="str">
        <f t="shared" si="412"/>
        <v/>
      </c>
    </row>
    <row r="2743" spans="7:21" x14ac:dyDescent="0.2">
      <c r="G2743" s="8"/>
      <c r="H2743" s="5"/>
      <c r="J2743" s="10" t="str">
        <f t="shared" si="406"/>
        <v/>
      </c>
      <c r="K2743" s="10" t="str">
        <f t="shared" si="407"/>
        <v/>
      </c>
      <c r="L2743" s="11" t="str">
        <f t="shared" si="409"/>
        <v/>
      </c>
      <c r="M2743" s="9" t="str">
        <f>IF(G2743&lt;&gt;"",J2743/MAX(J$3:J2743)-1,"")</f>
        <v/>
      </c>
      <c r="N2743" s="9" t="str">
        <f>IF(G2743&lt;&gt;"",K2743/MAX(K$3:K2743)-1,"")</f>
        <v/>
      </c>
      <c r="O2743" s="16" t="str">
        <f t="shared" si="405"/>
        <v/>
      </c>
      <c r="P2743" s="16" t="str">
        <f t="shared" si="405"/>
        <v/>
      </c>
      <c r="Q2743" s="16" t="str">
        <f t="shared" si="405"/>
        <v/>
      </c>
      <c r="R2743" s="5" t="str">
        <f t="shared" si="404"/>
        <v/>
      </c>
      <c r="S2743" s="5" t="str">
        <f t="shared" si="408"/>
        <v/>
      </c>
      <c r="T2743" s="5" t="str">
        <f t="shared" si="412"/>
        <v/>
      </c>
      <c r="U2743" s="5" t="str">
        <f t="shared" si="412"/>
        <v/>
      </c>
    </row>
    <row r="2744" spans="7:21" x14ac:dyDescent="0.2">
      <c r="G2744" s="8"/>
      <c r="H2744" s="5"/>
      <c r="J2744" s="10" t="str">
        <f t="shared" si="406"/>
        <v/>
      </c>
      <c r="K2744" s="10" t="str">
        <f t="shared" si="407"/>
        <v/>
      </c>
      <c r="L2744" s="11" t="str">
        <f t="shared" si="409"/>
        <v/>
      </c>
      <c r="M2744" s="9" t="str">
        <f>IF(G2744&lt;&gt;"",J2744/MAX(J$3:J2744)-1,"")</f>
        <v/>
      </c>
      <c r="N2744" s="9" t="str">
        <f>IF(G2744&lt;&gt;"",K2744/MAX(K$3:K2744)-1,"")</f>
        <v/>
      </c>
      <c r="O2744" s="16" t="str">
        <f t="shared" si="405"/>
        <v/>
      </c>
      <c r="P2744" s="16" t="str">
        <f t="shared" si="405"/>
        <v/>
      </c>
      <c r="Q2744" s="16" t="str">
        <f t="shared" si="405"/>
        <v/>
      </c>
      <c r="R2744" s="5" t="str">
        <f t="shared" si="404"/>
        <v/>
      </c>
      <c r="S2744" s="5" t="str">
        <f t="shared" si="408"/>
        <v/>
      </c>
      <c r="T2744" s="5" t="str">
        <f t="shared" ref="T2744:U2759" si="413">IF($G2744&lt;&gt;"",_xlfn.STDEV.S(O2500:O2744),"")</f>
        <v/>
      </c>
      <c r="U2744" s="5" t="str">
        <f t="shared" si="413"/>
        <v/>
      </c>
    </row>
    <row r="2745" spans="7:21" x14ac:dyDescent="0.2">
      <c r="G2745" s="8"/>
      <c r="H2745" s="5"/>
      <c r="J2745" s="10" t="str">
        <f t="shared" si="406"/>
        <v/>
      </c>
      <c r="K2745" s="10" t="str">
        <f t="shared" si="407"/>
        <v/>
      </c>
      <c r="L2745" s="11" t="str">
        <f t="shared" si="409"/>
        <v/>
      </c>
      <c r="M2745" s="9" t="str">
        <f>IF(G2745&lt;&gt;"",J2745/MAX(J$3:J2745)-1,"")</f>
        <v/>
      </c>
      <c r="N2745" s="9" t="str">
        <f>IF(G2745&lt;&gt;"",K2745/MAX(K$3:K2745)-1,"")</f>
        <v/>
      </c>
      <c r="O2745" s="16" t="str">
        <f t="shared" si="405"/>
        <v/>
      </c>
      <c r="P2745" s="16" t="str">
        <f t="shared" si="405"/>
        <v/>
      </c>
      <c r="Q2745" s="16" t="str">
        <f t="shared" si="405"/>
        <v/>
      </c>
      <c r="R2745" s="5" t="str">
        <f t="shared" si="404"/>
        <v/>
      </c>
      <c r="S2745" s="5" t="str">
        <f t="shared" si="408"/>
        <v/>
      </c>
      <c r="T2745" s="5" t="str">
        <f t="shared" si="413"/>
        <v/>
      </c>
      <c r="U2745" s="5" t="str">
        <f t="shared" si="413"/>
        <v/>
      </c>
    </row>
    <row r="2746" spans="7:21" x14ac:dyDescent="0.2">
      <c r="G2746" s="8"/>
      <c r="H2746" s="5"/>
      <c r="J2746" s="10" t="str">
        <f t="shared" si="406"/>
        <v/>
      </c>
      <c r="K2746" s="10" t="str">
        <f t="shared" si="407"/>
        <v/>
      </c>
      <c r="L2746" s="11" t="str">
        <f t="shared" si="409"/>
        <v/>
      </c>
      <c r="M2746" s="9" t="str">
        <f>IF(G2746&lt;&gt;"",J2746/MAX(J$3:J2746)-1,"")</f>
        <v/>
      </c>
      <c r="N2746" s="9" t="str">
        <f>IF(G2746&lt;&gt;"",K2746/MAX(K$3:K2746)-1,"")</f>
        <v/>
      </c>
      <c r="O2746" s="16" t="str">
        <f t="shared" si="405"/>
        <v/>
      </c>
      <c r="P2746" s="16" t="str">
        <f t="shared" si="405"/>
        <v/>
      </c>
      <c r="Q2746" s="16" t="str">
        <f t="shared" si="405"/>
        <v/>
      </c>
      <c r="R2746" s="5" t="str">
        <f t="shared" si="404"/>
        <v/>
      </c>
      <c r="S2746" s="5" t="str">
        <f t="shared" si="408"/>
        <v/>
      </c>
      <c r="T2746" s="5" t="str">
        <f t="shared" si="413"/>
        <v/>
      </c>
      <c r="U2746" s="5" t="str">
        <f t="shared" si="413"/>
        <v/>
      </c>
    </row>
    <row r="2747" spans="7:21" x14ac:dyDescent="0.2">
      <c r="G2747" s="8"/>
      <c r="H2747" s="5"/>
      <c r="J2747" s="10" t="str">
        <f t="shared" si="406"/>
        <v/>
      </c>
      <c r="K2747" s="10" t="str">
        <f t="shared" si="407"/>
        <v/>
      </c>
      <c r="L2747" s="11" t="str">
        <f t="shared" si="409"/>
        <v/>
      </c>
      <c r="M2747" s="9" t="str">
        <f>IF(G2747&lt;&gt;"",J2747/MAX(J$3:J2747)-1,"")</f>
        <v/>
      </c>
      <c r="N2747" s="9" t="str">
        <f>IF(G2747&lt;&gt;"",K2747/MAX(K$3:K2747)-1,"")</f>
        <v/>
      </c>
      <c r="O2747" s="16" t="str">
        <f t="shared" si="405"/>
        <v/>
      </c>
      <c r="P2747" s="16" t="str">
        <f t="shared" si="405"/>
        <v/>
      </c>
      <c r="Q2747" s="16" t="str">
        <f t="shared" si="405"/>
        <v/>
      </c>
      <c r="R2747" s="5" t="str">
        <f t="shared" si="404"/>
        <v/>
      </c>
      <c r="S2747" s="5" t="str">
        <f t="shared" si="408"/>
        <v/>
      </c>
      <c r="T2747" s="5" t="str">
        <f t="shared" si="413"/>
        <v/>
      </c>
      <c r="U2747" s="5" t="str">
        <f t="shared" si="413"/>
        <v/>
      </c>
    </row>
    <row r="2748" spans="7:21" x14ac:dyDescent="0.2">
      <c r="G2748" s="8"/>
      <c r="H2748" s="5"/>
      <c r="J2748" s="10" t="str">
        <f t="shared" si="406"/>
        <v/>
      </c>
      <c r="K2748" s="10" t="str">
        <f t="shared" si="407"/>
        <v/>
      </c>
      <c r="L2748" s="11" t="str">
        <f t="shared" si="409"/>
        <v/>
      </c>
      <c r="M2748" s="9" t="str">
        <f>IF(G2748&lt;&gt;"",J2748/MAX(J$3:J2748)-1,"")</f>
        <v/>
      </c>
      <c r="N2748" s="9" t="str">
        <f>IF(G2748&lt;&gt;"",K2748/MAX(K$3:K2748)-1,"")</f>
        <v/>
      </c>
      <c r="O2748" s="16" t="str">
        <f t="shared" si="405"/>
        <v/>
      </c>
      <c r="P2748" s="16" t="str">
        <f t="shared" si="405"/>
        <v/>
      </c>
      <c r="Q2748" s="16" t="str">
        <f t="shared" si="405"/>
        <v/>
      </c>
      <c r="R2748" s="5" t="str">
        <f t="shared" si="404"/>
        <v/>
      </c>
      <c r="S2748" s="5" t="str">
        <f t="shared" si="408"/>
        <v/>
      </c>
      <c r="T2748" s="5" t="str">
        <f t="shared" si="413"/>
        <v/>
      </c>
      <c r="U2748" s="5" t="str">
        <f t="shared" si="413"/>
        <v/>
      </c>
    </row>
    <row r="2749" spans="7:21" x14ac:dyDescent="0.2">
      <c r="G2749" s="8"/>
      <c r="H2749" s="5"/>
      <c r="J2749" s="10" t="str">
        <f t="shared" si="406"/>
        <v/>
      </c>
      <c r="K2749" s="10" t="str">
        <f t="shared" si="407"/>
        <v/>
      </c>
      <c r="L2749" s="11" t="str">
        <f t="shared" si="409"/>
        <v/>
      </c>
      <c r="M2749" s="9" t="str">
        <f>IF(G2749&lt;&gt;"",J2749/MAX(J$3:J2749)-1,"")</f>
        <v/>
      </c>
      <c r="N2749" s="9" t="str">
        <f>IF(G2749&lt;&gt;"",K2749/MAX(K$3:K2749)-1,"")</f>
        <v/>
      </c>
      <c r="O2749" s="16" t="str">
        <f t="shared" si="405"/>
        <v/>
      </c>
      <c r="P2749" s="16" t="str">
        <f t="shared" si="405"/>
        <v/>
      </c>
      <c r="Q2749" s="16" t="str">
        <f t="shared" si="405"/>
        <v/>
      </c>
      <c r="R2749" s="5" t="str">
        <f t="shared" ref="R2749:R2812" si="414">IF(G2749&lt;&gt;"",_xlfn.STDEV.S(Q2628:Q2749)*SQRT($B$5),"")</f>
        <v/>
      </c>
      <c r="S2749" s="5" t="str">
        <f t="shared" si="408"/>
        <v/>
      </c>
      <c r="T2749" s="5" t="str">
        <f t="shared" si="413"/>
        <v/>
      </c>
      <c r="U2749" s="5" t="str">
        <f t="shared" si="413"/>
        <v/>
      </c>
    </row>
    <row r="2750" spans="7:21" x14ac:dyDescent="0.2">
      <c r="G2750" s="8"/>
      <c r="H2750" s="5"/>
      <c r="J2750" s="10" t="str">
        <f t="shared" si="406"/>
        <v/>
      </c>
      <c r="K2750" s="10" t="str">
        <f t="shared" si="407"/>
        <v/>
      </c>
      <c r="L2750" s="11" t="str">
        <f t="shared" si="409"/>
        <v/>
      </c>
      <c r="M2750" s="9" t="str">
        <f>IF(G2750&lt;&gt;"",J2750/MAX(J$3:J2750)-1,"")</f>
        <v/>
      </c>
      <c r="N2750" s="9" t="str">
        <f>IF(G2750&lt;&gt;"",K2750/MAX(K$3:K2750)-1,"")</f>
        <v/>
      </c>
      <c r="O2750" s="16" t="str">
        <f t="shared" si="405"/>
        <v/>
      </c>
      <c r="P2750" s="16" t="str">
        <f t="shared" si="405"/>
        <v/>
      </c>
      <c r="Q2750" s="16" t="str">
        <f t="shared" si="405"/>
        <v/>
      </c>
      <c r="R2750" s="5" t="str">
        <f t="shared" si="414"/>
        <v/>
      </c>
      <c r="S2750" s="5" t="str">
        <f t="shared" si="408"/>
        <v/>
      </c>
      <c r="T2750" s="5" t="str">
        <f t="shared" si="413"/>
        <v/>
      </c>
      <c r="U2750" s="5" t="str">
        <f t="shared" si="413"/>
        <v/>
      </c>
    </row>
    <row r="2751" spans="7:21" x14ac:dyDescent="0.2">
      <c r="G2751" s="8"/>
      <c r="H2751" s="5"/>
      <c r="J2751" s="10" t="str">
        <f t="shared" si="406"/>
        <v/>
      </c>
      <c r="K2751" s="10" t="str">
        <f t="shared" si="407"/>
        <v/>
      </c>
      <c r="L2751" s="11" t="str">
        <f t="shared" si="409"/>
        <v/>
      </c>
      <c r="M2751" s="9" t="str">
        <f>IF(G2751&lt;&gt;"",J2751/MAX(J$3:J2751)-1,"")</f>
        <v/>
      </c>
      <c r="N2751" s="9" t="str">
        <f>IF(G2751&lt;&gt;"",K2751/MAX(K$3:K2751)-1,"")</f>
        <v/>
      </c>
      <c r="O2751" s="16" t="str">
        <f t="shared" si="405"/>
        <v/>
      </c>
      <c r="P2751" s="16" t="str">
        <f t="shared" si="405"/>
        <v/>
      </c>
      <c r="Q2751" s="16" t="str">
        <f t="shared" si="405"/>
        <v/>
      </c>
      <c r="R2751" s="5" t="str">
        <f t="shared" si="414"/>
        <v/>
      </c>
      <c r="S2751" s="5" t="str">
        <f t="shared" si="408"/>
        <v/>
      </c>
      <c r="T2751" s="5" t="str">
        <f t="shared" si="413"/>
        <v/>
      </c>
      <c r="U2751" s="5" t="str">
        <f t="shared" si="413"/>
        <v/>
      </c>
    </row>
    <row r="2752" spans="7:21" x14ac:dyDescent="0.2">
      <c r="G2752" s="8"/>
      <c r="H2752" s="5"/>
      <c r="J2752" s="10" t="str">
        <f t="shared" si="406"/>
        <v/>
      </c>
      <c r="K2752" s="10" t="str">
        <f t="shared" si="407"/>
        <v/>
      </c>
      <c r="L2752" s="11" t="str">
        <f t="shared" si="409"/>
        <v/>
      </c>
      <c r="M2752" s="9" t="str">
        <f>IF(G2752&lt;&gt;"",J2752/MAX(J$3:J2752)-1,"")</f>
        <v/>
      </c>
      <c r="N2752" s="9" t="str">
        <f>IF(G2752&lt;&gt;"",K2752/MAX(K$3:K2752)-1,"")</f>
        <v/>
      </c>
      <c r="O2752" s="16" t="str">
        <f t="shared" si="405"/>
        <v/>
      </c>
      <c r="P2752" s="16" t="str">
        <f t="shared" si="405"/>
        <v/>
      </c>
      <c r="Q2752" s="16" t="str">
        <f t="shared" si="405"/>
        <v/>
      </c>
      <c r="R2752" s="5" t="str">
        <f t="shared" si="414"/>
        <v/>
      </c>
      <c r="S2752" s="5" t="str">
        <f t="shared" si="408"/>
        <v/>
      </c>
      <c r="T2752" s="5" t="str">
        <f t="shared" si="413"/>
        <v/>
      </c>
      <c r="U2752" s="5" t="str">
        <f t="shared" si="413"/>
        <v/>
      </c>
    </row>
    <row r="2753" spans="7:21" x14ac:dyDescent="0.2">
      <c r="G2753" s="8"/>
      <c r="H2753" s="5"/>
      <c r="J2753" s="10" t="str">
        <f t="shared" si="406"/>
        <v/>
      </c>
      <c r="K2753" s="10" t="str">
        <f t="shared" si="407"/>
        <v/>
      </c>
      <c r="L2753" s="11" t="str">
        <f t="shared" si="409"/>
        <v/>
      </c>
      <c r="M2753" s="9" t="str">
        <f>IF(G2753&lt;&gt;"",J2753/MAX(J$3:J2753)-1,"")</f>
        <v/>
      </c>
      <c r="N2753" s="9" t="str">
        <f>IF(G2753&lt;&gt;"",K2753/MAX(K$3:K2753)-1,"")</f>
        <v/>
      </c>
      <c r="O2753" s="16" t="str">
        <f t="shared" si="405"/>
        <v/>
      </c>
      <c r="P2753" s="16" t="str">
        <f t="shared" si="405"/>
        <v/>
      </c>
      <c r="Q2753" s="16" t="str">
        <f t="shared" si="405"/>
        <v/>
      </c>
      <c r="R2753" s="5" t="str">
        <f t="shared" si="414"/>
        <v/>
      </c>
      <c r="S2753" s="5" t="str">
        <f t="shared" si="408"/>
        <v/>
      </c>
      <c r="T2753" s="5" t="str">
        <f t="shared" si="413"/>
        <v/>
      </c>
      <c r="U2753" s="5" t="str">
        <f t="shared" si="413"/>
        <v/>
      </c>
    </row>
    <row r="2754" spans="7:21" x14ac:dyDescent="0.2">
      <c r="G2754" s="8"/>
      <c r="H2754" s="5"/>
      <c r="J2754" s="10" t="str">
        <f t="shared" si="406"/>
        <v/>
      </c>
      <c r="K2754" s="10" t="str">
        <f t="shared" si="407"/>
        <v/>
      </c>
      <c r="L2754" s="11" t="str">
        <f t="shared" si="409"/>
        <v/>
      </c>
      <c r="M2754" s="9" t="str">
        <f>IF(G2754&lt;&gt;"",J2754/MAX(J$3:J2754)-1,"")</f>
        <v/>
      </c>
      <c r="N2754" s="9" t="str">
        <f>IF(G2754&lt;&gt;"",K2754/MAX(K$3:K2754)-1,"")</f>
        <v/>
      </c>
      <c r="O2754" s="16" t="str">
        <f t="shared" ref="O2754:Q2817" si="415">IF($G2754&lt;&gt;"",J2754/J2753-1,"")</f>
        <v/>
      </c>
      <c r="P2754" s="16" t="str">
        <f t="shared" si="415"/>
        <v/>
      </c>
      <c r="Q2754" s="16" t="str">
        <f t="shared" si="415"/>
        <v/>
      </c>
      <c r="R2754" s="5" t="str">
        <f t="shared" si="414"/>
        <v/>
      </c>
      <c r="S2754" s="5" t="str">
        <f t="shared" si="408"/>
        <v/>
      </c>
      <c r="T2754" s="5" t="str">
        <f t="shared" si="413"/>
        <v/>
      </c>
      <c r="U2754" s="5" t="str">
        <f t="shared" si="413"/>
        <v/>
      </c>
    </row>
    <row r="2755" spans="7:21" x14ac:dyDescent="0.2">
      <c r="G2755" s="8"/>
      <c r="H2755" s="5"/>
      <c r="J2755" s="10" t="str">
        <f t="shared" si="406"/>
        <v/>
      </c>
      <c r="K2755" s="10" t="str">
        <f t="shared" si="407"/>
        <v/>
      </c>
      <c r="L2755" s="11" t="str">
        <f t="shared" si="409"/>
        <v/>
      </c>
      <c r="M2755" s="9" t="str">
        <f>IF(G2755&lt;&gt;"",J2755/MAX(J$3:J2755)-1,"")</f>
        <v/>
      </c>
      <c r="N2755" s="9" t="str">
        <f>IF(G2755&lt;&gt;"",K2755/MAX(K$3:K2755)-1,"")</f>
        <v/>
      </c>
      <c r="O2755" s="16" t="str">
        <f t="shared" si="415"/>
        <v/>
      </c>
      <c r="P2755" s="16" t="str">
        <f t="shared" si="415"/>
        <v/>
      </c>
      <c r="Q2755" s="16" t="str">
        <f t="shared" si="415"/>
        <v/>
      </c>
      <c r="R2755" s="5" t="str">
        <f t="shared" si="414"/>
        <v/>
      </c>
      <c r="S2755" s="5" t="str">
        <f t="shared" si="408"/>
        <v/>
      </c>
      <c r="T2755" s="5" t="str">
        <f t="shared" si="413"/>
        <v/>
      </c>
      <c r="U2755" s="5" t="str">
        <f t="shared" si="413"/>
        <v/>
      </c>
    </row>
    <row r="2756" spans="7:21" x14ac:dyDescent="0.2">
      <c r="G2756" s="8"/>
      <c r="H2756" s="5"/>
      <c r="J2756" s="10" t="str">
        <f t="shared" ref="J2756:J2819" si="416">IF(G2756&lt;&gt;"",1+H2756,"")</f>
        <v/>
      </c>
      <c r="K2756" s="10" t="str">
        <f t="shared" ref="K2756:K2819" si="417">IF(G2756&lt;&gt;"",1+I2756,"")</f>
        <v/>
      </c>
      <c r="L2756" s="11" t="str">
        <f t="shared" si="409"/>
        <v/>
      </c>
      <c r="M2756" s="9" t="str">
        <f>IF(G2756&lt;&gt;"",J2756/MAX(J$3:J2756)-1,"")</f>
        <v/>
      </c>
      <c r="N2756" s="9" t="str">
        <f>IF(G2756&lt;&gt;"",K2756/MAX(K$3:K2756)-1,"")</f>
        <v/>
      </c>
      <c r="O2756" s="16" t="str">
        <f t="shared" si="415"/>
        <v/>
      </c>
      <c r="P2756" s="16" t="str">
        <f t="shared" si="415"/>
        <v/>
      </c>
      <c r="Q2756" s="16" t="str">
        <f t="shared" si="415"/>
        <v/>
      </c>
      <c r="R2756" s="5" t="str">
        <f t="shared" si="414"/>
        <v/>
      </c>
      <c r="S2756" s="5" t="str">
        <f t="shared" ref="S2756:S2819" si="418">IF(R2756&lt;&gt;"",B$12,"")</f>
        <v/>
      </c>
      <c r="T2756" s="5" t="str">
        <f t="shared" si="413"/>
        <v/>
      </c>
      <c r="U2756" s="5" t="str">
        <f t="shared" si="413"/>
        <v/>
      </c>
    </row>
    <row r="2757" spans="7:21" x14ac:dyDescent="0.2">
      <c r="G2757" s="8"/>
      <c r="H2757" s="5"/>
      <c r="J2757" s="10" t="str">
        <f t="shared" si="416"/>
        <v/>
      </c>
      <c r="K2757" s="10" t="str">
        <f t="shared" si="417"/>
        <v/>
      </c>
      <c r="L2757" s="11" t="str">
        <f t="shared" ref="L2757:L2820" si="419">IF(G2757&lt;&gt;"",J2757/K2757,"")</f>
        <v/>
      </c>
      <c r="M2757" s="9" t="str">
        <f>IF(G2757&lt;&gt;"",J2757/MAX(J$3:J2757)-1,"")</f>
        <v/>
      </c>
      <c r="N2757" s="9" t="str">
        <f>IF(G2757&lt;&gt;"",K2757/MAX(K$3:K2757)-1,"")</f>
        <v/>
      </c>
      <c r="O2757" s="16" t="str">
        <f t="shared" si="415"/>
        <v/>
      </c>
      <c r="P2757" s="16" t="str">
        <f t="shared" si="415"/>
        <v/>
      </c>
      <c r="Q2757" s="16" t="str">
        <f t="shared" si="415"/>
        <v/>
      </c>
      <c r="R2757" s="5" t="str">
        <f t="shared" si="414"/>
        <v/>
      </c>
      <c r="S2757" s="5" t="str">
        <f t="shared" si="418"/>
        <v/>
      </c>
      <c r="T2757" s="5" t="str">
        <f t="shared" si="413"/>
        <v/>
      </c>
      <c r="U2757" s="5" t="str">
        <f t="shared" si="413"/>
        <v/>
      </c>
    </row>
    <row r="2758" spans="7:21" x14ac:dyDescent="0.2">
      <c r="G2758" s="8"/>
      <c r="H2758" s="5"/>
      <c r="J2758" s="10" t="str">
        <f t="shared" si="416"/>
        <v/>
      </c>
      <c r="K2758" s="10" t="str">
        <f t="shared" si="417"/>
        <v/>
      </c>
      <c r="L2758" s="11" t="str">
        <f t="shared" si="419"/>
        <v/>
      </c>
      <c r="M2758" s="9" t="str">
        <f>IF(G2758&lt;&gt;"",J2758/MAX(J$3:J2758)-1,"")</f>
        <v/>
      </c>
      <c r="N2758" s="9" t="str">
        <f>IF(G2758&lt;&gt;"",K2758/MAX(K$3:K2758)-1,"")</f>
        <v/>
      </c>
      <c r="O2758" s="16" t="str">
        <f t="shared" si="415"/>
        <v/>
      </c>
      <c r="P2758" s="16" t="str">
        <f t="shared" si="415"/>
        <v/>
      </c>
      <c r="Q2758" s="16" t="str">
        <f t="shared" si="415"/>
        <v/>
      </c>
      <c r="R2758" s="5" t="str">
        <f t="shared" si="414"/>
        <v/>
      </c>
      <c r="S2758" s="5" t="str">
        <f t="shared" si="418"/>
        <v/>
      </c>
      <c r="T2758" s="5" t="str">
        <f t="shared" si="413"/>
        <v/>
      </c>
      <c r="U2758" s="5" t="str">
        <f t="shared" si="413"/>
        <v/>
      </c>
    </row>
    <row r="2759" spans="7:21" x14ac:dyDescent="0.2">
      <c r="G2759" s="8"/>
      <c r="H2759" s="5"/>
      <c r="J2759" s="10" t="str">
        <f t="shared" si="416"/>
        <v/>
      </c>
      <c r="K2759" s="10" t="str">
        <f t="shared" si="417"/>
        <v/>
      </c>
      <c r="L2759" s="11" t="str">
        <f t="shared" si="419"/>
        <v/>
      </c>
      <c r="M2759" s="9" t="str">
        <f>IF(G2759&lt;&gt;"",J2759/MAX(J$3:J2759)-1,"")</f>
        <v/>
      </c>
      <c r="N2759" s="9" t="str">
        <f>IF(G2759&lt;&gt;"",K2759/MAX(K$3:K2759)-1,"")</f>
        <v/>
      </c>
      <c r="O2759" s="16" t="str">
        <f t="shared" si="415"/>
        <v/>
      </c>
      <c r="P2759" s="16" t="str">
        <f t="shared" si="415"/>
        <v/>
      </c>
      <c r="Q2759" s="16" t="str">
        <f t="shared" si="415"/>
        <v/>
      </c>
      <c r="R2759" s="5" t="str">
        <f t="shared" si="414"/>
        <v/>
      </c>
      <c r="S2759" s="5" t="str">
        <f t="shared" si="418"/>
        <v/>
      </c>
      <c r="T2759" s="5" t="str">
        <f t="shared" si="413"/>
        <v/>
      </c>
      <c r="U2759" s="5" t="str">
        <f t="shared" si="413"/>
        <v/>
      </c>
    </row>
    <row r="2760" spans="7:21" x14ac:dyDescent="0.2">
      <c r="G2760" s="8"/>
      <c r="H2760" s="5"/>
      <c r="J2760" s="10" t="str">
        <f t="shared" si="416"/>
        <v/>
      </c>
      <c r="K2760" s="10" t="str">
        <f t="shared" si="417"/>
        <v/>
      </c>
      <c r="L2760" s="11" t="str">
        <f t="shared" si="419"/>
        <v/>
      </c>
      <c r="M2760" s="9" t="str">
        <f>IF(G2760&lt;&gt;"",J2760/MAX(J$3:J2760)-1,"")</f>
        <v/>
      </c>
      <c r="N2760" s="9" t="str">
        <f>IF(G2760&lt;&gt;"",K2760/MAX(K$3:K2760)-1,"")</f>
        <v/>
      </c>
      <c r="O2760" s="16" t="str">
        <f t="shared" si="415"/>
        <v/>
      </c>
      <c r="P2760" s="16" t="str">
        <f t="shared" si="415"/>
        <v/>
      </c>
      <c r="Q2760" s="16" t="str">
        <f t="shared" si="415"/>
        <v/>
      </c>
      <c r="R2760" s="5" t="str">
        <f t="shared" si="414"/>
        <v/>
      </c>
      <c r="S2760" s="5" t="str">
        <f t="shared" si="418"/>
        <v/>
      </c>
      <c r="T2760" s="5" t="str">
        <f t="shared" ref="T2760:U2775" si="420">IF($G2760&lt;&gt;"",_xlfn.STDEV.S(O2516:O2760),"")</f>
        <v/>
      </c>
      <c r="U2760" s="5" t="str">
        <f t="shared" si="420"/>
        <v/>
      </c>
    </row>
    <row r="2761" spans="7:21" x14ac:dyDescent="0.2">
      <c r="G2761" s="8"/>
      <c r="H2761" s="5"/>
      <c r="J2761" s="10" t="str">
        <f t="shared" si="416"/>
        <v/>
      </c>
      <c r="K2761" s="10" t="str">
        <f t="shared" si="417"/>
        <v/>
      </c>
      <c r="L2761" s="11" t="str">
        <f t="shared" si="419"/>
        <v/>
      </c>
      <c r="M2761" s="9" t="str">
        <f>IF(G2761&lt;&gt;"",J2761/MAX(J$3:J2761)-1,"")</f>
        <v/>
      </c>
      <c r="N2761" s="9" t="str">
        <f>IF(G2761&lt;&gt;"",K2761/MAX(K$3:K2761)-1,"")</f>
        <v/>
      </c>
      <c r="O2761" s="16" t="str">
        <f t="shared" si="415"/>
        <v/>
      </c>
      <c r="P2761" s="16" t="str">
        <f t="shared" si="415"/>
        <v/>
      </c>
      <c r="Q2761" s="16" t="str">
        <f t="shared" si="415"/>
        <v/>
      </c>
      <c r="R2761" s="5" t="str">
        <f t="shared" si="414"/>
        <v/>
      </c>
      <c r="S2761" s="5" t="str">
        <f t="shared" si="418"/>
        <v/>
      </c>
      <c r="T2761" s="5" t="str">
        <f t="shared" si="420"/>
        <v/>
      </c>
      <c r="U2761" s="5" t="str">
        <f t="shared" si="420"/>
        <v/>
      </c>
    </row>
    <row r="2762" spans="7:21" x14ac:dyDescent="0.2">
      <c r="G2762" s="8"/>
      <c r="H2762" s="5"/>
      <c r="J2762" s="10" t="str">
        <f t="shared" si="416"/>
        <v/>
      </c>
      <c r="K2762" s="10" t="str">
        <f t="shared" si="417"/>
        <v/>
      </c>
      <c r="L2762" s="11" t="str">
        <f t="shared" si="419"/>
        <v/>
      </c>
      <c r="M2762" s="9" t="str">
        <f>IF(G2762&lt;&gt;"",J2762/MAX(J$3:J2762)-1,"")</f>
        <v/>
      </c>
      <c r="N2762" s="9" t="str">
        <f>IF(G2762&lt;&gt;"",K2762/MAX(K$3:K2762)-1,"")</f>
        <v/>
      </c>
      <c r="O2762" s="16" t="str">
        <f t="shared" si="415"/>
        <v/>
      </c>
      <c r="P2762" s="16" t="str">
        <f t="shared" si="415"/>
        <v/>
      </c>
      <c r="Q2762" s="16" t="str">
        <f t="shared" si="415"/>
        <v/>
      </c>
      <c r="R2762" s="5" t="str">
        <f t="shared" si="414"/>
        <v/>
      </c>
      <c r="S2762" s="5" t="str">
        <f t="shared" si="418"/>
        <v/>
      </c>
      <c r="T2762" s="5" t="str">
        <f t="shared" si="420"/>
        <v/>
      </c>
      <c r="U2762" s="5" t="str">
        <f t="shared" si="420"/>
        <v/>
      </c>
    </row>
    <row r="2763" spans="7:21" x14ac:dyDescent="0.2">
      <c r="G2763" s="8"/>
      <c r="H2763" s="5"/>
      <c r="J2763" s="10" t="str">
        <f t="shared" si="416"/>
        <v/>
      </c>
      <c r="K2763" s="10" t="str">
        <f t="shared" si="417"/>
        <v/>
      </c>
      <c r="L2763" s="11" t="str">
        <f t="shared" si="419"/>
        <v/>
      </c>
      <c r="M2763" s="9" t="str">
        <f>IF(G2763&lt;&gt;"",J2763/MAX(J$3:J2763)-1,"")</f>
        <v/>
      </c>
      <c r="N2763" s="9" t="str">
        <f>IF(G2763&lt;&gt;"",K2763/MAX(K$3:K2763)-1,"")</f>
        <v/>
      </c>
      <c r="O2763" s="16" t="str">
        <f t="shared" si="415"/>
        <v/>
      </c>
      <c r="P2763" s="16" t="str">
        <f t="shared" si="415"/>
        <v/>
      </c>
      <c r="Q2763" s="16" t="str">
        <f t="shared" si="415"/>
        <v/>
      </c>
      <c r="R2763" s="5" t="str">
        <f t="shared" si="414"/>
        <v/>
      </c>
      <c r="S2763" s="5" t="str">
        <f t="shared" si="418"/>
        <v/>
      </c>
      <c r="T2763" s="5" t="str">
        <f t="shared" si="420"/>
        <v/>
      </c>
      <c r="U2763" s="5" t="str">
        <f t="shared" si="420"/>
        <v/>
      </c>
    </row>
    <row r="2764" spans="7:21" x14ac:dyDescent="0.2">
      <c r="G2764" s="8"/>
      <c r="H2764" s="5"/>
      <c r="J2764" s="10" t="str">
        <f t="shared" si="416"/>
        <v/>
      </c>
      <c r="K2764" s="10" t="str">
        <f t="shared" si="417"/>
        <v/>
      </c>
      <c r="L2764" s="11" t="str">
        <f t="shared" si="419"/>
        <v/>
      </c>
      <c r="M2764" s="9" t="str">
        <f>IF(G2764&lt;&gt;"",J2764/MAX(J$3:J2764)-1,"")</f>
        <v/>
      </c>
      <c r="N2764" s="9" t="str">
        <f>IF(G2764&lt;&gt;"",K2764/MAX(K$3:K2764)-1,"")</f>
        <v/>
      </c>
      <c r="O2764" s="16" t="str">
        <f t="shared" si="415"/>
        <v/>
      </c>
      <c r="P2764" s="16" t="str">
        <f t="shared" si="415"/>
        <v/>
      </c>
      <c r="Q2764" s="16" t="str">
        <f t="shared" si="415"/>
        <v/>
      </c>
      <c r="R2764" s="5" t="str">
        <f t="shared" si="414"/>
        <v/>
      </c>
      <c r="S2764" s="5" t="str">
        <f t="shared" si="418"/>
        <v/>
      </c>
      <c r="T2764" s="5" t="str">
        <f t="shared" si="420"/>
        <v/>
      </c>
      <c r="U2764" s="5" t="str">
        <f t="shared" si="420"/>
        <v/>
      </c>
    </row>
    <row r="2765" spans="7:21" x14ac:dyDescent="0.2">
      <c r="G2765" s="8"/>
      <c r="H2765" s="5"/>
      <c r="J2765" s="10" t="str">
        <f t="shared" si="416"/>
        <v/>
      </c>
      <c r="K2765" s="10" t="str">
        <f t="shared" si="417"/>
        <v/>
      </c>
      <c r="L2765" s="11" t="str">
        <f t="shared" si="419"/>
        <v/>
      </c>
      <c r="M2765" s="9" t="str">
        <f>IF(G2765&lt;&gt;"",J2765/MAX(J$3:J2765)-1,"")</f>
        <v/>
      </c>
      <c r="N2765" s="9" t="str">
        <f>IF(G2765&lt;&gt;"",K2765/MAX(K$3:K2765)-1,"")</f>
        <v/>
      </c>
      <c r="O2765" s="16" t="str">
        <f t="shared" si="415"/>
        <v/>
      </c>
      <c r="P2765" s="16" t="str">
        <f t="shared" si="415"/>
        <v/>
      </c>
      <c r="Q2765" s="16" t="str">
        <f t="shared" si="415"/>
        <v/>
      </c>
      <c r="R2765" s="5" t="str">
        <f t="shared" si="414"/>
        <v/>
      </c>
      <c r="S2765" s="5" t="str">
        <f t="shared" si="418"/>
        <v/>
      </c>
      <c r="T2765" s="5" t="str">
        <f t="shared" si="420"/>
        <v/>
      </c>
      <c r="U2765" s="5" t="str">
        <f t="shared" si="420"/>
        <v/>
      </c>
    </row>
    <row r="2766" spans="7:21" x14ac:dyDescent="0.2">
      <c r="G2766" s="8"/>
      <c r="H2766" s="5"/>
      <c r="J2766" s="10" t="str">
        <f t="shared" si="416"/>
        <v/>
      </c>
      <c r="K2766" s="10" t="str">
        <f t="shared" si="417"/>
        <v/>
      </c>
      <c r="L2766" s="11" t="str">
        <f t="shared" si="419"/>
        <v/>
      </c>
      <c r="M2766" s="9" t="str">
        <f>IF(G2766&lt;&gt;"",J2766/MAX(J$3:J2766)-1,"")</f>
        <v/>
      </c>
      <c r="N2766" s="9" t="str">
        <f>IF(G2766&lt;&gt;"",K2766/MAX(K$3:K2766)-1,"")</f>
        <v/>
      </c>
      <c r="O2766" s="16" t="str">
        <f t="shared" si="415"/>
        <v/>
      </c>
      <c r="P2766" s="16" t="str">
        <f t="shared" si="415"/>
        <v/>
      </c>
      <c r="Q2766" s="16" t="str">
        <f t="shared" si="415"/>
        <v/>
      </c>
      <c r="R2766" s="5" t="str">
        <f t="shared" si="414"/>
        <v/>
      </c>
      <c r="S2766" s="5" t="str">
        <f t="shared" si="418"/>
        <v/>
      </c>
      <c r="T2766" s="5" t="str">
        <f t="shared" si="420"/>
        <v/>
      </c>
      <c r="U2766" s="5" t="str">
        <f t="shared" si="420"/>
        <v/>
      </c>
    </row>
    <row r="2767" spans="7:21" x14ac:dyDescent="0.2">
      <c r="G2767" s="8"/>
      <c r="H2767" s="5"/>
      <c r="J2767" s="10" t="str">
        <f t="shared" si="416"/>
        <v/>
      </c>
      <c r="K2767" s="10" t="str">
        <f t="shared" si="417"/>
        <v/>
      </c>
      <c r="L2767" s="11" t="str">
        <f t="shared" si="419"/>
        <v/>
      </c>
      <c r="M2767" s="9" t="str">
        <f>IF(G2767&lt;&gt;"",J2767/MAX(J$3:J2767)-1,"")</f>
        <v/>
      </c>
      <c r="N2767" s="9" t="str">
        <f>IF(G2767&lt;&gt;"",K2767/MAX(K$3:K2767)-1,"")</f>
        <v/>
      </c>
      <c r="O2767" s="16" t="str">
        <f t="shared" si="415"/>
        <v/>
      </c>
      <c r="P2767" s="16" t="str">
        <f t="shared" si="415"/>
        <v/>
      </c>
      <c r="Q2767" s="16" t="str">
        <f t="shared" si="415"/>
        <v/>
      </c>
      <c r="R2767" s="5" t="str">
        <f t="shared" si="414"/>
        <v/>
      </c>
      <c r="S2767" s="5" t="str">
        <f t="shared" si="418"/>
        <v/>
      </c>
      <c r="T2767" s="5" t="str">
        <f t="shared" si="420"/>
        <v/>
      </c>
      <c r="U2767" s="5" t="str">
        <f t="shared" si="420"/>
        <v/>
      </c>
    </row>
    <row r="2768" spans="7:21" x14ac:dyDescent="0.2">
      <c r="G2768" s="8"/>
      <c r="H2768" s="5"/>
      <c r="J2768" s="10" t="str">
        <f t="shared" si="416"/>
        <v/>
      </c>
      <c r="K2768" s="10" t="str">
        <f t="shared" si="417"/>
        <v/>
      </c>
      <c r="L2768" s="11" t="str">
        <f t="shared" si="419"/>
        <v/>
      </c>
      <c r="M2768" s="9" t="str">
        <f>IF(G2768&lt;&gt;"",J2768/MAX(J$3:J2768)-1,"")</f>
        <v/>
      </c>
      <c r="N2768" s="9" t="str">
        <f>IF(G2768&lt;&gt;"",K2768/MAX(K$3:K2768)-1,"")</f>
        <v/>
      </c>
      <c r="O2768" s="16" t="str">
        <f t="shared" si="415"/>
        <v/>
      </c>
      <c r="P2768" s="16" t="str">
        <f t="shared" si="415"/>
        <v/>
      </c>
      <c r="Q2768" s="16" t="str">
        <f t="shared" si="415"/>
        <v/>
      </c>
      <c r="R2768" s="5" t="str">
        <f t="shared" si="414"/>
        <v/>
      </c>
      <c r="S2768" s="5" t="str">
        <f t="shared" si="418"/>
        <v/>
      </c>
      <c r="T2768" s="5" t="str">
        <f t="shared" si="420"/>
        <v/>
      </c>
      <c r="U2768" s="5" t="str">
        <f t="shared" si="420"/>
        <v/>
      </c>
    </row>
    <row r="2769" spans="7:21" x14ac:dyDescent="0.2">
      <c r="G2769" s="8"/>
      <c r="H2769" s="5"/>
      <c r="J2769" s="10" t="str">
        <f t="shared" si="416"/>
        <v/>
      </c>
      <c r="K2769" s="10" t="str">
        <f t="shared" si="417"/>
        <v/>
      </c>
      <c r="L2769" s="11" t="str">
        <f t="shared" si="419"/>
        <v/>
      </c>
      <c r="M2769" s="9" t="str">
        <f>IF(G2769&lt;&gt;"",J2769/MAX(J$3:J2769)-1,"")</f>
        <v/>
      </c>
      <c r="N2769" s="9" t="str">
        <f>IF(G2769&lt;&gt;"",K2769/MAX(K$3:K2769)-1,"")</f>
        <v/>
      </c>
      <c r="O2769" s="16" t="str">
        <f t="shared" si="415"/>
        <v/>
      </c>
      <c r="P2769" s="16" t="str">
        <f t="shared" si="415"/>
        <v/>
      </c>
      <c r="Q2769" s="16" t="str">
        <f t="shared" si="415"/>
        <v/>
      </c>
      <c r="R2769" s="5" t="str">
        <f t="shared" si="414"/>
        <v/>
      </c>
      <c r="S2769" s="5" t="str">
        <f t="shared" si="418"/>
        <v/>
      </c>
      <c r="T2769" s="5" t="str">
        <f t="shared" si="420"/>
        <v/>
      </c>
      <c r="U2769" s="5" t="str">
        <f t="shared" si="420"/>
        <v/>
      </c>
    </row>
    <row r="2770" spans="7:21" x14ac:dyDescent="0.2">
      <c r="G2770" s="8"/>
      <c r="H2770" s="5"/>
      <c r="J2770" s="10" t="str">
        <f t="shared" si="416"/>
        <v/>
      </c>
      <c r="K2770" s="10" t="str">
        <f t="shared" si="417"/>
        <v/>
      </c>
      <c r="L2770" s="11" t="str">
        <f t="shared" si="419"/>
        <v/>
      </c>
      <c r="M2770" s="9" t="str">
        <f>IF(G2770&lt;&gt;"",J2770/MAX(J$3:J2770)-1,"")</f>
        <v/>
      </c>
      <c r="N2770" s="9" t="str">
        <f>IF(G2770&lt;&gt;"",K2770/MAX(K$3:K2770)-1,"")</f>
        <v/>
      </c>
      <c r="O2770" s="16" t="str">
        <f t="shared" si="415"/>
        <v/>
      </c>
      <c r="P2770" s="16" t="str">
        <f t="shared" si="415"/>
        <v/>
      </c>
      <c r="Q2770" s="16" t="str">
        <f t="shared" si="415"/>
        <v/>
      </c>
      <c r="R2770" s="5" t="str">
        <f t="shared" si="414"/>
        <v/>
      </c>
      <c r="S2770" s="5" t="str">
        <f t="shared" si="418"/>
        <v/>
      </c>
      <c r="T2770" s="5" t="str">
        <f t="shared" si="420"/>
        <v/>
      </c>
      <c r="U2770" s="5" t="str">
        <f t="shared" si="420"/>
        <v/>
      </c>
    </row>
    <row r="2771" spans="7:21" x14ac:dyDescent="0.2">
      <c r="G2771" s="8"/>
      <c r="H2771" s="5"/>
      <c r="J2771" s="10" t="str">
        <f t="shared" si="416"/>
        <v/>
      </c>
      <c r="K2771" s="10" t="str">
        <f t="shared" si="417"/>
        <v/>
      </c>
      <c r="L2771" s="11" t="str">
        <f t="shared" si="419"/>
        <v/>
      </c>
      <c r="M2771" s="9" t="str">
        <f>IF(G2771&lt;&gt;"",J2771/MAX(J$3:J2771)-1,"")</f>
        <v/>
      </c>
      <c r="N2771" s="9" t="str">
        <f>IF(G2771&lt;&gt;"",K2771/MAX(K$3:K2771)-1,"")</f>
        <v/>
      </c>
      <c r="O2771" s="16" t="str">
        <f t="shared" si="415"/>
        <v/>
      </c>
      <c r="P2771" s="16" t="str">
        <f t="shared" si="415"/>
        <v/>
      </c>
      <c r="Q2771" s="16" t="str">
        <f t="shared" si="415"/>
        <v/>
      </c>
      <c r="R2771" s="5" t="str">
        <f t="shared" si="414"/>
        <v/>
      </c>
      <c r="S2771" s="5" t="str">
        <f t="shared" si="418"/>
        <v/>
      </c>
      <c r="T2771" s="5" t="str">
        <f t="shared" si="420"/>
        <v/>
      </c>
      <c r="U2771" s="5" t="str">
        <f t="shared" si="420"/>
        <v/>
      </c>
    </row>
    <row r="2772" spans="7:21" x14ac:dyDescent="0.2">
      <c r="G2772" s="8"/>
      <c r="H2772" s="5"/>
      <c r="J2772" s="10" t="str">
        <f t="shared" si="416"/>
        <v/>
      </c>
      <c r="K2772" s="10" t="str">
        <f t="shared" si="417"/>
        <v/>
      </c>
      <c r="L2772" s="11" t="str">
        <f t="shared" si="419"/>
        <v/>
      </c>
      <c r="M2772" s="9" t="str">
        <f>IF(G2772&lt;&gt;"",J2772/MAX(J$3:J2772)-1,"")</f>
        <v/>
      </c>
      <c r="N2772" s="9" t="str">
        <f>IF(G2772&lt;&gt;"",K2772/MAX(K$3:K2772)-1,"")</f>
        <v/>
      </c>
      <c r="O2772" s="16" t="str">
        <f t="shared" si="415"/>
        <v/>
      </c>
      <c r="P2772" s="16" t="str">
        <f t="shared" si="415"/>
        <v/>
      </c>
      <c r="Q2772" s="16" t="str">
        <f t="shared" si="415"/>
        <v/>
      </c>
      <c r="R2772" s="5" t="str">
        <f t="shared" si="414"/>
        <v/>
      </c>
      <c r="S2772" s="5" t="str">
        <f t="shared" si="418"/>
        <v/>
      </c>
      <c r="T2772" s="5" t="str">
        <f t="shared" si="420"/>
        <v/>
      </c>
      <c r="U2772" s="5" t="str">
        <f t="shared" si="420"/>
        <v/>
      </c>
    </row>
    <row r="2773" spans="7:21" x14ac:dyDescent="0.2">
      <c r="G2773" s="8"/>
      <c r="H2773" s="5"/>
      <c r="J2773" s="10" t="str">
        <f t="shared" si="416"/>
        <v/>
      </c>
      <c r="K2773" s="10" t="str">
        <f t="shared" si="417"/>
        <v/>
      </c>
      <c r="L2773" s="11" t="str">
        <f t="shared" si="419"/>
        <v/>
      </c>
      <c r="M2773" s="9" t="str">
        <f>IF(G2773&lt;&gt;"",J2773/MAX(J$3:J2773)-1,"")</f>
        <v/>
      </c>
      <c r="N2773" s="9" t="str">
        <f>IF(G2773&lt;&gt;"",K2773/MAX(K$3:K2773)-1,"")</f>
        <v/>
      </c>
      <c r="O2773" s="16" t="str">
        <f t="shared" si="415"/>
        <v/>
      </c>
      <c r="P2773" s="16" t="str">
        <f t="shared" si="415"/>
        <v/>
      </c>
      <c r="Q2773" s="16" t="str">
        <f t="shared" si="415"/>
        <v/>
      </c>
      <c r="R2773" s="5" t="str">
        <f t="shared" si="414"/>
        <v/>
      </c>
      <c r="S2773" s="5" t="str">
        <f t="shared" si="418"/>
        <v/>
      </c>
      <c r="T2773" s="5" t="str">
        <f t="shared" si="420"/>
        <v/>
      </c>
      <c r="U2773" s="5" t="str">
        <f t="shared" si="420"/>
        <v/>
      </c>
    </row>
    <row r="2774" spans="7:21" x14ac:dyDescent="0.2">
      <c r="G2774" s="8"/>
      <c r="H2774" s="5"/>
      <c r="J2774" s="10" t="str">
        <f t="shared" si="416"/>
        <v/>
      </c>
      <c r="K2774" s="10" t="str">
        <f t="shared" si="417"/>
        <v/>
      </c>
      <c r="L2774" s="11" t="str">
        <f t="shared" si="419"/>
        <v/>
      </c>
      <c r="M2774" s="9" t="str">
        <f>IF(G2774&lt;&gt;"",J2774/MAX(J$3:J2774)-1,"")</f>
        <v/>
      </c>
      <c r="N2774" s="9" t="str">
        <f>IF(G2774&lt;&gt;"",K2774/MAX(K$3:K2774)-1,"")</f>
        <v/>
      </c>
      <c r="O2774" s="16" t="str">
        <f t="shared" si="415"/>
        <v/>
      </c>
      <c r="P2774" s="16" t="str">
        <f t="shared" si="415"/>
        <v/>
      </c>
      <c r="Q2774" s="16" t="str">
        <f t="shared" si="415"/>
        <v/>
      </c>
      <c r="R2774" s="5" t="str">
        <f t="shared" si="414"/>
        <v/>
      </c>
      <c r="S2774" s="5" t="str">
        <f t="shared" si="418"/>
        <v/>
      </c>
      <c r="T2774" s="5" t="str">
        <f t="shared" si="420"/>
        <v/>
      </c>
      <c r="U2774" s="5" t="str">
        <f t="shared" si="420"/>
        <v/>
      </c>
    </row>
    <row r="2775" spans="7:21" x14ac:dyDescent="0.2">
      <c r="G2775" s="8"/>
      <c r="H2775" s="5"/>
      <c r="J2775" s="10" t="str">
        <f t="shared" si="416"/>
        <v/>
      </c>
      <c r="K2775" s="10" t="str">
        <f t="shared" si="417"/>
        <v/>
      </c>
      <c r="L2775" s="11" t="str">
        <f t="shared" si="419"/>
        <v/>
      </c>
      <c r="M2775" s="9" t="str">
        <f>IF(G2775&lt;&gt;"",J2775/MAX(J$3:J2775)-1,"")</f>
        <v/>
      </c>
      <c r="N2775" s="9" t="str">
        <f>IF(G2775&lt;&gt;"",K2775/MAX(K$3:K2775)-1,"")</f>
        <v/>
      </c>
      <c r="O2775" s="16" t="str">
        <f t="shared" si="415"/>
        <v/>
      </c>
      <c r="P2775" s="16" t="str">
        <f t="shared" si="415"/>
        <v/>
      </c>
      <c r="Q2775" s="16" t="str">
        <f t="shared" si="415"/>
        <v/>
      </c>
      <c r="R2775" s="5" t="str">
        <f t="shared" si="414"/>
        <v/>
      </c>
      <c r="S2775" s="5" t="str">
        <f t="shared" si="418"/>
        <v/>
      </c>
      <c r="T2775" s="5" t="str">
        <f t="shared" si="420"/>
        <v/>
      </c>
      <c r="U2775" s="5" t="str">
        <f t="shared" si="420"/>
        <v/>
      </c>
    </row>
    <row r="2776" spans="7:21" x14ac:dyDescent="0.2">
      <c r="G2776" s="8"/>
      <c r="H2776" s="5"/>
      <c r="J2776" s="10" t="str">
        <f t="shared" si="416"/>
        <v/>
      </c>
      <c r="K2776" s="10" t="str">
        <f t="shared" si="417"/>
        <v/>
      </c>
      <c r="L2776" s="11" t="str">
        <f t="shared" si="419"/>
        <v/>
      </c>
      <c r="M2776" s="9" t="str">
        <f>IF(G2776&lt;&gt;"",J2776/MAX(J$3:J2776)-1,"")</f>
        <v/>
      </c>
      <c r="N2776" s="9" t="str">
        <f>IF(G2776&lt;&gt;"",K2776/MAX(K$3:K2776)-1,"")</f>
        <v/>
      </c>
      <c r="O2776" s="16" t="str">
        <f t="shared" si="415"/>
        <v/>
      </c>
      <c r="P2776" s="16" t="str">
        <f t="shared" si="415"/>
        <v/>
      </c>
      <c r="Q2776" s="16" t="str">
        <f t="shared" si="415"/>
        <v/>
      </c>
      <c r="R2776" s="5" t="str">
        <f t="shared" si="414"/>
        <v/>
      </c>
      <c r="S2776" s="5" t="str">
        <f t="shared" si="418"/>
        <v/>
      </c>
      <c r="T2776" s="5" t="str">
        <f t="shared" ref="T2776:U2791" si="421">IF($G2776&lt;&gt;"",_xlfn.STDEV.S(O2532:O2776),"")</f>
        <v/>
      </c>
      <c r="U2776" s="5" t="str">
        <f t="shared" si="421"/>
        <v/>
      </c>
    </row>
    <row r="2777" spans="7:21" x14ac:dyDescent="0.2">
      <c r="G2777" s="8"/>
      <c r="H2777" s="5"/>
      <c r="J2777" s="10" t="str">
        <f t="shared" si="416"/>
        <v/>
      </c>
      <c r="K2777" s="10" t="str">
        <f t="shared" si="417"/>
        <v/>
      </c>
      <c r="L2777" s="11" t="str">
        <f t="shared" si="419"/>
        <v/>
      </c>
      <c r="M2777" s="9" t="str">
        <f>IF(G2777&lt;&gt;"",J2777/MAX(J$3:J2777)-1,"")</f>
        <v/>
      </c>
      <c r="N2777" s="9" t="str">
        <f>IF(G2777&lt;&gt;"",K2777/MAX(K$3:K2777)-1,"")</f>
        <v/>
      </c>
      <c r="O2777" s="16" t="str">
        <f t="shared" si="415"/>
        <v/>
      </c>
      <c r="P2777" s="16" t="str">
        <f t="shared" si="415"/>
        <v/>
      </c>
      <c r="Q2777" s="16" t="str">
        <f t="shared" si="415"/>
        <v/>
      </c>
      <c r="R2777" s="5" t="str">
        <f t="shared" si="414"/>
        <v/>
      </c>
      <c r="S2777" s="5" t="str">
        <f t="shared" si="418"/>
        <v/>
      </c>
      <c r="T2777" s="5" t="str">
        <f t="shared" si="421"/>
        <v/>
      </c>
      <c r="U2777" s="5" t="str">
        <f t="shared" si="421"/>
        <v/>
      </c>
    </row>
    <row r="2778" spans="7:21" x14ac:dyDescent="0.2">
      <c r="G2778" s="8"/>
      <c r="H2778" s="5"/>
      <c r="J2778" s="10" t="str">
        <f t="shared" si="416"/>
        <v/>
      </c>
      <c r="K2778" s="10" t="str">
        <f t="shared" si="417"/>
        <v/>
      </c>
      <c r="L2778" s="11" t="str">
        <f t="shared" si="419"/>
        <v/>
      </c>
      <c r="M2778" s="9" t="str">
        <f>IF(G2778&lt;&gt;"",J2778/MAX(J$3:J2778)-1,"")</f>
        <v/>
      </c>
      <c r="N2778" s="9" t="str">
        <f>IF(G2778&lt;&gt;"",K2778/MAX(K$3:K2778)-1,"")</f>
        <v/>
      </c>
      <c r="O2778" s="16" t="str">
        <f t="shared" si="415"/>
        <v/>
      </c>
      <c r="P2778" s="16" t="str">
        <f t="shared" si="415"/>
        <v/>
      </c>
      <c r="Q2778" s="16" t="str">
        <f t="shared" si="415"/>
        <v/>
      </c>
      <c r="R2778" s="5" t="str">
        <f t="shared" si="414"/>
        <v/>
      </c>
      <c r="S2778" s="5" t="str">
        <f t="shared" si="418"/>
        <v/>
      </c>
      <c r="T2778" s="5" t="str">
        <f t="shared" si="421"/>
        <v/>
      </c>
      <c r="U2778" s="5" t="str">
        <f t="shared" si="421"/>
        <v/>
      </c>
    </row>
    <row r="2779" spans="7:21" x14ac:dyDescent="0.2">
      <c r="G2779" s="8"/>
      <c r="H2779" s="5"/>
      <c r="J2779" s="10" t="str">
        <f t="shared" si="416"/>
        <v/>
      </c>
      <c r="K2779" s="10" t="str">
        <f t="shared" si="417"/>
        <v/>
      </c>
      <c r="L2779" s="11" t="str">
        <f t="shared" si="419"/>
        <v/>
      </c>
      <c r="M2779" s="9" t="str">
        <f>IF(G2779&lt;&gt;"",J2779/MAX(J$3:J2779)-1,"")</f>
        <v/>
      </c>
      <c r="N2779" s="9" t="str">
        <f>IF(G2779&lt;&gt;"",K2779/MAX(K$3:K2779)-1,"")</f>
        <v/>
      </c>
      <c r="O2779" s="16" t="str">
        <f t="shared" si="415"/>
        <v/>
      </c>
      <c r="P2779" s="16" t="str">
        <f t="shared" si="415"/>
        <v/>
      </c>
      <c r="Q2779" s="16" t="str">
        <f t="shared" si="415"/>
        <v/>
      </c>
      <c r="R2779" s="5" t="str">
        <f t="shared" si="414"/>
        <v/>
      </c>
      <c r="S2779" s="5" t="str">
        <f t="shared" si="418"/>
        <v/>
      </c>
      <c r="T2779" s="5" t="str">
        <f t="shared" si="421"/>
        <v/>
      </c>
      <c r="U2779" s="5" t="str">
        <f t="shared" si="421"/>
        <v/>
      </c>
    </row>
    <row r="2780" spans="7:21" x14ac:dyDescent="0.2">
      <c r="G2780" s="8"/>
      <c r="H2780" s="5"/>
      <c r="J2780" s="10" t="str">
        <f t="shared" si="416"/>
        <v/>
      </c>
      <c r="K2780" s="10" t="str">
        <f t="shared" si="417"/>
        <v/>
      </c>
      <c r="L2780" s="11" t="str">
        <f t="shared" si="419"/>
        <v/>
      </c>
      <c r="M2780" s="9" t="str">
        <f>IF(G2780&lt;&gt;"",J2780/MAX(J$3:J2780)-1,"")</f>
        <v/>
      </c>
      <c r="N2780" s="9" t="str">
        <f>IF(G2780&lt;&gt;"",K2780/MAX(K$3:K2780)-1,"")</f>
        <v/>
      </c>
      <c r="O2780" s="16" t="str">
        <f t="shared" si="415"/>
        <v/>
      </c>
      <c r="P2780" s="16" t="str">
        <f t="shared" si="415"/>
        <v/>
      </c>
      <c r="Q2780" s="16" t="str">
        <f t="shared" si="415"/>
        <v/>
      </c>
      <c r="R2780" s="5" t="str">
        <f t="shared" si="414"/>
        <v/>
      </c>
      <c r="S2780" s="5" t="str">
        <f t="shared" si="418"/>
        <v/>
      </c>
      <c r="T2780" s="5" t="str">
        <f t="shared" si="421"/>
        <v/>
      </c>
      <c r="U2780" s="5" t="str">
        <f t="shared" si="421"/>
        <v/>
      </c>
    </row>
    <row r="2781" spans="7:21" x14ac:dyDescent="0.2">
      <c r="G2781" s="8"/>
      <c r="H2781" s="5"/>
      <c r="J2781" s="10" t="str">
        <f t="shared" si="416"/>
        <v/>
      </c>
      <c r="K2781" s="10" t="str">
        <f t="shared" si="417"/>
        <v/>
      </c>
      <c r="L2781" s="11" t="str">
        <f t="shared" si="419"/>
        <v/>
      </c>
      <c r="M2781" s="9" t="str">
        <f>IF(G2781&lt;&gt;"",J2781/MAX(J$3:J2781)-1,"")</f>
        <v/>
      </c>
      <c r="N2781" s="9" t="str">
        <f>IF(G2781&lt;&gt;"",K2781/MAX(K$3:K2781)-1,"")</f>
        <v/>
      </c>
      <c r="O2781" s="16" t="str">
        <f t="shared" si="415"/>
        <v/>
      </c>
      <c r="P2781" s="16" t="str">
        <f t="shared" si="415"/>
        <v/>
      </c>
      <c r="Q2781" s="16" t="str">
        <f t="shared" si="415"/>
        <v/>
      </c>
      <c r="R2781" s="5" t="str">
        <f t="shared" si="414"/>
        <v/>
      </c>
      <c r="S2781" s="5" t="str">
        <f t="shared" si="418"/>
        <v/>
      </c>
      <c r="T2781" s="5" t="str">
        <f t="shared" si="421"/>
        <v/>
      </c>
      <c r="U2781" s="5" t="str">
        <f t="shared" si="421"/>
        <v/>
      </c>
    </row>
    <row r="2782" spans="7:21" x14ac:dyDescent="0.2">
      <c r="G2782" s="8"/>
      <c r="H2782" s="5"/>
      <c r="J2782" s="10" t="str">
        <f t="shared" si="416"/>
        <v/>
      </c>
      <c r="K2782" s="10" t="str">
        <f t="shared" si="417"/>
        <v/>
      </c>
      <c r="L2782" s="11" t="str">
        <f t="shared" si="419"/>
        <v/>
      </c>
      <c r="M2782" s="9" t="str">
        <f>IF(G2782&lt;&gt;"",J2782/MAX(J$3:J2782)-1,"")</f>
        <v/>
      </c>
      <c r="N2782" s="9" t="str">
        <f>IF(G2782&lt;&gt;"",K2782/MAX(K$3:K2782)-1,"")</f>
        <v/>
      </c>
      <c r="O2782" s="16" t="str">
        <f t="shared" si="415"/>
        <v/>
      </c>
      <c r="P2782" s="16" t="str">
        <f t="shared" si="415"/>
        <v/>
      </c>
      <c r="Q2782" s="16" t="str">
        <f t="shared" si="415"/>
        <v/>
      </c>
      <c r="R2782" s="5" t="str">
        <f t="shared" si="414"/>
        <v/>
      </c>
      <c r="S2782" s="5" t="str">
        <f t="shared" si="418"/>
        <v/>
      </c>
      <c r="T2782" s="5" t="str">
        <f t="shared" si="421"/>
        <v/>
      </c>
      <c r="U2782" s="5" t="str">
        <f t="shared" si="421"/>
        <v/>
      </c>
    </row>
    <row r="2783" spans="7:21" x14ac:dyDescent="0.2">
      <c r="G2783" s="8"/>
      <c r="H2783" s="5"/>
      <c r="J2783" s="10" t="str">
        <f t="shared" si="416"/>
        <v/>
      </c>
      <c r="K2783" s="10" t="str">
        <f t="shared" si="417"/>
        <v/>
      </c>
      <c r="L2783" s="11" t="str">
        <f t="shared" si="419"/>
        <v/>
      </c>
      <c r="M2783" s="9" t="str">
        <f>IF(G2783&lt;&gt;"",J2783/MAX(J$3:J2783)-1,"")</f>
        <v/>
      </c>
      <c r="N2783" s="9" t="str">
        <f>IF(G2783&lt;&gt;"",K2783/MAX(K$3:K2783)-1,"")</f>
        <v/>
      </c>
      <c r="O2783" s="16" t="str">
        <f t="shared" si="415"/>
        <v/>
      </c>
      <c r="P2783" s="16" t="str">
        <f t="shared" si="415"/>
        <v/>
      </c>
      <c r="Q2783" s="16" t="str">
        <f t="shared" si="415"/>
        <v/>
      </c>
      <c r="R2783" s="5" t="str">
        <f t="shared" si="414"/>
        <v/>
      </c>
      <c r="S2783" s="5" t="str">
        <f t="shared" si="418"/>
        <v/>
      </c>
      <c r="T2783" s="5" t="str">
        <f t="shared" si="421"/>
        <v/>
      </c>
      <c r="U2783" s="5" t="str">
        <f t="shared" si="421"/>
        <v/>
      </c>
    </row>
    <row r="2784" spans="7:21" x14ac:dyDescent="0.2">
      <c r="G2784" s="8"/>
      <c r="H2784" s="5"/>
      <c r="J2784" s="10" t="str">
        <f t="shared" si="416"/>
        <v/>
      </c>
      <c r="K2784" s="10" t="str">
        <f t="shared" si="417"/>
        <v/>
      </c>
      <c r="L2784" s="11" t="str">
        <f t="shared" si="419"/>
        <v/>
      </c>
      <c r="M2784" s="9" t="str">
        <f>IF(G2784&lt;&gt;"",J2784/MAX(J$3:J2784)-1,"")</f>
        <v/>
      </c>
      <c r="N2784" s="9" t="str">
        <f>IF(G2784&lt;&gt;"",K2784/MAX(K$3:K2784)-1,"")</f>
        <v/>
      </c>
      <c r="O2784" s="16" t="str">
        <f t="shared" si="415"/>
        <v/>
      </c>
      <c r="P2784" s="16" t="str">
        <f t="shared" si="415"/>
        <v/>
      </c>
      <c r="Q2784" s="16" t="str">
        <f t="shared" si="415"/>
        <v/>
      </c>
      <c r="R2784" s="5" t="str">
        <f t="shared" si="414"/>
        <v/>
      </c>
      <c r="S2784" s="5" t="str">
        <f t="shared" si="418"/>
        <v/>
      </c>
      <c r="T2784" s="5" t="str">
        <f t="shared" si="421"/>
        <v/>
      </c>
      <c r="U2784" s="5" t="str">
        <f t="shared" si="421"/>
        <v/>
      </c>
    </row>
    <row r="2785" spans="7:21" x14ac:dyDescent="0.2">
      <c r="G2785" s="8"/>
      <c r="H2785" s="5"/>
      <c r="J2785" s="10" t="str">
        <f t="shared" si="416"/>
        <v/>
      </c>
      <c r="K2785" s="10" t="str">
        <f t="shared" si="417"/>
        <v/>
      </c>
      <c r="L2785" s="11" t="str">
        <f t="shared" si="419"/>
        <v/>
      </c>
      <c r="M2785" s="9" t="str">
        <f>IF(G2785&lt;&gt;"",J2785/MAX(J$3:J2785)-1,"")</f>
        <v/>
      </c>
      <c r="N2785" s="9" t="str">
        <f>IF(G2785&lt;&gt;"",K2785/MAX(K$3:K2785)-1,"")</f>
        <v/>
      </c>
      <c r="O2785" s="16" t="str">
        <f t="shared" si="415"/>
        <v/>
      </c>
      <c r="P2785" s="16" t="str">
        <f t="shared" si="415"/>
        <v/>
      </c>
      <c r="Q2785" s="16" t="str">
        <f t="shared" si="415"/>
        <v/>
      </c>
      <c r="R2785" s="5" t="str">
        <f t="shared" si="414"/>
        <v/>
      </c>
      <c r="S2785" s="5" t="str">
        <f t="shared" si="418"/>
        <v/>
      </c>
      <c r="T2785" s="5" t="str">
        <f t="shared" si="421"/>
        <v/>
      </c>
      <c r="U2785" s="5" t="str">
        <f t="shared" si="421"/>
        <v/>
      </c>
    </row>
    <row r="2786" spans="7:21" x14ac:dyDescent="0.2">
      <c r="G2786" s="8"/>
      <c r="H2786" s="5"/>
      <c r="J2786" s="10" t="str">
        <f t="shared" si="416"/>
        <v/>
      </c>
      <c r="K2786" s="10" t="str">
        <f t="shared" si="417"/>
        <v/>
      </c>
      <c r="L2786" s="11" t="str">
        <f t="shared" si="419"/>
        <v/>
      </c>
      <c r="M2786" s="9" t="str">
        <f>IF(G2786&lt;&gt;"",J2786/MAX(J$3:J2786)-1,"")</f>
        <v/>
      </c>
      <c r="N2786" s="9" t="str">
        <f>IF(G2786&lt;&gt;"",K2786/MAX(K$3:K2786)-1,"")</f>
        <v/>
      </c>
      <c r="O2786" s="16" t="str">
        <f t="shared" si="415"/>
        <v/>
      </c>
      <c r="P2786" s="16" t="str">
        <f t="shared" si="415"/>
        <v/>
      </c>
      <c r="Q2786" s="16" t="str">
        <f t="shared" si="415"/>
        <v/>
      </c>
      <c r="R2786" s="5" t="str">
        <f t="shared" si="414"/>
        <v/>
      </c>
      <c r="S2786" s="5" t="str">
        <f t="shared" si="418"/>
        <v/>
      </c>
      <c r="T2786" s="5" t="str">
        <f t="shared" si="421"/>
        <v/>
      </c>
      <c r="U2786" s="5" t="str">
        <f t="shared" si="421"/>
        <v/>
      </c>
    </row>
    <row r="2787" spans="7:21" x14ac:dyDescent="0.2">
      <c r="G2787" s="8"/>
      <c r="H2787" s="5"/>
      <c r="J2787" s="10" t="str">
        <f t="shared" si="416"/>
        <v/>
      </c>
      <c r="K2787" s="10" t="str">
        <f t="shared" si="417"/>
        <v/>
      </c>
      <c r="L2787" s="11" t="str">
        <f t="shared" si="419"/>
        <v/>
      </c>
      <c r="M2787" s="9" t="str">
        <f>IF(G2787&lt;&gt;"",J2787/MAX(J$3:J2787)-1,"")</f>
        <v/>
      </c>
      <c r="N2787" s="9" t="str">
        <f>IF(G2787&lt;&gt;"",K2787/MAX(K$3:K2787)-1,"")</f>
        <v/>
      </c>
      <c r="O2787" s="16" t="str">
        <f t="shared" si="415"/>
        <v/>
      </c>
      <c r="P2787" s="16" t="str">
        <f t="shared" si="415"/>
        <v/>
      </c>
      <c r="Q2787" s="16" t="str">
        <f t="shared" si="415"/>
        <v/>
      </c>
      <c r="R2787" s="5" t="str">
        <f t="shared" si="414"/>
        <v/>
      </c>
      <c r="S2787" s="5" t="str">
        <f t="shared" si="418"/>
        <v/>
      </c>
      <c r="T2787" s="5" t="str">
        <f t="shared" si="421"/>
        <v/>
      </c>
      <c r="U2787" s="5" t="str">
        <f t="shared" si="421"/>
        <v/>
      </c>
    </row>
    <row r="2788" spans="7:21" x14ac:dyDescent="0.2">
      <c r="G2788" s="8"/>
      <c r="H2788" s="5"/>
      <c r="J2788" s="10" t="str">
        <f t="shared" si="416"/>
        <v/>
      </c>
      <c r="K2788" s="10" t="str">
        <f t="shared" si="417"/>
        <v/>
      </c>
      <c r="L2788" s="11" t="str">
        <f t="shared" si="419"/>
        <v/>
      </c>
      <c r="M2788" s="9" t="str">
        <f>IF(G2788&lt;&gt;"",J2788/MAX(J$3:J2788)-1,"")</f>
        <v/>
      </c>
      <c r="N2788" s="9" t="str">
        <f>IF(G2788&lt;&gt;"",K2788/MAX(K$3:K2788)-1,"")</f>
        <v/>
      </c>
      <c r="O2788" s="16" t="str">
        <f t="shared" si="415"/>
        <v/>
      </c>
      <c r="P2788" s="16" t="str">
        <f t="shared" si="415"/>
        <v/>
      </c>
      <c r="Q2788" s="16" t="str">
        <f t="shared" si="415"/>
        <v/>
      </c>
      <c r="R2788" s="5" t="str">
        <f t="shared" si="414"/>
        <v/>
      </c>
      <c r="S2788" s="5" t="str">
        <f t="shared" si="418"/>
        <v/>
      </c>
      <c r="T2788" s="5" t="str">
        <f t="shared" si="421"/>
        <v/>
      </c>
      <c r="U2788" s="5" t="str">
        <f t="shared" si="421"/>
        <v/>
      </c>
    </row>
    <row r="2789" spans="7:21" x14ac:dyDescent="0.2">
      <c r="G2789" s="8"/>
      <c r="H2789" s="5"/>
      <c r="J2789" s="10" t="str">
        <f t="shared" si="416"/>
        <v/>
      </c>
      <c r="K2789" s="10" t="str">
        <f t="shared" si="417"/>
        <v/>
      </c>
      <c r="L2789" s="11" t="str">
        <f t="shared" si="419"/>
        <v/>
      </c>
      <c r="M2789" s="9" t="str">
        <f>IF(G2789&lt;&gt;"",J2789/MAX(J$3:J2789)-1,"")</f>
        <v/>
      </c>
      <c r="N2789" s="9" t="str">
        <f>IF(G2789&lt;&gt;"",K2789/MAX(K$3:K2789)-1,"")</f>
        <v/>
      </c>
      <c r="O2789" s="16" t="str">
        <f t="shared" si="415"/>
        <v/>
      </c>
      <c r="P2789" s="16" t="str">
        <f t="shared" si="415"/>
        <v/>
      </c>
      <c r="Q2789" s="16" t="str">
        <f t="shared" si="415"/>
        <v/>
      </c>
      <c r="R2789" s="5" t="str">
        <f t="shared" si="414"/>
        <v/>
      </c>
      <c r="S2789" s="5" t="str">
        <f t="shared" si="418"/>
        <v/>
      </c>
      <c r="T2789" s="5" t="str">
        <f t="shared" si="421"/>
        <v/>
      </c>
      <c r="U2789" s="5" t="str">
        <f t="shared" si="421"/>
        <v/>
      </c>
    </row>
    <row r="2790" spans="7:21" x14ac:dyDescent="0.2">
      <c r="G2790" s="8"/>
      <c r="H2790" s="5"/>
      <c r="J2790" s="10" t="str">
        <f t="shared" si="416"/>
        <v/>
      </c>
      <c r="K2790" s="10" t="str">
        <f t="shared" si="417"/>
        <v/>
      </c>
      <c r="L2790" s="11" t="str">
        <f t="shared" si="419"/>
        <v/>
      </c>
      <c r="M2790" s="9" t="str">
        <f>IF(G2790&lt;&gt;"",J2790/MAX(J$3:J2790)-1,"")</f>
        <v/>
      </c>
      <c r="N2790" s="9" t="str">
        <f>IF(G2790&lt;&gt;"",K2790/MAX(K$3:K2790)-1,"")</f>
        <v/>
      </c>
      <c r="O2790" s="16" t="str">
        <f t="shared" si="415"/>
        <v/>
      </c>
      <c r="P2790" s="16" t="str">
        <f t="shared" si="415"/>
        <v/>
      </c>
      <c r="Q2790" s="16" t="str">
        <f t="shared" si="415"/>
        <v/>
      </c>
      <c r="R2790" s="5" t="str">
        <f t="shared" si="414"/>
        <v/>
      </c>
      <c r="S2790" s="5" t="str">
        <f t="shared" si="418"/>
        <v/>
      </c>
      <c r="T2790" s="5" t="str">
        <f t="shared" si="421"/>
        <v/>
      </c>
      <c r="U2790" s="5" t="str">
        <f t="shared" si="421"/>
        <v/>
      </c>
    </row>
    <row r="2791" spans="7:21" x14ac:dyDescent="0.2">
      <c r="G2791" s="8"/>
      <c r="H2791" s="5"/>
      <c r="J2791" s="10" t="str">
        <f t="shared" si="416"/>
        <v/>
      </c>
      <c r="K2791" s="10" t="str">
        <f t="shared" si="417"/>
        <v/>
      </c>
      <c r="L2791" s="11" t="str">
        <f t="shared" si="419"/>
        <v/>
      </c>
      <c r="M2791" s="9" t="str">
        <f>IF(G2791&lt;&gt;"",J2791/MAX(J$3:J2791)-1,"")</f>
        <v/>
      </c>
      <c r="N2791" s="9" t="str">
        <f>IF(G2791&lt;&gt;"",K2791/MAX(K$3:K2791)-1,"")</f>
        <v/>
      </c>
      <c r="O2791" s="16" t="str">
        <f t="shared" si="415"/>
        <v/>
      </c>
      <c r="P2791" s="16" t="str">
        <f t="shared" si="415"/>
        <v/>
      </c>
      <c r="Q2791" s="16" t="str">
        <f t="shared" si="415"/>
        <v/>
      </c>
      <c r="R2791" s="5" t="str">
        <f t="shared" si="414"/>
        <v/>
      </c>
      <c r="S2791" s="5" t="str">
        <f t="shared" si="418"/>
        <v/>
      </c>
      <c r="T2791" s="5" t="str">
        <f t="shared" si="421"/>
        <v/>
      </c>
      <c r="U2791" s="5" t="str">
        <f t="shared" si="421"/>
        <v/>
      </c>
    </row>
    <row r="2792" spans="7:21" x14ac:dyDescent="0.2">
      <c r="G2792" s="8"/>
      <c r="H2792" s="5"/>
      <c r="J2792" s="10" t="str">
        <f t="shared" si="416"/>
        <v/>
      </c>
      <c r="K2792" s="10" t="str">
        <f t="shared" si="417"/>
        <v/>
      </c>
      <c r="L2792" s="11" t="str">
        <f t="shared" si="419"/>
        <v/>
      </c>
      <c r="M2792" s="9" t="str">
        <f>IF(G2792&lt;&gt;"",J2792/MAX(J$3:J2792)-1,"")</f>
        <v/>
      </c>
      <c r="N2792" s="9" t="str">
        <f>IF(G2792&lt;&gt;"",K2792/MAX(K$3:K2792)-1,"")</f>
        <v/>
      </c>
      <c r="O2792" s="16" t="str">
        <f t="shared" si="415"/>
        <v/>
      </c>
      <c r="P2792" s="16" t="str">
        <f t="shared" si="415"/>
        <v/>
      </c>
      <c r="Q2792" s="16" t="str">
        <f t="shared" si="415"/>
        <v/>
      </c>
      <c r="R2792" s="5" t="str">
        <f t="shared" si="414"/>
        <v/>
      </c>
      <c r="S2792" s="5" t="str">
        <f t="shared" si="418"/>
        <v/>
      </c>
      <c r="T2792" s="5" t="str">
        <f t="shared" ref="T2792:U2807" si="422">IF($G2792&lt;&gt;"",_xlfn.STDEV.S(O2548:O2792),"")</f>
        <v/>
      </c>
      <c r="U2792" s="5" t="str">
        <f t="shared" si="422"/>
        <v/>
      </c>
    </row>
    <row r="2793" spans="7:21" x14ac:dyDescent="0.2">
      <c r="G2793" s="8"/>
      <c r="H2793" s="5"/>
      <c r="J2793" s="10" t="str">
        <f t="shared" si="416"/>
        <v/>
      </c>
      <c r="K2793" s="10" t="str">
        <f t="shared" si="417"/>
        <v/>
      </c>
      <c r="L2793" s="11" t="str">
        <f t="shared" si="419"/>
        <v/>
      </c>
      <c r="M2793" s="9" t="str">
        <f>IF(G2793&lt;&gt;"",J2793/MAX(J$3:J2793)-1,"")</f>
        <v/>
      </c>
      <c r="N2793" s="9" t="str">
        <f>IF(G2793&lt;&gt;"",K2793/MAX(K$3:K2793)-1,"")</f>
        <v/>
      </c>
      <c r="O2793" s="16" t="str">
        <f t="shared" si="415"/>
        <v/>
      </c>
      <c r="P2793" s="16" t="str">
        <f t="shared" si="415"/>
        <v/>
      </c>
      <c r="Q2793" s="16" t="str">
        <f t="shared" si="415"/>
        <v/>
      </c>
      <c r="R2793" s="5" t="str">
        <f t="shared" si="414"/>
        <v/>
      </c>
      <c r="S2793" s="5" t="str">
        <f t="shared" si="418"/>
        <v/>
      </c>
      <c r="T2793" s="5" t="str">
        <f t="shared" si="422"/>
        <v/>
      </c>
      <c r="U2793" s="5" t="str">
        <f t="shared" si="422"/>
        <v/>
      </c>
    </row>
    <row r="2794" spans="7:21" x14ac:dyDescent="0.2">
      <c r="G2794" s="8"/>
      <c r="H2794" s="5"/>
      <c r="J2794" s="10" t="str">
        <f t="shared" si="416"/>
        <v/>
      </c>
      <c r="K2794" s="10" t="str">
        <f t="shared" si="417"/>
        <v/>
      </c>
      <c r="L2794" s="11" t="str">
        <f t="shared" si="419"/>
        <v/>
      </c>
      <c r="M2794" s="9" t="str">
        <f>IF(G2794&lt;&gt;"",J2794/MAX(J$3:J2794)-1,"")</f>
        <v/>
      </c>
      <c r="N2794" s="9" t="str">
        <f>IF(G2794&lt;&gt;"",K2794/MAX(K$3:K2794)-1,"")</f>
        <v/>
      </c>
      <c r="O2794" s="16" t="str">
        <f t="shared" si="415"/>
        <v/>
      </c>
      <c r="P2794" s="16" t="str">
        <f t="shared" si="415"/>
        <v/>
      </c>
      <c r="Q2794" s="16" t="str">
        <f t="shared" si="415"/>
        <v/>
      </c>
      <c r="R2794" s="5" t="str">
        <f t="shared" si="414"/>
        <v/>
      </c>
      <c r="S2794" s="5" t="str">
        <f t="shared" si="418"/>
        <v/>
      </c>
      <c r="T2794" s="5" t="str">
        <f t="shared" si="422"/>
        <v/>
      </c>
      <c r="U2794" s="5" t="str">
        <f t="shared" si="422"/>
        <v/>
      </c>
    </row>
    <row r="2795" spans="7:21" x14ac:dyDescent="0.2">
      <c r="G2795" s="8"/>
      <c r="H2795" s="5"/>
      <c r="J2795" s="10" t="str">
        <f t="shared" si="416"/>
        <v/>
      </c>
      <c r="K2795" s="10" t="str">
        <f t="shared" si="417"/>
        <v/>
      </c>
      <c r="L2795" s="11" t="str">
        <f t="shared" si="419"/>
        <v/>
      </c>
      <c r="M2795" s="9" t="str">
        <f>IF(G2795&lt;&gt;"",J2795/MAX(J$3:J2795)-1,"")</f>
        <v/>
      </c>
      <c r="N2795" s="9" t="str">
        <f>IF(G2795&lt;&gt;"",K2795/MAX(K$3:K2795)-1,"")</f>
        <v/>
      </c>
      <c r="O2795" s="16" t="str">
        <f t="shared" si="415"/>
        <v/>
      </c>
      <c r="P2795" s="16" t="str">
        <f t="shared" si="415"/>
        <v/>
      </c>
      <c r="Q2795" s="16" t="str">
        <f t="shared" si="415"/>
        <v/>
      </c>
      <c r="R2795" s="5" t="str">
        <f t="shared" si="414"/>
        <v/>
      </c>
      <c r="S2795" s="5" t="str">
        <f t="shared" si="418"/>
        <v/>
      </c>
      <c r="T2795" s="5" t="str">
        <f t="shared" si="422"/>
        <v/>
      </c>
      <c r="U2795" s="5" t="str">
        <f t="shared" si="422"/>
        <v/>
      </c>
    </row>
    <row r="2796" spans="7:21" x14ac:dyDescent="0.2">
      <c r="G2796" s="8"/>
      <c r="H2796" s="5"/>
      <c r="J2796" s="10" t="str">
        <f t="shared" si="416"/>
        <v/>
      </c>
      <c r="K2796" s="10" t="str">
        <f t="shared" si="417"/>
        <v/>
      </c>
      <c r="L2796" s="11" t="str">
        <f t="shared" si="419"/>
        <v/>
      </c>
      <c r="M2796" s="9" t="str">
        <f>IF(G2796&lt;&gt;"",J2796/MAX(J$3:J2796)-1,"")</f>
        <v/>
      </c>
      <c r="N2796" s="9" t="str">
        <f>IF(G2796&lt;&gt;"",K2796/MAX(K$3:K2796)-1,"")</f>
        <v/>
      </c>
      <c r="O2796" s="16" t="str">
        <f t="shared" si="415"/>
        <v/>
      </c>
      <c r="P2796" s="16" t="str">
        <f t="shared" si="415"/>
        <v/>
      </c>
      <c r="Q2796" s="16" t="str">
        <f t="shared" si="415"/>
        <v/>
      </c>
      <c r="R2796" s="5" t="str">
        <f t="shared" si="414"/>
        <v/>
      </c>
      <c r="S2796" s="5" t="str">
        <f t="shared" si="418"/>
        <v/>
      </c>
      <c r="T2796" s="5" t="str">
        <f t="shared" si="422"/>
        <v/>
      </c>
      <c r="U2796" s="5" t="str">
        <f t="shared" si="422"/>
        <v/>
      </c>
    </row>
    <row r="2797" spans="7:21" x14ac:dyDescent="0.2">
      <c r="G2797" s="8"/>
      <c r="H2797" s="5"/>
      <c r="J2797" s="10" t="str">
        <f t="shared" si="416"/>
        <v/>
      </c>
      <c r="K2797" s="10" t="str">
        <f t="shared" si="417"/>
        <v/>
      </c>
      <c r="L2797" s="11" t="str">
        <f t="shared" si="419"/>
        <v/>
      </c>
      <c r="M2797" s="9" t="str">
        <f>IF(G2797&lt;&gt;"",J2797/MAX(J$3:J2797)-1,"")</f>
        <v/>
      </c>
      <c r="N2797" s="9" t="str">
        <f>IF(G2797&lt;&gt;"",K2797/MAX(K$3:K2797)-1,"")</f>
        <v/>
      </c>
      <c r="O2797" s="16" t="str">
        <f t="shared" si="415"/>
        <v/>
      </c>
      <c r="P2797" s="16" t="str">
        <f t="shared" si="415"/>
        <v/>
      </c>
      <c r="Q2797" s="16" t="str">
        <f t="shared" si="415"/>
        <v/>
      </c>
      <c r="R2797" s="5" t="str">
        <f t="shared" si="414"/>
        <v/>
      </c>
      <c r="S2797" s="5" t="str">
        <f t="shared" si="418"/>
        <v/>
      </c>
      <c r="T2797" s="5" t="str">
        <f t="shared" si="422"/>
        <v/>
      </c>
      <c r="U2797" s="5" t="str">
        <f t="shared" si="422"/>
        <v/>
      </c>
    </row>
    <row r="2798" spans="7:21" x14ac:dyDescent="0.2">
      <c r="G2798" s="8"/>
      <c r="H2798" s="5"/>
      <c r="J2798" s="10" t="str">
        <f t="shared" si="416"/>
        <v/>
      </c>
      <c r="K2798" s="10" t="str">
        <f t="shared" si="417"/>
        <v/>
      </c>
      <c r="L2798" s="11" t="str">
        <f t="shared" si="419"/>
        <v/>
      </c>
      <c r="M2798" s="9" t="str">
        <f>IF(G2798&lt;&gt;"",J2798/MAX(J$3:J2798)-1,"")</f>
        <v/>
      </c>
      <c r="N2798" s="9" t="str">
        <f>IF(G2798&lt;&gt;"",K2798/MAX(K$3:K2798)-1,"")</f>
        <v/>
      </c>
      <c r="O2798" s="16" t="str">
        <f t="shared" si="415"/>
        <v/>
      </c>
      <c r="P2798" s="16" t="str">
        <f t="shared" si="415"/>
        <v/>
      </c>
      <c r="Q2798" s="16" t="str">
        <f t="shared" si="415"/>
        <v/>
      </c>
      <c r="R2798" s="5" t="str">
        <f t="shared" si="414"/>
        <v/>
      </c>
      <c r="S2798" s="5" t="str">
        <f t="shared" si="418"/>
        <v/>
      </c>
      <c r="T2798" s="5" t="str">
        <f t="shared" si="422"/>
        <v/>
      </c>
      <c r="U2798" s="5" t="str">
        <f t="shared" si="422"/>
        <v/>
      </c>
    </row>
    <row r="2799" spans="7:21" x14ac:dyDescent="0.2">
      <c r="G2799" s="8"/>
      <c r="H2799" s="5"/>
      <c r="J2799" s="10" t="str">
        <f t="shared" si="416"/>
        <v/>
      </c>
      <c r="K2799" s="10" t="str">
        <f t="shared" si="417"/>
        <v/>
      </c>
      <c r="L2799" s="11" t="str">
        <f t="shared" si="419"/>
        <v/>
      </c>
      <c r="M2799" s="9" t="str">
        <f>IF(G2799&lt;&gt;"",J2799/MAX(J$3:J2799)-1,"")</f>
        <v/>
      </c>
      <c r="N2799" s="9" t="str">
        <f>IF(G2799&lt;&gt;"",K2799/MAX(K$3:K2799)-1,"")</f>
        <v/>
      </c>
      <c r="O2799" s="16" t="str">
        <f t="shared" si="415"/>
        <v/>
      </c>
      <c r="P2799" s="16" t="str">
        <f t="shared" si="415"/>
        <v/>
      </c>
      <c r="Q2799" s="16" t="str">
        <f t="shared" si="415"/>
        <v/>
      </c>
      <c r="R2799" s="5" t="str">
        <f t="shared" si="414"/>
        <v/>
      </c>
      <c r="S2799" s="5" t="str">
        <f t="shared" si="418"/>
        <v/>
      </c>
      <c r="T2799" s="5" t="str">
        <f t="shared" si="422"/>
        <v/>
      </c>
      <c r="U2799" s="5" t="str">
        <f t="shared" si="422"/>
        <v/>
      </c>
    </row>
    <row r="2800" spans="7:21" x14ac:dyDescent="0.2">
      <c r="G2800" s="8"/>
      <c r="H2800" s="5"/>
      <c r="J2800" s="10" t="str">
        <f t="shared" si="416"/>
        <v/>
      </c>
      <c r="K2800" s="10" t="str">
        <f t="shared" si="417"/>
        <v/>
      </c>
      <c r="L2800" s="11" t="str">
        <f t="shared" si="419"/>
        <v/>
      </c>
      <c r="M2800" s="9" t="str">
        <f>IF(G2800&lt;&gt;"",J2800/MAX(J$3:J2800)-1,"")</f>
        <v/>
      </c>
      <c r="N2800" s="9" t="str">
        <f>IF(G2800&lt;&gt;"",K2800/MAX(K$3:K2800)-1,"")</f>
        <v/>
      </c>
      <c r="O2800" s="16" t="str">
        <f t="shared" si="415"/>
        <v/>
      </c>
      <c r="P2800" s="16" t="str">
        <f t="shared" si="415"/>
        <v/>
      </c>
      <c r="Q2800" s="16" t="str">
        <f t="shared" si="415"/>
        <v/>
      </c>
      <c r="R2800" s="5" t="str">
        <f t="shared" si="414"/>
        <v/>
      </c>
      <c r="S2800" s="5" t="str">
        <f t="shared" si="418"/>
        <v/>
      </c>
      <c r="T2800" s="5" t="str">
        <f t="shared" si="422"/>
        <v/>
      </c>
      <c r="U2800" s="5" t="str">
        <f t="shared" si="422"/>
        <v/>
      </c>
    </row>
    <row r="2801" spans="7:21" x14ac:dyDescent="0.2">
      <c r="G2801" s="8"/>
      <c r="H2801" s="5"/>
      <c r="J2801" s="10" t="str">
        <f t="shared" si="416"/>
        <v/>
      </c>
      <c r="K2801" s="10" t="str">
        <f t="shared" si="417"/>
        <v/>
      </c>
      <c r="L2801" s="11" t="str">
        <f t="shared" si="419"/>
        <v/>
      </c>
      <c r="M2801" s="9" t="str">
        <f>IF(G2801&lt;&gt;"",J2801/MAX(J$3:J2801)-1,"")</f>
        <v/>
      </c>
      <c r="N2801" s="9" t="str">
        <f>IF(G2801&lt;&gt;"",K2801/MAX(K$3:K2801)-1,"")</f>
        <v/>
      </c>
      <c r="O2801" s="16" t="str">
        <f t="shared" si="415"/>
        <v/>
      </c>
      <c r="P2801" s="16" t="str">
        <f t="shared" si="415"/>
        <v/>
      </c>
      <c r="Q2801" s="16" t="str">
        <f t="shared" si="415"/>
        <v/>
      </c>
      <c r="R2801" s="5" t="str">
        <f t="shared" si="414"/>
        <v/>
      </c>
      <c r="S2801" s="5" t="str">
        <f t="shared" si="418"/>
        <v/>
      </c>
      <c r="T2801" s="5" t="str">
        <f t="shared" si="422"/>
        <v/>
      </c>
      <c r="U2801" s="5" t="str">
        <f t="shared" si="422"/>
        <v/>
      </c>
    </row>
    <row r="2802" spans="7:21" x14ac:dyDescent="0.2">
      <c r="G2802" s="8"/>
      <c r="H2802" s="5"/>
      <c r="J2802" s="10" t="str">
        <f t="shared" si="416"/>
        <v/>
      </c>
      <c r="K2802" s="10" t="str">
        <f t="shared" si="417"/>
        <v/>
      </c>
      <c r="L2802" s="11" t="str">
        <f t="shared" si="419"/>
        <v/>
      </c>
      <c r="M2802" s="9" t="str">
        <f>IF(G2802&lt;&gt;"",J2802/MAX(J$3:J2802)-1,"")</f>
        <v/>
      </c>
      <c r="N2802" s="9" t="str">
        <f>IF(G2802&lt;&gt;"",K2802/MAX(K$3:K2802)-1,"")</f>
        <v/>
      </c>
      <c r="O2802" s="16" t="str">
        <f t="shared" si="415"/>
        <v/>
      </c>
      <c r="P2802" s="16" t="str">
        <f t="shared" si="415"/>
        <v/>
      </c>
      <c r="Q2802" s="16" t="str">
        <f t="shared" si="415"/>
        <v/>
      </c>
      <c r="R2802" s="5" t="str">
        <f t="shared" si="414"/>
        <v/>
      </c>
      <c r="S2802" s="5" t="str">
        <f t="shared" si="418"/>
        <v/>
      </c>
      <c r="T2802" s="5" t="str">
        <f t="shared" si="422"/>
        <v/>
      </c>
      <c r="U2802" s="5" t="str">
        <f t="shared" si="422"/>
        <v/>
      </c>
    </row>
    <row r="2803" spans="7:21" x14ac:dyDescent="0.2">
      <c r="G2803" s="8"/>
      <c r="H2803" s="5"/>
      <c r="J2803" s="10" t="str">
        <f t="shared" si="416"/>
        <v/>
      </c>
      <c r="K2803" s="10" t="str">
        <f t="shared" si="417"/>
        <v/>
      </c>
      <c r="L2803" s="11" t="str">
        <f t="shared" si="419"/>
        <v/>
      </c>
      <c r="M2803" s="9" t="str">
        <f>IF(G2803&lt;&gt;"",J2803/MAX(J$3:J2803)-1,"")</f>
        <v/>
      </c>
      <c r="N2803" s="9" t="str">
        <f>IF(G2803&lt;&gt;"",K2803/MAX(K$3:K2803)-1,"")</f>
        <v/>
      </c>
      <c r="O2803" s="16" t="str">
        <f t="shared" si="415"/>
        <v/>
      </c>
      <c r="P2803" s="16" t="str">
        <f t="shared" si="415"/>
        <v/>
      </c>
      <c r="Q2803" s="16" t="str">
        <f t="shared" si="415"/>
        <v/>
      </c>
      <c r="R2803" s="5" t="str">
        <f t="shared" si="414"/>
        <v/>
      </c>
      <c r="S2803" s="5" t="str">
        <f t="shared" si="418"/>
        <v/>
      </c>
      <c r="T2803" s="5" t="str">
        <f t="shared" si="422"/>
        <v/>
      </c>
      <c r="U2803" s="5" t="str">
        <f t="shared" si="422"/>
        <v/>
      </c>
    </row>
    <row r="2804" spans="7:21" x14ac:dyDescent="0.2">
      <c r="G2804" s="8"/>
      <c r="H2804" s="5"/>
      <c r="J2804" s="10" t="str">
        <f t="shared" si="416"/>
        <v/>
      </c>
      <c r="K2804" s="10" t="str">
        <f t="shared" si="417"/>
        <v/>
      </c>
      <c r="L2804" s="11" t="str">
        <f t="shared" si="419"/>
        <v/>
      </c>
      <c r="M2804" s="9" t="str">
        <f>IF(G2804&lt;&gt;"",J2804/MAX(J$3:J2804)-1,"")</f>
        <v/>
      </c>
      <c r="N2804" s="9" t="str">
        <f>IF(G2804&lt;&gt;"",K2804/MAX(K$3:K2804)-1,"")</f>
        <v/>
      </c>
      <c r="O2804" s="16" t="str">
        <f t="shared" si="415"/>
        <v/>
      </c>
      <c r="P2804" s="16" t="str">
        <f t="shared" si="415"/>
        <v/>
      </c>
      <c r="Q2804" s="16" t="str">
        <f t="shared" si="415"/>
        <v/>
      </c>
      <c r="R2804" s="5" t="str">
        <f t="shared" si="414"/>
        <v/>
      </c>
      <c r="S2804" s="5" t="str">
        <f t="shared" si="418"/>
        <v/>
      </c>
      <c r="T2804" s="5" t="str">
        <f t="shared" si="422"/>
        <v/>
      </c>
      <c r="U2804" s="5" t="str">
        <f t="shared" si="422"/>
        <v/>
      </c>
    </row>
    <row r="2805" spans="7:21" x14ac:dyDescent="0.2">
      <c r="G2805" s="8"/>
      <c r="H2805" s="5"/>
      <c r="J2805" s="10" t="str">
        <f t="shared" si="416"/>
        <v/>
      </c>
      <c r="K2805" s="10" t="str">
        <f t="shared" si="417"/>
        <v/>
      </c>
      <c r="L2805" s="11" t="str">
        <f t="shared" si="419"/>
        <v/>
      </c>
      <c r="M2805" s="9" t="str">
        <f>IF(G2805&lt;&gt;"",J2805/MAX(J$3:J2805)-1,"")</f>
        <v/>
      </c>
      <c r="N2805" s="9" t="str">
        <f>IF(G2805&lt;&gt;"",K2805/MAX(K$3:K2805)-1,"")</f>
        <v/>
      </c>
      <c r="O2805" s="16" t="str">
        <f t="shared" si="415"/>
        <v/>
      </c>
      <c r="P2805" s="16" t="str">
        <f t="shared" si="415"/>
        <v/>
      </c>
      <c r="Q2805" s="16" t="str">
        <f t="shared" si="415"/>
        <v/>
      </c>
      <c r="R2805" s="5" t="str">
        <f t="shared" si="414"/>
        <v/>
      </c>
      <c r="S2805" s="5" t="str">
        <f t="shared" si="418"/>
        <v/>
      </c>
      <c r="T2805" s="5" t="str">
        <f t="shared" si="422"/>
        <v/>
      </c>
      <c r="U2805" s="5" t="str">
        <f t="shared" si="422"/>
        <v/>
      </c>
    </row>
    <row r="2806" spans="7:21" x14ac:dyDescent="0.2">
      <c r="G2806" s="8"/>
      <c r="H2806" s="5"/>
      <c r="J2806" s="10" t="str">
        <f t="shared" si="416"/>
        <v/>
      </c>
      <c r="K2806" s="10" t="str">
        <f t="shared" si="417"/>
        <v/>
      </c>
      <c r="L2806" s="11" t="str">
        <f t="shared" si="419"/>
        <v/>
      </c>
      <c r="M2806" s="9" t="str">
        <f>IF(G2806&lt;&gt;"",J2806/MAX(J$3:J2806)-1,"")</f>
        <v/>
      </c>
      <c r="N2806" s="9" t="str">
        <f>IF(G2806&lt;&gt;"",K2806/MAX(K$3:K2806)-1,"")</f>
        <v/>
      </c>
      <c r="O2806" s="16" t="str">
        <f t="shared" si="415"/>
        <v/>
      </c>
      <c r="P2806" s="16" t="str">
        <f t="shared" si="415"/>
        <v/>
      </c>
      <c r="Q2806" s="16" t="str">
        <f t="shared" si="415"/>
        <v/>
      </c>
      <c r="R2806" s="5" t="str">
        <f t="shared" si="414"/>
        <v/>
      </c>
      <c r="S2806" s="5" t="str">
        <f t="shared" si="418"/>
        <v/>
      </c>
      <c r="T2806" s="5" t="str">
        <f t="shared" si="422"/>
        <v/>
      </c>
      <c r="U2806" s="5" t="str">
        <f t="shared" si="422"/>
        <v/>
      </c>
    </row>
    <row r="2807" spans="7:21" x14ac:dyDescent="0.2">
      <c r="G2807" s="8"/>
      <c r="H2807" s="5"/>
      <c r="J2807" s="10" t="str">
        <f t="shared" si="416"/>
        <v/>
      </c>
      <c r="K2807" s="10" t="str">
        <f t="shared" si="417"/>
        <v/>
      </c>
      <c r="L2807" s="11" t="str">
        <f t="shared" si="419"/>
        <v/>
      </c>
      <c r="M2807" s="9" t="str">
        <f>IF(G2807&lt;&gt;"",J2807/MAX(J$3:J2807)-1,"")</f>
        <v/>
      </c>
      <c r="N2807" s="9" t="str">
        <f>IF(G2807&lt;&gt;"",K2807/MAX(K$3:K2807)-1,"")</f>
        <v/>
      </c>
      <c r="O2807" s="16" t="str">
        <f t="shared" si="415"/>
        <v/>
      </c>
      <c r="P2807" s="16" t="str">
        <f t="shared" si="415"/>
        <v/>
      </c>
      <c r="Q2807" s="16" t="str">
        <f t="shared" si="415"/>
        <v/>
      </c>
      <c r="R2807" s="5" t="str">
        <f t="shared" si="414"/>
        <v/>
      </c>
      <c r="S2807" s="5" t="str">
        <f t="shared" si="418"/>
        <v/>
      </c>
      <c r="T2807" s="5" t="str">
        <f t="shared" si="422"/>
        <v/>
      </c>
      <c r="U2807" s="5" t="str">
        <f t="shared" si="422"/>
        <v/>
      </c>
    </row>
    <row r="2808" spans="7:21" x14ac:dyDescent="0.2">
      <c r="G2808" s="8"/>
      <c r="H2808" s="5"/>
      <c r="J2808" s="10" t="str">
        <f t="shared" si="416"/>
        <v/>
      </c>
      <c r="K2808" s="10" t="str">
        <f t="shared" si="417"/>
        <v/>
      </c>
      <c r="L2808" s="11" t="str">
        <f t="shared" si="419"/>
        <v/>
      </c>
      <c r="M2808" s="9" t="str">
        <f>IF(G2808&lt;&gt;"",J2808/MAX(J$3:J2808)-1,"")</f>
        <v/>
      </c>
      <c r="N2808" s="9" t="str">
        <f>IF(G2808&lt;&gt;"",K2808/MAX(K$3:K2808)-1,"")</f>
        <v/>
      </c>
      <c r="O2808" s="16" t="str">
        <f t="shared" si="415"/>
        <v/>
      </c>
      <c r="P2808" s="16" t="str">
        <f t="shared" si="415"/>
        <v/>
      </c>
      <c r="Q2808" s="16" t="str">
        <f t="shared" si="415"/>
        <v/>
      </c>
      <c r="R2808" s="5" t="str">
        <f t="shared" si="414"/>
        <v/>
      </c>
      <c r="S2808" s="5" t="str">
        <f t="shared" si="418"/>
        <v/>
      </c>
      <c r="T2808" s="5" t="str">
        <f t="shared" ref="T2808:U2823" si="423">IF($G2808&lt;&gt;"",_xlfn.STDEV.S(O2564:O2808),"")</f>
        <v/>
      </c>
      <c r="U2808" s="5" t="str">
        <f t="shared" si="423"/>
        <v/>
      </c>
    </row>
    <row r="2809" spans="7:21" x14ac:dyDescent="0.2">
      <c r="G2809" s="8"/>
      <c r="H2809" s="5"/>
      <c r="J2809" s="10" t="str">
        <f t="shared" si="416"/>
        <v/>
      </c>
      <c r="K2809" s="10" t="str">
        <f t="shared" si="417"/>
        <v/>
      </c>
      <c r="L2809" s="11" t="str">
        <f t="shared" si="419"/>
        <v/>
      </c>
      <c r="M2809" s="9" t="str">
        <f>IF(G2809&lt;&gt;"",J2809/MAX(J$3:J2809)-1,"")</f>
        <v/>
      </c>
      <c r="N2809" s="9" t="str">
        <f>IF(G2809&lt;&gt;"",K2809/MAX(K$3:K2809)-1,"")</f>
        <v/>
      </c>
      <c r="O2809" s="16" t="str">
        <f t="shared" si="415"/>
        <v/>
      </c>
      <c r="P2809" s="16" t="str">
        <f t="shared" si="415"/>
        <v/>
      </c>
      <c r="Q2809" s="16" t="str">
        <f t="shared" si="415"/>
        <v/>
      </c>
      <c r="R2809" s="5" t="str">
        <f t="shared" si="414"/>
        <v/>
      </c>
      <c r="S2809" s="5" t="str">
        <f t="shared" si="418"/>
        <v/>
      </c>
      <c r="T2809" s="5" t="str">
        <f t="shared" si="423"/>
        <v/>
      </c>
      <c r="U2809" s="5" t="str">
        <f t="shared" si="423"/>
        <v/>
      </c>
    </row>
    <row r="2810" spans="7:21" x14ac:dyDescent="0.2">
      <c r="G2810" s="8"/>
      <c r="H2810" s="5"/>
      <c r="J2810" s="10" t="str">
        <f t="shared" si="416"/>
        <v/>
      </c>
      <c r="K2810" s="10" t="str">
        <f t="shared" si="417"/>
        <v/>
      </c>
      <c r="L2810" s="11" t="str">
        <f t="shared" si="419"/>
        <v/>
      </c>
      <c r="M2810" s="9" t="str">
        <f>IF(G2810&lt;&gt;"",J2810/MAX(J$3:J2810)-1,"")</f>
        <v/>
      </c>
      <c r="N2810" s="9" t="str">
        <f>IF(G2810&lt;&gt;"",K2810/MAX(K$3:K2810)-1,"")</f>
        <v/>
      </c>
      <c r="O2810" s="16" t="str">
        <f t="shared" si="415"/>
        <v/>
      </c>
      <c r="P2810" s="16" t="str">
        <f t="shared" si="415"/>
        <v/>
      </c>
      <c r="Q2810" s="16" t="str">
        <f t="shared" si="415"/>
        <v/>
      </c>
      <c r="R2810" s="5" t="str">
        <f t="shared" si="414"/>
        <v/>
      </c>
      <c r="S2810" s="5" t="str">
        <f t="shared" si="418"/>
        <v/>
      </c>
      <c r="T2810" s="5" t="str">
        <f t="shared" si="423"/>
        <v/>
      </c>
      <c r="U2810" s="5" t="str">
        <f t="shared" si="423"/>
        <v/>
      </c>
    </row>
    <row r="2811" spans="7:21" x14ac:dyDescent="0.2">
      <c r="G2811" s="8"/>
      <c r="H2811" s="5"/>
      <c r="J2811" s="10" t="str">
        <f t="shared" si="416"/>
        <v/>
      </c>
      <c r="K2811" s="10" t="str">
        <f t="shared" si="417"/>
        <v/>
      </c>
      <c r="L2811" s="11" t="str">
        <f t="shared" si="419"/>
        <v/>
      </c>
      <c r="M2811" s="9" t="str">
        <f>IF(G2811&lt;&gt;"",J2811/MAX(J$3:J2811)-1,"")</f>
        <v/>
      </c>
      <c r="N2811" s="9" t="str">
        <f>IF(G2811&lt;&gt;"",K2811/MAX(K$3:K2811)-1,"")</f>
        <v/>
      </c>
      <c r="O2811" s="16" t="str">
        <f t="shared" si="415"/>
        <v/>
      </c>
      <c r="P2811" s="16" t="str">
        <f t="shared" si="415"/>
        <v/>
      </c>
      <c r="Q2811" s="16" t="str">
        <f t="shared" si="415"/>
        <v/>
      </c>
      <c r="R2811" s="5" t="str">
        <f t="shared" si="414"/>
        <v/>
      </c>
      <c r="S2811" s="5" t="str">
        <f t="shared" si="418"/>
        <v/>
      </c>
      <c r="T2811" s="5" t="str">
        <f t="shared" si="423"/>
        <v/>
      </c>
      <c r="U2811" s="5" t="str">
        <f t="shared" si="423"/>
        <v/>
      </c>
    </row>
    <row r="2812" spans="7:21" x14ac:dyDescent="0.2">
      <c r="G2812" s="8"/>
      <c r="H2812" s="5"/>
      <c r="J2812" s="10" t="str">
        <f t="shared" si="416"/>
        <v/>
      </c>
      <c r="K2812" s="10" t="str">
        <f t="shared" si="417"/>
        <v/>
      </c>
      <c r="L2812" s="11" t="str">
        <f t="shared" si="419"/>
        <v/>
      </c>
      <c r="M2812" s="9" t="str">
        <f>IF(G2812&lt;&gt;"",J2812/MAX(J$3:J2812)-1,"")</f>
        <v/>
      </c>
      <c r="N2812" s="9" t="str">
        <f>IF(G2812&lt;&gt;"",K2812/MAX(K$3:K2812)-1,"")</f>
        <v/>
      </c>
      <c r="O2812" s="16" t="str">
        <f t="shared" si="415"/>
        <v/>
      </c>
      <c r="P2812" s="16" t="str">
        <f t="shared" si="415"/>
        <v/>
      </c>
      <c r="Q2812" s="16" t="str">
        <f t="shared" si="415"/>
        <v/>
      </c>
      <c r="R2812" s="5" t="str">
        <f t="shared" si="414"/>
        <v/>
      </c>
      <c r="S2812" s="5" t="str">
        <f t="shared" si="418"/>
        <v/>
      </c>
      <c r="T2812" s="5" t="str">
        <f t="shared" si="423"/>
        <v/>
      </c>
      <c r="U2812" s="5" t="str">
        <f t="shared" si="423"/>
        <v/>
      </c>
    </row>
    <row r="2813" spans="7:21" x14ac:dyDescent="0.2">
      <c r="G2813" s="8"/>
      <c r="H2813" s="5"/>
      <c r="J2813" s="10" t="str">
        <f t="shared" si="416"/>
        <v/>
      </c>
      <c r="K2813" s="10" t="str">
        <f t="shared" si="417"/>
        <v/>
      </c>
      <c r="L2813" s="11" t="str">
        <f t="shared" si="419"/>
        <v/>
      </c>
      <c r="M2813" s="9" t="str">
        <f>IF(G2813&lt;&gt;"",J2813/MAX(J$3:J2813)-1,"")</f>
        <v/>
      </c>
      <c r="N2813" s="9" t="str">
        <f>IF(G2813&lt;&gt;"",K2813/MAX(K$3:K2813)-1,"")</f>
        <v/>
      </c>
      <c r="O2813" s="16" t="str">
        <f t="shared" si="415"/>
        <v/>
      </c>
      <c r="P2813" s="16" t="str">
        <f t="shared" si="415"/>
        <v/>
      </c>
      <c r="Q2813" s="16" t="str">
        <f t="shared" si="415"/>
        <v/>
      </c>
      <c r="R2813" s="5" t="str">
        <f t="shared" ref="R2813:R2876" si="424">IF(G2813&lt;&gt;"",_xlfn.STDEV.S(Q2692:Q2813)*SQRT($B$5),"")</f>
        <v/>
      </c>
      <c r="S2813" s="5" t="str">
        <f t="shared" si="418"/>
        <v/>
      </c>
      <c r="T2813" s="5" t="str">
        <f t="shared" si="423"/>
        <v/>
      </c>
      <c r="U2813" s="5" t="str">
        <f t="shared" si="423"/>
        <v/>
      </c>
    </row>
    <row r="2814" spans="7:21" x14ac:dyDescent="0.2">
      <c r="G2814" s="8"/>
      <c r="H2814" s="5"/>
      <c r="J2814" s="10" t="str">
        <f t="shared" si="416"/>
        <v/>
      </c>
      <c r="K2814" s="10" t="str">
        <f t="shared" si="417"/>
        <v/>
      </c>
      <c r="L2814" s="11" t="str">
        <f t="shared" si="419"/>
        <v/>
      </c>
      <c r="M2814" s="9" t="str">
        <f>IF(G2814&lt;&gt;"",J2814/MAX(J$3:J2814)-1,"")</f>
        <v/>
      </c>
      <c r="N2814" s="9" t="str">
        <f>IF(G2814&lt;&gt;"",K2814/MAX(K$3:K2814)-1,"")</f>
        <v/>
      </c>
      <c r="O2814" s="16" t="str">
        <f t="shared" si="415"/>
        <v/>
      </c>
      <c r="P2814" s="16" t="str">
        <f t="shared" si="415"/>
        <v/>
      </c>
      <c r="Q2814" s="16" t="str">
        <f t="shared" si="415"/>
        <v/>
      </c>
      <c r="R2814" s="5" t="str">
        <f t="shared" si="424"/>
        <v/>
      </c>
      <c r="S2814" s="5" t="str">
        <f t="shared" si="418"/>
        <v/>
      </c>
      <c r="T2814" s="5" t="str">
        <f t="shared" si="423"/>
        <v/>
      </c>
      <c r="U2814" s="5" t="str">
        <f t="shared" si="423"/>
        <v/>
      </c>
    </row>
    <row r="2815" spans="7:21" x14ac:dyDescent="0.2">
      <c r="G2815" s="8"/>
      <c r="H2815" s="5"/>
      <c r="J2815" s="10" t="str">
        <f t="shared" si="416"/>
        <v/>
      </c>
      <c r="K2815" s="10" t="str">
        <f t="shared" si="417"/>
        <v/>
      </c>
      <c r="L2815" s="11" t="str">
        <f t="shared" si="419"/>
        <v/>
      </c>
      <c r="M2815" s="9" t="str">
        <f>IF(G2815&lt;&gt;"",J2815/MAX(J$3:J2815)-1,"")</f>
        <v/>
      </c>
      <c r="N2815" s="9" t="str">
        <f>IF(G2815&lt;&gt;"",K2815/MAX(K$3:K2815)-1,"")</f>
        <v/>
      </c>
      <c r="O2815" s="16" t="str">
        <f t="shared" si="415"/>
        <v/>
      </c>
      <c r="P2815" s="16" t="str">
        <f t="shared" si="415"/>
        <v/>
      </c>
      <c r="Q2815" s="16" t="str">
        <f t="shared" si="415"/>
        <v/>
      </c>
      <c r="R2815" s="5" t="str">
        <f t="shared" si="424"/>
        <v/>
      </c>
      <c r="S2815" s="5" t="str">
        <f t="shared" si="418"/>
        <v/>
      </c>
      <c r="T2815" s="5" t="str">
        <f t="shared" si="423"/>
        <v/>
      </c>
      <c r="U2815" s="5" t="str">
        <f t="shared" si="423"/>
        <v/>
      </c>
    </row>
    <row r="2816" spans="7:21" x14ac:dyDescent="0.2">
      <c r="G2816" s="8"/>
      <c r="H2816" s="5"/>
      <c r="J2816" s="10" t="str">
        <f t="shared" si="416"/>
        <v/>
      </c>
      <c r="K2816" s="10" t="str">
        <f t="shared" si="417"/>
        <v/>
      </c>
      <c r="L2816" s="11" t="str">
        <f t="shared" si="419"/>
        <v/>
      </c>
      <c r="M2816" s="9" t="str">
        <f>IF(G2816&lt;&gt;"",J2816/MAX(J$3:J2816)-1,"")</f>
        <v/>
      </c>
      <c r="N2816" s="9" t="str">
        <f>IF(G2816&lt;&gt;"",K2816/MAX(K$3:K2816)-1,"")</f>
        <v/>
      </c>
      <c r="O2816" s="16" t="str">
        <f t="shared" si="415"/>
        <v/>
      </c>
      <c r="P2816" s="16" t="str">
        <f t="shared" si="415"/>
        <v/>
      </c>
      <c r="Q2816" s="16" t="str">
        <f t="shared" si="415"/>
        <v/>
      </c>
      <c r="R2816" s="5" t="str">
        <f t="shared" si="424"/>
        <v/>
      </c>
      <c r="S2816" s="5" t="str">
        <f t="shared" si="418"/>
        <v/>
      </c>
      <c r="T2816" s="5" t="str">
        <f t="shared" si="423"/>
        <v/>
      </c>
      <c r="U2816" s="5" t="str">
        <f t="shared" si="423"/>
        <v/>
      </c>
    </row>
    <row r="2817" spans="7:21" x14ac:dyDescent="0.2">
      <c r="G2817" s="8"/>
      <c r="H2817" s="5"/>
      <c r="J2817" s="10" t="str">
        <f t="shared" si="416"/>
        <v/>
      </c>
      <c r="K2817" s="10" t="str">
        <f t="shared" si="417"/>
        <v/>
      </c>
      <c r="L2817" s="11" t="str">
        <f t="shared" si="419"/>
        <v/>
      </c>
      <c r="M2817" s="9" t="str">
        <f>IF(G2817&lt;&gt;"",J2817/MAX(J$3:J2817)-1,"")</f>
        <v/>
      </c>
      <c r="N2817" s="9" t="str">
        <f>IF(G2817&lt;&gt;"",K2817/MAX(K$3:K2817)-1,"")</f>
        <v/>
      </c>
      <c r="O2817" s="16" t="str">
        <f t="shared" si="415"/>
        <v/>
      </c>
      <c r="P2817" s="16" t="str">
        <f t="shared" si="415"/>
        <v/>
      </c>
      <c r="Q2817" s="16" t="str">
        <f t="shared" si="415"/>
        <v/>
      </c>
      <c r="R2817" s="5" t="str">
        <f t="shared" si="424"/>
        <v/>
      </c>
      <c r="S2817" s="5" t="str">
        <f t="shared" si="418"/>
        <v/>
      </c>
      <c r="T2817" s="5" t="str">
        <f t="shared" si="423"/>
        <v/>
      </c>
      <c r="U2817" s="5" t="str">
        <f t="shared" si="423"/>
        <v/>
      </c>
    </row>
    <row r="2818" spans="7:21" x14ac:dyDescent="0.2">
      <c r="G2818" s="8"/>
      <c r="H2818" s="5"/>
      <c r="J2818" s="10" t="str">
        <f t="shared" si="416"/>
        <v/>
      </c>
      <c r="K2818" s="10" t="str">
        <f t="shared" si="417"/>
        <v/>
      </c>
      <c r="L2818" s="11" t="str">
        <f t="shared" si="419"/>
        <v/>
      </c>
      <c r="M2818" s="9" t="str">
        <f>IF(G2818&lt;&gt;"",J2818/MAX(J$3:J2818)-1,"")</f>
        <v/>
      </c>
      <c r="N2818" s="9" t="str">
        <f>IF(G2818&lt;&gt;"",K2818/MAX(K$3:K2818)-1,"")</f>
        <v/>
      </c>
      <c r="O2818" s="16" t="str">
        <f t="shared" ref="O2818:Q2881" si="425">IF($G2818&lt;&gt;"",J2818/J2817-1,"")</f>
        <v/>
      </c>
      <c r="P2818" s="16" t="str">
        <f t="shared" si="425"/>
        <v/>
      </c>
      <c r="Q2818" s="16" t="str">
        <f t="shared" si="425"/>
        <v/>
      </c>
      <c r="R2818" s="5" t="str">
        <f t="shared" si="424"/>
        <v/>
      </c>
      <c r="S2818" s="5" t="str">
        <f t="shared" si="418"/>
        <v/>
      </c>
      <c r="T2818" s="5" t="str">
        <f t="shared" si="423"/>
        <v/>
      </c>
      <c r="U2818" s="5" t="str">
        <f t="shared" si="423"/>
        <v/>
      </c>
    </row>
    <row r="2819" spans="7:21" x14ac:dyDescent="0.2">
      <c r="G2819" s="8"/>
      <c r="H2819" s="5"/>
      <c r="J2819" s="10" t="str">
        <f t="shared" si="416"/>
        <v/>
      </c>
      <c r="K2819" s="10" t="str">
        <f t="shared" si="417"/>
        <v/>
      </c>
      <c r="L2819" s="11" t="str">
        <f t="shared" si="419"/>
        <v/>
      </c>
      <c r="M2819" s="9" t="str">
        <f>IF(G2819&lt;&gt;"",J2819/MAX(J$3:J2819)-1,"")</f>
        <v/>
      </c>
      <c r="N2819" s="9" t="str">
        <f>IF(G2819&lt;&gt;"",K2819/MAX(K$3:K2819)-1,"")</f>
        <v/>
      </c>
      <c r="O2819" s="16" t="str">
        <f t="shared" si="425"/>
        <v/>
      </c>
      <c r="P2819" s="16" t="str">
        <f t="shared" si="425"/>
        <v/>
      </c>
      <c r="Q2819" s="16" t="str">
        <f t="shared" si="425"/>
        <v/>
      </c>
      <c r="R2819" s="5" t="str">
        <f t="shared" si="424"/>
        <v/>
      </c>
      <c r="S2819" s="5" t="str">
        <f t="shared" si="418"/>
        <v/>
      </c>
      <c r="T2819" s="5" t="str">
        <f t="shared" si="423"/>
        <v/>
      </c>
      <c r="U2819" s="5" t="str">
        <f t="shared" si="423"/>
        <v/>
      </c>
    </row>
    <row r="2820" spans="7:21" x14ac:dyDescent="0.2">
      <c r="G2820" s="8"/>
      <c r="H2820" s="5"/>
      <c r="J2820" s="10" t="str">
        <f t="shared" ref="J2820:J2883" si="426">IF(G2820&lt;&gt;"",1+H2820,"")</f>
        <v/>
      </c>
      <c r="K2820" s="10" t="str">
        <f t="shared" ref="K2820:K2883" si="427">IF(G2820&lt;&gt;"",1+I2820,"")</f>
        <v/>
      </c>
      <c r="L2820" s="11" t="str">
        <f t="shared" si="419"/>
        <v/>
      </c>
      <c r="M2820" s="9" t="str">
        <f>IF(G2820&lt;&gt;"",J2820/MAX(J$3:J2820)-1,"")</f>
        <v/>
      </c>
      <c r="N2820" s="9" t="str">
        <f>IF(G2820&lt;&gt;"",K2820/MAX(K$3:K2820)-1,"")</f>
        <v/>
      </c>
      <c r="O2820" s="16" t="str">
        <f t="shared" si="425"/>
        <v/>
      </c>
      <c r="P2820" s="16" t="str">
        <f t="shared" si="425"/>
        <v/>
      </c>
      <c r="Q2820" s="16" t="str">
        <f t="shared" si="425"/>
        <v/>
      </c>
      <c r="R2820" s="5" t="str">
        <f t="shared" si="424"/>
        <v/>
      </c>
      <c r="S2820" s="5" t="str">
        <f t="shared" ref="S2820:S2883" si="428">IF(R2820&lt;&gt;"",B$12,"")</f>
        <v/>
      </c>
      <c r="T2820" s="5" t="str">
        <f t="shared" si="423"/>
        <v/>
      </c>
      <c r="U2820" s="5" t="str">
        <f t="shared" si="423"/>
        <v/>
      </c>
    </row>
    <row r="2821" spans="7:21" x14ac:dyDescent="0.2">
      <c r="G2821" s="8"/>
      <c r="H2821" s="5"/>
      <c r="J2821" s="10" t="str">
        <f t="shared" si="426"/>
        <v/>
      </c>
      <c r="K2821" s="10" t="str">
        <f t="shared" si="427"/>
        <v/>
      </c>
      <c r="L2821" s="11" t="str">
        <f t="shared" ref="L2821:L2884" si="429">IF(G2821&lt;&gt;"",J2821/K2821,"")</f>
        <v/>
      </c>
      <c r="M2821" s="9" t="str">
        <f>IF(G2821&lt;&gt;"",J2821/MAX(J$3:J2821)-1,"")</f>
        <v/>
      </c>
      <c r="N2821" s="9" t="str">
        <f>IF(G2821&lt;&gt;"",K2821/MAX(K$3:K2821)-1,"")</f>
        <v/>
      </c>
      <c r="O2821" s="16" t="str">
        <f t="shared" si="425"/>
        <v/>
      </c>
      <c r="P2821" s="16" t="str">
        <f t="shared" si="425"/>
        <v/>
      </c>
      <c r="Q2821" s="16" t="str">
        <f t="shared" si="425"/>
        <v/>
      </c>
      <c r="R2821" s="5" t="str">
        <f t="shared" si="424"/>
        <v/>
      </c>
      <c r="S2821" s="5" t="str">
        <f t="shared" si="428"/>
        <v/>
      </c>
      <c r="T2821" s="5" t="str">
        <f t="shared" si="423"/>
        <v/>
      </c>
      <c r="U2821" s="5" t="str">
        <f t="shared" si="423"/>
        <v/>
      </c>
    </row>
    <row r="2822" spans="7:21" x14ac:dyDescent="0.2">
      <c r="G2822" s="8"/>
      <c r="H2822" s="5"/>
      <c r="J2822" s="10" t="str">
        <f t="shared" si="426"/>
        <v/>
      </c>
      <c r="K2822" s="10" t="str">
        <f t="shared" si="427"/>
        <v/>
      </c>
      <c r="L2822" s="11" t="str">
        <f t="shared" si="429"/>
        <v/>
      </c>
      <c r="M2822" s="9" t="str">
        <f>IF(G2822&lt;&gt;"",J2822/MAX(J$3:J2822)-1,"")</f>
        <v/>
      </c>
      <c r="N2822" s="9" t="str">
        <f>IF(G2822&lt;&gt;"",K2822/MAX(K$3:K2822)-1,"")</f>
        <v/>
      </c>
      <c r="O2822" s="16" t="str">
        <f t="shared" si="425"/>
        <v/>
      </c>
      <c r="P2822" s="16" t="str">
        <f t="shared" si="425"/>
        <v/>
      </c>
      <c r="Q2822" s="16" t="str">
        <f t="shared" si="425"/>
        <v/>
      </c>
      <c r="R2822" s="5" t="str">
        <f t="shared" si="424"/>
        <v/>
      </c>
      <c r="S2822" s="5" t="str">
        <f t="shared" si="428"/>
        <v/>
      </c>
      <c r="T2822" s="5" t="str">
        <f t="shared" si="423"/>
        <v/>
      </c>
      <c r="U2822" s="5" t="str">
        <f t="shared" si="423"/>
        <v/>
      </c>
    </row>
    <row r="2823" spans="7:21" x14ac:dyDescent="0.2">
      <c r="G2823" s="8"/>
      <c r="H2823" s="5"/>
      <c r="J2823" s="10" t="str">
        <f t="shared" si="426"/>
        <v/>
      </c>
      <c r="K2823" s="10" t="str">
        <f t="shared" si="427"/>
        <v/>
      </c>
      <c r="L2823" s="11" t="str">
        <f t="shared" si="429"/>
        <v/>
      </c>
      <c r="M2823" s="9" t="str">
        <f>IF(G2823&lt;&gt;"",J2823/MAX(J$3:J2823)-1,"")</f>
        <v/>
      </c>
      <c r="N2823" s="9" t="str">
        <f>IF(G2823&lt;&gt;"",K2823/MAX(K$3:K2823)-1,"")</f>
        <v/>
      </c>
      <c r="O2823" s="16" t="str">
        <f t="shared" si="425"/>
        <v/>
      </c>
      <c r="P2823" s="16" t="str">
        <f t="shared" si="425"/>
        <v/>
      </c>
      <c r="Q2823" s="16" t="str">
        <f t="shared" si="425"/>
        <v/>
      </c>
      <c r="R2823" s="5" t="str">
        <f t="shared" si="424"/>
        <v/>
      </c>
      <c r="S2823" s="5" t="str">
        <f t="shared" si="428"/>
        <v/>
      </c>
      <c r="T2823" s="5" t="str">
        <f t="shared" si="423"/>
        <v/>
      </c>
      <c r="U2823" s="5" t="str">
        <f t="shared" si="423"/>
        <v/>
      </c>
    </row>
    <row r="2824" spans="7:21" x14ac:dyDescent="0.2">
      <c r="G2824" s="8"/>
      <c r="H2824" s="5"/>
      <c r="J2824" s="10" t="str">
        <f t="shared" si="426"/>
        <v/>
      </c>
      <c r="K2824" s="10" t="str">
        <f t="shared" si="427"/>
        <v/>
      </c>
      <c r="L2824" s="11" t="str">
        <f t="shared" si="429"/>
        <v/>
      </c>
      <c r="M2824" s="9" t="str">
        <f>IF(G2824&lt;&gt;"",J2824/MAX(J$3:J2824)-1,"")</f>
        <v/>
      </c>
      <c r="N2824" s="9" t="str">
        <f>IF(G2824&lt;&gt;"",K2824/MAX(K$3:K2824)-1,"")</f>
        <v/>
      </c>
      <c r="O2824" s="16" t="str">
        <f t="shared" si="425"/>
        <v/>
      </c>
      <c r="P2824" s="16" t="str">
        <f t="shared" si="425"/>
        <v/>
      </c>
      <c r="Q2824" s="16" t="str">
        <f t="shared" si="425"/>
        <v/>
      </c>
      <c r="R2824" s="5" t="str">
        <f t="shared" si="424"/>
        <v/>
      </c>
      <c r="S2824" s="5" t="str">
        <f t="shared" si="428"/>
        <v/>
      </c>
      <c r="T2824" s="5" t="str">
        <f t="shared" ref="T2824:U2839" si="430">IF($G2824&lt;&gt;"",_xlfn.STDEV.S(O2580:O2824),"")</f>
        <v/>
      </c>
      <c r="U2824" s="5" t="str">
        <f t="shared" si="430"/>
        <v/>
      </c>
    </row>
    <row r="2825" spans="7:21" x14ac:dyDescent="0.2">
      <c r="G2825" s="8"/>
      <c r="H2825" s="5"/>
      <c r="J2825" s="10" t="str">
        <f t="shared" si="426"/>
        <v/>
      </c>
      <c r="K2825" s="10" t="str">
        <f t="shared" si="427"/>
        <v/>
      </c>
      <c r="L2825" s="11" t="str">
        <f t="shared" si="429"/>
        <v/>
      </c>
      <c r="M2825" s="9" t="str">
        <f>IF(G2825&lt;&gt;"",J2825/MAX(J$3:J2825)-1,"")</f>
        <v/>
      </c>
      <c r="N2825" s="9" t="str">
        <f>IF(G2825&lt;&gt;"",K2825/MAX(K$3:K2825)-1,"")</f>
        <v/>
      </c>
      <c r="O2825" s="16" t="str">
        <f t="shared" si="425"/>
        <v/>
      </c>
      <c r="P2825" s="16" t="str">
        <f t="shared" si="425"/>
        <v/>
      </c>
      <c r="Q2825" s="16" t="str">
        <f t="shared" si="425"/>
        <v/>
      </c>
      <c r="R2825" s="5" t="str">
        <f t="shared" si="424"/>
        <v/>
      </c>
      <c r="S2825" s="5" t="str">
        <f t="shared" si="428"/>
        <v/>
      </c>
      <c r="T2825" s="5" t="str">
        <f t="shared" si="430"/>
        <v/>
      </c>
      <c r="U2825" s="5" t="str">
        <f t="shared" si="430"/>
        <v/>
      </c>
    </row>
    <row r="2826" spans="7:21" x14ac:dyDescent="0.2">
      <c r="G2826" s="8"/>
      <c r="H2826" s="5"/>
      <c r="J2826" s="10" t="str">
        <f t="shared" si="426"/>
        <v/>
      </c>
      <c r="K2826" s="10" t="str">
        <f t="shared" si="427"/>
        <v/>
      </c>
      <c r="L2826" s="11" t="str">
        <f t="shared" si="429"/>
        <v/>
      </c>
      <c r="M2826" s="9" t="str">
        <f>IF(G2826&lt;&gt;"",J2826/MAX(J$3:J2826)-1,"")</f>
        <v/>
      </c>
      <c r="N2826" s="9" t="str">
        <f>IF(G2826&lt;&gt;"",K2826/MAX(K$3:K2826)-1,"")</f>
        <v/>
      </c>
      <c r="O2826" s="16" t="str">
        <f t="shared" si="425"/>
        <v/>
      </c>
      <c r="P2826" s="16" t="str">
        <f t="shared" si="425"/>
        <v/>
      </c>
      <c r="Q2826" s="16" t="str">
        <f t="shared" si="425"/>
        <v/>
      </c>
      <c r="R2826" s="5" t="str">
        <f t="shared" si="424"/>
        <v/>
      </c>
      <c r="S2826" s="5" t="str">
        <f t="shared" si="428"/>
        <v/>
      </c>
      <c r="T2826" s="5" t="str">
        <f t="shared" si="430"/>
        <v/>
      </c>
      <c r="U2826" s="5" t="str">
        <f t="shared" si="430"/>
        <v/>
      </c>
    </row>
    <row r="2827" spans="7:21" x14ac:dyDescent="0.2">
      <c r="G2827" s="8"/>
      <c r="H2827" s="5"/>
      <c r="J2827" s="10" t="str">
        <f t="shared" si="426"/>
        <v/>
      </c>
      <c r="K2827" s="10" t="str">
        <f t="shared" si="427"/>
        <v/>
      </c>
      <c r="L2827" s="11" t="str">
        <f t="shared" si="429"/>
        <v/>
      </c>
      <c r="M2827" s="9" t="str">
        <f>IF(G2827&lt;&gt;"",J2827/MAX(J$3:J2827)-1,"")</f>
        <v/>
      </c>
      <c r="N2827" s="9" t="str">
        <f>IF(G2827&lt;&gt;"",K2827/MAX(K$3:K2827)-1,"")</f>
        <v/>
      </c>
      <c r="O2827" s="16" t="str">
        <f t="shared" si="425"/>
        <v/>
      </c>
      <c r="P2827" s="16" t="str">
        <f t="shared" si="425"/>
        <v/>
      </c>
      <c r="Q2827" s="16" t="str">
        <f t="shared" si="425"/>
        <v/>
      </c>
      <c r="R2827" s="5" t="str">
        <f t="shared" si="424"/>
        <v/>
      </c>
      <c r="S2827" s="5" t="str">
        <f t="shared" si="428"/>
        <v/>
      </c>
      <c r="T2827" s="5" t="str">
        <f t="shared" si="430"/>
        <v/>
      </c>
      <c r="U2827" s="5" t="str">
        <f t="shared" si="430"/>
        <v/>
      </c>
    </row>
    <row r="2828" spans="7:21" x14ac:dyDescent="0.2">
      <c r="G2828" s="8"/>
      <c r="H2828" s="5"/>
      <c r="J2828" s="10" t="str">
        <f t="shared" si="426"/>
        <v/>
      </c>
      <c r="K2828" s="10" t="str">
        <f t="shared" si="427"/>
        <v/>
      </c>
      <c r="L2828" s="11" t="str">
        <f t="shared" si="429"/>
        <v/>
      </c>
      <c r="M2828" s="9" t="str">
        <f>IF(G2828&lt;&gt;"",J2828/MAX(J$3:J2828)-1,"")</f>
        <v/>
      </c>
      <c r="N2828" s="9" t="str">
        <f>IF(G2828&lt;&gt;"",K2828/MAX(K$3:K2828)-1,"")</f>
        <v/>
      </c>
      <c r="O2828" s="16" t="str">
        <f t="shared" si="425"/>
        <v/>
      </c>
      <c r="P2828" s="16" t="str">
        <f t="shared" si="425"/>
        <v/>
      </c>
      <c r="Q2828" s="16" t="str">
        <f t="shared" si="425"/>
        <v/>
      </c>
      <c r="R2828" s="5" t="str">
        <f t="shared" si="424"/>
        <v/>
      </c>
      <c r="S2828" s="5" t="str">
        <f t="shared" si="428"/>
        <v/>
      </c>
      <c r="T2828" s="5" t="str">
        <f t="shared" si="430"/>
        <v/>
      </c>
      <c r="U2828" s="5" t="str">
        <f t="shared" si="430"/>
        <v/>
      </c>
    </row>
    <row r="2829" spans="7:21" x14ac:dyDescent="0.2">
      <c r="G2829" s="8"/>
      <c r="H2829" s="5"/>
      <c r="J2829" s="10" t="str">
        <f t="shared" si="426"/>
        <v/>
      </c>
      <c r="K2829" s="10" t="str">
        <f t="shared" si="427"/>
        <v/>
      </c>
      <c r="L2829" s="11" t="str">
        <f t="shared" si="429"/>
        <v/>
      </c>
      <c r="M2829" s="9" t="str">
        <f>IF(G2829&lt;&gt;"",J2829/MAX(J$3:J2829)-1,"")</f>
        <v/>
      </c>
      <c r="N2829" s="9" t="str">
        <f>IF(G2829&lt;&gt;"",K2829/MAX(K$3:K2829)-1,"")</f>
        <v/>
      </c>
      <c r="O2829" s="16" t="str">
        <f t="shared" si="425"/>
        <v/>
      </c>
      <c r="P2829" s="16" t="str">
        <f t="shared" si="425"/>
        <v/>
      </c>
      <c r="Q2829" s="16" t="str">
        <f t="shared" si="425"/>
        <v/>
      </c>
      <c r="R2829" s="5" t="str">
        <f t="shared" si="424"/>
        <v/>
      </c>
      <c r="S2829" s="5" t="str">
        <f t="shared" si="428"/>
        <v/>
      </c>
      <c r="T2829" s="5" t="str">
        <f t="shared" si="430"/>
        <v/>
      </c>
      <c r="U2829" s="5" t="str">
        <f t="shared" si="430"/>
        <v/>
      </c>
    </row>
    <row r="2830" spans="7:21" x14ac:dyDescent="0.2">
      <c r="G2830" s="8"/>
      <c r="H2830" s="5"/>
      <c r="J2830" s="10" t="str">
        <f t="shared" si="426"/>
        <v/>
      </c>
      <c r="K2830" s="10" t="str">
        <f t="shared" si="427"/>
        <v/>
      </c>
      <c r="L2830" s="11" t="str">
        <f t="shared" si="429"/>
        <v/>
      </c>
      <c r="M2830" s="9" t="str">
        <f>IF(G2830&lt;&gt;"",J2830/MAX(J$3:J2830)-1,"")</f>
        <v/>
      </c>
      <c r="N2830" s="9" t="str">
        <f>IF(G2830&lt;&gt;"",K2830/MAX(K$3:K2830)-1,"")</f>
        <v/>
      </c>
      <c r="O2830" s="16" t="str">
        <f t="shared" si="425"/>
        <v/>
      </c>
      <c r="P2830" s="16" t="str">
        <f t="shared" si="425"/>
        <v/>
      </c>
      <c r="Q2830" s="16" t="str">
        <f t="shared" si="425"/>
        <v/>
      </c>
      <c r="R2830" s="5" t="str">
        <f t="shared" si="424"/>
        <v/>
      </c>
      <c r="S2830" s="5" t="str">
        <f t="shared" si="428"/>
        <v/>
      </c>
      <c r="T2830" s="5" t="str">
        <f t="shared" si="430"/>
        <v/>
      </c>
      <c r="U2830" s="5" t="str">
        <f t="shared" si="430"/>
        <v/>
      </c>
    </row>
    <row r="2831" spans="7:21" x14ac:dyDescent="0.2">
      <c r="G2831" s="8"/>
      <c r="H2831" s="5"/>
      <c r="J2831" s="10" t="str">
        <f t="shared" si="426"/>
        <v/>
      </c>
      <c r="K2831" s="10" t="str">
        <f t="shared" si="427"/>
        <v/>
      </c>
      <c r="L2831" s="11" t="str">
        <f t="shared" si="429"/>
        <v/>
      </c>
      <c r="M2831" s="9" t="str">
        <f>IF(G2831&lt;&gt;"",J2831/MAX(J$3:J2831)-1,"")</f>
        <v/>
      </c>
      <c r="N2831" s="9" t="str">
        <f>IF(G2831&lt;&gt;"",K2831/MAX(K$3:K2831)-1,"")</f>
        <v/>
      </c>
      <c r="O2831" s="16" t="str">
        <f t="shared" si="425"/>
        <v/>
      </c>
      <c r="P2831" s="16" t="str">
        <f t="shared" si="425"/>
        <v/>
      </c>
      <c r="Q2831" s="16" t="str">
        <f t="shared" si="425"/>
        <v/>
      </c>
      <c r="R2831" s="5" t="str">
        <f t="shared" si="424"/>
        <v/>
      </c>
      <c r="S2831" s="5" t="str">
        <f t="shared" si="428"/>
        <v/>
      </c>
      <c r="T2831" s="5" t="str">
        <f t="shared" si="430"/>
        <v/>
      </c>
      <c r="U2831" s="5" t="str">
        <f t="shared" si="430"/>
        <v/>
      </c>
    </row>
    <row r="2832" spans="7:21" x14ac:dyDescent="0.2">
      <c r="G2832" s="8"/>
      <c r="H2832" s="5"/>
      <c r="J2832" s="10" t="str">
        <f t="shared" si="426"/>
        <v/>
      </c>
      <c r="K2832" s="10" t="str">
        <f t="shared" si="427"/>
        <v/>
      </c>
      <c r="L2832" s="11" t="str">
        <f t="shared" si="429"/>
        <v/>
      </c>
      <c r="M2832" s="9" t="str">
        <f>IF(G2832&lt;&gt;"",J2832/MAX(J$3:J2832)-1,"")</f>
        <v/>
      </c>
      <c r="N2832" s="9" t="str">
        <f>IF(G2832&lt;&gt;"",K2832/MAX(K$3:K2832)-1,"")</f>
        <v/>
      </c>
      <c r="O2832" s="16" t="str">
        <f t="shared" si="425"/>
        <v/>
      </c>
      <c r="P2832" s="16" t="str">
        <f t="shared" si="425"/>
        <v/>
      </c>
      <c r="Q2832" s="16" t="str">
        <f t="shared" si="425"/>
        <v/>
      </c>
      <c r="R2832" s="5" t="str">
        <f t="shared" si="424"/>
        <v/>
      </c>
      <c r="S2832" s="5" t="str">
        <f t="shared" si="428"/>
        <v/>
      </c>
      <c r="T2832" s="5" t="str">
        <f t="shared" si="430"/>
        <v/>
      </c>
      <c r="U2832" s="5" t="str">
        <f t="shared" si="430"/>
        <v/>
      </c>
    </row>
    <row r="2833" spans="7:21" x14ac:dyDescent="0.2">
      <c r="G2833" s="8"/>
      <c r="H2833" s="5"/>
      <c r="J2833" s="10" t="str">
        <f t="shared" si="426"/>
        <v/>
      </c>
      <c r="K2833" s="10" t="str">
        <f t="shared" si="427"/>
        <v/>
      </c>
      <c r="L2833" s="11" t="str">
        <f t="shared" si="429"/>
        <v/>
      </c>
      <c r="M2833" s="9" t="str">
        <f>IF(G2833&lt;&gt;"",J2833/MAX(J$3:J2833)-1,"")</f>
        <v/>
      </c>
      <c r="N2833" s="9" t="str">
        <f>IF(G2833&lt;&gt;"",K2833/MAX(K$3:K2833)-1,"")</f>
        <v/>
      </c>
      <c r="O2833" s="16" t="str">
        <f t="shared" si="425"/>
        <v/>
      </c>
      <c r="P2833" s="16" t="str">
        <f t="shared" si="425"/>
        <v/>
      </c>
      <c r="Q2833" s="16" t="str">
        <f t="shared" si="425"/>
        <v/>
      </c>
      <c r="R2833" s="5" t="str">
        <f t="shared" si="424"/>
        <v/>
      </c>
      <c r="S2833" s="5" t="str">
        <f t="shared" si="428"/>
        <v/>
      </c>
      <c r="T2833" s="5" t="str">
        <f t="shared" si="430"/>
        <v/>
      </c>
      <c r="U2833" s="5" t="str">
        <f t="shared" si="430"/>
        <v/>
      </c>
    </row>
    <row r="2834" spans="7:21" x14ac:dyDescent="0.2">
      <c r="G2834" s="8"/>
      <c r="H2834" s="5"/>
      <c r="J2834" s="10" t="str">
        <f t="shared" si="426"/>
        <v/>
      </c>
      <c r="K2834" s="10" t="str">
        <f t="shared" si="427"/>
        <v/>
      </c>
      <c r="L2834" s="11" t="str">
        <f t="shared" si="429"/>
        <v/>
      </c>
      <c r="M2834" s="9" t="str">
        <f>IF(G2834&lt;&gt;"",J2834/MAX(J$3:J2834)-1,"")</f>
        <v/>
      </c>
      <c r="N2834" s="9" t="str">
        <f>IF(G2834&lt;&gt;"",K2834/MAX(K$3:K2834)-1,"")</f>
        <v/>
      </c>
      <c r="O2834" s="16" t="str">
        <f t="shared" si="425"/>
        <v/>
      </c>
      <c r="P2834" s="16" t="str">
        <f t="shared" si="425"/>
        <v/>
      </c>
      <c r="Q2834" s="16" t="str">
        <f t="shared" si="425"/>
        <v/>
      </c>
      <c r="R2834" s="5" t="str">
        <f t="shared" si="424"/>
        <v/>
      </c>
      <c r="S2834" s="5" t="str">
        <f t="shared" si="428"/>
        <v/>
      </c>
      <c r="T2834" s="5" t="str">
        <f t="shared" si="430"/>
        <v/>
      </c>
      <c r="U2834" s="5" t="str">
        <f t="shared" si="430"/>
        <v/>
      </c>
    </row>
    <row r="2835" spans="7:21" x14ac:dyDescent="0.2">
      <c r="G2835" s="8"/>
      <c r="H2835" s="5"/>
      <c r="J2835" s="10" t="str">
        <f t="shared" si="426"/>
        <v/>
      </c>
      <c r="K2835" s="10" t="str">
        <f t="shared" si="427"/>
        <v/>
      </c>
      <c r="L2835" s="11" t="str">
        <f t="shared" si="429"/>
        <v/>
      </c>
      <c r="M2835" s="9" t="str">
        <f>IF(G2835&lt;&gt;"",J2835/MAX(J$3:J2835)-1,"")</f>
        <v/>
      </c>
      <c r="N2835" s="9" t="str">
        <f>IF(G2835&lt;&gt;"",K2835/MAX(K$3:K2835)-1,"")</f>
        <v/>
      </c>
      <c r="O2835" s="16" t="str">
        <f t="shared" si="425"/>
        <v/>
      </c>
      <c r="P2835" s="16" t="str">
        <f t="shared" si="425"/>
        <v/>
      </c>
      <c r="Q2835" s="16" t="str">
        <f t="shared" si="425"/>
        <v/>
      </c>
      <c r="R2835" s="5" t="str">
        <f t="shared" si="424"/>
        <v/>
      </c>
      <c r="S2835" s="5" t="str">
        <f t="shared" si="428"/>
        <v/>
      </c>
      <c r="T2835" s="5" t="str">
        <f t="shared" si="430"/>
        <v/>
      </c>
      <c r="U2835" s="5" t="str">
        <f t="shared" si="430"/>
        <v/>
      </c>
    </row>
    <row r="2836" spans="7:21" x14ac:dyDescent="0.2">
      <c r="G2836" s="8"/>
      <c r="H2836" s="5"/>
      <c r="J2836" s="10" t="str">
        <f t="shared" si="426"/>
        <v/>
      </c>
      <c r="K2836" s="10" t="str">
        <f t="shared" si="427"/>
        <v/>
      </c>
      <c r="L2836" s="11" t="str">
        <f t="shared" si="429"/>
        <v/>
      </c>
      <c r="M2836" s="9" t="str">
        <f>IF(G2836&lt;&gt;"",J2836/MAX(J$3:J2836)-1,"")</f>
        <v/>
      </c>
      <c r="N2836" s="9" t="str">
        <f>IF(G2836&lt;&gt;"",K2836/MAX(K$3:K2836)-1,"")</f>
        <v/>
      </c>
      <c r="O2836" s="16" t="str">
        <f t="shared" si="425"/>
        <v/>
      </c>
      <c r="P2836" s="16" t="str">
        <f t="shared" si="425"/>
        <v/>
      </c>
      <c r="Q2836" s="16" t="str">
        <f t="shared" si="425"/>
        <v/>
      </c>
      <c r="R2836" s="5" t="str">
        <f t="shared" si="424"/>
        <v/>
      </c>
      <c r="S2836" s="5" t="str">
        <f t="shared" si="428"/>
        <v/>
      </c>
      <c r="T2836" s="5" t="str">
        <f t="shared" si="430"/>
        <v/>
      </c>
      <c r="U2836" s="5" t="str">
        <f t="shared" si="430"/>
        <v/>
      </c>
    </row>
    <row r="2837" spans="7:21" x14ac:dyDescent="0.2">
      <c r="G2837" s="8"/>
      <c r="H2837" s="5"/>
      <c r="J2837" s="10" t="str">
        <f t="shared" si="426"/>
        <v/>
      </c>
      <c r="K2837" s="10" t="str">
        <f t="shared" si="427"/>
        <v/>
      </c>
      <c r="L2837" s="11" t="str">
        <f t="shared" si="429"/>
        <v/>
      </c>
      <c r="M2837" s="9" t="str">
        <f>IF(G2837&lt;&gt;"",J2837/MAX(J$3:J2837)-1,"")</f>
        <v/>
      </c>
      <c r="N2837" s="9" t="str">
        <f>IF(G2837&lt;&gt;"",K2837/MAX(K$3:K2837)-1,"")</f>
        <v/>
      </c>
      <c r="O2837" s="16" t="str">
        <f t="shared" si="425"/>
        <v/>
      </c>
      <c r="P2837" s="16" t="str">
        <f t="shared" si="425"/>
        <v/>
      </c>
      <c r="Q2837" s="16" t="str">
        <f t="shared" si="425"/>
        <v/>
      </c>
      <c r="R2837" s="5" t="str">
        <f t="shared" si="424"/>
        <v/>
      </c>
      <c r="S2837" s="5" t="str">
        <f t="shared" si="428"/>
        <v/>
      </c>
      <c r="T2837" s="5" t="str">
        <f t="shared" si="430"/>
        <v/>
      </c>
      <c r="U2837" s="5" t="str">
        <f t="shared" si="430"/>
        <v/>
      </c>
    </row>
    <row r="2838" spans="7:21" x14ac:dyDescent="0.2">
      <c r="G2838" s="8"/>
      <c r="H2838" s="5"/>
      <c r="J2838" s="10" t="str">
        <f t="shared" si="426"/>
        <v/>
      </c>
      <c r="K2838" s="10" t="str">
        <f t="shared" si="427"/>
        <v/>
      </c>
      <c r="L2838" s="11" t="str">
        <f t="shared" si="429"/>
        <v/>
      </c>
      <c r="M2838" s="9" t="str">
        <f>IF(G2838&lt;&gt;"",J2838/MAX(J$3:J2838)-1,"")</f>
        <v/>
      </c>
      <c r="N2838" s="9" t="str">
        <f>IF(G2838&lt;&gt;"",K2838/MAX(K$3:K2838)-1,"")</f>
        <v/>
      </c>
      <c r="O2838" s="16" t="str">
        <f t="shared" si="425"/>
        <v/>
      </c>
      <c r="P2838" s="16" t="str">
        <f t="shared" si="425"/>
        <v/>
      </c>
      <c r="Q2838" s="16" t="str">
        <f t="shared" si="425"/>
        <v/>
      </c>
      <c r="R2838" s="5" t="str">
        <f t="shared" si="424"/>
        <v/>
      </c>
      <c r="S2838" s="5" t="str">
        <f t="shared" si="428"/>
        <v/>
      </c>
      <c r="T2838" s="5" t="str">
        <f t="shared" si="430"/>
        <v/>
      </c>
      <c r="U2838" s="5" t="str">
        <f t="shared" si="430"/>
        <v/>
      </c>
    </row>
    <row r="2839" spans="7:21" x14ac:dyDescent="0.2">
      <c r="G2839" s="8"/>
      <c r="H2839" s="5"/>
      <c r="J2839" s="10" t="str">
        <f t="shared" si="426"/>
        <v/>
      </c>
      <c r="K2839" s="10" t="str">
        <f t="shared" si="427"/>
        <v/>
      </c>
      <c r="L2839" s="11" t="str">
        <f t="shared" si="429"/>
        <v/>
      </c>
      <c r="M2839" s="9" t="str">
        <f>IF(G2839&lt;&gt;"",J2839/MAX(J$3:J2839)-1,"")</f>
        <v/>
      </c>
      <c r="N2839" s="9" t="str">
        <f>IF(G2839&lt;&gt;"",K2839/MAX(K$3:K2839)-1,"")</f>
        <v/>
      </c>
      <c r="O2839" s="16" t="str">
        <f t="shared" si="425"/>
        <v/>
      </c>
      <c r="P2839" s="16" t="str">
        <f t="shared" si="425"/>
        <v/>
      </c>
      <c r="Q2839" s="16" t="str">
        <f t="shared" si="425"/>
        <v/>
      </c>
      <c r="R2839" s="5" t="str">
        <f t="shared" si="424"/>
        <v/>
      </c>
      <c r="S2839" s="5" t="str">
        <f t="shared" si="428"/>
        <v/>
      </c>
      <c r="T2839" s="5" t="str">
        <f t="shared" si="430"/>
        <v/>
      </c>
      <c r="U2839" s="5" t="str">
        <f t="shared" si="430"/>
        <v/>
      </c>
    </row>
    <row r="2840" spans="7:21" x14ac:dyDescent="0.2">
      <c r="G2840" s="8"/>
      <c r="H2840" s="5"/>
      <c r="J2840" s="10" t="str">
        <f t="shared" si="426"/>
        <v/>
      </c>
      <c r="K2840" s="10" t="str">
        <f t="shared" si="427"/>
        <v/>
      </c>
      <c r="L2840" s="11" t="str">
        <f t="shared" si="429"/>
        <v/>
      </c>
      <c r="M2840" s="9" t="str">
        <f>IF(G2840&lt;&gt;"",J2840/MAX(J$3:J2840)-1,"")</f>
        <v/>
      </c>
      <c r="N2840" s="9" t="str">
        <f>IF(G2840&lt;&gt;"",K2840/MAX(K$3:K2840)-1,"")</f>
        <v/>
      </c>
      <c r="O2840" s="16" t="str">
        <f t="shared" si="425"/>
        <v/>
      </c>
      <c r="P2840" s="16" t="str">
        <f t="shared" si="425"/>
        <v/>
      </c>
      <c r="Q2840" s="16" t="str">
        <f t="shared" si="425"/>
        <v/>
      </c>
      <c r="R2840" s="5" t="str">
        <f t="shared" si="424"/>
        <v/>
      </c>
      <c r="S2840" s="5" t="str">
        <f t="shared" si="428"/>
        <v/>
      </c>
      <c r="T2840" s="5" t="str">
        <f t="shared" ref="T2840:U2855" si="431">IF($G2840&lt;&gt;"",_xlfn.STDEV.S(O2596:O2840),"")</f>
        <v/>
      </c>
      <c r="U2840" s="5" t="str">
        <f t="shared" si="431"/>
        <v/>
      </c>
    </row>
    <row r="2841" spans="7:21" x14ac:dyDescent="0.2">
      <c r="G2841" s="8"/>
      <c r="H2841" s="5"/>
      <c r="J2841" s="10" t="str">
        <f t="shared" si="426"/>
        <v/>
      </c>
      <c r="K2841" s="10" t="str">
        <f t="shared" si="427"/>
        <v/>
      </c>
      <c r="L2841" s="11" t="str">
        <f t="shared" si="429"/>
        <v/>
      </c>
      <c r="M2841" s="9" t="str">
        <f>IF(G2841&lt;&gt;"",J2841/MAX(J$3:J2841)-1,"")</f>
        <v/>
      </c>
      <c r="N2841" s="9" t="str">
        <f>IF(G2841&lt;&gt;"",K2841/MAX(K$3:K2841)-1,"")</f>
        <v/>
      </c>
      <c r="O2841" s="16" t="str">
        <f t="shared" si="425"/>
        <v/>
      </c>
      <c r="P2841" s="16" t="str">
        <f t="shared" si="425"/>
        <v/>
      </c>
      <c r="Q2841" s="16" t="str">
        <f t="shared" si="425"/>
        <v/>
      </c>
      <c r="R2841" s="5" t="str">
        <f t="shared" si="424"/>
        <v/>
      </c>
      <c r="S2841" s="5" t="str">
        <f t="shared" si="428"/>
        <v/>
      </c>
      <c r="T2841" s="5" t="str">
        <f t="shared" si="431"/>
        <v/>
      </c>
      <c r="U2841" s="5" t="str">
        <f t="shared" si="431"/>
        <v/>
      </c>
    </row>
    <row r="2842" spans="7:21" x14ac:dyDescent="0.2">
      <c r="G2842" s="8"/>
      <c r="H2842" s="5"/>
      <c r="J2842" s="10" t="str">
        <f t="shared" si="426"/>
        <v/>
      </c>
      <c r="K2842" s="10" t="str">
        <f t="shared" si="427"/>
        <v/>
      </c>
      <c r="L2842" s="11" t="str">
        <f t="shared" si="429"/>
        <v/>
      </c>
      <c r="M2842" s="9" t="str">
        <f>IF(G2842&lt;&gt;"",J2842/MAX(J$3:J2842)-1,"")</f>
        <v/>
      </c>
      <c r="N2842" s="9" t="str">
        <f>IF(G2842&lt;&gt;"",K2842/MAX(K$3:K2842)-1,"")</f>
        <v/>
      </c>
      <c r="O2842" s="16" t="str">
        <f t="shared" si="425"/>
        <v/>
      </c>
      <c r="P2842" s="16" t="str">
        <f t="shared" si="425"/>
        <v/>
      </c>
      <c r="Q2842" s="16" t="str">
        <f t="shared" si="425"/>
        <v/>
      </c>
      <c r="R2842" s="5" t="str">
        <f t="shared" si="424"/>
        <v/>
      </c>
      <c r="S2842" s="5" t="str">
        <f t="shared" si="428"/>
        <v/>
      </c>
      <c r="T2842" s="5" t="str">
        <f t="shared" si="431"/>
        <v/>
      </c>
      <c r="U2842" s="5" t="str">
        <f t="shared" si="431"/>
        <v/>
      </c>
    </row>
    <row r="2843" spans="7:21" x14ac:dyDescent="0.2">
      <c r="G2843" s="8"/>
      <c r="H2843" s="5"/>
      <c r="J2843" s="10" t="str">
        <f t="shared" si="426"/>
        <v/>
      </c>
      <c r="K2843" s="10" t="str">
        <f t="shared" si="427"/>
        <v/>
      </c>
      <c r="L2843" s="11" t="str">
        <f t="shared" si="429"/>
        <v/>
      </c>
      <c r="M2843" s="9" t="str">
        <f>IF(G2843&lt;&gt;"",J2843/MAX(J$3:J2843)-1,"")</f>
        <v/>
      </c>
      <c r="N2843" s="9" t="str">
        <f>IF(G2843&lt;&gt;"",K2843/MAX(K$3:K2843)-1,"")</f>
        <v/>
      </c>
      <c r="O2843" s="16" t="str">
        <f t="shared" si="425"/>
        <v/>
      </c>
      <c r="P2843" s="16" t="str">
        <f t="shared" si="425"/>
        <v/>
      </c>
      <c r="Q2843" s="16" t="str">
        <f t="shared" si="425"/>
        <v/>
      </c>
      <c r="R2843" s="5" t="str">
        <f t="shared" si="424"/>
        <v/>
      </c>
      <c r="S2843" s="5" t="str">
        <f t="shared" si="428"/>
        <v/>
      </c>
      <c r="T2843" s="5" t="str">
        <f t="shared" si="431"/>
        <v/>
      </c>
      <c r="U2843" s="5" t="str">
        <f t="shared" si="431"/>
        <v/>
      </c>
    </row>
    <row r="2844" spans="7:21" x14ac:dyDescent="0.2">
      <c r="G2844" s="8"/>
      <c r="H2844" s="5"/>
      <c r="J2844" s="10" t="str">
        <f t="shared" si="426"/>
        <v/>
      </c>
      <c r="K2844" s="10" t="str">
        <f t="shared" si="427"/>
        <v/>
      </c>
      <c r="L2844" s="11" t="str">
        <f t="shared" si="429"/>
        <v/>
      </c>
      <c r="M2844" s="9" t="str">
        <f>IF(G2844&lt;&gt;"",J2844/MAX(J$3:J2844)-1,"")</f>
        <v/>
      </c>
      <c r="N2844" s="9" t="str">
        <f>IF(G2844&lt;&gt;"",K2844/MAX(K$3:K2844)-1,"")</f>
        <v/>
      </c>
      <c r="O2844" s="16" t="str">
        <f t="shared" si="425"/>
        <v/>
      </c>
      <c r="P2844" s="16" t="str">
        <f t="shared" si="425"/>
        <v/>
      </c>
      <c r="Q2844" s="16" t="str">
        <f t="shared" si="425"/>
        <v/>
      </c>
      <c r="R2844" s="5" t="str">
        <f t="shared" si="424"/>
        <v/>
      </c>
      <c r="S2844" s="5" t="str">
        <f t="shared" si="428"/>
        <v/>
      </c>
      <c r="T2844" s="5" t="str">
        <f t="shared" si="431"/>
        <v/>
      </c>
      <c r="U2844" s="5" t="str">
        <f t="shared" si="431"/>
        <v/>
      </c>
    </row>
    <row r="2845" spans="7:21" x14ac:dyDescent="0.2">
      <c r="G2845" s="8"/>
      <c r="H2845" s="5"/>
      <c r="J2845" s="10" t="str">
        <f t="shared" si="426"/>
        <v/>
      </c>
      <c r="K2845" s="10" t="str">
        <f t="shared" si="427"/>
        <v/>
      </c>
      <c r="L2845" s="11" t="str">
        <f t="shared" si="429"/>
        <v/>
      </c>
      <c r="M2845" s="9" t="str">
        <f>IF(G2845&lt;&gt;"",J2845/MAX(J$3:J2845)-1,"")</f>
        <v/>
      </c>
      <c r="N2845" s="9" t="str">
        <f>IF(G2845&lt;&gt;"",K2845/MAX(K$3:K2845)-1,"")</f>
        <v/>
      </c>
      <c r="O2845" s="16" t="str">
        <f t="shared" si="425"/>
        <v/>
      </c>
      <c r="P2845" s="16" t="str">
        <f t="shared" si="425"/>
        <v/>
      </c>
      <c r="Q2845" s="16" t="str">
        <f t="shared" si="425"/>
        <v/>
      </c>
      <c r="R2845" s="5" t="str">
        <f t="shared" si="424"/>
        <v/>
      </c>
      <c r="S2845" s="5" t="str">
        <f t="shared" si="428"/>
        <v/>
      </c>
      <c r="T2845" s="5" t="str">
        <f t="shared" si="431"/>
        <v/>
      </c>
      <c r="U2845" s="5" t="str">
        <f t="shared" si="431"/>
        <v/>
      </c>
    </row>
    <row r="2846" spans="7:21" x14ac:dyDescent="0.2">
      <c r="G2846" s="8"/>
      <c r="H2846" s="5"/>
      <c r="J2846" s="10" t="str">
        <f t="shared" si="426"/>
        <v/>
      </c>
      <c r="K2846" s="10" t="str">
        <f t="shared" si="427"/>
        <v/>
      </c>
      <c r="L2846" s="11" t="str">
        <f t="shared" si="429"/>
        <v/>
      </c>
      <c r="M2846" s="9" t="str">
        <f>IF(G2846&lt;&gt;"",J2846/MAX(J$3:J2846)-1,"")</f>
        <v/>
      </c>
      <c r="N2846" s="9" t="str">
        <f>IF(G2846&lt;&gt;"",K2846/MAX(K$3:K2846)-1,"")</f>
        <v/>
      </c>
      <c r="O2846" s="16" t="str">
        <f t="shared" si="425"/>
        <v/>
      </c>
      <c r="P2846" s="16" t="str">
        <f t="shared" si="425"/>
        <v/>
      </c>
      <c r="Q2846" s="16" t="str">
        <f t="shared" si="425"/>
        <v/>
      </c>
      <c r="R2846" s="5" t="str">
        <f t="shared" si="424"/>
        <v/>
      </c>
      <c r="S2846" s="5" t="str">
        <f t="shared" si="428"/>
        <v/>
      </c>
      <c r="T2846" s="5" t="str">
        <f t="shared" si="431"/>
        <v/>
      </c>
      <c r="U2846" s="5" t="str">
        <f t="shared" si="431"/>
        <v/>
      </c>
    </row>
    <row r="2847" spans="7:21" x14ac:dyDescent="0.2">
      <c r="G2847" s="8"/>
      <c r="H2847" s="5"/>
      <c r="J2847" s="10" t="str">
        <f t="shared" si="426"/>
        <v/>
      </c>
      <c r="K2847" s="10" t="str">
        <f t="shared" si="427"/>
        <v/>
      </c>
      <c r="L2847" s="11" t="str">
        <f t="shared" si="429"/>
        <v/>
      </c>
      <c r="M2847" s="9" t="str">
        <f>IF(G2847&lt;&gt;"",J2847/MAX(J$3:J2847)-1,"")</f>
        <v/>
      </c>
      <c r="N2847" s="9" t="str">
        <f>IF(G2847&lt;&gt;"",K2847/MAX(K$3:K2847)-1,"")</f>
        <v/>
      </c>
      <c r="O2847" s="16" t="str">
        <f t="shared" si="425"/>
        <v/>
      </c>
      <c r="P2847" s="16" t="str">
        <f t="shared" si="425"/>
        <v/>
      </c>
      <c r="Q2847" s="16" t="str">
        <f t="shared" si="425"/>
        <v/>
      </c>
      <c r="R2847" s="5" t="str">
        <f t="shared" si="424"/>
        <v/>
      </c>
      <c r="S2847" s="5" t="str">
        <f t="shared" si="428"/>
        <v/>
      </c>
      <c r="T2847" s="5" t="str">
        <f t="shared" si="431"/>
        <v/>
      </c>
      <c r="U2847" s="5" t="str">
        <f t="shared" si="431"/>
        <v/>
      </c>
    </row>
    <row r="2848" spans="7:21" x14ac:dyDescent="0.2">
      <c r="G2848" s="8"/>
      <c r="H2848" s="5"/>
      <c r="J2848" s="10" t="str">
        <f t="shared" si="426"/>
        <v/>
      </c>
      <c r="K2848" s="10" t="str">
        <f t="shared" si="427"/>
        <v/>
      </c>
      <c r="L2848" s="11" t="str">
        <f t="shared" si="429"/>
        <v/>
      </c>
      <c r="M2848" s="9" t="str">
        <f>IF(G2848&lt;&gt;"",J2848/MAX(J$3:J2848)-1,"")</f>
        <v/>
      </c>
      <c r="N2848" s="9" t="str">
        <f>IF(G2848&lt;&gt;"",K2848/MAX(K$3:K2848)-1,"")</f>
        <v/>
      </c>
      <c r="O2848" s="16" t="str">
        <f t="shared" si="425"/>
        <v/>
      </c>
      <c r="P2848" s="16" t="str">
        <f t="shared" si="425"/>
        <v/>
      </c>
      <c r="Q2848" s="16" t="str">
        <f t="shared" si="425"/>
        <v/>
      </c>
      <c r="R2848" s="5" t="str">
        <f t="shared" si="424"/>
        <v/>
      </c>
      <c r="S2848" s="5" t="str">
        <f t="shared" si="428"/>
        <v/>
      </c>
      <c r="T2848" s="5" t="str">
        <f t="shared" si="431"/>
        <v/>
      </c>
      <c r="U2848" s="5" t="str">
        <f t="shared" si="431"/>
        <v/>
      </c>
    </row>
    <row r="2849" spans="7:21" x14ac:dyDescent="0.2">
      <c r="G2849" s="8"/>
      <c r="H2849" s="5"/>
      <c r="J2849" s="10" t="str">
        <f t="shared" si="426"/>
        <v/>
      </c>
      <c r="K2849" s="10" t="str">
        <f t="shared" si="427"/>
        <v/>
      </c>
      <c r="L2849" s="11" t="str">
        <f t="shared" si="429"/>
        <v/>
      </c>
      <c r="M2849" s="9" t="str">
        <f>IF(G2849&lt;&gt;"",J2849/MAX(J$3:J2849)-1,"")</f>
        <v/>
      </c>
      <c r="N2849" s="9" t="str">
        <f>IF(G2849&lt;&gt;"",K2849/MAX(K$3:K2849)-1,"")</f>
        <v/>
      </c>
      <c r="O2849" s="16" t="str">
        <f t="shared" si="425"/>
        <v/>
      </c>
      <c r="P2849" s="16" t="str">
        <f t="shared" si="425"/>
        <v/>
      </c>
      <c r="Q2849" s="16" t="str">
        <f t="shared" si="425"/>
        <v/>
      </c>
      <c r="R2849" s="5" t="str">
        <f t="shared" si="424"/>
        <v/>
      </c>
      <c r="S2849" s="5" t="str">
        <f t="shared" si="428"/>
        <v/>
      </c>
      <c r="T2849" s="5" t="str">
        <f t="shared" si="431"/>
        <v/>
      </c>
      <c r="U2849" s="5" t="str">
        <f t="shared" si="431"/>
        <v/>
      </c>
    </row>
    <row r="2850" spans="7:21" x14ac:dyDescent="0.2">
      <c r="G2850" s="8"/>
      <c r="H2850" s="5"/>
      <c r="J2850" s="10" t="str">
        <f t="shared" si="426"/>
        <v/>
      </c>
      <c r="K2850" s="10" t="str">
        <f t="shared" si="427"/>
        <v/>
      </c>
      <c r="L2850" s="11" t="str">
        <f t="shared" si="429"/>
        <v/>
      </c>
      <c r="M2850" s="9" t="str">
        <f>IF(G2850&lt;&gt;"",J2850/MAX(J$3:J2850)-1,"")</f>
        <v/>
      </c>
      <c r="N2850" s="9" t="str">
        <f>IF(G2850&lt;&gt;"",K2850/MAX(K$3:K2850)-1,"")</f>
        <v/>
      </c>
      <c r="O2850" s="16" t="str">
        <f t="shared" si="425"/>
        <v/>
      </c>
      <c r="P2850" s="16" t="str">
        <f t="shared" si="425"/>
        <v/>
      </c>
      <c r="Q2850" s="16" t="str">
        <f t="shared" si="425"/>
        <v/>
      </c>
      <c r="R2850" s="5" t="str">
        <f t="shared" si="424"/>
        <v/>
      </c>
      <c r="S2850" s="5" t="str">
        <f t="shared" si="428"/>
        <v/>
      </c>
      <c r="T2850" s="5" t="str">
        <f t="shared" si="431"/>
        <v/>
      </c>
      <c r="U2850" s="5" t="str">
        <f t="shared" si="431"/>
        <v/>
      </c>
    </row>
    <row r="2851" spans="7:21" x14ac:dyDescent="0.2">
      <c r="G2851" s="8"/>
      <c r="H2851" s="5"/>
      <c r="J2851" s="10" t="str">
        <f t="shared" si="426"/>
        <v/>
      </c>
      <c r="K2851" s="10" t="str">
        <f t="shared" si="427"/>
        <v/>
      </c>
      <c r="L2851" s="11" t="str">
        <f t="shared" si="429"/>
        <v/>
      </c>
      <c r="M2851" s="9" t="str">
        <f>IF(G2851&lt;&gt;"",J2851/MAX(J$3:J2851)-1,"")</f>
        <v/>
      </c>
      <c r="N2851" s="9" t="str">
        <f>IF(G2851&lt;&gt;"",K2851/MAX(K$3:K2851)-1,"")</f>
        <v/>
      </c>
      <c r="O2851" s="16" t="str">
        <f t="shared" si="425"/>
        <v/>
      </c>
      <c r="P2851" s="16" t="str">
        <f t="shared" si="425"/>
        <v/>
      </c>
      <c r="Q2851" s="16" t="str">
        <f t="shared" si="425"/>
        <v/>
      </c>
      <c r="R2851" s="5" t="str">
        <f t="shared" si="424"/>
        <v/>
      </c>
      <c r="S2851" s="5" t="str">
        <f t="shared" si="428"/>
        <v/>
      </c>
      <c r="T2851" s="5" t="str">
        <f t="shared" si="431"/>
        <v/>
      </c>
      <c r="U2851" s="5" t="str">
        <f t="shared" si="431"/>
        <v/>
      </c>
    </row>
    <row r="2852" spans="7:21" x14ac:dyDescent="0.2">
      <c r="G2852" s="8"/>
      <c r="H2852" s="5"/>
      <c r="J2852" s="10" t="str">
        <f t="shared" si="426"/>
        <v/>
      </c>
      <c r="K2852" s="10" t="str">
        <f t="shared" si="427"/>
        <v/>
      </c>
      <c r="L2852" s="11" t="str">
        <f t="shared" si="429"/>
        <v/>
      </c>
      <c r="M2852" s="9" t="str">
        <f>IF(G2852&lt;&gt;"",J2852/MAX(J$3:J2852)-1,"")</f>
        <v/>
      </c>
      <c r="N2852" s="9" t="str">
        <f>IF(G2852&lt;&gt;"",K2852/MAX(K$3:K2852)-1,"")</f>
        <v/>
      </c>
      <c r="O2852" s="16" t="str">
        <f t="shared" si="425"/>
        <v/>
      </c>
      <c r="P2852" s="16" t="str">
        <f t="shared" si="425"/>
        <v/>
      </c>
      <c r="Q2852" s="16" t="str">
        <f t="shared" si="425"/>
        <v/>
      </c>
      <c r="R2852" s="5" t="str">
        <f t="shared" si="424"/>
        <v/>
      </c>
      <c r="S2852" s="5" t="str">
        <f t="shared" si="428"/>
        <v/>
      </c>
      <c r="T2852" s="5" t="str">
        <f t="shared" si="431"/>
        <v/>
      </c>
      <c r="U2852" s="5" t="str">
        <f t="shared" si="431"/>
        <v/>
      </c>
    </row>
    <row r="2853" spans="7:21" x14ac:dyDescent="0.2">
      <c r="G2853" s="8"/>
      <c r="H2853" s="5"/>
      <c r="J2853" s="10" t="str">
        <f t="shared" si="426"/>
        <v/>
      </c>
      <c r="K2853" s="10" t="str">
        <f t="shared" si="427"/>
        <v/>
      </c>
      <c r="L2853" s="11" t="str">
        <f t="shared" si="429"/>
        <v/>
      </c>
      <c r="M2853" s="9" t="str">
        <f>IF(G2853&lt;&gt;"",J2853/MAX(J$3:J2853)-1,"")</f>
        <v/>
      </c>
      <c r="N2853" s="9" t="str">
        <f>IF(G2853&lt;&gt;"",K2853/MAX(K$3:K2853)-1,"")</f>
        <v/>
      </c>
      <c r="O2853" s="16" t="str">
        <f t="shared" si="425"/>
        <v/>
      </c>
      <c r="P2853" s="16" t="str">
        <f t="shared" si="425"/>
        <v/>
      </c>
      <c r="Q2853" s="16" t="str">
        <f t="shared" si="425"/>
        <v/>
      </c>
      <c r="R2853" s="5" t="str">
        <f t="shared" si="424"/>
        <v/>
      </c>
      <c r="S2853" s="5" t="str">
        <f t="shared" si="428"/>
        <v/>
      </c>
      <c r="T2853" s="5" t="str">
        <f t="shared" si="431"/>
        <v/>
      </c>
      <c r="U2853" s="5" t="str">
        <f t="shared" si="431"/>
        <v/>
      </c>
    </row>
    <row r="2854" spans="7:21" x14ac:dyDescent="0.2">
      <c r="G2854" s="8"/>
      <c r="H2854" s="5"/>
      <c r="J2854" s="10" t="str">
        <f t="shared" si="426"/>
        <v/>
      </c>
      <c r="K2854" s="10" t="str">
        <f t="shared" si="427"/>
        <v/>
      </c>
      <c r="L2854" s="11" t="str">
        <f t="shared" si="429"/>
        <v/>
      </c>
      <c r="M2854" s="9" t="str">
        <f>IF(G2854&lt;&gt;"",J2854/MAX(J$3:J2854)-1,"")</f>
        <v/>
      </c>
      <c r="N2854" s="9" t="str">
        <f>IF(G2854&lt;&gt;"",K2854/MAX(K$3:K2854)-1,"")</f>
        <v/>
      </c>
      <c r="O2854" s="16" t="str">
        <f t="shared" si="425"/>
        <v/>
      </c>
      <c r="P2854" s="16" t="str">
        <f t="shared" si="425"/>
        <v/>
      </c>
      <c r="Q2854" s="16" t="str">
        <f t="shared" si="425"/>
        <v/>
      </c>
      <c r="R2854" s="5" t="str">
        <f t="shared" si="424"/>
        <v/>
      </c>
      <c r="S2854" s="5" t="str">
        <f t="shared" si="428"/>
        <v/>
      </c>
      <c r="T2854" s="5" t="str">
        <f t="shared" si="431"/>
        <v/>
      </c>
      <c r="U2854" s="5" t="str">
        <f t="shared" si="431"/>
        <v/>
      </c>
    </row>
    <row r="2855" spans="7:21" x14ac:dyDescent="0.2">
      <c r="G2855" s="8"/>
      <c r="H2855" s="5"/>
      <c r="J2855" s="10" t="str">
        <f t="shared" si="426"/>
        <v/>
      </c>
      <c r="K2855" s="10" t="str">
        <f t="shared" si="427"/>
        <v/>
      </c>
      <c r="L2855" s="11" t="str">
        <f t="shared" si="429"/>
        <v/>
      </c>
      <c r="M2855" s="9" t="str">
        <f>IF(G2855&lt;&gt;"",J2855/MAX(J$3:J2855)-1,"")</f>
        <v/>
      </c>
      <c r="N2855" s="9" t="str">
        <f>IF(G2855&lt;&gt;"",K2855/MAX(K$3:K2855)-1,"")</f>
        <v/>
      </c>
      <c r="O2855" s="16" t="str">
        <f t="shared" si="425"/>
        <v/>
      </c>
      <c r="P2855" s="16" t="str">
        <f t="shared" si="425"/>
        <v/>
      </c>
      <c r="Q2855" s="16" t="str">
        <f t="shared" si="425"/>
        <v/>
      </c>
      <c r="R2855" s="5" t="str">
        <f t="shared" si="424"/>
        <v/>
      </c>
      <c r="S2855" s="5" t="str">
        <f t="shared" si="428"/>
        <v/>
      </c>
      <c r="T2855" s="5" t="str">
        <f t="shared" si="431"/>
        <v/>
      </c>
      <c r="U2855" s="5" t="str">
        <f t="shared" si="431"/>
        <v/>
      </c>
    </row>
    <row r="2856" spans="7:21" x14ac:dyDescent="0.2">
      <c r="G2856" s="8"/>
      <c r="H2856" s="5"/>
      <c r="J2856" s="10" t="str">
        <f t="shared" si="426"/>
        <v/>
      </c>
      <c r="K2856" s="10" t="str">
        <f t="shared" si="427"/>
        <v/>
      </c>
      <c r="L2856" s="11" t="str">
        <f t="shared" si="429"/>
        <v/>
      </c>
      <c r="M2856" s="9" t="str">
        <f>IF(G2856&lt;&gt;"",J2856/MAX(J$3:J2856)-1,"")</f>
        <v/>
      </c>
      <c r="N2856" s="9" t="str">
        <f>IF(G2856&lt;&gt;"",K2856/MAX(K$3:K2856)-1,"")</f>
        <v/>
      </c>
      <c r="O2856" s="16" t="str">
        <f t="shared" si="425"/>
        <v/>
      </c>
      <c r="P2856" s="16" t="str">
        <f t="shared" si="425"/>
        <v/>
      </c>
      <c r="Q2856" s="16" t="str">
        <f t="shared" si="425"/>
        <v/>
      </c>
      <c r="R2856" s="5" t="str">
        <f t="shared" si="424"/>
        <v/>
      </c>
      <c r="S2856" s="5" t="str">
        <f t="shared" si="428"/>
        <v/>
      </c>
      <c r="T2856" s="5" t="str">
        <f t="shared" ref="T2856:U2871" si="432">IF($G2856&lt;&gt;"",_xlfn.STDEV.S(O2612:O2856),"")</f>
        <v/>
      </c>
      <c r="U2856" s="5" t="str">
        <f t="shared" si="432"/>
        <v/>
      </c>
    </row>
    <row r="2857" spans="7:21" x14ac:dyDescent="0.2">
      <c r="G2857" s="8"/>
      <c r="H2857" s="5"/>
      <c r="J2857" s="10" t="str">
        <f t="shared" si="426"/>
        <v/>
      </c>
      <c r="K2857" s="10" t="str">
        <f t="shared" si="427"/>
        <v/>
      </c>
      <c r="L2857" s="11" t="str">
        <f t="shared" si="429"/>
        <v/>
      </c>
      <c r="M2857" s="9" t="str">
        <f>IF(G2857&lt;&gt;"",J2857/MAX(J$3:J2857)-1,"")</f>
        <v/>
      </c>
      <c r="N2857" s="9" t="str">
        <f>IF(G2857&lt;&gt;"",K2857/MAX(K$3:K2857)-1,"")</f>
        <v/>
      </c>
      <c r="O2857" s="16" t="str">
        <f t="shared" si="425"/>
        <v/>
      </c>
      <c r="P2857" s="16" t="str">
        <f t="shared" si="425"/>
        <v/>
      </c>
      <c r="Q2857" s="16" t="str">
        <f t="shared" si="425"/>
        <v/>
      </c>
      <c r="R2857" s="5" t="str">
        <f t="shared" si="424"/>
        <v/>
      </c>
      <c r="S2857" s="5" t="str">
        <f t="shared" si="428"/>
        <v/>
      </c>
      <c r="T2857" s="5" t="str">
        <f t="shared" si="432"/>
        <v/>
      </c>
      <c r="U2857" s="5" t="str">
        <f t="shared" si="432"/>
        <v/>
      </c>
    </row>
    <row r="2858" spans="7:21" x14ac:dyDescent="0.2">
      <c r="G2858" s="8"/>
      <c r="H2858" s="5"/>
      <c r="J2858" s="10" t="str">
        <f t="shared" si="426"/>
        <v/>
      </c>
      <c r="K2858" s="10" t="str">
        <f t="shared" si="427"/>
        <v/>
      </c>
      <c r="L2858" s="11" t="str">
        <f t="shared" si="429"/>
        <v/>
      </c>
      <c r="M2858" s="9" t="str">
        <f>IF(G2858&lt;&gt;"",J2858/MAX(J$3:J2858)-1,"")</f>
        <v/>
      </c>
      <c r="N2858" s="9" t="str">
        <f>IF(G2858&lt;&gt;"",K2858/MAX(K$3:K2858)-1,"")</f>
        <v/>
      </c>
      <c r="O2858" s="16" t="str">
        <f t="shared" si="425"/>
        <v/>
      </c>
      <c r="P2858" s="16" t="str">
        <f t="shared" si="425"/>
        <v/>
      </c>
      <c r="Q2858" s="16" t="str">
        <f t="shared" si="425"/>
        <v/>
      </c>
      <c r="R2858" s="5" t="str">
        <f t="shared" si="424"/>
        <v/>
      </c>
      <c r="S2858" s="5" t="str">
        <f t="shared" si="428"/>
        <v/>
      </c>
      <c r="T2858" s="5" t="str">
        <f t="shared" si="432"/>
        <v/>
      </c>
      <c r="U2858" s="5" t="str">
        <f t="shared" si="432"/>
        <v/>
      </c>
    </row>
    <row r="2859" spans="7:21" x14ac:dyDescent="0.2">
      <c r="G2859" s="8"/>
      <c r="H2859" s="5"/>
      <c r="J2859" s="10" t="str">
        <f t="shared" si="426"/>
        <v/>
      </c>
      <c r="K2859" s="10" t="str">
        <f t="shared" si="427"/>
        <v/>
      </c>
      <c r="L2859" s="11" t="str">
        <f t="shared" si="429"/>
        <v/>
      </c>
      <c r="M2859" s="9" t="str">
        <f>IF(G2859&lt;&gt;"",J2859/MAX(J$3:J2859)-1,"")</f>
        <v/>
      </c>
      <c r="N2859" s="9" t="str">
        <f>IF(G2859&lt;&gt;"",K2859/MAX(K$3:K2859)-1,"")</f>
        <v/>
      </c>
      <c r="O2859" s="16" t="str">
        <f t="shared" si="425"/>
        <v/>
      </c>
      <c r="P2859" s="16" t="str">
        <f t="shared" si="425"/>
        <v/>
      </c>
      <c r="Q2859" s="16" t="str">
        <f t="shared" si="425"/>
        <v/>
      </c>
      <c r="R2859" s="5" t="str">
        <f t="shared" si="424"/>
        <v/>
      </c>
      <c r="S2859" s="5" t="str">
        <f t="shared" si="428"/>
        <v/>
      </c>
      <c r="T2859" s="5" t="str">
        <f t="shared" si="432"/>
        <v/>
      </c>
      <c r="U2859" s="5" t="str">
        <f t="shared" si="432"/>
        <v/>
      </c>
    </row>
    <row r="2860" spans="7:21" x14ac:dyDescent="0.2">
      <c r="G2860" s="8"/>
      <c r="H2860" s="5"/>
      <c r="J2860" s="10" t="str">
        <f t="shared" si="426"/>
        <v/>
      </c>
      <c r="K2860" s="10" t="str">
        <f t="shared" si="427"/>
        <v/>
      </c>
      <c r="L2860" s="11" t="str">
        <f t="shared" si="429"/>
        <v/>
      </c>
      <c r="M2860" s="9" t="str">
        <f>IF(G2860&lt;&gt;"",J2860/MAX(J$3:J2860)-1,"")</f>
        <v/>
      </c>
      <c r="N2860" s="9" t="str">
        <f>IF(G2860&lt;&gt;"",K2860/MAX(K$3:K2860)-1,"")</f>
        <v/>
      </c>
      <c r="O2860" s="16" t="str">
        <f t="shared" si="425"/>
        <v/>
      </c>
      <c r="P2860" s="16" t="str">
        <f t="shared" si="425"/>
        <v/>
      </c>
      <c r="Q2860" s="16" t="str">
        <f t="shared" si="425"/>
        <v/>
      </c>
      <c r="R2860" s="5" t="str">
        <f t="shared" si="424"/>
        <v/>
      </c>
      <c r="S2860" s="5" t="str">
        <f t="shared" si="428"/>
        <v/>
      </c>
      <c r="T2860" s="5" t="str">
        <f t="shared" si="432"/>
        <v/>
      </c>
      <c r="U2860" s="5" t="str">
        <f t="shared" si="432"/>
        <v/>
      </c>
    </row>
    <row r="2861" spans="7:21" x14ac:dyDescent="0.2">
      <c r="G2861" s="8"/>
      <c r="H2861" s="5"/>
      <c r="J2861" s="10" t="str">
        <f t="shared" si="426"/>
        <v/>
      </c>
      <c r="K2861" s="10" t="str">
        <f t="shared" si="427"/>
        <v/>
      </c>
      <c r="L2861" s="11" t="str">
        <f t="shared" si="429"/>
        <v/>
      </c>
      <c r="M2861" s="9" t="str">
        <f>IF(G2861&lt;&gt;"",J2861/MAX(J$3:J2861)-1,"")</f>
        <v/>
      </c>
      <c r="N2861" s="9" t="str">
        <f>IF(G2861&lt;&gt;"",K2861/MAX(K$3:K2861)-1,"")</f>
        <v/>
      </c>
      <c r="O2861" s="16" t="str">
        <f t="shared" si="425"/>
        <v/>
      </c>
      <c r="P2861" s="16" t="str">
        <f t="shared" si="425"/>
        <v/>
      </c>
      <c r="Q2861" s="16" t="str">
        <f t="shared" si="425"/>
        <v/>
      </c>
      <c r="R2861" s="5" t="str">
        <f t="shared" si="424"/>
        <v/>
      </c>
      <c r="S2861" s="5" t="str">
        <f t="shared" si="428"/>
        <v/>
      </c>
      <c r="T2861" s="5" t="str">
        <f t="shared" si="432"/>
        <v/>
      </c>
      <c r="U2861" s="5" t="str">
        <f t="shared" si="432"/>
        <v/>
      </c>
    </row>
    <row r="2862" spans="7:21" x14ac:dyDescent="0.2">
      <c r="G2862" s="8"/>
      <c r="H2862" s="5"/>
      <c r="J2862" s="10" t="str">
        <f t="shared" si="426"/>
        <v/>
      </c>
      <c r="K2862" s="10" t="str">
        <f t="shared" si="427"/>
        <v/>
      </c>
      <c r="L2862" s="11" t="str">
        <f t="shared" si="429"/>
        <v/>
      </c>
      <c r="M2862" s="9" t="str">
        <f>IF(G2862&lt;&gt;"",J2862/MAX(J$3:J2862)-1,"")</f>
        <v/>
      </c>
      <c r="N2862" s="9" t="str">
        <f>IF(G2862&lt;&gt;"",K2862/MAX(K$3:K2862)-1,"")</f>
        <v/>
      </c>
      <c r="O2862" s="16" t="str">
        <f t="shared" si="425"/>
        <v/>
      </c>
      <c r="P2862" s="16" t="str">
        <f t="shared" si="425"/>
        <v/>
      </c>
      <c r="Q2862" s="16" t="str">
        <f t="shared" si="425"/>
        <v/>
      </c>
      <c r="R2862" s="5" t="str">
        <f t="shared" si="424"/>
        <v/>
      </c>
      <c r="S2862" s="5" t="str">
        <f t="shared" si="428"/>
        <v/>
      </c>
      <c r="T2862" s="5" t="str">
        <f t="shared" si="432"/>
        <v/>
      </c>
      <c r="U2862" s="5" t="str">
        <f t="shared" si="432"/>
        <v/>
      </c>
    </row>
    <row r="2863" spans="7:21" x14ac:dyDescent="0.2">
      <c r="G2863" s="8"/>
      <c r="H2863" s="5"/>
      <c r="J2863" s="10" t="str">
        <f t="shared" si="426"/>
        <v/>
      </c>
      <c r="K2863" s="10" t="str">
        <f t="shared" si="427"/>
        <v/>
      </c>
      <c r="L2863" s="11" t="str">
        <f t="shared" si="429"/>
        <v/>
      </c>
      <c r="M2863" s="9" t="str">
        <f>IF(G2863&lt;&gt;"",J2863/MAX(J$3:J2863)-1,"")</f>
        <v/>
      </c>
      <c r="N2863" s="9" t="str">
        <f>IF(G2863&lt;&gt;"",K2863/MAX(K$3:K2863)-1,"")</f>
        <v/>
      </c>
      <c r="O2863" s="16" t="str">
        <f t="shared" si="425"/>
        <v/>
      </c>
      <c r="P2863" s="16" t="str">
        <f t="shared" si="425"/>
        <v/>
      </c>
      <c r="Q2863" s="16" t="str">
        <f t="shared" si="425"/>
        <v/>
      </c>
      <c r="R2863" s="5" t="str">
        <f t="shared" si="424"/>
        <v/>
      </c>
      <c r="S2863" s="5" t="str">
        <f t="shared" si="428"/>
        <v/>
      </c>
      <c r="T2863" s="5" t="str">
        <f t="shared" si="432"/>
        <v/>
      </c>
      <c r="U2863" s="5" t="str">
        <f t="shared" si="432"/>
        <v/>
      </c>
    </row>
    <row r="2864" spans="7:21" x14ac:dyDescent="0.2">
      <c r="G2864" s="8"/>
      <c r="H2864" s="5"/>
      <c r="J2864" s="10" t="str">
        <f t="shared" si="426"/>
        <v/>
      </c>
      <c r="K2864" s="10" t="str">
        <f t="shared" si="427"/>
        <v/>
      </c>
      <c r="L2864" s="11" t="str">
        <f t="shared" si="429"/>
        <v/>
      </c>
      <c r="M2864" s="9" t="str">
        <f>IF(G2864&lt;&gt;"",J2864/MAX(J$3:J2864)-1,"")</f>
        <v/>
      </c>
      <c r="N2864" s="9" t="str">
        <f>IF(G2864&lt;&gt;"",K2864/MAX(K$3:K2864)-1,"")</f>
        <v/>
      </c>
      <c r="O2864" s="16" t="str">
        <f t="shared" si="425"/>
        <v/>
      </c>
      <c r="P2864" s="16" t="str">
        <f t="shared" si="425"/>
        <v/>
      </c>
      <c r="Q2864" s="16" t="str">
        <f t="shared" si="425"/>
        <v/>
      </c>
      <c r="R2864" s="5" t="str">
        <f t="shared" si="424"/>
        <v/>
      </c>
      <c r="S2864" s="5" t="str">
        <f t="shared" si="428"/>
        <v/>
      </c>
      <c r="T2864" s="5" t="str">
        <f t="shared" si="432"/>
        <v/>
      </c>
      <c r="U2864" s="5" t="str">
        <f t="shared" si="432"/>
        <v/>
      </c>
    </row>
    <row r="2865" spans="7:21" x14ac:dyDescent="0.2">
      <c r="G2865" s="8"/>
      <c r="H2865" s="5"/>
      <c r="J2865" s="10" t="str">
        <f t="shared" si="426"/>
        <v/>
      </c>
      <c r="K2865" s="10" t="str">
        <f t="shared" si="427"/>
        <v/>
      </c>
      <c r="L2865" s="11" t="str">
        <f t="shared" si="429"/>
        <v/>
      </c>
      <c r="M2865" s="9" t="str">
        <f>IF(G2865&lt;&gt;"",J2865/MAX(J$3:J2865)-1,"")</f>
        <v/>
      </c>
      <c r="N2865" s="9" t="str">
        <f>IF(G2865&lt;&gt;"",K2865/MAX(K$3:K2865)-1,"")</f>
        <v/>
      </c>
      <c r="O2865" s="16" t="str">
        <f t="shared" si="425"/>
        <v/>
      </c>
      <c r="P2865" s="16" t="str">
        <f t="shared" si="425"/>
        <v/>
      </c>
      <c r="Q2865" s="16" t="str">
        <f t="shared" si="425"/>
        <v/>
      </c>
      <c r="R2865" s="5" t="str">
        <f t="shared" si="424"/>
        <v/>
      </c>
      <c r="S2865" s="5" t="str">
        <f t="shared" si="428"/>
        <v/>
      </c>
      <c r="T2865" s="5" t="str">
        <f t="shared" si="432"/>
        <v/>
      </c>
      <c r="U2865" s="5" t="str">
        <f t="shared" si="432"/>
        <v/>
      </c>
    </row>
    <row r="2866" spans="7:21" x14ac:dyDescent="0.2">
      <c r="G2866" s="8"/>
      <c r="H2866" s="5"/>
      <c r="J2866" s="10" t="str">
        <f t="shared" si="426"/>
        <v/>
      </c>
      <c r="K2866" s="10" t="str">
        <f t="shared" si="427"/>
        <v/>
      </c>
      <c r="L2866" s="11" t="str">
        <f t="shared" si="429"/>
        <v/>
      </c>
      <c r="M2866" s="9" t="str">
        <f>IF(G2866&lt;&gt;"",J2866/MAX(J$3:J2866)-1,"")</f>
        <v/>
      </c>
      <c r="N2866" s="9" t="str">
        <f>IF(G2866&lt;&gt;"",K2866/MAX(K$3:K2866)-1,"")</f>
        <v/>
      </c>
      <c r="O2866" s="16" t="str">
        <f t="shared" si="425"/>
        <v/>
      </c>
      <c r="P2866" s="16" t="str">
        <f t="shared" si="425"/>
        <v/>
      </c>
      <c r="Q2866" s="16" t="str">
        <f t="shared" si="425"/>
        <v/>
      </c>
      <c r="R2866" s="5" t="str">
        <f t="shared" si="424"/>
        <v/>
      </c>
      <c r="S2866" s="5" t="str">
        <f t="shared" si="428"/>
        <v/>
      </c>
      <c r="T2866" s="5" t="str">
        <f t="shared" si="432"/>
        <v/>
      </c>
      <c r="U2866" s="5" t="str">
        <f t="shared" si="432"/>
        <v/>
      </c>
    </row>
    <row r="2867" spans="7:21" x14ac:dyDescent="0.2">
      <c r="G2867" s="8"/>
      <c r="H2867" s="5"/>
      <c r="J2867" s="10" t="str">
        <f t="shared" si="426"/>
        <v/>
      </c>
      <c r="K2867" s="10" t="str">
        <f t="shared" si="427"/>
        <v/>
      </c>
      <c r="L2867" s="11" t="str">
        <f t="shared" si="429"/>
        <v/>
      </c>
      <c r="M2867" s="9" t="str">
        <f>IF(G2867&lt;&gt;"",J2867/MAX(J$3:J2867)-1,"")</f>
        <v/>
      </c>
      <c r="N2867" s="9" t="str">
        <f>IF(G2867&lt;&gt;"",K2867/MAX(K$3:K2867)-1,"")</f>
        <v/>
      </c>
      <c r="O2867" s="16" t="str">
        <f t="shared" si="425"/>
        <v/>
      </c>
      <c r="P2867" s="16" t="str">
        <f t="shared" si="425"/>
        <v/>
      </c>
      <c r="Q2867" s="16" t="str">
        <f t="shared" si="425"/>
        <v/>
      </c>
      <c r="R2867" s="5" t="str">
        <f t="shared" si="424"/>
        <v/>
      </c>
      <c r="S2867" s="5" t="str">
        <f t="shared" si="428"/>
        <v/>
      </c>
      <c r="T2867" s="5" t="str">
        <f t="shared" si="432"/>
        <v/>
      </c>
      <c r="U2867" s="5" t="str">
        <f t="shared" si="432"/>
        <v/>
      </c>
    </row>
    <row r="2868" spans="7:21" x14ac:dyDescent="0.2">
      <c r="G2868" s="8"/>
      <c r="H2868" s="5"/>
      <c r="J2868" s="10" t="str">
        <f t="shared" si="426"/>
        <v/>
      </c>
      <c r="K2868" s="10" t="str">
        <f t="shared" si="427"/>
        <v/>
      </c>
      <c r="L2868" s="11" t="str">
        <f t="shared" si="429"/>
        <v/>
      </c>
      <c r="M2868" s="9" t="str">
        <f>IF(G2868&lt;&gt;"",J2868/MAX(J$3:J2868)-1,"")</f>
        <v/>
      </c>
      <c r="N2868" s="9" t="str">
        <f>IF(G2868&lt;&gt;"",K2868/MAX(K$3:K2868)-1,"")</f>
        <v/>
      </c>
      <c r="O2868" s="16" t="str">
        <f t="shared" si="425"/>
        <v/>
      </c>
      <c r="P2868" s="16" t="str">
        <f t="shared" si="425"/>
        <v/>
      </c>
      <c r="Q2868" s="16" t="str">
        <f t="shared" si="425"/>
        <v/>
      </c>
      <c r="R2868" s="5" t="str">
        <f t="shared" si="424"/>
        <v/>
      </c>
      <c r="S2868" s="5" t="str">
        <f t="shared" si="428"/>
        <v/>
      </c>
      <c r="T2868" s="5" t="str">
        <f t="shared" si="432"/>
        <v/>
      </c>
      <c r="U2868" s="5" t="str">
        <f t="shared" si="432"/>
        <v/>
      </c>
    </row>
    <row r="2869" spans="7:21" x14ac:dyDescent="0.2">
      <c r="G2869" s="8"/>
      <c r="H2869" s="5"/>
      <c r="J2869" s="10" t="str">
        <f t="shared" si="426"/>
        <v/>
      </c>
      <c r="K2869" s="10" t="str">
        <f t="shared" si="427"/>
        <v/>
      </c>
      <c r="L2869" s="11" t="str">
        <f t="shared" si="429"/>
        <v/>
      </c>
      <c r="M2869" s="9" t="str">
        <f>IF(G2869&lt;&gt;"",J2869/MAX(J$3:J2869)-1,"")</f>
        <v/>
      </c>
      <c r="N2869" s="9" t="str">
        <f>IF(G2869&lt;&gt;"",K2869/MAX(K$3:K2869)-1,"")</f>
        <v/>
      </c>
      <c r="O2869" s="16" t="str">
        <f t="shared" si="425"/>
        <v/>
      </c>
      <c r="P2869" s="16" t="str">
        <f t="shared" si="425"/>
        <v/>
      </c>
      <c r="Q2869" s="16" t="str">
        <f t="shared" si="425"/>
        <v/>
      </c>
      <c r="R2869" s="5" t="str">
        <f t="shared" si="424"/>
        <v/>
      </c>
      <c r="S2869" s="5" t="str">
        <f t="shared" si="428"/>
        <v/>
      </c>
      <c r="T2869" s="5" t="str">
        <f t="shared" si="432"/>
        <v/>
      </c>
      <c r="U2869" s="5" t="str">
        <f t="shared" si="432"/>
        <v/>
      </c>
    </row>
    <row r="2870" spans="7:21" x14ac:dyDescent="0.2">
      <c r="G2870" s="8"/>
      <c r="H2870" s="5"/>
      <c r="J2870" s="10" t="str">
        <f t="shared" si="426"/>
        <v/>
      </c>
      <c r="K2870" s="10" t="str">
        <f t="shared" si="427"/>
        <v/>
      </c>
      <c r="L2870" s="11" t="str">
        <f t="shared" si="429"/>
        <v/>
      </c>
      <c r="M2870" s="9" t="str">
        <f>IF(G2870&lt;&gt;"",J2870/MAX(J$3:J2870)-1,"")</f>
        <v/>
      </c>
      <c r="N2870" s="9" t="str">
        <f>IF(G2870&lt;&gt;"",K2870/MAX(K$3:K2870)-1,"")</f>
        <v/>
      </c>
      <c r="O2870" s="16" t="str">
        <f t="shared" si="425"/>
        <v/>
      </c>
      <c r="P2870" s="16" t="str">
        <f t="shared" si="425"/>
        <v/>
      </c>
      <c r="Q2870" s="16" t="str">
        <f t="shared" si="425"/>
        <v/>
      </c>
      <c r="R2870" s="5" t="str">
        <f t="shared" si="424"/>
        <v/>
      </c>
      <c r="S2870" s="5" t="str">
        <f t="shared" si="428"/>
        <v/>
      </c>
      <c r="T2870" s="5" t="str">
        <f t="shared" si="432"/>
        <v/>
      </c>
      <c r="U2870" s="5" t="str">
        <f t="shared" si="432"/>
        <v/>
      </c>
    </row>
    <row r="2871" spans="7:21" x14ac:dyDescent="0.2">
      <c r="G2871" s="8"/>
      <c r="H2871" s="5"/>
      <c r="J2871" s="10" t="str">
        <f t="shared" si="426"/>
        <v/>
      </c>
      <c r="K2871" s="10" t="str">
        <f t="shared" si="427"/>
        <v/>
      </c>
      <c r="L2871" s="11" t="str">
        <f t="shared" si="429"/>
        <v/>
      </c>
      <c r="M2871" s="9" t="str">
        <f>IF(G2871&lt;&gt;"",J2871/MAX(J$3:J2871)-1,"")</f>
        <v/>
      </c>
      <c r="N2871" s="9" t="str">
        <f>IF(G2871&lt;&gt;"",K2871/MAX(K$3:K2871)-1,"")</f>
        <v/>
      </c>
      <c r="O2871" s="16" t="str">
        <f t="shared" si="425"/>
        <v/>
      </c>
      <c r="P2871" s="16" t="str">
        <f t="shared" si="425"/>
        <v/>
      </c>
      <c r="Q2871" s="16" t="str">
        <f t="shared" si="425"/>
        <v/>
      </c>
      <c r="R2871" s="5" t="str">
        <f t="shared" si="424"/>
        <v/>
      </c>
      <c r="S2871" s="5" t="str">
        <f t="shared" si="428"/>
        <v/>
      </c>
      <c r="T2871" s="5" t="str">
        <f t="shared" si="432"/>
        <v/>
      </c>
      <c r="U2871" s="5" t="str">
        <f t="shared" si="432"/>
        <v/>
      </c>
    </row>
    <row r="2872" spans="7:21" x14ac:dyDescent="0.2">
      <c r="G2872" s="8"/>
      <c r="H2872" s="5"/>
      <c r="J2872" s="10" t="str">
        <f t="shared" si="426"/>
        <v/>
      </c>
      <c r="K2872" s="10" t="str">
        <f t="shared" si="427"/>
        <v/>
      </c>
      <c r="L2872" s="11" t="str">
        <f t="shared" si="429"/>
        <v/>
      </c>
      <c r="M2872" s="9" t="str">
        <f>IF(G2872&lt;&gt;"",J2872/MAX(J$3:J2872)-1,"")</f>
        <v/>
      </c>
      <c r="N2872" s="9" t="str">
        <f>IF(G2872&lt;&gt;"",K2872/MAX(K$3:K2872)-1,"")</f>
        <v/>
      </c>
      <c r="O2872" s="16" t="str">
        <f t="shared" si="425"/>
        <v/>
      </c>
      <c r="P2872" s="16" t="str">
        <f t="shared" si="425"/>
        <v/>
      </c>
      <c r="Q2872" s="16" t="str">
        <f t="shared" si="425"/>
        <v/>
      </c>
      <c r="R2872" s="5" t="str">
        <f t="shared" si="424"/>
        <v/>
      </c>
      <c r="S2872" s="5" t="str">
        <f t="shared" si="428"/>
        <v/>
      </c>
      <c r="T2872" s="5" t="str">
        <f t="shared" ref="T2872:U2887" si="433">IF($G2872&lt;&gt;"",_xlfn.STDEV.S(O2628:O2872),"")</f>
        <v/>
      </c>
      <c r="U2872" s="5" t="str">
        <f t="shared" si="433"/>
        <v/>
      </c>
    </row>
    <row r="2873" spans="7:21" x14ac:dyDescent="0.2">
      <c r="G2873" s="8"/>
      <c r="H2873" s="5"/>
      <c r="J2873" s="10" t="str">
        <f t="shared" si="426"/>
        <v/>
      </c>
      <c r="K2873" s="10" t="str">
        <f t="shared" si="427"/>
        <v/>
      </c>
      <c r="L2873" s="11" t="str">
        <f t="shared" si="429"/>
        <v/>
      </c>
      <c r="M2873" s="9" t="str">
        <f>IF(G2873&lt;&gt;"",J2873/MAX(J$3:J2873)-1,"")</f>
        <v/>
      </c>
      <c r="N2873" s="9" t="str">
        <f>IF(G2873&lt;&gt;"",K2873/MAX(K$3:K2873)-1,"")</f>
        <v/>
      </c>
      <c r="O2873" s="16" t="str">
        <f t="shared" si="425"/>
        <v/>
      </c>
      <c r="P2873" s="16" t="str">
        <f t="shared" si="425"/>
        <v/>
      </c>
      <c r="Q2873" s="16" t="str">
        <f t="shared" si="425"/>
        <v/>
      </c>
      <c r="R2873" s="5" t="str">
        <f t="shared" si="424"/>
        <v/>
      </c>
      <c r="S2873" s="5" t="str">
        <f t="shared" si="428"/>
        <v/>
      </c>
      <c r="T2873" s="5" t="str">
        <f t="shared" si="433"/>
        <v/>
      </c>
      <c r="U2873" s="5" t="str">
        <f t="shared" si="433"/>
        <v/>
      </c>
    </row>
    <row r="2874" spans="7:21" x14ac:dyDescent="0.2">
      <c r="G2874" s="8"/>
      <c r="H2874" s="5"/>
      <c r="J2874" s="10" t="str">
        <f t="shared" si="426"/>
        <v/>
      </c>
      <c r="K2874" s="10" t="str">
        <f t="shared" si="427"/>
        <v/>
      </c>
      <c r="L2874" s="11" t="str">
        <f t="shared" si="429"/>
        <v/>
      </c>
      <c r="M2874" s="9" t="str">
        <f>IF(G2874&lt;&gt;"",J2874/MAX(J$3:J2874)-1,"")</f>
        <v/>
      </c>
      <c r="N2874" s="9" t="str">
        <f>IF(G2874&lt;&gt;"",K2874/MAX(K$3:K2874)-1,"")</f>
        <v/>
      </c>
      <c r="O2874" s="16" t="str">
        <f t="shared" si="425"/>
        <v/>
      </c>
      <c r="P2874" s="16" t="str">
        <f t="shared" si="425"/>
        <v/>
      </c>
      <c r="Q2874" s="16" t="str">
        <f t="shared" si="425"/>
        <v/>
      </c>
      <c r="R2874" s="5" t="str">
        <f t="shared" si="424"/>
        <v/>
      </c>
      <c r="S2874" s="5" t="str">
        <f t="shared" si="428"/>
        <v/>
      </c>
      <c r="T2874" s="5" t="str">
        <f t="shared" si="433"/>
        <v/>
      </c>
      <c r="U2874" s="5" t="str">
        <f t="shared" si="433"/>
        <v/>
      </c>
    </row>
    <row r="2875" spans="7:21" x14ac:dyDescent="0.2">
      <c r="G2875" s="8"/>
      <c r="H2875" s="5"/>
      <c r="J2875" s="10" t="str">
        <f t="shared" si="426"/>
        <v/>
      </c>
      <c r="K2875" s="10" t="str">
        <f t="shared" si="427"/>
        <v/>
      </c>
      <c r="L2875" s="11" t="str">
        <f t="shared" si="429"/>
        <v/>
      </c>
      <c r="M2875" s="9" t="str">
        <f>IF(G2875&lt;&gt;"",J2875/MAX(J$3:J2875)-1,"")</f>
        <v/>
      </c>
      <c r="N2875" s="9" t="str">
        <f>IF(G2875&lt;&gt;"",K2875/MAX(K$3:K2875)-1,"")</f>
        <v/>
      </c>
      <c r="O2875" s="16" t="str">
        <f t="shared" si="425"/>
        <v/>
      </c>
      <c r="P2875" s="16" t="str">
        <f t="shared" si="425"/>
        <v/>
      </c>
      <c r="Q2875" s="16" t="str">
        <f t="shared" si="425"/>
        <v/>
      </c>
      <c r="R2875" s="5" t="str">
        <f t="shared" si="424"/>
        <v/>
      </c>
      <c r="S2875" s="5" t="str">
        <f t="shared" si="428"/>
        <v/>
      </c>
      <c r="T2875" s="5" t="str">
        <f t="shared" si="433"/>
        <v/>
      </c>
      <c r="U2875" s="5" t="str">
        <f t="shared" si="433"/>
        <v/>
      </c>
    </row>
    <row r="2876" spans="7:21" x14ac:dyDescent="0.2">
      <c r="G2876" s="8"/>
      <c r="H2876" s="5"/>
      <c r="J2876" s="10" t="str">
        <f t="shared" si="426"/>
        <v/>
      </c>
      <c r="K2876" s="10" t="str">
        <f t="shared" si="427"/>
        <v/>
      </c>
      <c r="L2876" s="11" t="str">
        <f t="shared" si="429"/>
        <v/>
      </c>
      <c r="M2876" s="9" t="str">
        <f>IF(G2876&lt;&gt;"",J2876/MAX(J$3:J2876)-1,"")</f>
        <v/>
      </c>
      <c r="N2876" s="9" t="str">
        <f>IF(G2876&lt;&gt;"",K2876/MAX(K$3:K2876)-1,"")</f>
        <v/>
      </c>
      <c r="O2876" s="16" t="str">
        <f t="shared" si="425"/>
        <v/>
      </c>
      <c r="P2876" s="16" t="str">
        <f t="shared" si="425"/>
        <v/>
      </c>
      <c r="Q2876" s="16" t="str">
        <f t="shared" si="425"/>
        <v/>
      </c>
      <c r="R2876" s="5" t="str">
        <f t="shared" si="424"/>
        <v/>
      </c>
      <c r="S2876" s="5" t="str">
        <f t="shared" si="428"/>
        <v/>
      </c>
      <c r="T2876" s="5" t="str">
        <f t="shared" si="433"/>
        <v/>
      </c>
      <c r="U2876" s="5" t="str">
        <f t="shared" si="433"/>
        <v/>
      </c>
    </row>
    <row r="2877" spans="7:21" x14ac:dyDescent="0.2">
      <c r="G2877" s="8"/>
      <c r="H2877" s="5"/>
      <c r="J2877" s="10" t="str">
        <f t="shared" si="426"/>
        <v/>
      </c>
      <c r="K2877" s="10" t="str">
        <f t="shared" si="427"/>
        <v/>
      </c>
      <c r="L2877" s="11" t="str">
        <f t="shared" si="429"/>
        <v/>
      </c>
      <c r="M2877" s="9" t="str">
        <f>IF(G2877&lt;&gt;"",J2877/MAX(J$3:J2877)-1,"")</f>
        <v/>
      </c>
      <c r="N2877" s="9" t="str">
        <f>IF(G2877&lt;&gt;"",K2877/MAX(K$3:K2877)-1,"")</f>
        <v/>
      </c>
      <c r="O2877" s="16" t="str">
        <f t="shared" si="425"/>
        <v/>
      </c>
      <c r="P2877" s="16" t="str">
        <f t="shared" si="425"/>
        <v/>
      </c>
      <c r="Q2877" s="16" t="str">
        <f t="shared" si="425"/>
        <v/>
      </c>
      <c r="R2877" s="5" t="str">
        <f t="shared" ref="R2877:R2940" si="434">IF(G2877&lt;&gt;"",_xlfn.STDEV.S(Q2756:Q2877)*SQRT($B$5),"")</f>
        <v/>
      </c>
      <c r="S2877" s="5" t="str">
        <f t="shared" si="428"/>
        <v/>
      </c>
      <c r="T2877" s="5" t="str">
        <f t="shared" si="433"/>
        <v/>
      </c>
      <c r="U2877" s="5" t="str">
        <f t="shared" si="433"/>
        <v/>
      </c>
    </row>
    <row r="2878" spans="7:21" x14ac:dyDescent="0.2">
      <c r="G2878" s="8"/>
      <c r="H2878" s="5"/>
      <c r="J2878" s="10" t="str">
        <f t="shared" si="426"/>
        <v/>
      </c>
      <c r="K2878" s="10" t="str">
        <f t="shared" si="427"/>
        <v/>
      </c>
      <c r="L2878" s="11" t="str">
        <f t="shared" si="429"/>
        <v/>
      </c>
      <c r="M2878" s="9" t="str">
        <f>IF(G2878&lt;&gt;"",J2878/MAX(J$3:J2878)-1,"")</f>
        <v/>
      </c>
      <c r="N2878" s="9" t="str">
        <f>IF(G2878&lt;&gt;"",K2878/MAX(K$3:K2878)-1,"")</f>
        <v/>
      </c>
      <c r="O2878" s="16" t="str">
        <f t="shared" si="425"/>
        <v/>
      </c>
      <c r="P2878" s="16" t="str">
        <f t="shared" si="425"/>
        <v/>
      </c>
      <c r="Q2878" s="16" t="str">
        <f t="shared" si="425"/>
        <v/>
      </c>
      <c r="R2878" s="5" t="str">
        <f t="shared" si="434"/>
        <v/>
      </c>
      <c r="S2878" s="5" t="str">
        <f t="shared" si="428"/>
        <v/>
      </c>
      <c r="T2878" s="5" t="str">
        <f t="shared" si="433"/>
        <v/>
      </c>
      <c r="U2878" s="5" t="str">
        <f t="shared" si="433"/>
        <v/>
      </c>
    </row>
    <row r="2879" spans="7:21" x14ac:dyDescent="0.2">
      <c r="G2879" s="8"/>
      <c r="H2879" s="5"/>
      <c r="J2879" s="10" t="str">
        <f t="shared" si="426"/>
        <v/>
      </c>
      <c r="K2879" s="10" t="str">
        <f t="shared" si="427"/>
        <v/>
      </c>
      <c r="L2879" s="11" t="str">
        <f t="shared" si="429"/>
        <v/>
      </c>
      <c r="M2879" s="9" t="str">
        <f>IF(G2879&lt;&gt;"",J2879/MAX(J$3:J2879)-1,"")</f>
        <v/>
      </c>
      <c r="N2879" s="9" t="str">
        <f>IF(G2879&lt;&gt;"",K2879/MAX(K$3:K2879)-1,"")</f>
        <v/>
      </c>
      <c r="O2879" s="16" t="str">
        <f t="shared" si="425"/>
        <v/>
      </c>
      <c r="P2879" s="16" t="str">
        <f t="shared" si="425"/>
        <v/>
      </c>
      <c r="Q2879" s="16" t="str">
        <f t="shared" si="425"/>
        <v/>
      </c>
      <c r="R2879" s="5" t="str">
        <f t="shared" si="434"/>
        <v/>
      </c>
      <c r="S2879" s="5" t="str">
        <f t="shared" si="428"/>
        <v/>
      </c>
      <c r="T2879" s="5" t="str">
        <f t="shared" si="433"/>
        <v/>
      </c>
      <c r="U2879" s="5" t="str">
        <f t="shared" si="433"/>
        <v/>
      </c>
    </row>
    <row r="2880" spans="7:21" x14ac:dyDescent="0.2">
      <c r="G2880" s="8"/>
      <c r="H2880" s="5"/>
      <c r="J2880" s="10" t="str">
        <f t="shared" si="426"/>
        <v/>
      </c>
      <c r="K2880" s="10" t="str">
        <f t="shared" si="427"/>
        <v/>
      </c>
      <c r="L2880" s="11" t="str">
        <f t="shared" si="429"/>
        <v/>
      </c>
      <c r="M2880" s="9" t="str">
        <f>IF(G2880&lt;&gt;"",J2880/MAX(J$3:J2880)-1,"")</f>
        <v/>
      </c>
      <c r="N2880" s="9" t="str">
        <f>IF(G2880&lt;&gt;"",K2880/MAX(K$3:K2880)-1,"")</f>
        <v/>
      </c>
      <c r="O2880" s="16" t="str">
        <f t="shared" si="425"/>
        <v/>
      </c>
      <c r="P2880" s="16" t="str">
        <f t="shared" si="425"/>
        <v/>
      </c>
      <c r="Q2880" s="16" t="str">
        <f t="shared" si="425"/>
        <v/>
      </c>
      <c r="R2880" s="5" t="str">
        <f t="shared" si="434"/>
        <v/>
      </c>
      <c r="S2880" s="5" t="str">
        <f t="shared" si="428"/>
        <v/>
      </c>
      <c r="T2880" s="5" t="str">
        <f t="shared" si="433"/>
        <v/>
      </c>
      <c r="U2880" s="5" t="str">
        <f t="shared" si="433"/>
        <v/>
      </c>
    </row>
    <row r="2881" spans="7:21" x14ac:dyDescent="0.2">
      <c r="G2881" s="8"/>
      <c r="H2881" s="5"/>
      <c r="J2881" s="10" t="str">
        <f t="shared" si="426"/>
        <v/>
      </c>
      <c r="K2881" s="10" t="str">
        <f t="shared" si="427"/>
        <v/>
      </c>
      <c r="L2881" s="11" t="str">
        <f t="shared" si="429"/>
        <v/>
      </c>
      <c r="M2881" s="9" t="str">
        <f>IF(G2881&lt;&gt;"",J2881/MAX(J$3:J2881)-1,"")</f>
        <v/>
      </c>
      <c r="N2881" s="9" t="str">
        <f>IF(G2881&lt;&gt;"",K2881/MAX(K$3:K2881)-1,"")</f>
        <v/>
      </c>
      <c r="O2881" s="16" t="str">
        <f t="shared" si="425"/>
        <v/>
      </c>
      <c r="P2881" s="16" t="str">
        <f t="shared" si="425"/>
        <v/>
      </c>
      <c r="Q2881" s="16" t="str">
        <f t="shared" si="425"/>
        <v/>
      </c>
      <c r="R2881" s="5" t="str">
        <f t="shared" si="434"/>
        <v/>
      </c>
      <c r="S2881" s="5" t="str">
        <f t="shared" si="428"/>
        <v/>
      </c>
      <c r="T2881" s="5" t="str">
        <f t="shared" si="433"/>
        <v/>
      </c>
      <c r="U2881" s="5" t="str">
        <f t="shared" si="433"/>
        <v/>
      </c>
    </row>
    <row r="2882" spans="7:21" x14ac:dyDescent="0.2">
      <c r="G2882" s="8"/>
      <c r="H2882" s="5"/>
      <c r="J2882" s="10" t="str">
        <f t="shared" si="426"/>
        <v/>
      </c>
      <c r="K2882" s="10" t="str">
        <f t="shared" si="427"/>
        <v/>
      </c>
      <c r="L2882" s="11" t="str">
        <f t="shared" si="429"/>
        <v/>
      </c>
      <c r="M2882" s="9" t="str">
        <f>IF(G2882&lt;&gt;"",J2882/MAX(J$3:J2882)-1,"")</f>
        <v/>
      </c>
      <c r="N2882" s="9" t="str">
        <f>IF(G2882&lt;&gt;"",K2882/MAX(K$3:K2882)-1,"")</f>
        <v/>
      </c>
      <c r="O2882" s="16" t="str">
        <f t="shared" ref="O2882:Q2945" si="435">IF($G2882&lt;&gt;"",J2882/J2881-1,"")</f>
        <v/>
      </c>
      <c r="P2882" s="16" t="str">
        <f t="shared" si="435"/>
        <v/>
      </c>
      <c r="Q2882" s="16" t="str">
        <f t="shared" si="435"/>
        <v/>
      </c>
      <c r="R2882" s="5" t="str">
        <f t="shared" si="434"/>
        <v/>
      </c>
      <c r="S2882" s="5" t="str">
        <f t="shared" si="428"/>
        <v/>
      </c>
      <c r="T2882" s="5" t="str">
        <f t="shared" si="433"/>
        <v/>
      </c>
      <c r="U2882" s="5" t="str">
        <f t="shared" si="433"/>
        <v/>
      </c>
    </row>
    <row r="2883" spans="7:21" x14ac:dyDescent="0.2">
      <c r="G2883" s="8"/>
      <c r="H2883" s="5"/>
      <c r="J2883" s="10" t="str">
        <f t="shared" si="426"/>
        <v/>
      </c>
      <c r="K2883" s="10" t="str">
        <f t="shared" si="427"/>
        <v/>
      </c>
      <c r="L2883" s="11" t="str">
        <f t="shared" si="429"/>
        <v/>
      </c>
      <c r="M2883" s="9" t="str">
        <f>IF(G2883&lt;&gt;"",J2883/MAX(J$3:J2883)-1,"")</f>
        <v/>
      </c>
      <c r="N2883" s="9" t="str">
        <f>IF(G2883&lt;&gt;"",K2883/MAX(K$3:K2883)-1,"")</f>
        <v/>
      </c>
      <c r="O2883" s="16" t="str">
        <f t="shared" si="435"/>
        <v/>
      </c>
      <c r="P2883" s="16" t="str">
        <f t="shared" si="435"/>
        <v/>
      </c>
      <c r="Q2883" s="16" t="str">
        <f t="shared" si="435"/>
        <v/>
      </c>
      <c r="R2883" s="5" t="str">
        <f t="shared" si="434"/>
        <v/>
      </c>
      <c r="S2883" s="5" t="str">
        <f t="shared" si="428"/>
        <v/>
      </c>
      <c r="T2883" s="5" t="str">
        <f t="shared" si="433"/>
        <v/>
      </c>
      <c r="U2883" s="5" t="str">
        <f t="shared" si="433"/>
        <v/>
      </c>
    </row>
    <row r="2884" spans="7:21" x14ac:dyDescent="0.2">
      <c r="G2884" s="8"/>
      <c r="H2884" s="5"/>
      <c r="J2884" s="10" t="str">
        <f t="shared" ref="J2884:J2947" si="436">IF(G2884&lt;&gt;"",1+H2884,"")</f>
        <v/>
      </c>
      <c r="K2884" s="10" t="str">
        <f t="shared" ref="K2884:K2947" si="437">IF(G2884&lt;&gt;"",1+I2884,"")</f>
        <v/>
      </c>
      <c r="L2884" s="11" t="str">
        <f t="shared" si="429"/>
        <v/>
      </c>
      <c r="M2884" s="9" t="str">
        <f>IF(G2884&lt;&gt;"",J2884/MAX(J$3:J2884)-1,"")</f>
        <v/>
      </c>
      <c r="N2884" s="9" t="str">
        <f>IF(G2884&lt;&gt;"",K2884/MAX(K$3:K2884)-1,"")</f>
        <v/>
      </c>
      <c r="O2884" s="16" t="str">
        <f t="shared" si="435"/>
        <v/>
      </c>
      <c r="P2884" s="16" t="str">
        <f t="shared" si="435"/>
        <v/>
      </c>
      <c r="Q2884" s="16" t="str">
        <f t="shared" si="435"/>
        <v/>
      </c>
      <c r="R2884" s="5" t="str">
        <f t="shared" si="434"/>
        <v/>
      </c>
      <c r="S2884" s="5" t="str">
        <f t="shared" ref="S2884:S2947" si="438">IF(R2884&lt;&gt;"",B$12,"")</f>
        <v/>
      </c>
      <c r="T2884" s="5" t="str">
        <f t="shared" si="433"/>
        <v/>
      </c>
      <c r="U2884" s="5" t="str">
        <f t="shared" si="433"/>
        <v/>
      </c>
    </row>
    <row r="2885" spans="7:21" x14ac:dyDescent="0.2">
      <c r="G2885" s="8"/>
      <c r="H2885" s="5"/>
      <c r="J2885" s="10" t="str">
        <f t="shared" si="436"/>
        <v/>
      </c>
      <c r="K2885" s="10" t="str">
        <f t="shared" si="437"/>
        <v/>
      </c>
      <c r="L2885" s="11" t="str">
        <f t="shared" ref="L2885:L2948" si="439">IF(G2885&lt;&gt;"",J2885/K2885,"")</f>
        <v/>
      </c>
      <c r="M2885" s="9" t="str">
        <f>IF(G2885&lt;&gt;"",J2885/MAX(J$3:J2885)-1,"")</f>
        <v/>
      </c>
      <c r="N2885" s="9" t="str">
        <f>IF(G2885&lt;&gt;"",K2885/MAX(K$3:K2885)-1,"")</f>
        <v/>
      </c>
      <c r="O2885" s="16" t="str">
        <f t="shared" si="435"/>
        <v/>
      </c>
      <c r="P2885" s="16" t="str">
        <f t="shared" si="435"/>
        <v/>
      </c>
      <c r="Q2885" s="16" t="str">
        <f t="shared" si="435"/>
        <v/>
      </c>
      <c r="R2885" s="5" t="str">
        <f t="shared" si="434"/>
        <v/>
      </c>
      <c r="S2885" s="5" t="str">
        <f t="shared" si="438"/>
        <v/>
      </c>
      <c r="T2885" s="5" t="str">
        <f t="shared" si="433"/>
        <v/>
      </c>
      <c r="U2885" s="5" t="str">
        <f t="shared" si="433"/>
        <v/>
      </c>
    </row>
    <row r="2886" spans="7:21" x14ac:dyDescent="0.2">
      <c r="G2886" s="8"/>
      <c r="H2886" s="5"/>
      <c r="J2886" s="10" t="str">
        <f t="shared" si="436"/>
        <v/>
      </c>
      <c r="K2886" s="10" t="str">
        <f t="shared" si="437"/>
        <v/>
      </c>
      <c r="L2886" s="11" t="str">
        <f t="shared" si="439"/>
        <v/>
      </c>
      <c r="M2886" s="9" t="str">
        <f>IF(G2886&lt;&gt;"",J2886/MAX(J$3:J2886)-1,"")</f>
        <v/>
      </c>
      <c r="N2886" s="9" t="str">
        <f>IF(G2886&lt;&gt;"",K2886/MAX(K$3:K2886)-1,"")</f>
        <v/>
      </c>
      <c r="O2886" s="16" t="str">
        <f t="shared" si="435"/>
        <v/>
      </c>
      <c r="P2886" s="16" t="str">
        <f t="shared" si="435"/>
        <v/>
      </c>
      <c r="Q2886" s="16" t="str">
        <f t="shared" si="435"/>
        <v/>
      </c>
      <c r="R2886" s="5" t="str">
        <f t="shared" si="434"/>
        <v/>
      </c>
      <c r="S2886" s="5" t="str">
        <f t="shared" si="438"/>
        <v/>
      </c>
      <c r="T2886" s="5" t="str">
        <f t="shared" si="433"/>
        <v/>
      </c>
      <c r="U2886" s="5" t="str">
        <f t="shared" si="433"/>
        <v/>
      </c>
    </row>
    <row r="2887" spans="7:21" x14ac:dyDescent="0.2">
      <c r="G2887" s="8"/>
      <c r="H2887" s="5"/>
      <c r="J2887" s="10" t="str">
        <f t="shared" si="436"/>
        <v/>
      </c>
      <c r="K2887" s="10" t="str">
        <f t="shared" si="437"/>
        <v/>
      </c>
      <c r="L2887" s="11" t="str">
        <f t="shared" si="439"/>
        <v/>
      </c>
      <c r="M2887" s="9" t="str">
        <f>IF(G2887&lt;&gt;"",J2887/MAX(J$3:J2887)-1,"")</f>
        <v/>
      </c>
      <c r="N2887" s="9" t="str">
        <f>IF(G2887&lt;&gt;"",K2887/MAX(K$3:K2887)-1,"")</f>
        <v/>
      </c>
      <c r="O2887" s="16" t="str">
        <f t="shared" si="435"/>
        <v/>
      </c>
      <c r="P2887" s="16" t="str">
        <f t="shared" si="435"/>
        <v/>
      </c>
      <c r="Q2887" s="16" t="str">
        <f t="shared" si="435"/>
        <v/>
      </c>
      <c r="R2887" s="5" t="str">
        <f t="shared" si="434"/>
        <v/>
      </c>
      <c r="S2887" s="5" t="str">
        <f t="shared" si="438"/>
        <v/>
      </c>
      <c r="T2887" s="5" t="str">
        <f t="shared" si="433"/>
        <v/>
      </c>
      <c r="U2887" s="5" t="str">
        <f t="shared" si="433"/>
        <v/>
      </c>
    </row>
    <row r="2888" spans="7:21" x14ac:dyDescent="0.2">
      <c r="G2888" s="8"/>
      <c r="H2888" s="5"/>
      <c r="J2888" s="10" t="str">
        <f t="shared" si="436"/>
        <v/>
      </c>
      <c r="K2888" s="10" t="str">
        <f t="shared" si="437"/>
        <v/>
      </c>
      <c r="L2888" s="11" t="str">
        <f t="shared" si="439"/>
        <v/>
      </c>
      <c r="M2888" s="9" t="str">
        <f>IF(G2888&lt;&gt;"",J2888/MAX(J$3:J2888)-1,"")</f>
        <v/>
      </c>
      <c r="N2888" s="9" t="str">
        <f>IF(G2888&lt;&gt;"",K2888/MAX(K$3:K2888)-1,"")</f>
        <v/>
      </c>
      <c r="O2888" s="16" t="str">
        <f t="shared" si="435"/>
        <v/>
      </c>
      <c r="P2888" s="16" t="str">
        <f t="shared" si="435"/>
        <v/>
      </c>
      <c r="Q2888" s="16" t="str">
        <f t="shared" si="435"/>
        <v/>
      </c>
      <c r="R2888" s="5" t="str">
        <f t="shared" si="434"/>
        <v/>
      </c>
      <c r="S2888" s="5" t="str">
        <f t="shared" si="438"/>
        <v/>
      </c>
      <c r="T2888" s="5" t="str">
        <f t="shared" ref="T2888:U2903" si="440">IF($G2888&lt;&gt;"",_xlfn.STDEV.S(O2644:O2888),"")</f>
        <v/>
      </c>
      <c r="U2888" s="5" t="str">
        <f t="shared" si="440"/>
        <v/>
      </c>
    </row>
    <row r="2889" spans="7:21" x14ac:dyDescent="0.2">
      <c r="G2889" s="8"/>
      <c r="H2889" s="5"/>
      <c r="J2889" s="10" t="str">
        <f t="shared" si="436"/>
        <v/>
      </c>
      <c r="K2889" s="10" t="str">
        <f t="shared" si="437"/>
        <v/>
      </c>
      <c r="L2889" s="11" t="str">
        <f t="shared" si="439"/>
        <v/>
      </c>
      <c r="M2889" s="9" t="str">
        <f>IF(G2889&lt;&gt;"",J2889/MAX(J$3:J2889)-1,"")</f>
        <v/>
      </c>
      <c r="N2889" s="9" t="str">
        <f>IF(G2889&lt;&gt;"",K2889/MAX(K$3:K2889)-1,"")</f>
        <v/>
      </c>
      <c r="O2889" s="16" t="str">
        <f t="shared" si="435"/>
        <v/>
      </c>
      <c r="P2889" s="16" t="str">
        <f t="shared" si="435"/>
        <v/>
      </c>
      <c r="Q2889" s="16" t="str">
        <f t="shared" si="435"/>
        <v/>
      </c>
      <c r="R2889" s="5" t="str">
        <f t="shared" si="434"/>
        <v/>
      </c>
      <c r="S2889" s="5" t="str">
        <f t="shared" si="438"/>
        <v/>
      </c>
      <c r="T2889" s="5" t="str">
        <f t="shared" si="440"/>
        <v/>
      </c>
      <c r="U2889" s="5" t="str">
        <f t="shared" si="440"/>
        <v/>
      </c>
    </row>
    <row r="2890" spans="7:21" x14ac:dyDescent="0.2">
      <c r="G2890" s="8"/>
      <c r="H2890" s="5"/>
      <c r="J2890" s="10" t="str">
        <f t="shared" si="436"/>
        <v/>
      </c>
      <c r="K2890" s="10" t="str">
        <f t="shared" si="437"/>
        <v/>
      </c>
      <c r="L2890" s="11" t="str">
        <f t="shared" si="439"/>
        <v/>
      </c>
      <c r="M2890" s="9" t="str">
        <f>IF(G2890&lt;&gt;"",J2890/MAX(J$3:J2890)-1,"")</f>
        <v/>
      </c>
      <c r="N2890" s="9" t="str">
        <f>IF(G2890&lt;&gt;"",K2890/MAX(K$3:K2890)-1,"")</f>
        <v/>
      </c>
      <c r="O2890" s="16" t="str">
        <f t="shared" si="435"/>
        <v/>
      </c>
      <c r="P2890" s="16" t="str">
        <f t="shared" si="435"/>
        <v/>
      </c>
      <c r="Q2890" s="16" t="str">
        <f t="shared" si="435"/>
        <v/>
      </c>
      <c r="R2890" s="5" t="str">
        <f t="shared" si="434"/>
        <v/>
      </c>
      <c r="S2890" s="5" t="str">
        <f t="shared" si="438"/>
        <v/>
      </c>
      <c r="T2890" s="5" t="str">
        <f t="shared" si="440"/>
        <v/>
      </c>
      <c r="U2890" s="5" t="str">
        <f t="shared" si="440"/>
        <v/>
      </c>
    </row>
    <row r="2891" spans="7:21" x14ac:dyDescent="0.2">
      <c r="G2891" s="8"/>
      <c r="H2891" s="5"/>
      <c r="J2891" s="10" t="str">
        <f t="shared" si="436"/>
        <v/>
      </c>
      <c r="K2891" s="10" t="str">
        <f t="shared" si="437"/>
        <v/>
      </c>
      <c r="L2891" s="11" t="str">
        <f t="shared" si="439"/>
        <v/>
      </c>
      <c r="M2891" s="9" t="str">
        <f>IF(G2891&lt;&gt;"",J2891/MAX(J$3:J2891)-1,"")</f>
        <v/>
      </c>
      <c r="N2891" s="9" t="str">
        <f>IF(G2891&lt;&gt;"",K2891/MAX(K$3:K2891)-1,"")</f>
        <v/>
      </c>
      <c r="O2891" s="16" t="str">
        <f t="shared" si="435"/>
        <v/>
      </c>
      <c r="P2891" s="16" t="str">
        <f t="shared" si="435"/>
        <v/>
      </c>
      <c r="Q2891" s="16" t="str">
        <f t="shared" si="435"/>
        <v/>
      </c>
      <c r="R2891" s="5" t="str">
        <f t="shared" si="434"/>
        <v/>
      </c>
      <c r="S2891" s="5" t="str">
        <f t="shared" si="438"/>
        <v/>
      </c>
      <c r="T2891" s="5" t="str">
        <f t="shared" si="440"/>
        <v/>
      </c>
      <c r="U2891" s="5" t="str">
        <f t="shared" si="440"/>
        <v/>
      </c>
    </row>
    <row r="2892" spans="7:21" x14ac:dyDescent="0.2">
      <c r="G2892" s="8"/>
      <c r="H2892" s="5"/>
      <c r="J2892" s="10" t="str">
        <f t="shared" si="436"/>
        <v/>
      </c>
      <c r="K2892" s="10" t="str">
        <f t="shared" si="437"/>
        <v/>
      </c>
      <c r="L2892" s="11" t="str">
        <f t="shared" si="439"/>
        <v/>
      </c>
      <c r="M2892" s="9" t="str">
        <f>IF(G2892&lt;&gt;"",J2892/MAX(J$3:J2892)-1,"")</f>
        <v/>
      </c>
      <c r="N2892" s="9" t="str">
        <f>IF(G2892&lt;&gt;"",K2892/MAX(K$3:K2892)-1,"")</f>
        <v/>
      </c>
      <c r="O2892" s="16" t="str">
        <f t="shared" si="435"/>
        <v/>
      </c>
      <c r="P2892" s="16" t="str">
        <f t="shared" si="435"/>
        <v/>
      </c>
      <c r="Q2892" s="16" t="str">
        <f t="shared" si="435"/>
        <v/>
      </c>
      <c r="R2892" s="5" t="str">
        <f t="shared" si="434"/>
        <v/>
      </c>
      <c r="S2892" s="5" t="str">
        <f t="shared" si="438"/>
        <v/>
      </c>
      <c r="T2892" s="5" t="str">
        <f t="shared" si="440"/>
        <v/>
      </c>
      <c r="U2892" s="5" t="str">
        <f t="shared" si="440"/>
        <v/>
      </c>
    </row>
    <row r="2893" spans="7:21" x14ac:dyDescent="0.2">
      <c r="G2893" s="8"/>
      <c r="H2893" s="5"/>
      <c r="J2893" s="10" t="str">
        <f t="shared" si="436"/>
        <v/>
      </c>
      <c r="K2893" s="10" t="str">
        <f t="shared" si="437"/>
        <v/>
      </c>
      <c r="L2893" s="11" t="str">
        <f t="shared" si="439"/>
        <v/>
      </c>
      <c r="M2893" s="9" t="str">
        <f>IF(G2893&lt;&gt;"",J2893/MAX(J$3:J2893)-1,"")</f>
        <v/>
      </c>
      <c r="N2893" s="9" t="str">
        <f>IF(G2893&lt;&gt;"",K2893/MAX(K$3:K2893)-1,"")</f>
        <v/>
      </c>
      <c r="O2893" s="16" t="str">
        <f t="shared" si="435"/>
        <v/>
      </c>
      <c r="P2893" s="16" t="str">
        <f t="shared" si="435"/>
        <v/>
      </c>
      <c r="Q2893" s="16" t="str">
        <f t="shared" si="435"/>
        <v/>
      </c>
      <c r="R2893" s="5" t="str">
        <f t="shared" si="434"/>
        <v/>
      </c>
      <c r="S2893" s="5" t="str">
        <f t="shared" si="438"/>
        <v/>
      </c>
      <c r="T2893" s="5" t="str">
        <f t="shared" si="440"/>
        <v/>
      </c>
      <c r="U2893" s="5" t="str">
        <f t="shared" si="440"/>
        <v/>
      </c>
    </row>
    <row r="2894" spans="7:21" x14ac:dyDescent="0.2">
      <c r="G2894" s="8"/>
      <c r="H2894" s="5"/>
      <c r="J2894" s="10" t="str">
        <f t="shared" si="436"/>
        <v/>
      </c>
      <c r="K2894" s="10" t="str">
        <f t="shared" si="437"/>
        <v/>
      </c>
      <c r="L2894" s="11" t="str">
        <f t="shared" si="439"/>
        <v/>
      </c>
      <c r="M2894" s="9" t="str">
        <f>IF(G2894&lt;&gt;"",J2894/MAX(J$3:J2894)-1,"")</f>
        <v/>
      </c>
      <c r="N2894" s="9" t="str">
        <f>IF(G2894&lt;&gt;"",K2894/MAX(K$3:K2894)-1,"")</f>
        <v/>
      </c>
      <c r="O2894" s="16" t="str">
        <f t="shared" si="435"/>
        <v/>
      </c>
      <c r="P2894" s="16" t="str">
        <f t="shared" si="435"/>
        <v/>
      </c>
      <c r="Q2894" s="16" t="str">
        <f t="shared" si="435"/>
        <v/>
      </c>
      <c r="R2894" s="5" t="str">
        <f t="shared" si="434"/>
        <v/>
      </c>
      <c r="S2894" s="5" t="str">
        <f t="shared" si="438"/>
        <v/>
      </c>
      <c r="T2894" s="5" t="str">
        <f t="shared" si="440"/>
        <v/>
      </c>
      <c r="U2894" s="5" t="str">
        <f t="shared" si="440"/>
        <v/>
      </c>
    </row>
    <row r="2895" spans="7:21" x14ac:dyDescent="0.2">
      <c r="G2895" s="8"/>
      <c r="H2895" s="5"/>
      <c r="J2895" s="10" t="str">
        <f t="shared" si="436"/>
        <v/>
      </c>
      <c r="K2895" s="10" t="str">
        <f t="shared" si="437"/>
        <v/>
      </c>
      <c r="L2895" s="11" t="str">
        <f t="shared" si="439"/>
        <v/>
      </c>
      <c r="M2895" s="9" t="str">
        <f>IF(G2895&lt;&gt;"",J2895/MAX(J$3:J2895)-1,"")</f>
        <v/>
      </c>
      <c r="N2895" s="9" t="str">
        <f>IF(G2895&lt;&gt;"",K2895/MAX(K$3:K2895)-1,"")</f>
        <v/>
      </c>
      <c r="O2895" s="16" t="str">
        <f t="shared" si="435"/>
        <v/>
      </c>
      <c r="P2895" s="16" t="str">
        <f t="shared" si="435"/>
        <v/>
      </c>
      <c r="Q2895" s="16" t="str">
        <f t="shared" si="435"/>
        <v/>
      </c>
      <c r="R2895" s="5" t="str">
        <f t="shared" si="434"/>
        <v/>
      </c>
      <c r="S2895" s="5" t="str">
        <f t="shared" si="438"/>
        <v/>
      </c>
      <c r="T2895" s="5" t="str">
        <f t="shared" si="440"/>
        <v/>
      </c>
      <c r="U2895" s="5" t="str">
        <f t="shared" si="440"/>
        <v/>
      </c>
    </row>
    <row r="2896" spans="7:21" x14ac:dyDescent="0.2">
      <c r="G2896" s="8"/>
      <c r="H2896" s="5"/>
      <c r="J2896" s="10" t="str">
        <f t="shared" si="436"/>
        <v/>
      </c>
      <c r="K2896" s="10" t="str">
        <f t="shared" si="437"/>
        <v/>
      </c>
      <c r="L2896" s="11" t="str">
        <f t="shared" si="439"/>
        <v/>
      </c>
      <c r="M2896" s="9" t="str">
        <f>IF(G2896&lt;&gt;"",J2896/MAX(J$3:J2896)-1,"")</f>
        <v/>
      </c>
      <c r="N2896" s="9" t="str">
        <f>IF(G2896&lt;&gt;"",K2896/MAX(K$3:K2896)-1,"")</f>
        <v/>
      </c>
      <c r="O2896" s="16" t="str">
        <f t="shared" si="435"/>
        <v/>
      </c>
      <c r="P2896" s="16" t="str">
        <f t="shared" si="435"/>
        <v/>
      </c>
      <c r="Q2896" s="16" t="str">
        <f t="shared" si="435"/>
        <v/>
      </c>
      <c r="R2896" s="5" t="str">
        <f t="shared" si="434"/>
        <v/>
      </c>
      <c r="S2896" s="5" t="str">
        <f t="shared" si="438"/>
        <v/>
      </c>
      <c r="T2896" s="5" t="str">
        <f t="shared" si="440"/>
        <v/>
      </c>
      <c r="U2896" s="5" t="str">
        <f t="shared" si="440"/>
        <v/>
      </c>
    </row>
    <row r="2897" spans="7:21" x14ac:dyDescent="0.2">
      <c r="G2897" s="8"/>
      <c r="H2897" s="5"/>
      <c r="J2897" s="10" t="str">
        <f t="shared" si="436"/>
        <v/>
      </c>
      <c r="K2897" s="10" t="str">
        <f t="shared" si="437"/>
        <v/>
      </c>
      <c r="L2897" s="11" t="str">
        <f t="shared" si="439"/>
        <v/>
      </c>
      <c r="M2897" s="9" t="str">
        <f>IF(G2897&lt;&gt;"",J2897/MAX(J$3:J2897)-1,"")</f>
        <v/>
      </c>
      <c r="N2897" s="9" t="str">
        <f>IF(G2897&lt;&gt;"",K2897/MAX(K$3:K2897)-1,"")</f>
        <v/>
      </c>
      <c r="O2897" s="16" t="str">
        <f t="shared" si="435"/>
        <v/>
      </c>
      <c r="P2897" s="16" t="str">
        <f t="shared" si="435"/>
        <v/>
      </c>
      <c r="Q2897" s="16" t="str">
        <f t="shared" si="435"/>
        <v/>
      </c>
      <c r="R2897" s="5" t="str">
        <f t="shared" si="434"/>
        <v/>
      </c>
      <c r="S2897" s="5" t="str">
        <f t="shared" si="438"/>
        <v/>
      </c>
      <c r="T2897" s="5" t="str">
        <f t="shared" si="440"/>
        <v/>
      </c>
      <c r="U2897" s="5" t="str">
        <f t="shared" si="440"/>
        <v/>
      </c>
    </row>
    <row r="2898" spans="7:21" x14ac:dyDescent="0.2">
      <c r="G2898" s="8"/>
      <c r="H2898" s="5"/>
      <c r="J2898" s="10" t="str">
        <f t="shared" si="436"/>
        <v/>
      </c>
      <c r="K2898" s="10" t="str">
        <f t="shared" si="437"/>
        <v/>
      </c>
      <c r="L2898" s="11" t="str">
        <f t="shared" si="439"/>
        <v/>
      </c>
      <c r="M2898" s="9" t="str">
        <f>IF(G2898&lt;&gt;"",J2898/MAX(J$3:J2898)-1,"")</f>
        <v/>
      </c>
      <c r="N2898" s="9" t="str">
        <f>IF(G2898&lt;&gt;"",K2898/MAX(K$3:K2898)-1,"")</f>
        <v/>
      </c>
      <c r="O2898" s="16" t="str">
        <f t="shared" si="435"/>
        <v/>
      </c>
      <c r="P2898" s="16" t="str">
        <f t="shared" si="435"/>
        <v/>
      </c>
      <c r="Q2898" s="16" t="str">
        <f t="shared" si="435"/>
        <v/>
      </c>
      <c r="R2898" s="5" t="str">
        <f t="shared" si="434"/>
        <v/>
      </c>
      <c r="S2898" s="5" t="str">
        <f t="shared" si="438"/>
        <v/>
      </c>
      <c r="T2898" s="5" t="str">
        <f t="shared" si="440"/>
        <v/>
      </c>
      <c r="U2898" s="5" t="str">
        <f t="shared" si="440"/>
        <v/>
      </c>
    </row>
    <row r="2899" spans="7:21" x14ac:dyDescent="0.2">
      <c r="G2899" s="8"/>
      <c r="H2899" s="5"/>
      <c r="J2899" s="10" t="str">
        <f t="shared" si="436"/>
        <v/>
      </c>
      <c r="K2899" s="10" t="str">
        <f t="shared" si="437"/>
        <v/>
      </c>
      <c r="L2899" s="11" t="str">
        <f t="shared" si="439"/>
        <v/>
      </c>
      <c r="M2899" s="9" t="str">
        <f>IF(G2899&lt;&gt;"",J2899/MAX(J$3:J2899)-1,"")</f>
        <v/>
      </c>
      <c r="N2899" s="9" t="str">
        <f>IF(G2899&lt;&gt;"",K2899/MAX(K$3:K2899)-1,"")</f>
        <v/>
      </c>
      <c r="O2899" s="16" t="str">
        <f t="shared" si="435"/>
        <v/>
      </c>
      <c r="P2899" s="16" t="str">
        <f t="shared" si="435"/>
        <v/>
      </c>
      <c r="Q2899" s="16" t="str">
        <f t="shared" si="435"/>
        <v/>
      </c>
      <c r="R2899" s="5" t="str">
        <f t="shared" si="434"/>
        <v/>
      </c>
      <c r="S2899" s="5" t="str">
        <f t="shared" si="438"/>
        <v/>
      </c>
      <c r="T2899" s="5" t="str">
        <f t="shared" si="440"/>
        <v/>
      </c>
      <c r="U2899" s="5" t="str">
        <f t="shared" si="440"/>
        <v/>
      </c>
    </row>
    <row r="2900" spans="7:21" x14ac:dyDescent="0.2">
      <c r="G2900" s="8"/>
      <c r="H2900" s="5"/>
      <c r="J2900" s="10" t="str">
        <f t="shared" si="436"/>
        <v/>
      </c>
      <c r="K2900" s="10" t="str">
        <f t="shared" si="437"/>
        <v/>
      </c>
      <c r="L2900" s="11" t="str">
        <f t="shared" si="439"/>
        <v/>
      </c>
      <c r="M2900" s="9" t="str">
        <f>IF(G2900&lt;&gt;"",J2900/MAX(J$3:J2900)-1,"")</f>
        <v/>
      </c>
      <c r="N2900" s="9" t="str">
        <f>IF(G2900&lt;&gt;"",K2900/MAX(K$3:K2900)-1,"")</f>
        <v/>
      </c>
      <c r="O2900" s="16" t="str">
        <f t="shared" si="435"/>
        <v/>
      </c>
      <c r="P2900" s="16" t="str">
        <f t="shared" si="435"/>
        <v/>
      </c>
      <c r="Q2900" s="16" t="str">
        <f t="shared" si="435"/>
        <v/>
      </c>
      <c r="R2900" s="5" t="str">
        <f t="shared" si="434"/>
        <v/>
      </c>
      <c r="S2900" s="5" t="str">
        <f t="shared" si="438"/>
        <v/>
      </c>
      <c r="T2900" s="5" t="str">
        <f t="shared" si="440"/>
        <v/>
      </c>
      <c r="U2900" s="5" t="str">
        <f t="shared" si="440"/>
        <v/>
      </c>
    </row>
    <row r="2901" spans="7:21" x14ac:dyDescent="0.2">
      <c r="G2901" s="8"/>
      <c r="H2901" s="5"/>
      <c r="J2901" s="10" t="str">
        <f t="shared" si="436"/>
        <v/>
      </c>
      <c r="K2901" s="10" t="str">
        <f t="shared" si="437"/>
        <v/>
      </c>
      <c r="L2901" s="11" t="str">
        <f t="shared" si="439"/>
        <v/>
      </c>
      <c r="M2901" s="9" t="str">
        <f>IF(G2901&lt;&gt;"",J2901/MAX(J$3:J2901)-1,"")</f>
        <v/>
      </c>
      <c r="N2901" s="9" t="str">
        <f>IF(G2901&lt;&gt;"",K2901/MAX(K$3:K2901)-1,"")</f>
        <v/>
      </c>
      <c r="O2901" s="16" t="str">
        <f t="shared" si="435"/>
        <v/>
      </c>
      <c r="P2901" s="16" t="str">
        <f t="shared" si="435"/>
        <v/>
      </c>
      <c r="Q2901" s="16" t="str">
        <f t="shared" si="435"/>
        <v/>
      </c>
      <c r="R2901" s="5" t="str">
        <f t="shared" si="434"/>
        <v/>
      </c>
      <c r="S2901" s="5" t="str">
        <f t="shared" si="438"/>
        <v/>
      </c>
      <c r="T2901" s="5" t="str">
        <f t="shared" si="440"/>
        <v/>
      </c>
      <c r="U2901" s="5" t="str">
        <f t="shared" si="440"/>
        <v/>
      </c>
    </row>
    <row r="2902" spans="7:21" x14ac:dyDescent="0.2">
      <c r="G2902" s="8"/>
      <c r="H2902" s="5"/>
      <c r="J2902" s="10" t="str">
        <f t="shared" si="436"/>
        <v/>
      </c>
      <c r="K2902" s="10" t="str">
        <f t="shared" si="437"/>
        <v/>
      </c>
      <c r="L2902" s="11" t="str">
        <f t="shared" si="439"/>
        <v/>
      </c>
      <c r="M2902" s="9" t="str">
        <f>IF(G2902&lt;&gt;"",J2902/MAX(J$3:J2902)-1,"")</f>
        <v/>
      </c>
      <c r="N2902" s="9" t="str">
        <f>IF(G2902&lt;&gt;"",K2902/MAX(K$3:K2902)-1,"")</f>
        <v/>
      </c>
      <c r="O2902" s="16" t="str">
        <f t="shared" si="435"/>
        <v/>
      </c>
      <c r="P2902" s="16" t="str">
        <f t="shared" si="435"/>
        <v/>
      </c>
      <c r="Q2902" s="16" t="str">
        <f t="shared" si="435"/>
        <v/>
      </c>
      <c r="R2902" s="5" t="str">
        <f t="shared" si="434"/>
        <v/>
      </c>
      <c r="S2902" s="5" t="str">
        <f t="shared" si="438"/>
        <v/>
      </c>
      <c r="T2902" s="5" t="str">
        <f t="shared" si="440"/>
        <v/>
      </c>
      <c r="U2902" s="5" t="str">
        <f t="shared" si="440"/>
        <v/>
      </c>
    </row>
    <row r="2903" spans="7:21" x14ac:dyDescent="0.2">
      <c r="G2903" s="8"/>
      <c r="H2903" s="5"/>
      <c r="J2903" s="10" t="str">
        <f t="shared" si="436"/>
        <v/>
      </c>
      <c r="K2903" s="10" t="str">
        <f t="shared" si="437"/>
        <v/>
      </c>
      <c r="L2903" s="11" t="str">
        <f t="shared" si="439"/>
        <v/>
      </c>
      <c r="M2903" s="9" t="str">
        <f>IF(G2903&lt;&gt;"",J2903/MAX(J$3:J2903)-1,"")</f>
        <v/>
      </c>
      <c r="N2903" s="9" t="str">
        <f>IF(G2903&lt;&gt;"",K2903/MAX(K$3:K2903)-1,"")</f>
        <v/>
      </c>
      <c r="O2903" s="16" t="str">
        <f t="shared" si="435"/>
        <v/>
      </c>
      <c r="P2903" s="16" t="str">
        <f t="shared" si="435"/>
        <v/>
      </c>
      <c r="Q2903" s="16" t="str">
        <f t="shared" si="435"/>
        <v/>
      </c>
      <c r="R2903" s="5" t="str">
        <f t="shared" si="434"/>
        <v/>
      </c>
      <c r="S2903" s="5" t="str">
        <f t="shared" si="438"/>
        <v/>
      </c>
      <c r="T2903" s="5" t="str">
        <f t="shared" si="440"/>
        <v/>
      </c>
      <c r="U2903" s="5" t="str">
        <f t="shared" si="440"/>
        <v/>
      </c>
    </row>
    <row r="2904" spans="7:21" x14ac:dyDescent="0.2">
      <c r="G2904" s="8"/>
      <c r="H2904" s="5"/>
      <c r="J2904" s="10" t="str">
        <f t="shared" si="436"/>
        <v/>
      </c>
      <c r="K2904" s="10" t="str">
        <f t="shared" si="437"/>
        <v/>
      </c>
      <c r="L2904" s="11" t="str">
        <f t="shared" si="439"/>
        <v/>
      </c>
      <c r="M2904" s="9" t="str">
        <f>IF(G2904&lt;&gt;"",J2904/MAX(J$3:J2904)-1,"")</f>
        <v/>
      </c>
      <c r="N2904" s="9" t="str">
        <f>IF(G2904&lt;&gt;"",K2904/MAX(K$3:K2904)-1,"")</f>
        <v/>
      </c>
      <c r="O2904" s="16" t="str">
        <f t="shared" si="435"/>
        <v/>
      </c>
      <c r="P2904" s="16" t="str">
        <f t="shared" si="435"/>
        <v/>
      </c>
      <c r="Q2904" s="16" t="str">
        <f t="shared" si="435"/>
        <v/>
      </c>
      <c r="R2904" s="5" t="str">
        <f t="shared" si="434"/>
        <v/>
      </c>
      <c r="S2904" s="5" t="str">
        <f t="shared" si="438"/>
        <v/>
      </c>
      <c r="T2904" s="5" t="str">
        <f t="shared" ref="T2904:U2919" si="441">IF($G2904&lt;&gt;"",_xlfn.STDEV.S(O2660:O2904),"")</f>
        <v/>
      </c>
      <c r="U2904" s="5" t="str">
        <f t="shared" si="441"/>
        <v/>
      </c>
    </row>
    <row r="2905" spans="7:21" x14ac:dyDescent="0.2">
      <c r="G2905" s="8"/>
      <c r="H2905" s="5"/>
      <c r="J2905" s="10" t="str">
        <f t="shared" si="436"/>
        <v/>
      </c>
      <c r="K2905" s="10" t="str">
        <f t="shared" si="437"/>
        <v/>
      </c>
      <c r="L2905" s="11" t="str">
        <f t="shared" si="439"/>
        <v/>
      </c>
      <c r="M2905" s="9" t="str">
        <f>IF(G2905&lt;&gt;"",J2905/MAX(J$3:J2905)-1,"")</f>
        <v/>
      </c>
      <c r="N2905" s="9" t="str">
        <f>IF(G2905&lt;&gt;"",K2905/MAX(K$3:K2905)-1,"")</f>
        <v/>
      </c>
      <c r="O2905" s="16" t="str">
        <f t="shared" si="435"/>
        <v/>
      </c>
      <c r="P2905" s="16" t="str">
        <f t="shared" si="435"/>
        <v/>
      </c>
      <c r="Q2905" s="16" t="str">
        <f t="shared" si="435"/>
        <v/>
      </c>
      <c r="R2905" s="5" t="str">
        <f t="shared" si="434"/>
        <v/>
      </c>
      <c r="S2905" s="5" t="str">
        <f t="shared" si="438"/>
        <v/>
      </c>
      <c r="T2905" s="5" t="str">
        <f t="shared" si="441"/>
        <v/>
      </c>
      <c r="U2905" s="5" t="str">
        <f t="shared" si="441"/>
        <v/>
      </c>
    </row>
    <row r="2906" spans="7:21" x14ac:dyDescent="0.2">
      <c r="G2906" s="8"/>
      <c r="H2906" s="5"/>
      <c r="J2906" s="10" t="str">
        <f t="shared" si="436"/>
        <v/>
      </c>
      <c r="K2906" s="10" t="str">
        <f t="shared" si="437"/>
        <v/>
      </c>
      <c r="L2906" s="11" t="str">
        <f t="shared" si="439"/>
        <v/>
      </c>
      <c r="M2906" s="9" t="str">
        <f>IF(G2906&lt;&gt;"",J2906/MAX(J$3:J2906)-1,"")</f>
        <v/>
      </c>
      <c r="N2906" s="9" t="str">
        <f>IF(G2906&lt;&gt;"",K2906/MAX(K$3:K2906)-1,"")</f>
        <v/>
      </c>
      <c r="O2906" s="16" t="str">
        <f t="shared" si="435"/>
        <v/>
      </c>
      <c r="P2906" s="16" t="str">
        <f t="shared" si="435"/>
        <v/>
      </c>
      <c r="Q2906" s="16" t="str">
        <f t="shared" si="435"/>
        <v/>
      </c>
      <c r="R2906" s="5" t="str">
        <f t="shared" si="434"/>
        <v/>
      </c>
      <c r="S2906" s="5" t="str">
        <f t="shared" si="438"/>
        <v/>
      </c>
      <c r="T2906" s="5" t="str">
        <f t="shared" si="441"/>
        <v/>
      </c>
      <c r="U2906" s="5" t="str">
        <f t="shared" si="441"/>
        <v/>
      </c>
    </row>
    <row r="2907" spans="7:21" x14ac:dyDescent="0.2">
      <c r="G2907" s="8"/>
      <c r="H2907" s="5"/>
      <c r="J2907" s="10" t="str">
        <f t="shared" si="436"/>
        <v/>
      </c>
      <c r="K2907" s="10" t="str">
        <f t="shared" si="437"/>
        <v/>
      </c>
      <c r="L2907" s="11" t="str">
        <f t="shared" si="439"/>
        <v/>
      </c>
      <c r="M2907" s="9" t="str">
        <f>IF(G2907&lt;&gt;"",J2907/MAX(J$3:J2907)-1,"")</f>
        <v/>
      </c>
      <c r="N2907" s="9" t="str">
        <f>IF(G2907&lt;&gt;"",K2907/MAX(K$3:K2907)-1,"")</f>
        <v/>
      </c>
      <c r="O2907" s="16" t="str">
        <f t="shared" si="435"/>
        <v/>
      </c>
      <c r="P2907" s="16" t="str">
        <f t="shared" si="435"/>
        <v/>
      </c>
      <c r="Q2907" s="16" t="str">
        <f t="shared" si="435"/>
        <v/>
      </c>
      <c r="R2907" s="5" t="str">
        <f t="shared" si="434"/>
        <v/>
      </c>
      <c r="S2907" s="5" t="str">
        <f t="shared" si="438"/>
        <v/>
      </c>
      <c r="T2907" s="5" t="str">
        <f t="shared" si="441"/>
        <v/>
      </c>
      <c r="U2907" s="5" t="str">
        <f t="shared" si="441"/>
        <v/>
      </c>
    </row>
    <row r="2908" spans="7:21" x14ac:dyDescent="0.2">
      <c r="G2908" s="8"/>
      <c r="H2908" s="5"/>
      <c r="J2908" s="10" t="str">
        <f t="shared" si="436"/>
        <v/>
      </c>
      <c r="K2908" s="10" t="str">
        <f t="shared" si="437"/>
        <v/>
      </c>
      <c r="L2908" s="11" t="str">
        <f t="shared" si="439"/>
        <v/>
      </c>
      <c r="M2908" s="9" t="str">
        <f>IF(G2908&lt;&gt;"",J2908/MAX(J$3:J2908)-1,"")</f>
        <v/>
      </c>
      <c r="N2908" s="9" t="str">
        <f>IF(G2908&lt;&gt;"",K2908/MAX(K$3:K2908)-1,"")</f>
        <v/>
      </c>
      <c r="O2908" s="16" t="str">
        <f t="shared" si="435"/>
        <v/>
      </c>
      <c r="P2908" s="16" t="str">
        <f t="shared" si="435"/>
        <v/>
      </c>
      <c r="Q2908" s="16" t="str">
        <f t="shared" si="435"/>
        <v/>
      </c>
      <c r="R2908" s="5" t="str">
        <f t="shared" si="434"/>
        <v/>
      </c>
      <c r="S2908" s="5" t="str">
        <f t="shared" si="438"/>
        <v/>
      </c>
      <c r="T2908" s="5" t="str">
        <f t="shared" si="441"/>
        <v/>
      </c>
      <c r="U2908" s="5" t="str">
        <f t="shared" si="441"/>
        <v/>
      </c>
    </row>
    <row r="2909" spans="7:21" x14ac:dyDescent="0.2">
      <c r="G2909" s="8"/>
      <c r="H2909" s="5"/>
      <c r="J2909" s="10" t="str">
        <f t="shared" si="436"/>
        <v/>
      </c>
      <c r="K2909" s="10" t="str">
        <f t="shared" si="437"/>
        <v/>
      </c>
      <c r="L2909" s="11" t="str">
        <f t="shared" si="439"/>
        <v/>
      </c>
      <c r="M2909" s="9" t="str">
        <f>IF(G2909&lt;&gt;"",J2909/MAX(J$3:J2909)-1,"")</f>
        <v/>
      </c>
      <c r="N2909" s="9" t="str">
        <f>IF(G2909&lt;&gt;"",K2909/MAX(K$3:K2909)-1,"")</f>
        <v/>
      </c>
      <c r="O2909" s="16" t="str">
        <f t="shared" si="435"/>
        <v/>
      </c>
      <c r="P2909" s="16" t="str">
        <f t="shared" si="435"/>
        <v/>
      </c>
      <c r="Q2909" s="16" t="str">
        <f t="shared" si="435"/>
        <v/>
      </c>
      <c r="R2909" s="5" t="str">
        <f t="shared" si="434"/>
        <v/>
      </c>
      <c r="S2909" s="5" t="str">
        <f t="shared" si="438"/>
        <v/>
      </c>
      <c r="T2909" s="5" t="str">
        <f t="shared" si="441"/>
        <v/>
      </c>
      <c r="U2909" s="5" t="str">
        <f t="shared" si="441"/>
        <v/>
      </c>
    </row>
    <row r="2910" spans="7:21" x14ac:dyDescent="0.2">
      <c r="G2910" s="8"/>
      <c r="H2910" s="5"/>
      <c r="J2910" s="10" t="str">
        <f t="shared" si="436"/>
        <v/>
      </c>
      <c r="K2910" s="10" t="str">
        <f t="shared" si="437"/>
        <v/>
      </c>
      <c r="L2910" s="11" t="str">
        <f t="shared" si="439"/>
        <v/>
      </c>
      <c r="M2910" s="9" t="str">
        <f>IF(G2910&lt;&gt;"",J2910/MAX(J$3:J2910)-1,"")</f>
        <v/>
      </c>
      <c r="N2910" s="9" t="str">
        <f>IF(G2910&lt;&gt;"",K2910/MAX(K$3:K2910)-1,"")</f>
        <v/>
      </c>
      <c r="O2910" s="16" t="str">
        <f t="shared" si="435"/>
        <v/>
      </c>
      <c r="P2910" s="16" t="str">
        <f t="shared" si="435"/>
        <v/>
      </c>
      <c r="Q2910" s="16" t="str">
        <f t="shared" si="435"/>
        <v/>
      </c>
      <c r="R2910" s="5" t="str">
        <f t="shared" si="434"/>
        <v/>
      </c>
      <c r="S2910" s="5" t="str">
        <f t="shared" si="438"/>
        <v/>
      </c>
      <c r="T2910" s="5" t="str">
        <f t="shared" si="441"/>
        <v/>
      </c>
      <c r="U2910" s="5" t="str">
        <f t="shared" si="441"/>
        <v/>
      </c>
    </row>
    <row r="2911" spans="7:21" x14ac:dyDescent="0.2">
      <c r="G2911" s="8"/>
      <c r="H2911" s="5"/>
      <c r="J2911" s="10" t="str">
        <f t="shared" si="436"/>
        <v/>
      </c>
      <c r="K2911" s="10" t="str">
        <f t="shared" si="437"/>
        <v/>
      </c>
      <c r="L2911" s="11" t="str">
        <f t="shared" si="439"/>
        <v/>
      </c>
      <c r="M2911" s="9" t="str">
        <f>IF(G2911&lt;&gt;"",J2911/MAX(J$3:J2911)-1,"")</f>
        <v/>
      </c>
      <c r="N2911" s="9" t="str">
        <f>IF(G2911&lt;&gt;"",K2911/MAX(K$3:K2911)-1,"")</f>
        <v/>
      </c>
      <c r="O2911" s="16" t="str">
        <f t="shared" si="435"/>
        <v/>
      </c>
      <c r="P2911" s="16" t="str">
        <f t="shared" si="435"/>
        <v/>
      </c>
      <c r="Q2911" s="16" t="str">
        <f t="shared" si="435"/>
        <v/>
      </c>
      <c r="R2911" s="5" t="str">
        <f t="shared" si="434"/>
        <v/>
      </c>
      <c r="S2911" s="5" t="str">
        <f t="shared" si="438"/>
        <v/>
      </c>
      <c r="T2911" s="5" t="str">
        <f t="shared" si="441"/>
        <v/>
      </c>
      <c r="U2911" s="5" t="str">
        <f t="shared" si="441"/>
        <v/>
      </c>
    </row>
    <row r="2912" spans="7:21" x14ac:dyDescent="0.2">
      <c r="G2912" s="8"/>
      <c r="H2912" s="5"/>
      <c r="J2912" s="10" t="str">
        <f t="shared" si="436"/>
        <v/>
      </c>
      <c r="K2912" s="10" t="str">
        <f t="shared" si="437"/>
        <v/>
      </c>
      <c r="L2912" s="11" t="str">
        <f t="shared" si="439"/>
        <v/>
      </c>
      <c r="M2912" s="9" t="str">
        <f>IF(G2912&lt;&gt;"",J2912/MAX(J$3:J2912)-1,"")</f>
        <v/>
      </c>
      <c r="N2912" s="9" t="str">
        <f>IF(G2912&lt;&gt;"",K2912/MAX(K$3:K2912)-1,"")</f>
        <v/>
      </c>
      <c r="O2912" s="16" t="str">
        <f t="shared" si="435"/>
        <v/>
      </c>
      <c r="P2912" s="16" t="str">
        <f t="shared" si="435"/>
        <v/>
      </c>
      <c r="Q2912" s="16" t="str">
        <f t="shared" si="435"/>
        <v/>
      </c>
      <c r="R2912" s="5" t="str">
        <f t="shared" si="434"/>
        <v/>
      </c>
      <c r="S2912" s="5" t="str">
        <f t="shared" si="438"/>
        <v/>
      </c>
      <c r="T2912" s="5" t="str">
        <f t="shared" si="441"/>
        <v/>
      </c>
      <c r="U2912" s="5" t="str">
        <f t="shared" si="441"/>
        <v/>
      </c>
    </row>
    <row r="2913" spans="7:21" x14ac:dyDescent="0.2">
      <c r="G2913" s="8"/>
      <c r="H2913" s="5"/>
      <c r="J2913" s="10" t="str">
        <f t="shared" si="436"/>
        <v/>
      </c>
      <c r="K2913" s="10" t="str">
        <f t="shared" si="437"/>
        <v/>
      </c>
      <c r="L2913" s="11" t="str">
        <f t="shared" si="439"/>
        <v/>
      </c>
      <c r="M2913" s="9" t="str">
        <f>IF(G2913&lt;&gt;"",J2913/MAX(J$3:J2913)-1,"")</f>
        <v/>
      </c>
      <c r="N2913" s="9" t="str">
        <f>IF(G2913&lt;&gt;"",K2913/MAX(K$3:K2913)-1,"")</f>
        <v/>
      </c>
      <c r="O2913" s="16" t="str">
        <f t="shared" si="435"/>
        <v/>
      </c>
      <c r="P2913" s="16" t="str">
        <f t="shared" si="435"/>
        <v/>
      </c>
      <c r="Q2913" s="16" t="str">
        <f t="shared" si="435"/>
        <v/>
      </c>
      <c r="R2913" s="5" t="str">
        <f t="shared" si="434"/>
        <v/>
      </c>
      <c r="S2913" s="5" t="str">
        <f t="shared" si="438"/>
        <v/>
      </c>
      <c r="T2913" s="5" t="str">
        <f t="shared" si="441"/>
        <v/>
      </c>
      <c r="U2913" s="5" t="str">
        <f t="shared" si="441"/>
        <v/>
      </c>
    </row>
    <row r="2914" spans="7:21" x14ac:dyDescent="0.2">
      <c r="G2914" s="8"/>
      <c r="H2914" s="5"/>
      <c r="J2914" s="10" t="str">
        <f t="shared" si="436"/>
        <v/>
      </c>
      <c r="K2914" s="10" t="str">
        <f t="shared" si="437"/>
        <v/>
      </c>
      <c r="L2914" s="11" t="str">
        <f t="shared" si="439"/>
        <v/>
      </c>
      <c r="M2914" s="9" t="str">
        <f>IF(G2914&lt;&gt;"",J2914/MAX(J$3:J2914)-1,"")</f>
        <v/>
      </c>
      <c r="N2914" s="9" t="str">
        <f>IF(G2914&lt;&gt;"",K2914/MAX(K$3:K2914)-1,"")</f>
        <v/>
      </c>
      <c r="O2914" s="16" t="str">
        <f t="shared" si="435"/>
        <v/>
      </c>
      <c r="P2914" s="16" t="str">
        <f t="shared" si="435"/>
        <v/>
      </c>
      <c r="Q2914" s="16" t="str">
        <f t="shared" si="435"/>
        <v/>
      </c>
      <c r="R2914" s="5" t="str">
        <f t="shared" si="434"/>
        <v/>
      </c>
      <c r="S2914" s="5" t="str">
        <f t="shared" si="438"/>
        <v/>
      </c>
      <c r="T2914" s="5" t="str">
        <f t="shared" si="441"/>
        <v/>
      </c>
      <c r="U2914" s="5" t="str">
        <f t="shared" si="441"/>
        <v/>
      </c>
    </row>
    <row r="2915" spans="7:21" x14ac:dyDescent="0.2">
      <c r="G2915" s="8"/>
      <c r="H2915" s="5"/>
      <c r="J2915" s="10" t="str">
        <f t="shared" si="436"/>
        <v/>
      </c>
      <c r="K2915" s="10" t="str">
        <f t="shared" si="437"/>
        <v/>
      </c>
      <c r="L2915" s="11" t="str">
        <f t="shared" si="439"/>
        <v/>
      </c>
      <c r="M2915" s="9" t="str">
        <f>IF(G2915&lt;&gt;"",J2915/MAX(J$3:J2915)-1,"")</f>
        <v/>
      </c>
      <c r="N2915" s="9" t="str">
        <f>IF(G2915&lt;&gt;"",K2915/MAX(K$3:K2915)-1,"")</f>
        <v/>
      </c>
      <c r="O2915" s="16" t="str">
        <f t="shared" si="435"/>
        <v/>
      </c>
      <c r="P2915" s="16" t="str">
        <f t="shared" si="435"/>
        <v/>
      </c>
      <c r="Q2915" s="16" t="str">
        <f t="shared" si="435"/>
        <v/>
      </c>
      <c r="R2915" s="5" t="str">
        <f t="shared" si="434"/>
        <v/>
      </c>
      <c r="S2915" s="5" t="str">
        <f t="shared" si="438"/>
        <v/>
      </c>
      <c r="T2915" s="5" t="str">
        <f t="shared" si="441"/>
        <v/>
      </c>
      <c r="U2915" s="5" t="str">
        <f t="shared" si="441"/>
        <v/>
      </c>
    </row>
    <row r="2916" spans="7:21" x14ac:dyDescent="0.2">
      <c r="G2916" s="8"/>
      <c r="H2916" s="5"/>
      <c r="J2916" s="10" t="str">
        <f t="shared" si="436"/>
        <v/>
      </c>
      <c r="K2916" s="10" t="str">
        <f t="shared" si="437"/>
        <v/>
      </c>
      <c r="L2916" s="11" t="str">
        <f t="shared" si="439"/>
        <v/>
      </c>
      <c r="M2916" s="9" t="str">
        <f>IF(G2916&lt;&gt;"",J2916/MAX(J$3:J2916)-1,"")</f>
        <v/>
      </c>
      <c r="N2916" s="9" t="str">
        <f>IF(G2916&lt;&gt;"",K2916/MAX(K$3:K2916)-1,"")</f>
        <v/>
      </c>
      <c r="O2916" s="16" t="str">
        <f t="shared" si="435"/>
        <v/>
      </c>
      <c r="P2916" s="16" t="str">
        <f t="shared" si="435"/>
        <v/>
      </c>
      <c r="Q2916" s="16" t="str">
        <f t="shared" si="435"/>
        <v/>
      </c>
      <c r="R2916" s="5" t="str">
        <f t="shared" si="434"/>
        <v/>
      </c>
      <c r="S2916" s="5" t="str">
        <f t="shared" si="438"/>
        <v/>
      </c>
      <c r="T2916" s="5" t="str">
        <f t="shared" si="441"/>
        <v/>
      </c>
      <c r="U2916" s="5" t="str">
        <f t="shared" si="441"/>
        <v/>
      </c>
    </row>
    <row r="2917" spans="7:21" x14ac:dyDescent="0.2">
      <c r="G2917" s="8"/>
      <c r="H2917" s="5"/>
      <c r="J2917" s="10" t="str">
        <f t="shared" si="436"/>
        <v/>
      </c>
      <c r="K2917" s="10" t="str">
        <f t="shared" si="437"/>
        <v/>
      </c>
      <c r="L2917" s="11" t="str">
        <f t="shared" si="439"/>
        <v/>
      </c>
      <c r="M2917" s="9" t="str">
        <f>IF(G2917&lt;&gt;"",J2917/MAX(J$3:J2917)-1,"")</f>
        <v/>
      </c>
      <c r="N2917" s="9" t="str">
        <f>IF(G2917&lt;&gt;"",K2917/MAX(K$3:K2917)-1,"")</f>
        <v/>
      </c>
      <c r="O2917" s="16" t="str">
        <f t="shared" si="435"/>
        <v/>
      </c>
      <c r="P2917" s="16" t="str">
        <f t="shared" si="435"/>
        <v/>
      </c>
      <c r="Q2917" s="16" t="str">
        <f t="shared" si="435"/>
        <v/>
      </c>
      <c r="R2917" s="5" t="str">
        <f t="shared" si="434"/>
        <v/>
      </c>
      <c r="S2917" s="5" t="str">
        <f t="shared" si="438"/>
        <v/>
      </c>
      <c r="T2917" s="5" t="str">
        <f t="shared" si="441"/>
        <v/>
      </c>
      <c r="U2917" s="5" t="str">
        <f t="shared" si="441"/>
        <v/>
      </c>
    </row>
    <row r="2918" spans="7:21" x14ac:dyDescent="0.2">
      <c r="G2918" s="8"/>
      <c r="H2918" s="5"/>
      <c r="J2918" s="10" t="str">
        <f t="shared" si="436"/>
        <v/>
      </c>
      <c r="K2918" s="10" t="str">
        <f t="shared" si="437"/>
        <v/>
      </c>
      <c r="L2918" s="11" t="str">
        <f t="shared" si="439"/>
        <v/>
      </c>
      <c r="M2918" s="9" t="str">
        <f>IF(G2918&lt;&gt;"",J2918/MAX(J$3:J2918)-1,"")</f>
        <v/>
      </c>
      <c r="N2918" s="9" t="str">
        <f>IF(G2918&lt;&gt;"",K2918/MAX(K$3:K2918)-1,"")</f>
        <v/>
      </c>
      <c r="O2918" s="16" t="str">
        <f t="shared" si="435"/>
        <v/>
      </c>
      <c r="P2918" s="16" t="str">
        <f t="shared" si="435"/>
        <v/>
      </c>
      <c r="Q2918" s="16" t="str">
        <f t="shared" si="435"/>
        <v/>
      </c>
      <c r="R2918" s="5" t="str">
        <f t="shared" si="434"/>
        <v/>
      </c>
      <c r="S2918" s="5" t="str">
        <f t="shared" si="438"/>
        <v/>
      </c>
      <c r="T2918" s="5" t="str">
        <f t="shared" si="441"/>
        <v/>
      </c>
      <c r="U2918" s="5" t="str">
        <f t="shared" si="441"/>
        <v/>
      </c>
    </row>
    <row r="2919" spans="7:21" x14ac:dyDescent="0.2">
      <c r="G2919" s="8"/>
      <c r="H2919" s="5"/>
      <c r="J2919" s="10" t="str">
        <f t="shared" si="436"/>
        <v/>
      </c>
      <c r="K2919" s="10" t="str">
        <f t="shared" si="437"/>
        <v/>
      </c>
      <c r="L2919" s="11" t="str">
        <f t="shared" si="439"/>
        <v/>
      </c>
      <c r="M2919" s="9" t="str">
        <f>IF(G2919&lt;&gt;"",J2919/MAX(J$3:J2919)-1,"")</f>
        <v/>
      </c>
      <c r="N2919" s="9" t="str">
        <f>IF(G2919&lt;&gt;"",K2919/MAX(K$3:K2919)-1,"")</f>
        <v/>
      </c>
      <c r="O2919" s="16" t="str">
        <f t="shared" si="435"/>
        <v/>
      </c>
      <c r="P2919" s="16" t="str">
        <f t="shared" si="435"/>
        <v/>
      </c>
      <c r="Q2919" s="16" t="str">
        <f t="shared" si="435"/>
        <v/>
      </c>
      <c r="R2919" s="5" t="str">
        <f t="shared" si="434"/>
        <v/>
      </c>
      <c r="S2919" s="5" t="str">
        <f t="shared" si="438"/>
        <v/>
      </c>
      <c r="T2919" s="5" t="str">
        <f t="shared" si="441"/>
        <v/>
      </c>
      <c r="U2919" s="5" t="str">
        <f t="shared" si="441"/>
        <v/>
      </c>
    </row>
    <row r="2920" spans="7:21" x14ac:dyDescent="0.2">
      <c r="G2920" s="8"/>
      <c r="H2920" s="5"/>
      <c r="J2920" s="10" t="str">
        <f t="shared" si="436"/>
        <v/>
      </c>
      <c r="K2920" s="10" t="str">
        <f t="shared" si="437"/>
        <v/>
      </c>
      <c r="L2920" s="11" t="str">
        <f t="shared" si="439"/>
        <v/>
      </c>
      <c r="M2920" s="9" t="str">
        <f>IF(G2920&lt;&gt;"",J2920/MAX(J$3:J2920)-1,"")</f>
        <v/>
      </c>
      <c r="N2920" s="9" t="str">
        <f>IF(G2920&lt;&gt;"",K2920/MAX(K$3:K2920)-1,"")</f>
        <v/>
      </c>
      <c r="O2920" s="16" t="str">
        <f t="shared" si="435"/>
        <v/>
      </c>
      <c r="P2920" s="16" t="str">
        <f t="shared" si="435"/>
        <v/>
      </c>
      <c r="Q2920" s="16" t="str">
        <f t="shared" si="435"/>
        <v/>
      </c>
      <c r="R2920" s="5" t="str">
        <f t="shared" si="434"/>
        <v/>
      </c>
      <c r="S2920" s="5" t="str">
        <f t="shared" si="438"/>
        <v/>
      </c>
      <c r="T2920" s="5" t="str">
        <f t="shared" ref="T2920:U2935" si="442">IF($G2920&lt;&gt;"",_xlfn.STDEV.S(O2676:O2920),"")</f>
        <v/>
      </c>
      <c r="U2920" s="5" t="str">
        <f t="shared" si="442"/>
        <v/>
      </c>
    </row>
    <row r="2921" spans="7:21" x14ac:dyDescent="0.2">
      <c r="G2921" s="8"/>
      <c r="H2921" s="5"/>
      <c r="J2921" s="10" t="str">
        <f t="shared" si="436"/>
        <v/>
      </c>
      <c r="K2921" s="10" t="str">
        <f t="shared" si="437"/>
        <v/>
      </c>
      <c r="L2921" s="11" t="str">
        <f t="shared" si="439"/>
        <v/>
      </c>
      <c r="M2921" s="9" t="str">
        <f>IF(G2921&lt;&gt;"",J2921/MAX(J$3:J2921)-1,"")</f>
        <v/>
      </c>
      <c r="N2921" s="9" t="str">
        <f>IF(G2921&lt;&gt;"",K2921/MAX(K$3:K2921)-1,"")</f>
        <v/>
      </c>
      <c r="O2921" s="16" t="str">
        <f t="shared" si="435"/>
        <v/>
      </c>
      <c r="P2921" s="16" t="str">
        <f t="shared" si="435"/>
        <v/>
      </c>
      <c r="Q2921" s="16" t="str">
        <f t="shared" si="435"/>
        <v/>
      </c>
      <c r="R2921" s="5" t="str">
        <f t="shared" si="434"/>
        <v/>
      </c>
      <c r="S2921" s="5" t="str">
        <f t="shared" si="438"/>
        <v/>
      </c>
      <c r="T2921" s="5" t="str">
        <f t="shared" si="442"/>
        <v/>
      </c>
      <c r="U2921" s="5" t="str">
        <f t="shared" si="442"/>
        <v/>
      </c>
    </row>
    <row r="2922" spans="7:21" x14ac:dyDescent="0.2">
      <c r="G2922" s="8"/>
      <c r="H2922" s="5"/>
      <c r="J2922" s="10" t="str">
        <f t="shared" si="436"/>
        <v/>
      </c>
      <c r="K2922" s="10" t="str">
        <f t="shared" si="437"/>
        <v/>
      </c>
      <c r="L2922" s="11" t="str">
        <f t="shared" si="439"/>
        <v/>
      </c>
      <c r="M2922" s="9" t="str">
        <f>IF(G2922&lt;&gt;"",J2922/MAX(J$3:J2922)-1,"")</f>
        <v/>
      </c>
      <c r="N2922" s="9" t="str">
        <f>IF(G2922&lt;&gt;"",K2922/MAX(K$3:K2922)-1,"")</f>
        <v/>
      </c>
      <c r="O2922" s="16" t="str">
        <f t="shared" si="435"/>
        <v/>
      </c>
      <c r="P2922" s="16" t="str">
        <f t="shared" si="435"/>
        <v/>
      </c>
      <c r="Q2922" s="16" t="str">
        <f t="shared" si="435"/>
        <v/>
      </c>
      <c r="R2922" s="5" t="str">
        <f t="shared" si="434"/>
        <v/>
      </c>
      <c r="S2922" s="5" t="str">
        <f t="shared" si="438"/>
        <v/>
      </c>
      <c r="T2922" s="5" t="str">
        <f t="shared" si="442"/>
        <v/>
      </c>
      <c r="U2922" s="5" t="str">
        <f t="shared" si="442"/>
        <v/>
      </c>
    </row>
    <row r="2923" spans="7:21" x14ac:dyDescent="0.2">
      <c r="G2923" s="8"/>
      <c r="H2923" s="5"/>
      <c r="J2923" s="10" t="str">
        <f t="shared" si="436"/>
        <v/>
      </c>
      <c r="K2923" s="10" t="str">
        <f t="shared" si="437"/>
        <v/>
      </c>
      <c r="L2923" s="11" t="str">
        <f t="shared" si="439"/>
        <v/>
      </c>
      <c r="M2923" s="9" t="str">
        <f>IF(G2923&lt;&gt;"",J2923/MAX(J$3:J2923)-1,"")</f>
        <v/>
      </c>
      <c r="N2923" s="9" t="str">
        <f>IF(G2923&lt;&gt;"",K2923/MAX(K$3:K2923)-1,"")</f>
        <v/>
      </c>
      <c r="O2923" s="16" t="str">
        <f t="shared" si="435"/>
        <v/>
      </c>
      <c r="P2923" s="16" t="str">
        <f t="shared" si="435"/>
        <v/>
      </c>
      <c r="Q2923" s="16" t="str">
        <f t="shared" si="435"/>
        <v/>
      </c>
      <c r="R2923" s="5" t="str">
        <f t="shared" si="434"/>
        <v/>
      </c>
      <c r="S2923" s="5" t="str">
        <f t="shared" si="438"/>
        <v/>
      </c>
      <c r="T2923" s="5" t="str">
        <f t="shared" si="442"/>
        <v/>
      </c>
      <c r="U2923" s="5" t="str">
        <f t="shared" si="442"/>
        <v/>
      </c>
    </row>
    <row r="2924" spans="7:21" x14ac:dyDescent="0.2">
      <c r="G2924" s="8"/>
      <c r="H2924" s="5"/>
      <c r="J2924" s="10" t="str">
        <f t="shared" si="436"/>
        <v/>
      </c>
      <c r="K2924" s="10" t="str">
        <f t="shared" si="437"/>
        <v/>
      </c>
      <c r="L2924" s="11" t="str">
        <f t="shared" si="439"/>
        <v/>
      </c>
      <c r="M2924" s="9" t="str">
        <f>IF(G2924&lt;&gt;"",J2924/MAX(J$3:J2924)-1,"")</f>
        <v/>
      </c>
      <c r="N2924" s="9" t="str">
        <f>IF(G2924&lt;&gt;"",K2924/MAX(K$3:K2924)-1,"")</f>
        <v/>
      </c>
      <c r="O2924" s="16" t="str">
        <f t="shared" si="435"/>
        <v/>
      </c>
      <c r="P2924" s="16" t="str">
        <f t="shared" si="435"/>
        <v/>
      </c>
      <c r="Q2924" s="16" t="str">
        <f t="shared" si="435"/>
        <v/>
      </c>
      <c r="R2924" s="5" t="str">
        <f t="shared" si="434"/>
        <v/>
      </c>
      <c r="S2924" s="5" t="str">
        <f t="shared" si="438"/>
        <v/>
      </c>
      <c r="T2924" s="5" t="str">
        <f t="shared" si="442"/>
        <v/>
      </c>
      <c r="U2924" s="5" t="str">
        <f t="shared" si="442"/>
        <v/>
      </c>
    </row>
    <row r="2925" spans="7:21" x14ac:dyDescent="0.2">
      <c r="G2925" s="8"/>
      <c r="H2925" s="5"/>
      <c r="J2925" s="10" t="str">
        <f t="shared" si="436"/>
        <v/>
      </c>
      <c r="K2925" s="10" t="str">
        <f t="shared" si="437"/>
        <v/>
      </c>
      <c r="L2925" s="11" t="str">
        <f t="shared" si="439"/>
        <v/>
      </c>
      <c r="M2925" s="9" t="str">
        <f>IF(G2925&lt;&gt;"",J2925/MAX(J$3:J2925)-1,"")</f>
        <v/>
      </c>
      <c r="N2925" s="9" t="str">
        <f>IF(G2925&lt;&gt;"",K2925/MAX(K$3:K2925)-1,"")</f>
        <v/>
      </c>
      <c r="O2925" s="16" t="str">
        <f t="shared" si="435"/>
        <v/>
      </c>
      <c r="P2925" s="16" t="str">
        <f t="shared" si="435"/>
        <v/>
      </c>
      <c r="Q2925" s="16" t="str">
        <f t="shared" si="435"/>
        <v/>
      </c>
      <c r="R2925" s="5" t="str">
        <f t="shared" si="434"/>
        <v/>
      </c>
      <c r="S2925" s="5" t="str">
        <f t="shared" si="438"/>
        <v/>
      </c>
      <c r="T2925" s="5" t="str">
        <f t="shared" si="442"/>
        <v/>
      </c>
      <c r="U2925" s="5" t="str">
        <f t="shared" si="442"/>
        <v/>
      </c>
    </row>
    <row r="2926" spans="7:21" x14ac:dyDescent="0.2">
      <c r="G2926" s="8"/>
      <c r="H2926" s="5"/>
      <c r="J2926" s="10" t="str">
        <f t="shared" si="436"/>
        <v/>
      </c>
      <c r="K2926" s="10" t="str">
        <f t="shared" si="437"/>
        <v/>
      </c>
      <c r="L2926" s="11" t="str">
        <f t="shared" si="439"/>
        <v/>
      </c>
      <c r="M2926" s="9" t="str">
        <f>IF(G2926&lt;&gt;"",J2926/MAX(J$3:J2926)-1,"")</f>
        <v/>
      </c>
      <c r="N2926" s="9" t="str">
        <f>IF(G2926&lt;&gt;"",K2926/MAX(K$3:K2926)-1,"")</f>
        <v/>
      </c>
      <c r="O2926" s="16" t="str">
        <f t="shared" si="435"/>
        <v/>
      </c>
      <c r="P2926" s="16" t="str">
        <f t="shared" si="435"/>
        <v/>
      </c>
      <c r="Q2926" s="16" t="str">
        <f t="shared" si="435"/>
        <v/>
      </c>
      <c r="R2926" s="5" t="str">
        <f t="shared" si="434"/>
        <v/>
      </c>
      <c r="S2926" s="5" t="str">
        <f t="shared" si="438"/>
        <v/>
      </c>
      <c r="T2926" s="5" t="str">
        <f t="shared" si="442"/>
        <v/>
      </c>
      <c r="U2926" s="5" t="str">
        <f t="shared" si="442"/>
        <v/>
      </c>
    </row>
    <row r="2927" spans="7:21" x14ac:dyDescent="0.2">
      <c r="G2927" s="8"/>
      <c r="H2927" s="5"/>
      <c r="J2927" s="10" t="str">
        <f t="shared" si="436"/>
        <v/>
      </c>
      <c r="K2927" s="10" t="str">
        <f t="shared" si="437"/>
        <v/>
      </c>
      <c r="L2927" s="11" t="str">
        <f t="shared" si="439"/>
        <v/>
      </c>
      <c r="M2927" s="9" t="str">
        <f>IF(G2927&lt;&gt;"",J2927/MAX(J$3:J2927)-1,"")</f>
        <v/>
      </c>
      <c r="N2927" s="9" t="str">
        <f>IF(G2927&lt;&gt;"",K2927/MAX(K$3:K2927)-1,"")</f>
        <v/>
      </c>
      <c r="O2927" s="16" t="str">
        <f t="shared" si="435"/>
        <v/>
      </c>
      <c r="P2927" s="16" t="str">
        <f t="shared" si="435"/>
        <v/>
      </c>
      <c r="Q2927" s="16" t="str">
        <f t="shared" si="435"/>
        <v/>
      </c>
      <c r="R2927" s="5" t="str">
        <f t="shared" si="434"/>
        <v/>
      </c>
      <c r="S2927" s="5" t="str">
        <f t="shared" si="438"/>
        <v/>
      </c>
      <c r="T2927" s="5" t="str">
        <f t="shared" si="442"/>
        <v/>
      </c>
      <c r="U2927" s="5" t="str">
        <f t="shared" si="442"/>
        <v/>
      </c>
    </row>
    <row r="2928" spans="7:21" x14ac:dyDescent="0.2">
      <c r="G2928" s="8"/>
      <c r="H2928" s="5"/>
      <c r="J2928" s="10" t="str">
        <f t="shared" si="436"/>
        <v/>
      </c>
      <c r="K2928" s="10" t="str">
        <f t="shared" si="437"/>
        <v/>
      </c>
      <c r="L2928" s="11" t="str">
        <f t="shared" si="439"/>
        <v/>
      </c>
      <c r="M2928" s="9" t="str">
        <f>IF(G2928&lt;&gt;"",J2928/MAX(J$3:J2928)-1,"")</f>
        <v/>
      </c>
      <c r="N2928" s="9" t="str">
        <f>IF(G2928&lt;&gt;"",K2928/MAX(K$3:K2928)-1,"")</f>
        <v/>
      </c>
      <c r="O2928" s="16" t="str">
        <f t="shared" si="435"/>
        <v/>
      </c>
      <c r="P2928" s="16" t="str">
        <f t="shared" si="435"/>
        <v/>
      </c>
      <c r="Q2928" s="16" t="str">
        <f t="shared" si="435"/>
        <v/>
      </c>
      <c r="R2928" s="5" t="str">
        <f t="shared" si="434"/>
        <v/>
      </c>
      <c r="S2928" s="5" t="str">
        <f t="shared" si="438"/>
        <v/>
      </c>
      <c r="T2928" s="5" t="str">
        <f t="shared" si="442"/>
        <v/>
      </c>
      <c r="U2928" s="5" t="str">
        <f t="shared" si="442"/>
        <v/>
      </c>
    </row>
    <row r="2929" spans="7:21" x14ac:dyDescent="0.2">
      <c r="G2929" s="8"/>
      <c r="H2929" s="5"/>
      <c r="J2929" s="10" t="str">
        <f t="shared" si="436"/>
        <v/>
      </c>
      <c r="K2929" s="10" t="str">
        <f t="shared" si="437"/>
        <v/>
      </c>
      <c r="L2929" s="11" t="str">
        <f t="shared" si="439"/>
        <v/>
      </c>
      <c r="M2929" s="9" t="str">
        <f>IF(G2929&lt;&gt;"",J2929/MAX(J$3:J2929)-1,"")</f>
        <v/>
      </c>
      <c r="N2929" s="9" t="str">
        <f>IF(G2929&lt;&gt;"",K2929/MAX(K$3:K2929)-1,"")</f>
        <v/>
      </c>
      <c r="O2929" s="16" t="str">
        <f t="shared" si="435"/>
        <v/>
      </c>
      <c r="P2929" s="16" t="str">
        <f t="shared" si="435"/>
        <v/>
      </c>
      <c r="Q2929" s="16" t="str">
        <f t="shared" si="435"/>
        <v/>
      </c>
      <c r="R2929" s="5" t="str">
        <f t="shared" si="434"/>
        <v/>
      </c>
      <c r="S2929" s="5" t="str">
        <f t="shared" si="438"/>
        <v/>
      </c>
      <c r="T2929" s="5" t="str">
        <f t="shared" si="442"/>
        <v/>
      </c>
      <c r="U2929" s="5" t="str">
        <f t="shared" si="442"/>
        <v/>
      </c>
    </row>
    <row r="2930" spans="7:21" x14ac:dyDescent="0.2">
      <c r="G2930" s="8"/>
      <c r="H2930" s="5"/>
      <c r="J2930" s="10" t="str">
        <f t="shared" si="436"/>
        <v/>
      </c>
      <c r="K2930" s="10" t="str">
        <f t="shared" si="437"/>
        <v/>
      </c>
      <c r="L2930" s="11" t="str">
        <f t="shared" si="439"/>
        <v/>
      </c>
      <c r="M2930" s="9" t="str">
        <f>IF(G2930&lt;&gt;"",J2930/MAX(J$3:J2930)-1,"")</f>
        <v/>
      </c>
      <c r="N2930" s="9" t="str">
        <f>IF(G2930&lt;&gt;"",K2930/MAX(K$3:K2930)-1,"")</f>
        <v/>
      </c>
      <c r="O2930" s="16" t="str">
        <f t="shared" si="435"/>
        <v/>
      </c>
      <c r="P2930" s="16" t="str">
        <f t="shared" si="435"/>
        <v/>
      </c>
      <c r="Q2930" s="16" t="str">
        <f t="shared" si="435"/>
        <v/>
      </c>
      <c r="R2930" s="5" t="str">
        <f t="shared" si="434"/>
        <v/>
      </c>
      <c r="S2930" s="5" t="str">
        <f t="shared" si="438"/>
        <v/>
      </c>
      <c r="T2930" s="5" t="str">
        <f t="shared" si="442"/>
        <v/>
      </c>
      <c r="U2930" s="5" t="str">
        <f t="shared" si="442"/>
        <v/>
      </c>
    </row>
    <row r="2931" spans="7:21" x14ac:dyDescent="0.2">
      <c r="G2931" s="8"/>
      <c r="H2931" s="5"/>
      <c r="J2931" s="10" t="str">
        <f t="shared" si="436"/>
        <v/>
      </c>
      <c r="K2931" s="10" t="str">
        <f t="shared" si="437"/>
        <v/>
      </c>
      <c r="L2931" s="11" t="str">
        <f t="shared" si="439"/>
        <v/>
      </c>
      <c r="M2931" s="9" t="str">
        <f>IF(G2931&lt;&gt;"",J2931/MAX(J$3:J2931)-1,"")</f>
        <v/>
      </c>
      <c r="N2931" s="9" t="str">
        <f>IF(G2931&lt;&gt;"",K2931/MAX(K$3:K2931)-1,"")</f>
        <v/>
      </c>
      <c r="O2931" s="16" t="str">
        <f t="shared" si="435"/>
        <v/>
      </c>
      <c r="P2931" s="16" t="str">
        <f t="shared" si="435"/>
        <v/>
      </c>
      <c r="Q2931" s="16" t="str">
        <f t="shared" si="435"/>
        <v/>
      </c>
      <c r="R2931" s="5" t="str">
        <f t="shared" si="434"/>
        <v/>
      </c>
      <c r="S2931" s="5" t="str">
        <f t="shared" si="438"/>
        <v/>
      </c>
      <c r="T2931" s="5" t="str">
        <f t="shared" si="442"/>
        <v/>
      </c>
      <c r="U2931" s="5" t="str">
        <f t="shared" si="442"/>
        <v/>
      </c>
    </row>
    <row r="2932" spans="7:21" x14ac:dyDescent="0.2">
      <c r="G2932" s="8"/>
      <c r="H2932" s="5"/>
      <c r="J2932" s="10" t="str">
        <f t="shared" si="436"/>
        <v/>
      </c>
      <c r="K2932" s="10" t="str">
        <f t="shared" si="437"/>
        <v/>
      </c>
      <c r="L2932" s="11" t="str">
        <f t="shared" si="439"/>
        <v/>
      </c>
      <c r="M2932" s="9" t="str">
        <f>IF(G2932&lt;&gt;"",J2932/MAX(J$3:J2932)-1,"")</f>
        <v/>
      </c>
      <c r="N2932" s="9" t="str">
        <f>IF(G2932&lt;&gt;"",K2932/MAX(K$3:K2932)-1,"")</f>
        <v/>
      </c>
      <c r="O2932" s="16" t="str">
        <f t="shared" si="435"/>
        <v/>
      </c>
      <c r="P2932" s="16" t="str">
        <f t="shared" si="435"/>
        <v/>
      </c>
      <c r="Q2932" s="16" t="str">
        <f t="shared" si="435"/>
        <v/>
      </c>
      <c r="R2932" s="5" t="str">
        <f t="shared" si="434"/>
        <v/>
      </c>
      <c r="S2932" s="5" t="str">
        <f t="shared" si="438"/>
        <v/>
      </c>
      <c r="T2932" s="5" t="str">
        <f t="shared" si="442"/>
        <v/>
      </c>
      <c r="U2932" s="5" t="str">
        <f t="shared" si="442"/>
        <v/>
      </c>
    </row>
    <row r="2933" spans="7:21" x14ac:dyDescent="0.2">
      <c r="G2933" s="8"/>
      <c r="H2933" s="5"/>
      <c r="J2933" s="10" t="str">
        <f t="shared" si="436"/>
        <v/>
      </c>
      <c r="K2933" s="10" t="str">
        <f t="shared" si="437"/>
        <v/>
      </c>
      <c r="L2933" s="11" t="str">
        <f t="shared" si="439"/>
        <v/>
      </c>
      <c r="M2933" s="9" t="str">
        <f>IF(G2933&lt;&gt;"",J2933/MAX(J$3:J2933)-1,"")</f>
        <v/>
      </c>
      <c r="N2933" s="9" t="str">
        <f>IF(G2933&lt;&gt;"",K2933/MAX(K$3:K2933)-1,"")</f>
        <v/>
      </c>
      <c r="O2933" s="16" t="str">
        <f t="shared" si="435"/>
        <v/>
      </c>
      <c r="P2933" s="16" t="str">
        <f t="shared" si="435"/>
        <v/>
      </c>
      <c r="Q2933" s="16" t="str">
        <f t="shared" si="435"/>
        <v/>
      </c>
      <c r="R2933" s="5" t="str">
        <f t="shared" si="434"/>
        <v/>
      </c>
      <c r="S2933" s="5" t="str">
        <f t="shared" si="438"/>
        <v/>
      </c>
      <c r="T2933" s="5" t="str">
        <f t="shared" si="442"/>
        <v/>
      </c>
      <c r="U2933" s="5" t="str">
        <f t="shared" si="442"/>
        <v/>
      </c>
    </row>
    <row r="2934" spans="7:21" x14ac:dyDescent="0.2">
      <c r="G2934" s="8"/>
      <c r="H2934" s="5"/>
      <c r="J2934" s="10" t="str">
        <f t="shared" si="436"/>
        <v/>
      </c>
      <c r="K2934" s="10" t="str">
        <f t="shared" si="437"/>
        <v/>
      </c>
      <c r="L2934" s="11" t="str">
        <f t="shared" si="439"/>
        <v/>
      </c>
      <c r="M2934" s="9" t="str">
        <f>IF(G2934&lt;&gt;"",J2934/MAX(J$3:J2934)-1,"")</f>
        <v/>
      </c>
      <c r="N2934" s="9" t="str">
        <f>IF(G2934&lt;&gt;"",K2934/MAX(K$3:K2934)-1,"")</f>
        <v/>
      </c>
      <c r="O2934" s="16" t="str">
        <f t="shared" si="435"/>
        <v/>
      </c>
      <c r="P2934" s="16" t="str">
        <f t="shared" si="435"/>
        <v/>
      </c>
      <c r="Q2934" s="16" t="str">
        <f t="shared" si="435"/>
        <v/>
      </c>
      <c r="R2934" s="5" t="str">
        <f t="shared" si="434"/>
        <v/>
      </c>
      <c r="S2934" s="5" t="str">
        <f t="shared" si="438"/>
        <v/>
      </c>
      <c r="T2934" s="5" t="str">
        <f t="shared" si="442"/>
        <v/>
      </c>
      <c r="U2934" s="5" t="str">
        <f t="shared" si="442"/>
        <v/>
      </c>
    </row>
    <row r="2935" spans="7:21" x14ac:dyDescent="0.2">
      <c r="G2935" s="8"/>
      <c r="H2935" s="5"/>
      <c r="J2935" s="10" t="str">
        <f t="shared" si="436"/>
        <v/>
      </c>
      <c r="K2935" s="10" t="str">
        <f t="shared" si="437"/>
        <v/>
      </c>
      <c r="L2935" s="11" t="str">
        <f t="shared" si="439"/>
        <v/>
      </c>
      <c r="M2935" s="9" t="str">
        <f>IF(G2935&lt;&gt;"",J2935/MAX(J$3:J2935)-1,"")</f>
        <v/>
      </c>
      <c r="N2935" s="9" t="str">
        <f>IF(G2935&lt;&gt;"",K2935/MAX(K$3:K2935)-1,"")</f>
        <v/>
      </c>
      <c r="O2935" s="16" t="str">
        <f t="shared" si="435"/>
        <v/>
      </c>
      <c r="P2935" s="16" t="str">
        <f t="shared" si="435"/>
        <v/>
      </c>
      <c r="Q2935" s="16" t="str">
        <f t="shared" si="435"/>
        <v/>
      </c>
      <c r="R2935" s="5" t="str">
        <f t="shared" si="434"/>
        <v/>
      </c>
      <c r="S2935" s="5" t="str">
        <f t="shared" si="438"/>
        <v/>
      </c>
      <c r="T2935" s="5" t="str">
        <f t="shared" si="442"/>
        <v/>
      </c>
      <c r="U2935" s="5" t="str">
        <f t="shared" si="442"/>
        <v/>
      </c>
    </row>
    <row r="2936" spans="7:21" x14ac:dyDescent="0.2">
      <c r="G2936" s="8"/>
      <c r="H2936" s="5"/>
      <c r="J2936" s="10" t="str">
        <f t="shared" si="436"/>
        <v/>
      </c>
      <c r="K2936" s="10" t="str">
        <f t="shared" si="437"/>
        <v/>
      </c>
      <c r="L2936" s="11" t="str">
        <f t="shared" si="439"/>
        <v/>
      </c>
      <c r="M2936" s="9" t="str">
        <f>IF(G2936&lt;&gt;"",J2936/MAX(J$3:J2936)-1,"")</f>
        <v/>
      </c>
      <c r="N2936" s="9" t="str">
        <f>IF(G2936&lt;&gt;"",K2936/MAX(K$3:K2936)-1,"")</f>
        <v/>
      </c>
      <c r="O2936" s="16" t="str">
        <f t="shared" si="435"/>
        <v/>
      </c>
      <c r="P2936" s="16" t="str">
        <f t="shared" si="435"/>
        <v/>
      </c>
      <c r="Q2936" s="16" t="str">
        <f t="shared" si="435"/>
        <v/>
      </c>
      <c r="R2936" s="5" t="str">
        <f t="shared" si="434"/>
        <v/>
      </c>
      <c r="S2936" s="5" t="str">
        <f t="shared" si="438"/>
        <v/>
      </c>
      <c r="T2936" s="5" t="str">
        <f t="shared" ref="T2936:U2951" si="443">IF($G2936&lt;&gt;"",_xlfn.STDEV.S(O2692:O2936),"")</f>
        <v/>
      </c>
      <c r="U2936" s="5" t="str">
        <f t="shared" si="443"/>
        <v/>
      </c>
    </row>
    <row r="2937" spans="7:21" x14ac:dyDescent="0.2">
      <c r="G2937" s="8"/>
      <c r="H2937" s="5"/>
      <c r="J2937" s="10" t="str">
        <f t="shared" si="436"/>
        <v/>
      </c>
      <c r="K2937" s="10" t="str">
        <f t="shared" si="437"/>
        <v/>
      </c>
      <c r="L2937" s="11" t="str">
        <f t="shared" si="439"/>
        <v/>
      </c>
      <c r="M2937" s="9" t="str">
        <f>IF(G2937&lt;&gt;"",J2937/MAX(J$3:J2937)-1,"")</f>
        <v/>
      </c>
      <c r="N2937" s="9" t="str">
        <f>IF(G2937&lt;&gt;"",K2937/MAX(K$3:K2937)-1,"")</f>
        <v/>
      </c>
      <c r="O2937" s="16" t="str">
        <f t="shared" si="435"/>
        <v/>
      </c>
      <c r="P2937" s="16" t="str">
        <f t="shared" si="435"/>
        <v/>
      </c>
      <c r="Q2937" s="16" t="str">
        <f t="shared" si="435"/>
        <v/>
      </c>
      <c r="R2937" s="5" t="str">
        <f t="shared" si="434"/>
        <v/>
      </c>
      <c r="S2937" s="5" t="str">
        <f t="shared" si="438"/>
        <v/>
      </c>
      <c r="T2937" s="5" t="str">
        <f t="shared" si="443"/>
        <v/>
      </c>
      <c r="U2937" s="5" t="str">
        <f t="shared" si="443"/>
        <v/>
      </c>
    </row>
    <row r="2938" spans="7:21" x14ac:dyDescent="0.2">
      <c r="G2938" s="8"/>
      <c r="H2938" s="5"/>
      <c r="J2938" s="10" t="str">
        <f t="shared" si="436"/>
        <v/>
      </c>
      <c r="K2938" s="10" t="str">
        <f t="shared" si="437"/>
        <v/>
      </c>
      <c r="L2938" s="11" t="str">
        <f t="shared" si="439"/>
        <v/>
      </c>
      <c r="M2938" s="9" t="str">
        <f>IF(G2938&lt;&gt;"",J2938/MAX(J$3:J2938)-1,"")</f>
        <v/>
      </c>
      <c r="N2938" s="9" t="str">
        <f>IF(G2938&lt;&gt;"",K2938/MAX(K$3:K2938)-1,"")</f>
        <v/>
      </c>
      <c r="O2938" s="16" t="str">
        <f t="shared" si="435"/>
        <v/>
      </c>
      <c r="P2938" s="16" t="str">
        <f t="shared" si="435"/>
        <v/>
      </c>
      <c r="Q2938" s="16" t="str">
        <f t="shared" si="435"/>
        <v/>
      </c>
      <c r="R2938" s="5" t="str">
        <f t="shared" si="434"/>
        <v/>
      </c>
      <c r="S2938" s="5" t="str">
        <f t="shared" si="438"/>
        <v/>
      </c>
      <c r="T2938" s="5" t="str">
        <f t="shared" si="443"/>
        <v/>
      </c>
      <c r="U2938" s="5" t="str">
        <f t="shared" si="443"/>
        <v/>
      </c>
    </row>
    <row r="2939" spans="7:21" x14ac:dyDescent="0.2">
      <c r="G2939" s="8"/>
      <c r="H2939" s="5"/>
      <c r="J2939" s="10" t="str">
        <f t="shared" si="436"/>
        <v/>
      </c>
      <c r="K2939" s="10" t="str">
        <f t="shared" si="437"/>
        <v/>
      </c>
      <c r="L2939" s="11" t="str">
        <f t="shared" si="439"/>
        <v/>
      </c>
      <c r="M2939" s="9" t="str">
        <f>IF(G2939&lt;&gt;"",J2939/MAX(J$3:J2939)-1,"")</f>
        <v/>
      </c>
      <c r="N2939" s="9" t="str">
        <f>IF(G2939&lt;&gt;"",K2939/MAX(K$3:K2939)-1,"")</f>
        <v/>
      </c>
      <c r="O2939" s="16" t="str">
        <f t="shared" si="435"/>
        <v/>
      </c>
      <c r="P2939" s="16" t="str">
        <f t="shared" si="435"/>
        <v/>
      </c>
      <c r="Q2939" s="16" t="str">
        <f t="shared" si="435"/>
        <v/>
      </c>
      <c r="R2939" s="5" t="str">
        <f t="shared" si="434"/>
        <v/>
      </c>
      <c r="S2939" s="5" t="str">
        <f t="shared" si="438"/>
        <v/>
      </c>
      <c r="T2939" s="5" t="str">
        <f t="shared" si="443"/>
        <v/>
      </c>
      <c r="U2939" s="5" t="str">
        <f t="shared" si="443"/>
        <v/>
      </c>
    </row>
    <row r="2940" spans="7:21" x14ac:dyDescent="0.2">
      <c r="G2940" s="8"/>
      <c r="H2940" s="5"/>
      <c r="J2940" s="10" t="str">
        <f t="shared" si="436"/>
        <v/>
      </c>
      <c r="K2940" s="10" t="str">
        <f t="shared" si="437"/>
        <v/>
      </c>
      <c r="L2940" s="11" t="str">
        <f t="shared" si="439"/>
        <v/>
      </c>
      <c r="M2940" s="9" t="str">
        <f>IF(G2940&lt;&gt;"",J2940/MAX(J$3:J2940)-1,"")</f>
        <v/>
      </c>
      <c r="N2940" s="9" t="str">
        <f>IF(G2940&lt;&gt;"",K2940/MAX(K$3:K2940)-1,"")</f>
        <v/>
      </c>
      <c r="O2940" s="16" t="str">
        <f t="shared" si="435"/>
        <v/>
      </c>
      <c r="P2940" s="16" t="str">
        <f t="shared" si="435"/>
        <v/>
      </c>
      <c r="Q2940" s="16" t="str">
        <f t="shared" si="435"/>
        <v/>
      </c>
      <c r="R2940" s="5" t="str">
        <f t="shared" si="434"/>
        <v/>
      </c>
      <c r="S2940" s="5" t="str">
        <f t="shared" si="438"/>
        <v/>
      </c>
      <c r="T2940" s="5" t="str">
        <f t="shared" si="443"/>
        <v/>
      </c>
      <c r="U2940" s="5" t="str">
        <f t="shared" si="443"/>
        <v/>
      </c>
    </row>
    <row r="2941" spans="7:21" x14ac:dyDescent="0.2">
      <c r="G2941" s="8"/>
      <c r="H2941" s="5"/>
      <c r="J2941" s="10" t="str">
        <f t="shared" si="436"/>
        <v/>
      </c>
      <c r="K2941" s="10" t="str">
        <f t="shared" si="437"/>
        <v/>
      </c>
      <c r="L2941" s="11" t="str">
        <f t="shared" si="439"/>
        <v/>
      </c>
      <c r="M2941" s="9" t="str">
        <f>IF(G2941&lt;&gt;"",J2941/MAX(J$3:J2941)-1,"")</f>
        <v/>
      </c>
      <c r="N2941" s="9" t="str">
        <f>IF(G2941&lt;&gt;"",K2941/MAX(K$3:K2941)-1,"")</f>
        <v/>
      </c>
      <c r="O2941" s="16" t="str">
        <f t="shared" si="435"/>
        <v/>
      </c>
      <c r="P2941" s="16" t="str">
        <f t="shared" si="435"/>
        <v/>
      </c>
      <c r="Q2941" s="16" t="str">
        <f t="shared" si="435"/>
        <v/>
      </c>
      <c r="R2941" s="5" t="str">
        <f t="shared" ref="R2941:R3004" si="444">IF(G2941&lt;&gt;"",_xlfn.STDEV.S(Q2820:Q2941)*SQRT($B$5),"")</f>
        <v/>
      </c>
      <c r="S2941" s="5" t="str">
        <f t="shared" si="438"/>
        <v/>
      </c>
      <c r="T2941" s="5" t="str">
        <f t="shared" si="443"/>
        <v/>
      </c>
      <c r="U2941" s="5" t="str">
        <f t="shared" si="443"/>
        <v/>
      </c>
    </row>
    <row r="2942" spans="7:21" x14ac:dyDescent="0.2">
      <c r="G2942" s="8"/>
      <c r="H2942" s="5"/>
      <c r="J2942" s="10" t="str">
        <f t="shared" si="436"/>
        <v/>
      </c>
      <c r="K2942" s="10" t="str">
        <f t="shared" si="437"/>
        <v/>
      </c>
      <c r="L2942" s="11" t="str">
        <f t="shared" si="439"/>
        <v/>
      </c>
      <c r="M2942" s="9" t="str">
        <f>IF(G2942&lt;&gt;"",J2942/MAX(J$3:J2942)-1,"")</f>
        <v/>
      </c>
      <c r="N2942" s="9" t="str">
        <f>IF(G2942&lt;&gt;"",K2942/MAX(K$3:K2942)-1,"")</f>
        <v/>
      </c>
      <c r="O2942" s="16" t="str">
        <f t="shared" si="435"/>
        <v/>
      </c>
      <c r="P2942" s="16" t="str">
        <f t="shared" si="435"/>
        <v/>
      </c>
      <c r="Q2942" s="16" t="str">
        <f t="shared" si="435"/>
        <v/>
      </c>
      <c r="R2942" s="5" t="str">
        <f t="shared" si="444"/>
        <v/>
      </c>
      <c r="S2942" s="5" t="str">
        <f t="shared" si="438"/>
        <v/>
      </c>
      <c r="T2942" s="5" t="str">
        <f t="shared" si="443"/>
        <v/>
      </c>
      <c r="U2942" s="5" t="str">
        <f t="shared" si="443"/>
        <v/>
      </c>
    </row>
    <row r="2943" spans="7:21" x14ac:dyDescent="0.2">
      <c r="G2943" s="8"/>
      <c r="H2943" s="5"/>
      <c r="J2943" s="10" t="str">
        <f t="shared" si="436"/>
        <v/>
      </c>
      <c r="K2943" s="10" t="str">
        <f t="shared" si="437"/>
        <v/>
      </c>
      <c r="L2943" s="11" t="str">
        <f t="shared" si="439"/>
        <v/>
      </c>
      <c r="M2943" s="9" t="str">
        <f>IF(G2943&lt;&gt;"",J2943/MAX(J$3:J2943)-1,"")</f>
        <v/>
      </c>
      <c r="N2943" s="9" t="str">
        <f>IF(G2943&lt;&gt;"",K2943/MAX(K$3:K2943)-1,"")</f>
        <v/>
      </c>
      <c r="O2943" s="16" t="str">
        <f t="shared" si="435"/>
        <v/>
      </c>
      <c r="P2943" s="16" t="str">
        <f t="shared" si="435"/>
        <v/>
      </c>
      <c r="Q2943" s="16" t="str">
        <f t="shared" si="435"/>
        <v/>
      </c>
      <c r="R2943" s="5" t="str">
        <f t="shared" si="444"/>
        <v/>
      </c>
      <c r="S2943" s="5" t="str">
        <f t="shared" si="438"/>
        <v/>
      </c>
      <c r="T2943" s="5" t="str">
        <f t="shared" si="443"/>
        <v/>
      </c>
      <c r="U2943" s="5" t="str">
        <f t="shared" si="443"/>
        <v/>
      </c>
    </row>
    <row r="2944" spans="7:21" x14ac:dyDescent="0.2">
      <c r="G2944" s="8"/>
      <c r="H2944" s="5"/>
      <c r="J2944" s="10" t="str">
        <f t="shared" si="436"/>
        <v/>
      </c>
      <c r="K2944" s="10" t="str">
        <f t="shared" si="437"/>
        <v/>
      </c>
      <c r="L2944" s="11" t="str">
        <f t="shared" si="439"/>
        <v/>
      </c>
      <c r="M2944" s="9" t="str">
        <f>IF(G2944&lt;&gt;"",J2944/MAX(J$3:J2944)-1,"")</f>
        <v/>
      </c>
      <c r="N2944" s="9" t="str">
        <f>IF(G2944&lt;&gt;"",K2944/MAX(K$3:K2944)-1,"")</f>
        <v/>
      </c>
      <c r="O2944" s="16" t="str">
        <f t="shared" si="435"/>
        <v/>
      </c>
      <c r="P2944" s="16" t="str">
        <f t="shared" si="435"/>
        <v/>
      </c>
      <c r="Q2944" s="16" t="str">
        <f t="shared" si="435"/>
        <v/>
      </c>
      <c r="R2944" s="5" t="str">
        <f t="shared" si="444"/>
        <v/>
      </c>
      <c r="S2944" s="5" t="str">
        <f t="shared" si="438"/>
        <v/>
      </c>
      <c r="T2944" s="5" t="str">
        <f t="shared" si="443"/>
        <v/>
      </c>
      <c r="U2944" s="5" t="str">
        <f t="shared" si="443"/>
        <v/>
      </c>
    </row>
    <row r="2945" spans="7:21" x14ac:dyDescent="0.2">
      <c r="G2945" s="8"/>
      <c r="H2945" s="5"/>
      <c r="J2945" s="10" t="str">
        <f t="shared" si="436"/>
        <v/>
      </c>
      <c r="K2945" s="10" t="str">
        <f t="shared" si="437"/>
        <v/>
      </c>
      <c r="L2945" s="11" t="str">
        <f t="shared" si="439"/>
        <v/>
      </c>
      <c r="M2945" s="9" t="str">
        <f>IF(G2945&lt;&gt;"",J2945/MAX(J$3:J2945)-1,"")</f>
        <v/>
      </c>
      <c r="N2945" s="9" t="str">
        <f>IF(G2945&lt;&gt;"",K2945/MAX(K$3:K2945)-1,"")</f>
        <v/>
      </c>
      <c r="O2945" s="16" t="str">
        <f t="shared" si="435"/>
        <v/>
      </c>
      <c r="P2945" s="16" t="str">
        <f t="shared" si="435"/>
        <v/>
      </c>
      <c r="Q2945" s="16" t="str">
        <f t="shared" si="435"/>
        <v/>
      </c>
      <c r="R2945" s="5" t="str">
        <f t="shared" si="444"/>
        <v/>
      </c>
      <c r="S2945" s="5" t="str">
        <f t="shared" si="438"/>
        <v/>
      </c>
      <c r="T2945" s="5" t="str">
        <f t="shared" si="443"/>
        <v/>
      </c>
      <c r="U2945" s="5" t="str">
        <f t="shared" si="443"/>
        <v/>
      </c>
    </row>
    <row r="2946" spans="7:21" x14ac:dyDescent="0.2">
      <c r="G2946" s="8"/>
      <c r="H2946" s="5"/>
      <c r="J2946" s="10" t="str">
        <f t="shared" si="436"/>
        <v/>
      </c>
      <c r="K2946" s="10" t="str">
        <f t="shared" si="437"/>
        <v/>
      </c>
      <c r="L2946" s="11" t="str">
        <f t="shared" si="439"/>
        <v/>
      </c>
      <c r="M2946" s="9" t="str">
        <f>IF(G2946&lt;&gt;"",J2946/MAX(J$3:J2946)-1,"")</f>
        <v/>
      </c>
      <c r="N2946" s="9" t="str">
        <f>IF(G2946&lt;&gt;"",K2946/MAX(K$3:K2946)-1,"")</f>
        <v/>
      </c>
      <c r="O2946" s="16" t="str">
        <f t="shared" ref="O2946:Q3009" si="445">IF($G2946&lt;&gt;"",J2946/J2945-1,"")</f>
        <v/>
      </c>
      <c r="P2946" s="16" t="str">
        <f t="shared" si="445"/>
        <v/>
      </c>
      <c r="Q2946" s="16" t="str">
        <f t="shared" si="445"/>
        <v/>
      </c>
      <c r="R2946" s="5" t="str">
        <f t="shared" si="444"/>
        <v/>
      </c>
      <c r="S2946" s="5" t="str">
        <f t="shared" si="438"/>
        <v/>
      </c>
      <c r="T2946" s="5" t="str">
        <f t="shared" si="443"/>
        <v/>
      </c>
      <c r="U2946" s="5" t="str">
        <f t="shared" si="443"/>
        <v/>
      </c>
    </row>
    <row r="2947" spans="7:21" x14ac:dyDescent="0.2">
      <c r="G2947" s="8"/>
      <c r="H2947" s="5"/>
      <c r="J2947" s="10" t="str">
        <f t="shared" si="436"/>
        <v/>
      </c>
      <c r="K2947" s="10" t="str">
        <f t="shared" si="437"/>
        <v/>
      </c>
      <c r="L2947" s="11" t="str">
        <f t="shared" si="439"/>
        <v/>
      </c>
      <c r="M2947" s="9" t="str">
        <f>IF(G2947&lt;&gt;"",J2947/MAX(J$3:J2947)-1,"")</f>
        <v/>
      </c>
      <c r="N2947" s="9" t="str">
        <f>IF(G2947&lt;&gt;"",K2947/MAX(K$3:K2947)-1,"")</f>
        <v/>
      </c>
      <c r="O2947" s="16" t="str">
        <f t="shared" si="445"/>
        <v/>
      </c>
      <c r="P2947" s="16" t="str">
        <f t="shared" si="445"/>
        <v/>
      </c>
      <c r="Q2947" s="16" t="str">
        <f t="shared" si="445"/>
        <v/>
      </c>
      <c r="R2947" s="5" t="str">
        <f t="shared" si="444"/>
        <v/>
      </c>
      <c r="S2947" s="5" t="str">
        <f t="shared" si="438"/>
        <v/>
      </c>
      <c r="T2947" s="5" t="str">
        <f t="shared" si="443"/>
        <v/>
      </c>
      <c r="U2947" s="5" t="str">
        <f t="shared" si="443"/>
        <v/>
      </c>
    </row>
    <row r="2948" spans="7:21" x14ac:dyDescent="0.2">
      <c r="G2948" s="8"/>
      <c r="H2948" s="5"/>
      <c r="J2948" s="10" t="str">
        <f t="shared" ref="J2948:J3011" si="446">IF(G2948&lt;&gt;"",1+H2948,"")</f>
        <v/>
      </c>
      <c r="K2948" s="10" t="str">
        <f t="shared" ref="K2948:K3011" si="447">IF(G2948&lt;&gt;"",1+I2948,"")</f>
        <v/>
      </c>
      <c r="L2948" s="11" t="str">
        <f t="shared" si="439"/>
        <v/>
      </c>
      <c r="M2948" s="9" t="str">
        <f>IF(G2948&lt;&gt;"",J2948/MAX(J$3:J2948)-1,"")</f>
        <v/>
      </c>
      <c r="N2948" s="9" t="str">
        <f>IF(G2948&lt;&gt;"",K2948/MAX(K$3:K2948)-1,"")</f>
        <v/>
      </c>
      <c r="O2948" s="16" t="str">
        <f t="shared" si="445"/>
        <v/>
      </c>
      <c r="P2948" s="16" t="str">
        <f t="shared" si="445"/>
        <v/>
      </c>
      <c r="Q2948" s="16" t="str">
        <f t="shared" si="445"/>
        <v/>
      </c>
      <c r="R2948" s="5" t="str">
        <f t="shared" si="444"/>
        <v/>
      </c>
      <c r="S2948" s="5" t="str">
        <f t="shared" ref="S2948:S3011" si="448">IF(R2948&lt;&gt;"",B$12,"")</f>
        <v/>
      </c>
      <c r="T2948" s="5" t="str">
        <f t="shared" si="443"/>
        <v/>
      </c>
      <c r="U2948" s="5" t="str">
        <f t="shared" si="443"/>
        <v/>
      </c>
    </row>
    <row r="2949" spans="7:21" x14ac:dyDescent="0.2">
      <c r="G2949" s="8"/>
      <c r="H2949" s="5"/>
      <c r="J2949" s="10" t="str">
        <f t="shared" si="446"/>
        <v/>
      </c>
      <c r="K2949" s="10" t="str">
        <f t="shared" si="447"/>
        <v/>
      </c>
      <c r="L2949" s="11" t="str">
        <f t="shared" ref="L2949:L3012" si="449">IF(G2949&lt;&gt;"",J2949/K2949,"")</f>
        <v/>
      </c>
      <c r="M2949" s="9" t="str">
        <f>IF(G2949&lt;&gt;"",J2949/MAX(J$3:J2949)-1,"")</f>
        <v/>
      </c>
      <c r="N2949" s="9" t="str">
        <f>IF(G2949&lt;&gt;"",K2949/MAX(K$3:K2949)-1,"")</f>
        <v/>
      </c>
      <c r="O2949" s="16" t="str">
        <f t="shared" si="445"/>
        <v/>
      </c>
      <c r="P2949" s="16" t="str">
        <f t="shared" si="445"/>
        <v/>
      </c>
      <c r="Q2949" s="16" t="str">
        <f t="shared" si="445"/>
        <v/>
      </c>
      <c r="R2949" s="5" t="str">
        <f t="shared" si="444"/>
        <v/>
      </c>
      <c r="S2949" s="5" t="str">
        <f t="shared" si="448"/>
        <v/>
      </c>
      <c r="T2949" s="5" t="str">
        <f t="shared" si="443"/>
        <v/>
      </c>
      <c r="U2949" s="5" t="str">
        <f t="shared" si="443"/>
        <v/>
      </c>
    </row>
    <row r="2950" spans="7:21" x14ac:dyDescent="0.2">
      <c r="G2950" s="8"/>
      <c r="H2950" s="5"/>
      <c r="J2950" s="10" t="str">
        <f t="shared" si="446"/>
        <v/>
      </c>
      <c r="K2950" s="10" t="str">
        <f t="shared" si="447"/>
        <v/>
      </c>
      <c r="L2950" s="11" t="str">
        <f t="shared" si="449"/>
        <v/>
      </c>
      <c r="M2950" s="9" t="str">
        <f>IF(G2950&lt;&gt;"",J2950/MAX(J$3:J2950)-1,"")</f>
        <v/>
      </c>
      <c r="N2950" s="9" t="str">
        <f>IF(G2950&lt;&gt;"",K2950/MAX(K$3:K2950)-1,"")</f>
        <v/>
      </c>
      <c r="O2950" s="16" t="str">
        <f t="shared" si="445"/>
        <v/>
      </c>
      <c r="P2950" s="16" t="str">
        <f t="shared" si="445"/>
        <v/>
      </c>
      <c r="Q2950" s="16" t="str">
        <f t="shared" si="445"/>
        <v/>
      </c>
      <c r="R2950" s="5" t="str">
        <f t="shared" si="444"/>
        <v/>
      </c>
      <c r="S2950" s="5" t="str">
        <f t="shared" si="448"/>
        <v/>
      </c>
      <c r="T2950" s="5" t="str">
        <f t="shared" si="443"/>
        <v/>
      </c>
      <c r="U2950" s="5" t="str">
        <f t="shared" si="443"/>
        <v/>
      </c>
    </row>
    <row r="2951" spans="7:21" x14ac:dyDescent="0.2">
      <c r="G2951" s="8"/>
      <c r="H2951" s="5"/>
      <c r="J2951" s="10" t="str">
        <f t="shared" si="446"/>
        <v/>
      </c>
      <c r="K2951" s="10" t="str">
        <f t="shared" si="447"/>
        <v/>
      </c>
      <c r="L2951" s="11" t="str">
        <f t="shared" si="449"/>
        <v/>
      </c>
      <c r="M2951" s="9" t="str">
        <f>IF(G2951&lt;&gt;"",J2951/MAX(J$3:J2951)-1,"")</f>
        <v/>
      </c>
      <c r="N2951" s="9" t="str">
        <f>IF(G2951&lt;&gt;"",K2951/MAX(K$3:K2951)-1,"")</f>
        <v/>
      </c>
      <c r="O2951" s="16" t="str">
        <f t="shared" si="445"/>
        <v/>
      </c>
      <c r="P2951" s="16" t="str">
        <f t="shared" si="445"/>
        <v/>
      </c>
      <c r="Q2951" s="16" t="str">
        <f t="shared" si="445"/>
        <v/>
      </c>
      <c r="R2951" s="5" t="str">
        <f t="shared" si="444"/>
        <v/>
      </c>
      <c r="S2951" s="5" t="str">
        <f t="shared" si="448"/>
        <v/>
      </c>
      <c r="T2951" s="5" t="str">
        <f t="shared" si="443"/>
        <v/>
      </c>
      <c r="U2951" s="5" t="str">
        <f t="shared" si="443"/>
        <v/>
      </c>
    </row>
    <row r="2952" spans="7:21" x14ac:dyDescent="0.2">
      <c r="G2952" s="8"/>
      <c r="H2952" s="5"/>
      <c r="J2952" s="10" t="str">
        <f t="shared" si="446"/>
        <v/>
      </c>
      <c r="K2952" s="10" t="str">
        <f t="shared" si="447"/>
        <v/>
      </c>
      <c r="L2952" s="11" t="str">
        <f t="shared" si="449"/>
        <v/>
      </c>
      <c r="M2952" s="9" t="str">
        <f>IF(G2952&lt;&gt;"",J2952/MAX(J$3:J2952)-1,"")</f>
        <v/>
      </c>
      <c r="N2952" s="9" t="str">
        <f>IF(G2952&lt;&gt;"",K2952/MAX(K$3:K2952)-1,"")</f>
        <v/>
      </c>
      <c r="O2952" s="16" t="str">
        <f t="shared" si="445"/>
        <v/>
      </c>
      <c r="P2952" s="16" t="str">
        <f t="shared" si="445"/>
        <v/>
      </c>
      <c r="Q2952" s="16" t="str">
        <f t="shared" si="445"/>
        <v/>
      </c>
      <c r="R2952" s="5" t="str">
        <f t="shared" si="444"/>
        <v/>
      </c>
      <c r="S2952" s="5" t="str">
        <f t="shared" si="448"/>
        <v/>
      </c>
      <c r="T2952" s="5" t="str">
        <f t="shared" ref="T2952:U2967" si="450">IF($G2952&lt;&gt;"",_xlfn.STDEV.S(O2708:O2952),"")</f>
        <v/>
      </c>
      <c r="U2952" s="5" t="str">
        <f t="shared" si="450"/>
        <v/>
      </c>
    </row>
    <row r="2953" spans="7:21" x14ac:dyDescent="0.2">
      <c r="G2953" s="8"/>
      <c r="H2953" s="5"/>
      <c r="J2953" s="10" t="str">
        <f t="shared" si="446"/>
        <v/>
      </c>
      <c r="K2953" s="10" t="str">
        <f t="shared" si="447"/>
        <v/>
      </c>
      <c r="L2953" s="11" t="str">
        <f t="shared" si="449"/>
        <v/>
      </c>
      <c r="M2953" s="9" t="str">
        <f>IF(G2953&lt;&gt;"",J2953/MAX(J$3:J2953)-1,"")</f>
        <v/>
      </c>
      <c r="N2953" s="9" t="str">
        <f>IF(G2953&lt;&gt;"",K2953/MAX(K$3:K2953)-1,"")</f>
        <v/>
      </c>
      <c r="O2953" s="16" t="str">
        <f t="shared" si="445"/>
        <v/>
      </c>
      <c r="P2953" s="16" t="str">
        <f t="shared" si="445"/>
        <v/>
      </c>
      <c r="Q2953" s="16" t="str">
        <f t="shared" si="445"/>
        <v/>
      </c>
      <c r="R2953" s="5" t="str">
        <f t="shared" si="444"/>
        <v/>
      </c>
      <c r="S2953" s="5" t="str">
        <f t="shared" si="448"/>
        <v/>
      </c>
      <c r="T2953" s="5" t="str">
        <f t="shared" si="450"/>
        <v/>
      </c>
      <c r="U2953" s="5" t="str">
        <f t="shared" si="450"/>
        <v/>
      </c>
    </row>
    <row r="2954" spans="7:21" x14ac:dyDescent="0.2">
      <c r="G2954" s="8"/>
      <c r="H2954" s="5"/>
      <c r="J2954" s="10" t="str">
        <f t="shared" si="446"/>
        <v/>
      </c>
      <c r="K2954" s="10" t="str">
        <f t="shared" si="447"/>
        <v/>
      </c>
      <c r="L2954" s="11" t="str">
        <f t="shared" si="449"/>
        <v/>
      </c>
      <c r="M2954" s="9" t="str">
        <f>IF(G2954&lt;&gt;"",J2954/MAX(J$3:J2954)-1,"")</f>
        <v/>
      </c>
      <c r="N2954" s="9" t="str">
        <f>IF(G2954&lt;&gt;"",K2954/MAX(K$3:K2954)-1,"")</f>
        <v/>
      </c>
      <c r="O2954" s="16" t="str">
        <f t="shared" si="445"/>
        <v/>
      </c>
      <c r="P2954" s="16" t="str">
        <f t="shared" si="445"/>
        <v/>
      </c>
      <c r="Q2954" s="16" t="str">
        <f t="shared" si="445"/>
        <v/>
      </c>
      <c r="R2954" s="5" t="str">
        <f t="shared" si="444"/>
        <v/>
      </c>
      <c r="S2954" s="5" t="str">
        <f t="shared" si="448"/>
        <v/>
      </c>
      <c r="T2954" s="5" t="str">
        <f t="shared" si="450"/>
        <v/>
      </c>
      <c r="U2954" s="5" t="str">
        <f t="shared" si="450"/>
        <v/>
      </c>
    </row>
    <row r="2955" spans="7:21" x14ac:dyDescent="0.2">
      <c r="G2955" s="8"/>
      <c r="H2955" s="5"/>
      <c r="J2955" s="10" t="str">
        <f t="shared" si="446"/>
        <v/>
      </c>
      <c r="K2955" s="10" t="str">
        <f t="shared" si="447"/>
        <v/>
      </c>
      <c r="L2955" s="11" t="str">
        <f t="shared" si="449"/>
        <v/>
      </c>
      <c r="M2955" s="9" t="str">
        <f>IF(G2955&lt;&gt;"",J2955/MAX(J$3:J2955)-1,"")</f>
        <v/>
      </c>
      <c r="N2955" s="9" t="str">
        <f>IF(G2955&lt;&gt;"",K2955/MAX(K$3:K2955)-1,"")</f>
        <v/>
      </c>
      <c r="O2955" s="16" t="str">
        <f t="shared" si="445"/>
        <v/>
      </c>
      <c r="P2955" s="16" t="str">
        <f t="shared" si="445"/>
        <v/>
      </c>
      <c r="Q2955" s="16" t="str">
        <f t="shared" si="445"/>
        <v/>
      </c>
      <c r="R2955" s="5" t="str">
        <f t="shared" si="444"/>
        <v/>
      </c>
      <c r="S2955" s="5" t="str">
        <f t="shared" si="448"/>
        <v/>
      </c>
      <c r="T2955" s="5" t="str">
        <f t="shared" si="450"/>
        <v/>
      </c>
      <c r="U2955" s="5" t="str">
        <f t="shared" si="450"/>
        <v/>
      </c>
    </row>
    <row r="2956" spans="7:21" x14ac:dyDescent="0.2">
      <c r="G2956" s="8"/>
      <c r="H2956" s="5"/>
      <c r="J2956" s="10" t="str">
        <f t="shared" si="446"/>
        <v/>
      </c>
      <c r="K2956" s="10" t="str">
        <f t="shared" si="447"/>
        <v/>
      </c>
      <c r="L2956" s="11" t="str">
        <f t="shared" si="449"/>
        <v/>
      </c>
      <c r="M2956" s="9" t="str">
        <f>IF(G2956&lt;&gt;"",J2956/MAX(J$3:J2956)-1,"")</f>
        <v/>
      </c>
      <c r="N2956" s="9" t="str">
        <f>IF(G2956&lt;&gt;"",K2956/MAX(K$3:K2956)-1,"")</f>
        <v/>
      </c>
      <c r="O2956" s="16" t="str">
        <f t="shared" si="445"/>
        <v/>
      </c>
      <c r="P2956" s="16" t="str">
        <f t="shared" si="445"/>
        <v/>
      </c>
      <c r="Q2956" s="16" t="str">
        <f t="shared" si="445"/>
        <v/>
      </c>
      <c r="R2956" s="5" t="str">
        <f t="shared" si="444"/>
        <v/>
      </c>
      <c r="S2956" s="5" t="str">
        <f t="shared" si="448"/>
        <v/>
      </c>
      <c r="T2956" s="5" t="str">
        <f t="shared" si="450"/>
        <v/>
      </c>
      <c r="U2956" s="5" t="str">
        <f t="shared" si="450"/>
        <v/>
      </c>
    </row>
    <row r="2957" spans="7:21" x14ac:dyDescent="0.2">
      <c r="G2957" s="8"/>
      <c r="H2957" s="5"/>
      <c r="J2957" s="10" t="str">
        <f t="shared" si="446"/>
        <v/>
      </c>
      <c r="K2957" s="10" t="str">
        <f t="shared" si="447"/>
        <v/>
      </c>
      <c r="L2957" s="11" t="str">
        <f t="shared" si="449"/>
        <v/>
      </c>
      <c r="M2957" s="9" t="str">
        <f>IF(G2957&lt;&gt;"",J2957/MAX(J$3:J2957)-1,"")</f>
        <v/>
      </c>
      <c r="N2957" s="9" t="str">
        <f>IF(G2957&lt;&gt;"",K2957/MAX(K$3:K2957)-1,"")</f>
        <v/>
      </c>
      <c r="O2957" s="16" t="str">
        <f t="shared" si="445"/>
        <v/>
      </c>
      <c r="P2957" s="16" t="str">
        <f t="shared" si="445"/>
        <v/>
      </c>
      <c r="Q2957" s="16" t="str">
        <f t="shared" si="445"/>
        <v/>
      </c>
      <c r="R2957" s="5" t="str">
        <f t="shared" si="444"/>
        <v/>
      </c>
      <c r="S2957" s="5" t="str">
        <f t="shared" si="448"/>
        <v/>
      </c>
      <c r="T2957" s="5" t="str">
        <f t="shared" si="450"/>
        <v/>
      </c>
      <c r="U2957" s="5" t="str">
        <f t="shared" si="450"/>
        <v/>
      </c>
    </row>
    <row r="2958" spans="7:21" x14ac:dyDescent="0.2">
      <c r="G2958" s="8"/>
      <c r="H2958" s="5"/>
      <c r="J2958" s="10" t="str">
        <f t="shared" si="446"/>
        <v/>
      </c>
      <c r="K2958" s="10" t="str">
        <f t="shared" si="447"/>
        <v/>
      </c>
      <c r="L2958" s="11" t="str">
        <f t="shared" si="449"/>
        <v/>
      </c>
      <c r="M2958" s="9" t="str">
        <f>IF(G2958&lt;&gt;"",J2958/MAX(J$3:J2958)-1,"")</f>
        <v/>
      </c>
      <c r="N2958" s="9" t="str">
        <f>IF(G2958&lt;&gt;"",K2958/MAX(K$3:K2958)-1,"")</f>
        <v/>
      </c>
      <c r="O2958" s="16" t="str">
        <f t="shared" si="445"/>
        <v/>
      </c>
      <c r="P2958" s="16" t="str">
        <f t="shared" si="445"/>
        <v/>
      </c>
      <c r="Q2958" s="16" t="str">
        <f t="shared" si="445"/>
        <v/>
      </c>
      <c r="R2958" s="5" t="str">
        <f t="shared" si="444"/>
        <v/>
      </c>
      <c r="S2958" s="5" t="str">
        <f t="shared" si="448"/>
        <v/>
      </c>
      <c r="T2958" s="5" t="str">
        <f t="shared" si="450"/>
        <v/>
      </c>
      <c r="U2958" s="5" t="str">
        <f t="shared" si="450"/>
        <v/>
      </c>
    </row>
    <row r="2959" spans="7:21" x14ac:dyDescent="0.2">
      <c r="G2959" s="8"/>
      <c r="H2959" s="5"/>
      <c r="J2959" s="10" t="str">
        <f t="shared" si="446"/>
        <v/>
      </c>
      <c r="K2959" s="10" t="str">
        <f t="shared" si="447"/>
        <v/>
      </c>
      <c r="L2959" s="11" t="str">
        <f t="shared" si="449"/>
        <v/>
      </c>
      <c r="M2959" s="9" t="str">
        <f>IF(G2959&lt;&gt;"",J2959/MAX(J$3:J2959)-1,"")</f>
        <v/>
      </c>
      <c r="N2959" s="9" t="str">
        <f>IF(G2959&lt;&gt;"",K2959/MAX(K$3:K2959)-1,"")</f>
        <v/>
      </c>
      <c r="O2959" s="16" t="str">
        <f t="shared" si="445"/>
        <v/>
      </c>
      <c r="P2959" s="16" t="str">
        <f t="shared" si="445"/>
        <v/>
      </c>
      <c r="Q2959" s="16" t="str">
        <f t="shared" si="445"/>
        <v/>
      </c>
      <c r="R2959" s="5" t="str">
        <f t="shared" si="444"/>
        <v/>
      </c>
      <c r="S2959" s="5" t="str">
        <f t="shared" si="448"/>
        <v/>
      </c>
      <c r="T2959" s="5" t="str">
        <f t="shared" si="450"/>
        <v/>
      </c>
      <c r="U2959" s="5" t="str">
        <f t="shared" si="450"/>
        <v/>
      </c>
    </row>
    <row r="2960" spans="7:21" x14ac:dyDescent="0.2">
      <c r="G2960" s="8"/>
      <c r="H2960" s="5"/>
      <c r="J2960" s="10" t="str">
        <f t="shared" si="446"/>
        <v/>
      </c>
      <c r="K2960" s="10" t="str">
        <f t="shared" si="447"/>
        <v/>
      </c>
      <c r="L2960" s="11" t="str">
        <f t="shared" si="449"/>
        <v/>
      </c>
      <c r="M2960" s="9" t="str">
        <f>IF(G2960&lt;&gt;"",J2960/MAX(J$3:J2960)-1,"")</f>
        <v/>
      </c>
      <c r="N2960" s="9" t="str">
        <f>IF(G2960&lt;&gt;"",K2960/MAX(K$3:K2960)-1,"")</f>
        <v/>
      </c>
      <c r="O2960" s="16" t="str">
        <f t="shared" si="445"/>
        <v/>
      </c>
      <c r="P2960" s="16" t="str">
        <f t="shared" si="445"/>
        <v/>
      </c>
      <c r="Q2960" s="16" t="str">
        <f t="shared" si="445"/>
        <v/>
      </c>
      <c r="R2960" s="5" t="str">
        <f t="shared" si="444"/>
        <v/>
      </c>
      <c r="S2960" s="5" t="str">
        <f t="shared" si="448"/>
        <v/>
      </c>
      <c r="T2960" s="5" t="str">
        <f t="shared" si="450"/>
        <v/>
      </c>
      <c r="U2960" s="5" t="str">
        <f t="shared" si="450"/>
        <v/>
      </c>
    </row>
    <row r="2961" spans="7:21" x14ac:dyDescent="0.2">
      <c r="G2961" s="8"/>
      <c r="H2961" s="5"/>
      <c r="J2961" s="10" t="str">
        <f t="shared" si="446"/>
        <v/>
      </c>
      <c r="K2961" s="10" t="str">
        <f t="shared" si="447"/>
        <v/>
      </c>
      <c r="L2961" s="11" t="str">
        <f t="shared" si="449"/>
        <v/>
      </c>
      <c r="M2961" s="9" t="str">
        <f>IF(G2961&lt;&gt;"",J2961/MAX(J$3:J2961)-1,"")</f>
        <v/>
      </c>
      <c r="N2961" s="9" t="str">
        <f>IF(G2961&lt;&gt;"",K2961/MAX(K$3:K2961)-1,"")</f>
        <v/>
      </c>
      <c r="O2961" s="16" t="str">
        <f t="shared" si="445"/>
        <v/>
      </c>
      <c r="P2961" s="16" t="str">
        <f t="shared" si="445"/>
        <v/>
      </c>
      <c r="Q2961" s="16" t="str">
        <f t="shared" si="445"/>
        <v/>
      </c>
      <c r="R2961" s="5" t="str">
        <f t="shared" si="444"/>
        <v/>
      </c>
      <c r="S2961" s="5" t="str">
        <f t="shared" si="448"/>
        <v/>
      </c>
      <c r="T2961" s="5" t="str">
        <f t="shared" si="450"/>
        <v/>
      </c>
      <c r="U2961" s="5" t="str">
        <f t="shared" si="450"/>
        <v/>
      </c>
    </row>
    <row r="2962" spans="7:21" x14ac:dyDescent="0.2">
      <c r="G2962" s="8"/>
      <c r="H2962" s="5"/>
      <c r="J2962" s="10" t="str">
        <f t="shared" si="446"/>
        <v/>
      </c>
      <c r="K2962" s="10" t="str">
        <f t="shared" si="447"/>
        <v/>
      </c>
      <c r="L2962" s="11" t="str">
        <f t="shared" si="449"/>
        <v/>
      </c>
      <c r="M2962" s="9" t="str">
        <f>IF(G2962&lt;&gt;"",J2962/MAX(J$3:J2962)-1,"")</f>
        <v/>
      </c>
      <c r="N2962" s="9" t="str">
        <f>IF(G2962&lt;&gt;"",K2962/MAX(K$3:K2962)-1,"")</f>
        <v/>
      </c>
      <c r="O2962" s="16" t="str">
        <f t="shared" si="445"/>
        <v/>
      </c>
      <c r="P2962" s="16" t="str">
        <f t="shared" si="445"/>
        <v/>
      </c>
      <c r="Q2962" s="16" t="str">
        <f t="shared" si="445"/>
        <v/>
      </c>
      <c r="R2962" s="5" t="str">
        <f t="shared" si="444"/>
        <v/>
      </c>
      <c r="S2962" s="5" t="str">
        <f t="shared" si="448"/>
        <v/>
      </c>
      <c r="T2962" s="5" t="str">
        <f t="shared" si="450"/>
        <v/>
      </c>
      <c r="U2962" s="5" t="str">
        <f t="shared" si="450"/>
        <v/>
      </c>
    </row>
    <row r="2963" spans="7:21" x14ac:dyDescent="0.2">
      <c r="G2963" s="8"/>
      <c r="H2963" s="5"/>
      <c r="J2963" s="10" t="str">
        <f t="shared" si="446"/>
        <v/>
      </c>
      <c r="K2963" s="10" t="str">
        <f t="shared" si="447"/>
        <v/>
      </c>
      <c r="L2963" s="11" t="str">
        <f t="shared" si="449"/>
        <v/>
      </c>
      <c r="M2963" s="9" t="str">
        <f>IF(G2963&lt;&gt;"",J2963/MAX(J$3:J2963)-1,"")</f>
        <v/>
      </c>
      <c r="N2963" s="9" t="str">
        <f>IF(G2963&lt;&gt;"",K2963/MAX(K$3:K2963)-1,"")</f>
        <v/>
      </c>
      <c r="O2963" s="16" t="str">
        <f t="shared" si="445"/>
        <v/>
      </c>
      <c r="P2963" s="16" t="str">
        <f t="shared" si="445"/>
        <v/>
      </c>
      <c r="Q2963" s="16" t="str">
        <f t="shared" si="445"/>
        <v/>
      </c>
      <c r="R2963" s="5" t="str">
        <f t="shared" si="444"/>
        <v/>
      </c>
      <c r="S2963" s="5" t="str">
        <f t="shared" si="448"/>
        <v/>
      </c>
      <c r="T2963" s="5" t="str">
        <f t="shared" si="450"/>
        <v/>
      </c>
      <c r="U2963" s="5" t="str">
        <f t="shared" si="450"/>
        <v/>
      </c>
    </row>
    <row r="2964" spans="7:21" x14ac:dyDescent="0.2">
      <c r="G2964" s="8"/>
      <c r="H2964" s="5"/>
      <c r="J2964" s="10" t="str">
        <f t="shared" si="446"/>
        <v/>
      </c>
      <c r="K2964" s="10" t="str">
        <f t="shared" si="447"/>
        <v/>
      </c>
      <c r="L2964" s="11" t="str">
        <f t="shared" si="449"/>
        <v/>
      </c>
      <c r="M2964" s="9" t="str">
        <f>IF(G2964&lt;&gt;"",J2964/MAX(J$3:J2964)-1,"")</f>
        <v/>
      </c>
      <c r="N2964" s="9" t="str">
        <f>IF(G2964&lt;&gt;"",K2964/MAX(K$3:K2964)-1,"")</f>
        <v/>
      </c>
      <c r="O2964" s="16" t="str">
        <f t="shared" si="445"/>
        <v/>
      </c>
      <c r="P2964" s="16" t="str">
        <f t="shared" si="445"/>
        <v/>
      </c>
      <c r="Q2964" s="16" t="str">
        <f t="shared" si="445"/>
        <v/>
      </c>
      <c r="R2964" s="5" t="str">
        <f t="shared" si="444"/>
        <v/>
      </c>
      <c r="S2964" s="5" t="str">
        <f t="shared" si="448"/>
        <v/>
      </c>
      <c r="T2964" s="5" t="str">
        <f t="shared" si="450"/>
        <v/>
      </c>
      <c r="U2964" s="5" t="str">
        <f t="shared" si="450"/>
        <v/>
      </c>
    </row>
    <row r="2965" spans="7:21" x14ac:dyDescent="0.2">
      <c r="G2965" s="8"/>
      <c r="H2965" s="5"/>
      <c r="J2965" s="10" t="str">
        <f t="shared" si="446"/>
        <v/>
      </c>
      <c r="K2965" s="10" t="str">
        <f t="shared" si="447"/>
        <v/>
      </c>
      <c r="L2965" s="11" t="str">
        <f t="shared" si="449"/>
        <v/>
      </c>
      <c r="M2965" s="9" t="str">
        <f>IF(G2965&lt;&gt;"",J2965/MAX(J$3:J2965)-1,"")</f>
        <v/>
      </c>
      <c r="N2965" s="9" t="str">
        <f>IF(G2965&lt;&gt;"",K2965/MAX(K$3:K2965)-1,"")</f>
        <v/>
      </c>
      <c r="O2965" s="16" t="str">
        <f t="shared" si="445"/>
        <v/>
      </c>
      <c r="P2965" s="16" t="str">
        <f t="shared" si="445"/>
        <v/>
      </c>
      <c r="Q2965" s="16" t="str">
        <f t="shared" si="445"/>
        <v/>
      </c>
      <c r="R2965" s="5" t="str">
        <f t="shared" si="444"/>
        <v/>
      </c>
      <c r="S2965" s="5" t="str">
        <f t="shared" si="448"/>
        <v/>
      </c>
      <c r="T2965" s="5" t="str">
        <f t="shared" si="450"/>
        <v/>
      </c>
      <c r="U2965" s="5" t="str">
        <f t="shared" si="450"/>
        <v/>
      </c>
    </row>
    <row r="2966" spans="7:21" x14ac:dyDescent="0.2">
      <c r="G2966" s="8"/>
      <c r="H2966" s="5"/>
      <c r="J2966" s="10" t="str">
        <f t="shared" si="446"/>
        <v/>
      </c>
      <c r="K2966" s="10" t="str">
        <f t="shared" si="447"/>
        <v/>
      </c>
      <c r="L2966" s="11" t="str">
        <f t="shared" si="449"/>
        <v/>
      </c>
      <c r="M2966" s="9" t="str">
        <f>IF(G2966&lt;&gt;"",J2966/MAX(J$3:J2966)-1,"")</f>
        <v/>
      </c>
      <c r="N2966" s="9" t="str">
        <f>IF(G2966&lt;&gt;"",K2966/MAX(K$3:K2966)-1,"")</f>
        <v/>
      </c>
      <c r="O2966" s="16" t="str">
        <f t="shared" si="445"/>
        <v/>
      </c>
      <c r="P2966" s="16" t="str">
        <f t="shared" si="445"/>
        <v/>
      </c>
      <c r="Q2966" s="16" t="str">
        <f t="shared" si="445"/>
        <v/>
      </c>
      <c r="R2966" s="5" t="str">
        <f t="shared" si="444"/>
        <v/>
      </c>
      <c r="S2966" s="5" t="str">
        <f t="shared" si="448"/>
        <v/>
      </c>
      <c r="T2966" s="5" t="str">
        <f t="shared" si="450"/>
        <v/>
      </c>
      <c r="U2966" s="5" t="str">
        <f t="shared" si="450"/>
        <v/>
      </c>
    </row>
    <row r="2967" spans="7:21" x14ac:dyDescent="0.2">
      <c r="G2967" s="8"/>
      <c r="H2967" s="5"/>
      <c r="J2967" s="10" t="str">
        <f t="shared" si="446"/>
        <v/>
      </c>
      <c r="K2967" s="10" t="str">
        <f t="shared" si="447"/>
        <v/>
      </c>
      <c r="L2967" s="11" t="str">
        <f t="shared" si="449"/>
        <v/>
      </c>
      <c r="M2967" s="9" t="str">
        <f>IF(G2967&lt;&gt;"",J2967/MAX(J$3:J2967)-1,"")</f>
        <v/>
      </c>
      <c r="N2967" s="9" t="str">
        <f>IF(G2967&lt;&gt;"",K2967/MAX(K$3:K2967)-1,"")</f>
        <v/>
      </c>
      <c r="O2967" s="16" t="str">
        <f t="shared" si="445"/>
        <v/>
      </c>
      <c r="P2967" s="16" t="str">
        <f t="shared" si="445"/>
        <v/>
      </c>
      <c r="Q2967" s="16" t="str">
        <f t="shared" si="445"/>
        <v/>
      </c>
      <c r="R2967" s="5" t="str">
        <f t="shared" si="444"/>
        <v/>
      </c>
      <c r="S2967" s="5" t="str">
        <f t="shared" si="448"/>
        <v/>
      </c>
      <c r="T2967" s="5" t="str">
        <f t="shared" si="450"/>
        <v/>
      </c>
      <c r="U2967" s="5" t="str">
        <f t="shared" si="450"/>
        <v/>
      </c>
    </row>
    <row r="2968" spans="7:21" x14ac:dyDescent="0.2">
      <c r="G2968" s="8"/>
      <c r="H2968" s="5"/>
      <c r="J2968" s="10" t="str">
        <f t="shared" si="446"/>
        <v/>
      </c>
      <c r="K2968" s="10" t="str">
        <f t="shared" si="447"/>
        <v/>
      </c>
      <c r="L2968" s="11" t="str">
        <f t="shared" si="449"/>
        <v/>
      </c>
      <c r="M2968" s="9" t="str">
        <f>IF(G2968&lt;&gt;"",J2968/MAX(J$3:J2968)-1,"")</f>
        <v/>
      </c>
      <c r="N2968" s="9" t="str">
        <f>IF(G2968&lt;&gt;"",K2968/MAX(K$3:K2968)-1,"")</f>
        <v/>
      </c>
      <c r="O2968" s="16" t="str">
        <f t="shared" si="445"/>
        <v/>
      </c>
      <c r="P2968" s="16" t="str">
        <f t="shared" si="445"/>
        <v/>
      </c>
      <c r="Q2968" s="16" t="str">
        <f t="shared" si="445"/>
        <v/>
      </c>
      <c r="R2968" s="5" t="str">
        <f t="shared" si="444"/>
        <v/>
      </c>
      <c r="S2968" s="5" t="str">
        <f t="shared" si="448"/>
        <v/>
      </c>
      <c r="T2968" s="5" t="str">
        <f t="shared" ref="T2968:U2983" si="451">IF($G2968&lt;&gt;"",_xlfn.STDEV.S(O2724:O2968),"")</f>
        <v/>
      </c>
      <c r="U2968" s="5" t="str">
        <f t="shared" si="451"/>
        <v/>
      </c>
    </row>
    <row r="2969" spans="7:21" x14ac:dyDescent="0.2">
      <c r="G2969" s="8"/>
      <c r="H2969" s="5"/>
      <c r="J2969" s="10" t="str">
        <f t="shared" si="446"/>
        <v/>
      </c>
      <c r="K2969" s="10" t="str">
        <f t="shared" si="447"/>
        <v/>
      </c>
      <c r="L2969" s="11" t="str">
        <f t="shared" si="449"/>
        <v/>
      </c>
      <c r="M2969" s="9" t="str">
        <f>IF(G2969&lt;&gt;"",J2969/MAX(J$3:J2969)-1,"")</f>
        <v/>
      </c>
      <c r="N2969" s="9" t="str">
        <f>IF(G2969&lt;&gt;"",K2969/MAX(K$3:K2969)-1,"")</f>
        <v/>
      </c>
      <c r="O2969" s="16" t="str">
        <f t="shared" si="445"/>
        <v/>
      </c>
      <c r="P2969" s="16" t="str">
        <f t="shared" si="445"/>
        <v/>
      </c>
      <c r="Q2969" s="16" t="str">
        <f t="shared" si="445"/>
        <v/>
      </c>
      <c r="R2969" s="5" t="str">
        <f t="shared" si="444"/>
        <v/>
      </c>
      <c r="S2969" s="5" t="str">
        <f t="shared" si="448"/>
        <v/>
      </c>
      <c r="T2969" s="5" t="str">
        <f t="shared" si="451"/>
        <v/>
      </c>
      <c r="U2969" s="5" t="str">
        <f t="shared" si="451"/>
        <v/>
      </c>
    </row>
    <row r="2970" spans="7:21" x14ac:dyDescent="0.2">
      <c r="G2970" s="8"/>
      <c r="H2970" s="5"/>
      <c r="J2970" s="10" t="str">
        <f t="shared" si="446"/>
        <v/>
      </c>
      <c r="K2970" s="10" t="str">
        <f t="shared" si="447"/>
        <v/>
      </c>
      <c r="L2970" s="11" t="str">
        <f t="shared" si="449"/>
        <v/>
      </c>
      <c r="M2970" s="9" t="str">
        <f>IF(G2970&lt;&gt;"",J2970/MAX(J$3:J2970)-1,"")</f>
        <v/>
      </c>
      <c r="N2970" s="9" t="str">
        <f>IF(G2970&lt;&gt;"",K2970/MAX(K$3:K2970)-1,"")</f>
        <v/>
      </c>
      <c r="O2970" s="16" t="str">
        <f t="shared" si="445"/>
        <v/>
      </c>
      <c r="P2970" s="16" t="str">
        <f t="shared" si="445"/>
        <v/>
      </c>
      <c r="Q2970" s="16" t="str">
        <f t="shared" si="445"/>
        <v/>
      </c>
      <c r="R2970" s="5" t="str">
        <f t="shared" si="444"/>
        <v/>
      </c>
      <c r="S2970" s="5" t="str">
        <f t="shared" si="448"/>
        <v/>
      </c>
      <c r="T2970" s="5" t="str">
        <f t="shared" si="451"/>
        <v/>
      </c>
      <c r="U2970" s="5" t="str">
        <f t="shared" si="451"/>
        <v/>
      </c>
    </row>
    <row r="2971" spans="7:21" x14ac:dyDescent="0.2">
      <c r="G2971" s="8"/>
      <c r="H2971" s="5"/>
      <c r="J2971" s="10" t="str">
        <f t="shared" si="446"/>
        <v/>
      </c>
      <c r="K2971" s="10" t="str">
        <f t="shared" si="447"/>
        <v/>
      </c>
      <c r="L2971" s="11" t="str">
        <f t="shared" si="449"/>
        <v/>
      </c>
      <c r="M2971" s="9" t="str">
        <f>IF(G2971&lt;&gt;"",J2971/MAX(J$3:J2971)-1,"")</f>
        <v/>
      </c>
      <c r="N2971" s="9" t="str">
        <f>IF(G2971&lt;&gt;"",K2971/MAX(K$3:K2971)-1,"")</f>
        <v/>
      </c>
      <c r="O2971" s="16" t="str">
        <f t="shared" si="445"/>
        <v/>
      </c>
      <c r="P2971" s="16" t="str">
        <f t="shared" si="445"/>
        <v/>
      </c>
      <c r="Q2971" s="16" t="str">
        <f t="shared" si="445"/>
        <v/>
      </c>
      <c r="R2971" s="5" t="str">
        <f t="shared" si="444"/>
        <v/>
      </c>
      <c r="S2971" s="5" t="str">
        <f t="shared" si="448"/>
        <v/>
      </c>
      <c r="T2971" s="5" t="str">
        <f t="shared" si="451"/>
        <v/>
      </c>
      <c r="U2971" s="5" t="str">
        <f t="shared" si="451"/>
        <v/>
      </c>
    </row>
    <row r="2972" spans="7:21" x14ac:dyDescent="0.2">
      <c r="G2972" s="8"/>
      <c r="H2972" s="5"/>
      <c r="J2972" s="10" t="str">
        <f t="shared" si="446"/>
        <v/>
      </c>
      <c r="K2972" s="10" t="str">
        <f t="shared" si="447"/>
        <v/>
      </c>
      <c r="L2972" s="11" t="str">
        <f t="shared" si="449"/>
        <v/>
      </c>
      <c r="M2972" s="9" t="str">
        <f>IF(G2972&lt;&gt;"",J2972/MAX(J$3:J2972)-1,"")</f>
        <v/>
      </c>
      <c r="N2972" s="9" t="str">
        <f>IF(G2972&lt;&gt;"",K2972/MAX(K$3:K2972)-1,"")</f>
        <v/>
      </c>
      <c r="O2972" s="16" t="str">
        <f t="shared" si="445"/>
        <v/>
      </c>
      <c r="P2972" s="16" t="str">
        <f t="shared" si="445"/>
        <v/>
      </c>
      <c r="Q2972" s="16" t="str">
        <f t="shared" si="445"/>
        <v/>
      </c>
      <c r="R2972" s="5" t="str">
        <f t="shared" si="444"/>
        <v/>
      </c>
      <c r="S2972" s="5" t="str">
        <f t="shared" si="448"/>
        <v/>
      </c>
      <c r="T2972" s="5" t="str">
        <f t="shared" si="451"/>
        <v/>
      </c>
      <c r="U2972" s="5" t="str">
        <f t="shared" si="451"/>
        <v/>
      </c>
    </row>
    <row r="2973" spans="7:21" x14ac:dyDescent="0.2">
      <c r="G2973" s="8"/>
      <c r="H2973" s="5"/>
      <c r="J2973" s="10" t="str">
        <f t="shared" si="446"/>
        <v/>
      </c>
      <c r="K2973" s="10" t="str">
        <f t="shared" si="447"/>
        <v/>
      </c>
      <c r="L2973" s="11" t="str">
        <f t="shared" si="449"/>
        <v/>
      </c>
      <c r="M2973" s="9" t="str">
        <f>IF(G2973&lt;&gt;"",J2973/MAX(J$3:J2973)-1,"")</f>
        <v/>
      </c>
      <c r="N2973" s="9" t="str">
        <f>IF(G2973&lt;&gt;"",K2973/MAX(K$3:K2973)-1,"")</f>
        <v/>
      </c>
      <c r="O2973" s="16" t="str">
        <f t="shared" si="445"/>
        <v/>
      </c>
      <c r="P2973" s="16" t="str">
        <f t="shared" si="445"/>
        <v/>
      </c>
      <c r="Q2973" s="16" t="str">
        <f t="shared" si="445"/>
        <v/>
      </c>
      <c r="R2973" s="5" t="str">
        <f t="shared" si="444"/>
        <v/>
      </c>
      <c r="S2973" s="5" t="str">
        <f t="shared" si="448"/>
        <v/>
      </c>
      <c r="T2973" s="5" t="str">
        <f t="shared" si="451"/>
        <v/>
      </c>
      <c r="U2973" s="5" t="str">
        <f t="shared" si="451"/>
        <v/>
      </c>
    </row>
    <row r="2974" spans="7:21" x14ac:dyDescent="0.2">
      <c r="G2974" s="8"/>
      <c r="H2974" s="5"/>
      <c r="J2974" s="10" t="str">
        <f t="shared" si="446"/>
        <v/>
      </c>
      <c r="K2974" s="10" t="str">
        <f t="shared" si="447"/>
        <v/>
      </c>
      <c r="L2974" s="11" t="str">
        <f t="shared" si="449"/>
        <v/>
      </c>
      <c r="M2974" s="9" t="str">
        <f>IF(G2974&lt;&gt;"",J2974/MAX(J$3:J2974)-1,"")</f>
        <v/>
      </c>
      <c r="N2974" s="9" t="str">
        <f>IF(G2974&lt;&gt;"",K2974/MAX(K$3:K2974)-1,"")</f>
        <v/>
      </c>
      <c r="O2974" s="16" t="str">
        <f t="shared" si="445"/>
        <v/>
      </c>
      <c r="P2974" s="16" t="str">
        <f t="shared" si="445"/>
        <v/>
      </c>
      <c r="Q2974" s="16" t="str">
        <f t="shared" si="445"/>
        <v/>
      </c>
      <c r="R2974" s="5" t="str">
        <f t="shared" si="444"/>
        <v/>
      </c>
      <c r="S2974" s="5" t="str">
        <f t="shared" si="448"/>
        <v/>
      </c>
      <c r="T2974" s="5" t="str">
        <f t="shared" si="451"/>
        <v/>
      </c>
      <c r="U2974" s="5" t="str">
        <f t="shared" si="451"/>
        <v/>
      </c>
    </row>
    <row r="2975" spans="7:21" x14ac:dyDescent="0.2">
      <c r="G2975" s="8"/>
      <c r="H2975" s="5"/>
      <c r="J2975" s="10" t="str">
        <f t="shared" si="446"/>
        <v/>
      </c>
      <c r="K2975" s="10" t="str">
        <f t="shared" si="447"/>
        <v/>
      </c>
      <c r="L2975" s="11" t="str">
        <f t="shared" si="449"/>
        <v/>
      </c>
      <c r="M2975" s="9" t="str">
        <f>IF(G2975&lt;&gt;"",J2975/MAX(J$3:J2975)-1,"")</f>
        <v/>
      </c>
      <c r="N2975" s="9" t="str">
        <f>IF(G2975&lt;&gt;"",K2975/MAX(K$3:K2975)-1,"")</f>
        <v/>
      </c>
      <c r="O2975" s="16" t="str">
        <f t="shared" si="445"/>
        <v/>
      </c>
      <c r="P2975" s="16" t="str">
        <f t="shared" si="445"/>
        <v/>
      </c>
      <c r="Q2975" s="16" t="str">
        <f t="shared" si="445"/>
        <v/>
      </c>
      <c r="R2975" s="5" t="str">
        <f t="shared" si="444"/>
        <v/>
      </c>
      <c r="S2975" s="5" t="str">
        <f t="shared" si="448"/>
        <v/>
      </c>
      <c r="T2975" s="5" t="str">
        <f t="shared" si="451"/>
        <v/>
      </c>
      <c r="U2975" s="5" t="str">
        <f t="shared" si="451"/>
        <v/>
      </c>
    </row>
    <row r="2976" spans="7:21" x14ac:dyDescent="0.2">
      <c r="G2976" s="8"/>
      <c r="H2976" s="5"/>
      <c r="J2976" s="10" t="str">
        <f t="shared" si="446"/>
        <v/>
      </c>
      <c r="K2976" s="10" t="str">
        <f t="shared" si="447"/>
        <v/>
      </c>
      <c r="L2976" s="11" t="str">
        <f t="shared" si="449"/>
        <v/>
      </c>
      <c r="M2976" s="9" t="str">
        <f>IF(G2976&lt;&gt;"",J2976/MAX(J$3:J2976)-1,"")</f>
        <v/>
      </c>
      <c r="N2976" s="9" t="str">
        <f>IF(G2976&lt;&gt;"",K2976/MAX(K$3:K2976)-1,"")</f>
        <v/>
      </c>
      <c r="O2976" s="16" t="str">
        <f t="shared" si="445"/>
        <v/>
      </c>
      <c r="P2976" s="16" t="str">
        <f t="shared" si="445"/>
        <v/>
      </c>
      <c r="Q2976" s="16" t="str">
        <f t="shared" si="445"/>
        <v/>
      </c>
      <c r="R2976" s="5" t="str">
        <f t="shared" si="444"/>
        <v/>
      </c>
      <c r="S2976" s="5" t="str">
        <f t="shared" si="448"/>
        <v/>
      </c>
      <c r="T2976" s="5" t="str">
        <f t="shared" si="451"/>
        <v/>
      </c>
      <c r="U2976" s="5" t="str">
        <f t="shared" si="451"/>
        <v/>
      </c>
    </row>
    <row r="2977" spans="7:21" x14ac:dyDescent="0.2">
      <c r="G2977" s="8"/>
      <c r="H2977" s="5"/>
      <c r="J2977" s="10" t="str">
        <f t="shared" si="446"/>
        <v/>
      </c>
      <c r="K2977" s="10" t="str">
        <f t="shared" si="447"/>
        <v/>
      </c>
      <c r="L2977" s="11" t="str">
        <f t="shared" si="449"/>
        <v/>
      </c>
      <c r="M2977" s="9" t="str">
        <f>IF(G2977&lt;&gt;"",J2977/MAX(J$3:J2977)-1,"")</f>
        <v/>
      </c>
      <c r="N2977" s="9" t="str">
        <f>IF(G2977&lt;&gt;"",K2977/MAX(K$3:K2977)-1,"")</f>
        <v/>
      </c>
      <c r="O2977" s="16" t="str">
        <f t="shared" si="445"/>
        <v/>
      </c>
      <c r="P2977" s="16" t="str">
        <f t="shared" si="445"/>
        <v/>
      </c>
      <c r="Q2977" s="16" t="str">
        <f t="shared" si="445"/>
        <v/>
      </c>
      <c r="R2977" s="5" t="str">
        <f t="shared" si="444"/>
        <v/>
      </c>
      <c r="S2977" s="5" t="str">
        <f t="shared" si="448"/>
        <v/>
      </c>
      <c r="T2977" s="5" t="str">
        <f t="shared" si="451"/>
        <v/>
      </c>
      <c r="U2977" s="5" t="str">
        <f t="shared" si="451"/>
        <v/>
      </c>
    </row>
    <row r="2978" spans="7:21" x14ac:dyDescent="0.2">
      <c r="G2978" s="8"/>
      <c r="H2978" s="5"/>
      <c r="J2978" s="10" t="str">
        <f t="shared" si="446"/>
        <v/>
      </c>
      <c r="K2978" s="10" t="str">
        <f t="shared" si="447"/>
        <v/>
      </c>
      <c r="L2978" s="11" t="str">
        <f t="shared" si="449"/>
        <v/>
      </c>
      <c r="M2978" s="9" t="str">
        <f>IF(G2978&lt;&gt;"",J2978/MAX(J$3:J2978)-1,"")</f>
        <v/>
      </c>
      <c r="N2978" s="9" t="str">
        <f>IF(G2978&lt;&gt;"",K2978/MAX(K$3:K2978)-1,"")</f>
        <v/>
      </c>
      <c r="O2978" s="16" t="str">
        <f t="shared" si="445"/>
        <v/>
      </c>
      <c r="P2978" s="16" t="str">
        <f t="shared" si="445"/>
        <v/>
      </c>
      <c r="Q2978" s="16" t="str">
        <f t="shared" si="445"/>
        <v/>
      </c>
      <c r="R2978" s="5" t="str">
        <f t="shared" si="444"/>
        <v/>
      </c>
      <c r="S2978" s="5" t="str">
        <f t="shared" si="448"/>
        <v/>
      </c>
      <c r="T2978" s="5" t="str">
        <f t="shared" si="451"/>
        <v/>
      </c>
      <c r="U2978" s="5" t="str">
        <f t="shared" si="451"/>
        <v/>
      </c>
    </row>
    <row r="2979" spans="7:21" x14ac:dyDescent="0.2">
      <c r="G2979" s="8"/>
      <c r="H2979" s="5"/>
      <c r="J2979" s="10" t="str">
        <f t="shared" si="446"/>
        <v/>
      </c>
      <c r="K2979" s="10" t="str">
        <f t="shared" si="447"/>
        <v/>
      </c>
      <c r="L2979" s="11" t="str">
        <f t="shared" si="449"/>
        <v/>
      </c>
      <c r="M2979" s="9" t="str">
        <f>IF(G2979&lt;&gt;"",J2979/MAX(J$3:J2979)-1,"")</f>
        <v/>
      </c>
      <c r="N2979" s="9" t="str">
        <f>IF(G2979&lt;&gt;"",K2979/MAX(K$3:K2979)-1,"")</f>
        <v/>
      </c>
      <c r="O2979" s="16" t="str">
        <f t="shared" si="445"/>
        <v/>
      </c>
      <c r="P2979" s="16" t="str">
        <f t="shared" si="445"/>
        <v/>
      </c>
      <c r="Q2979" s="16" t="str">
        <f t="shared" si="445"/>
        <v/>
      </c>
      <c r="R2979" s="5" t="str">
        <f t="shared" si="444"/>
        <v/>
      </c>
      <c r="S2979" s="5" t="str">
        <f t="shared" si="448"/>
        <v/>
      </c>
      <c r="T2979" s="5" t="str">
        <f t="shared" si="451"/>
        <v/>
      </c>
      <c r="U2979" s="5" t="str">
        <f t="shared" si="451"/>
        <v/>
      </c>
    </row>
    <row r="2980" spans="7:21" x14ac:dyDescent="0.2">
      <c r="G2980" s="8"/>
      <c r="H2980" s="5"/>
      <c r="J2980" s="10" t="str">
        <f t="shared" si="446"/>
        <v/>
      </c>
      <c r="K2980" s="10" t="str">
        <f t="shared" si="447"/>
        <v/>
      </c>
      <c r="L2980" s="11" t="str">
        <f t="shared" si="449"/>
        <v/>
      </c>
      <c r="M2980" s="9" t="str">
        <f>IF(G2980&lt;&gt;"",J2980/MAX(J$3:J2980)-1,"")</f>
        <v/>
      </c>
      <c r="N2980" s="9" t="str">
        <f>IF(G2980&lt;&gt;"",K2980/MAX(K$3:K2980)-1,"")</f>
        <v/>
      </c>
      <c r="O2980" s="16" t="str">
        <f t="shared" si="445"/>
        <v/>
      </c>
      <c r="P2980" s="16" t="str">
        <f t="shared" si="445"/>
        <v/>
      </c>
      <c r="Q2980" s="16" t="str">
        <f t="shared" si="445"/>
        <v/>
      </c>
      <c r="R2980" s="5" t="str">
        <f t="shared" si="444"/>
        <v/>
      </c>
      <c r="S2980" s="5" t="str">
        <f t="shared" si="448"/>
        <v/>
      </c>
      <c r="T2980" s="5" t="str">
        <f t="shared" si="451"/>
        <v/>
      </c>
      <c r="U2980" s="5" t="str">
        <f t="shared" si="451"/>
        <v/>
      </c>
    </row>
    <row r="2981" spans="7:21" x14ac:dyDescent="0.2">
      <c r="G2981" s="8"/>
      <c r="H2981" s="5"/>
      <c r="J2981" s="10" t="str">
        <f t="shared" si="446"/>
        <v/>
      </c>
      <c r="K2981" s="10" t="str">
        <f t="shared" si="447"/>
        <v/>
      </c>
      <c r="L2981" s="11" t="str">
        <f t="shared" si="449"/>
        <v/>
      </c>
      <c r="M2981" s="9" t="str">
        <f>IF(G2981&lt;&gt;"",J2981/MAX(J$3:J2981)-1,"")</f>
        <v/>
      </c>
      <c r="N2981" s="9" t="str">
        <f>IF(G2981&lt;&gt;"",K2981/MAX(K$3:K2981)-1,"")</f>
        <v/>
      </c>
      <c r="O2981" s="16" t="str">
        <f t="shared" si="445"/>
        <v/>
      </c>
      <c r="P2981" s="16" t="str">
        <f t="shared" si="445"/>
        <v/>
      </c>
      <c r="Q2981" s="16" t="str">
        <f t="shared" si="445"/>
        <v/>
      </c>
      <c r="R2981" s="5" t="str">
        <f t="shared" si="444"/>
        <v/>
      </c>
      <c r="S2981" s="5" t="str">
        <f t="shared" si="448"/>
        <v/>
      </c>
      <c r="T2981" s="5" t="str">
        <f t="shared" si="451"/>
        <v/>
      </c>
      <c r="U2981" s="5" t="str">
        <f t="shared" si="451"/>
        <v/>
      </c>
    </row>
    <row r="2982" spans="7:21" x14ac:dyDescent="0.2">
      <c r="G2982" s="8"/>
      <c r="H2982" s="5"/>
      <c r="J2982" s="10" t="str">
        <f t="shared" si="446"/>
        <v/>
      </c>
      <c r="K2982" s="10" t="str">
        <f t="shared" si="447"/>
        <v/>
      </c>
      <c r="L2982" s="11" t="str">
        <f t="shared" si="449"/>
        <v/>
      </c>
      <c r="M2982" s="9" t="str">
        <f>IF(G2982&lt;&gt;"",J2982/MAX(J$3:J2982)-1,"")</f>
        <v/>
      </c>
      <c r="N2982" s="9" t="str">
        <f>IF(G2982&lt;&gt;"",K2982/MAX(K$3:K2982)-1,"")</f>
        <v/>
      </c>
      <c r="O2982" s="16" t="str">
        <f t="shared" si="445"/>
        <v/>
      </c>
      <c r="P2982" s="16" t="str">
        <f t="shared" si="445"/>
        <v/>
      </c>
      <c r="Q2982" s="16" t="str">
        <f t="shared" si="445"/>
        <v/>
      </c>
      <c r="R2982" s="5" t="str">
        <f t="shared" si="444"/>
        <v/>
      </c>
      <c r="S2982" s="5" t="str">
        <f t="shared" si="448"/>
        <v/>
      </c>
      <c r="T2982" s="5" t="str">
        <f t="shared" si="451"/>
        <v/>
      </c>
      <c r="U2982" s="5" t="str">
        <f t="shared" si="451"/>
        <v/>
      </c>
    </row>
    <row r="2983" spans="7:21" x14ac:dyDescent="0.2">
      <c r="G2983" s="8"/>
      <c r="H2983" s="5"/>
      <c r="J2983" s="10" t="str">
        <f t="shared" si="446"/>
        <v/>
      </c>
      <c r="K2983" s="10" t="str">
        <f t="shared" si="447"/>
        <v/>
      </c>
      <c r="L2983" s="11" t="str">
        <f t="shared" si="449"/>
        <v/>
      </c>
      <c r="M2983" s="9" t="str">
        <f>IF(G2983&lt;&gt;"",J2983/MAX(J$3:J2983)-1,"")</f>
        <v/>
      </c>
      <c r="N2983" s="9" t="str">
        <f>IF(G2983&lt;&gt;"",K2983/MAX(K$3:K2983)-1,"")</f>
        <v/>
      </c>
      <c r="O2983" s="16" t="str">
        <f t="shared" si="445"/>
        <v/>
      </c>
      <c r="P2983" s="16" t="str">
        <f t="shared" si="445"/>
        <v/>
      </c>
      <c r="Q2983" s="16" t="str">
        <f t="shared" si="445"/>
        <v/>
      </c>
      <c r="R2983" s="5" t="str">
        <f t="shared" si="444"/>
        <v/>
      </c>
      <c r="S2983" s="5" t="str">
        <f t="shared" si="448"/>
        <v/>
      </c>
      <c r="T2983" s="5" t="str">
        <f t="shared" si="451"/>
        <v/>
      </c>
      <c r="U2983" s="5" t="str">
        <f t="shared" si="451"/>
        <v/>
      </c>
    </row>
    <row r="2984" spans="7:21" x14ac:dyDescent="0.2">
      <c r="G2984" s="8"/>
      <c r="H2984" s="5"/>
      <c r="J2984" s="10" t="str">
        <f t="shared" si="446"/>
        <v/>
      </c>
      <c r="K2984" s="10" t="str">
        <f t="shared" si="447"/>
        <v/>
      </c>
      <c r="L2984" s="11" t="str">
        <f t="shared" si="449"/>
        <v/>
      </c>
      <c r="M2984" s="9" t="str">
        <f>IF(G2984&lt;&gt;"",J2984/MAX(J$3:J2984)-1,"")</f>
        <v/>
      </c>
      <c r="N2984" s="9" t="str">
        <f>IF(G2984&lt;&gt;"",K2984/MAX(K$3:K2984)-1,"")</f>
        <v/>
      </c>
      <c r="O2984" s="16" t="str">
        <f t="shared" si="445"/>
        <v/>
      </c>
      <c r="P2984" s="16" t="str">
        <f t="shared" si="445"/>
        <v/>
      </c>
      <c r="Q2984" s="16" t="str">
        <f t="shared" si="445"/>
        <v/>
      </c>
      <c r="R2984" s="5" t="str">
        <f t="shared" si="444"/>
        <v/>
      </c>
      <c r="S2984" s="5" t="str">
        <f t="shared" si="448"/>
        <v/>
      </c>
      <c r="T2984" s="5" t="str">
        <f t="shared" ref="T2984:U2999" si="452">IF($G2984&lt;&gt;"",_xlfn.STDEV.S(O2740:O2984),"")</f>
        <v/>
      </c>
      <c r="U2984" s="5" t="str">
        <f t="shared" si="452"/>
        <v/>
      </c>
    </row>
    <row r="2985" spans="7:21" x14ac:dyDescent="0.2">
      <c r="G2985" s="8"/>
      <c r="H2985" s="5"/>
      <c r="J2985" s="10" t="str">
        <f t="shared" si="446"/>
        <v/>
      </c>
      <c r="K2985" s="10" t="str">
        <f t="shared" si="447"/>
        <v/>
      </c>
      <c r="L2985" s="11" t="str">
        <f t="shared" si="449"/>
        <v/>
      </c>
      <c r="M2985" s="9" t="str">
        <f>IF(G2985&lt;&gt;"",J2985/MAX(J$3:J2985)-1,"")</f>
        <v/>
      </c>
      <c r="N2985" s="9" t="str">
        <f>IF(G2985&lt;&gt;"",K2985/MAX(K$3:K2985)-1,"")</f>
        <v/>
      </c>
      <c r="O2985" s="16" t="str">
        <f t="shared" si="445"/>
        <v/>
      </c>
      <c r="P2985" s="16" t="str">
        <f t="shared" si="445"/>
        <v/>
      </c>
      <c r="Q2985" s="16" t="str">
        <f t="shared" si="445"/>
        <v/>
      </c>
      <c r="R2985" s="5" t="str">
        <f t="shared" si="444"/>
        <v/>
      </c>
      <c r="S2985" s="5" t="str">
        <f t="shared" si="448"/>
        <v/>
      </c>
      <c r="T2985" s="5" t="str">
        <f t="shared" si="452"/>
        <v/>
      </c>
      <c r="U2985" s="5" t="str">
        <f t="shared" si="452"/>
        <v/>
      </c>
    </row>
    <row r="2986" spans="7:21" x14ac:dyDescent="0.2">
      <c r="G2986" s="8"/>
      <c r="H2986" s="5"/>
      <c r="J2986" s="10" t="str">
        <f t="shared" si="446"/>
        <v/>
      </c>
      <c r="K2986" s="10" t="str">
        <f t="shared" si="447"/>
        <v/>
      </c>
      <c r="L2986" s="11" t="str">
        <f t="shared" si="449"/>
        <v/>
      </c>
      <c r="M2986" s="9" t="str">
        <f>IF(G2986&lt;&gt;"",J2986/MAX(J$3:J2986)-1,"")</f>
        <v/>
      </c>
      <c r="N2986" s="9" t="str">
        <f>IF(G2986&lt;&gt;"",K2986/MAX(K$3:K2986)-1,"")</f>
        <v/>
      </c>
      <c r="O2986" s="16" t="str">
        <f t="shared" si="445"/>
        <v/>
      </c>
      <c r="P2986" s="16" t="str">
        <f t="shared" si="445"/>
        <v/>
      </c>
      <c r="Q2986" s="16" t="str">
        <f t="shared" si="445"/>
        <v/>
      </c>
      <c r="R2986" s="5" t="str">
        <f t="shared" si="444"/>
        <v/>
      </c>
      <c r="S2986" s="5" t="str">
        <f t="shared" si="448"/>
        <v/>
      </c>
      <c r="T2986" s="5" t="str">
        <f t="shared" si="452"/>
        <v/>
      </c>
      <c r="U2986" s="5" t="str">
        <f t="shared" si="452"/>
        <v/>
      </c>
    </row>
    <row r="2987" spans="7:21" x14ac:dyDescent="0.2">
      <c r="G2987" s="8"/>
      <c r="H2987" s="5"/>
      <c r="J2987" s="10" t="str">
        <f t="shared" si="446"/>
        <v/>
      </c>
      <c r="K2987" s="10" t="str">
        <f t="shared" si="447"/>
        <v/>
      </c>
      <c r="L2987" s="11" t="str">
        <f t="shared" si="449"/>
        <v/>
      </c>
      <c r="M2987" s="9" t="str">
        <f>IF(G2987&lt;&gt;"",J2987/MAX(J$3:J2987)-1,"")</f>
        <v/>
      </c>
      <c r="N2987" s="9" t="str">
        <f>IF(G2987&lt;&gt;"",K2987/MAX(K$3:K2987)-1,"")</f>
        <v/>
      </c>
      <c r="O2987" s="16" t="str">
        <f t="shared" si="445"/>
        <v/>
      </c>
      <c r="P2987" s="16" t="str">
        <f t="shared" si="445"/>
        <v/>
      </c>
      <c r="Q2987" s="16" t="str">
        <f t="shared" si="445"/>
        <v/>
      </c>
      <c r="R2987" s="5" t="str">
        <f t="shared" si="444"/>
        <v/>
      </c>
      <c r="S2987" s="5" t="str">
        <f t="shared" si="448"/>
        <v/>
      </c>
      <c r="T2987" s="5" t="str">
        <f t="shared" si="452"/>
        <v/>
      </c>
      <c r="U2987" s="5" t="str">
        <f t="shared" si="452"/>
        <v/>
      </c>
    </row>
    <row r="2988" spans="7:21" x14ac:dyDescent="0.2">
      <c r="G2988" s="8"/>
      <c r="H2988" s="5"/>
      <c r="J2988" s="10" t="str">
        <f t="shared" si="446"/>
        <v/>
      </c>
      <c r="K2988" s="10" t="str">
        <f t="shared" si="447"/>
        <v/>
      </c>
      <c r="L2988" s="11" t="str">
        <f t="shared" si="449"/>
        <v/>
      </c>
      <c r="M2988" s="9" t="str">
        <f>IF(G2988&lt;&gt;"",J2988/MAX(J$3:J2988)-1,"")</f>
        <v/>
      </c>
      <c r="N2988" s="9" t="str">
        <f>IF(G2988&lt;&gt;"",K2988/MAX(K$3:K2988)-1,"")</f>
        <v/>
      </c>
      <c r="O2988" s="16" t="str">
        <f t="shared" si="445"/>
        <v/>
      </c>
      <c r="P2988" s="16" t="str">
        <f t="shared" si="445"/>
        <v/>
      </c>
      <c r="Q2988" s="16" t="str">
        <f t="shared" si="445"/>
        <v/>
      </c>
      <c r="R2988" s="5" t="str">
        <f t="shared" si="444"/>
        <v/>
      </c>
      <c r="S2988" s="5" t="str">
        <f t="shared" si="448"/>
        <v/>
      </c>
      <c r="T2988" s="5" t="str">
        <f t="shared" si="452"/>
        <v/>
      </c>
      <c r="U2988" s="5" t="str">
        <f t="shared" si="452"/>
        <v/>
      </c>
    </row>
    <row r="2989" spans="7:21" x14ac:dyDescent="0.2">
      <c r="G2989" s="8"/>
      <c r="H2989" s="5"/>
      <c r="J2989" s="10" t="str">
        <f t="shared" si="446"/>
        <v/>
      </c>
      <c r="K2989" s="10" t="str">
        <f t="shared" si="447"/>
        <v/>
      </c>
      <c r="L2989" s="11" t="str">
        <f t="shared" si="449"/>
        <v/>
      </c>
      <c r="M2989" s="9" t="str">
        <f>IF(G2989&lt;&gt;"",J2989/MAX(J$3:J2989)-1,"")</f>
        <v/>
      </c>
      <c r="N2989" s="9" t="str">
        <f>IF(G2989&lt;&gt;"",K2989/MAX(K$3:K2989)-1,"")</f>
        <v/>
      </c>
      <c r="O2989" s="16" t="str">
        <f t="shared" si="445"/>
        <v/>
      </c>
      <c r="P2989" s="16" t="str">
        <f t="shared" si="445"/>
        <v/>
      </c>
      <c r="Q2989" s="16" t="str">
        <f t="shared" si="445"/>
        <v/>
      </c>
      <c r="R2989" s="5" t="str">
        <f t="shared" si="444"/>
        <v/>
      </c>
      <c r="S2989" s="5" t="str">
        <f t="shared" si="448"/>
        <v/>
      </c>
      <c r="T2989" s="5" t="str">
        <f t="shared" si="452"/>
        <v/>
      </c>
      <c r="U2989" s="5" t="str">
        <f t="shared" si="452"/>
        <v/>
      </c>
    </row>
    <row r="2990" spans="7:21" x14ac:dyDescent="0.2">
      <c r="G2990" s="8"/>
      <c r="H2990" s="5"/>
      <c r="J2990" s="10" t="str">
        <f t="shared" si="446"/>
        <v/>
      </c>
      <c r="K2990" s="10" t="str">
        <f t="shared" si="447"/>
        <v/>
      </c>
      <c r="L2990" s="11" t="str">
        <f t="shared" si="449"/>
        <v/>
      </c>
      <c r="M2990" s="9" t="str">
        <f>IF(G2990&lt;&gt;"",J2990/MAX(J$3:J2990)-1,"")</f>
        <v/>
      </c>
      <c r="N2990" s="9" t="str">
        <f>IF(G2990&lt;&gt;"",K2990/MAX(K$3:K2990)-1,"")</f>
        <v/>
      </c>
      <c r="O2990" s="16" t="str">
        <f t="shared" si="445"/>
        <v/>
      </c>
      <c r="P2990" s="16" t="str">
        <f t="shared" si="445"/>
        <v/>
      </c>
      <c r="Q2990" s="16" t="str">
        <f t="shared" si="445"/>
        <v/>
      </c>
      <c r="R2990" s="5" t="str">
        <f t="shared" si="444"/>
        <v/>
      </c>
      <c r="S2990" s="5" t="str">
        <f t="shared" si="448"/>
        <v/>
      </c>
      <c r="T2990" s="5" t="str">
        <f t="shared" si="452"/>
        <v/>
      </c>
      <c r="U2990" s="5" t="str">
        <f t="shared" si="452"/>
        <v/>
      </c>
    </row>
    <row r="2991" spans="7:21" x14ac:dyDescent="0.2">
      <c r="G2991" s="8"/>
      <c r="H2991" s="5"/>
      <c r="J2991" s="10" t="str">
        <f t="shared" si="446"/>
        <v/>
      </c>
      <c r="K2991" s="10" t="str">
        <f t="shared" si="447"/>
        <v/>
      </c>
      <c r="L2991" s="11" t="str">
        <f t="shared" si="449"/>
        <v/>
      </c>
      <c r="M2991" s="9" t="str">
        <f>IF(G2991&lt;&gt;"",J2991/MAX(J$3:J2991)-1,"")</f>
        <v/>
      </c>
      <c r="N2991" s="9" t="str">
        <f>IF(G2991&lt;&gt;"",K2991/MAX(K$3:K2991)-1,"")</f>
        <v/>
      </c>
      <c r="O2991" s="16" t="str">
        <f t="shared" si="445"/>
        <v/>
      </c>
      <c r="P2991" s="16" t="str">
        <f t="shared" si="445"/>
        <v/>
      </c>
      <c r="Q2991" s="16" t="str">
        <f t="shared" si="445"/>
        <v/>
      </c>
      <c r="R2991" s="5" t="str">
        <f t="shared" si="444"/>
        <v/>
      </c>
      <c r="S2991" s="5" t="str">
        <f t="shared" si="448"/>
        <v/>
      </c>
      <c r="T2991" s="5" t="str">
        <f t="shared" si="452"/>
        <v/>
      </c>
      <c r="U2991" s="5" t="str">
        <f t="shared" si="452"/>
        <v/>
      </c>
    </row>
    <row r="2992" spans="7:21" x14ac:dyDescent="0.2">
      <c r="G2992" s="8"/>
      <c r="H2992" s="5"/>
      <c r="J2992" s="10" t="str">
        <f t="shared" si="446"/>
        <v/>
      </c>
      <c r="K2992" s="10" t="str">
        <f t="shared" si="447"/>
        <v/>
      </c>
      <c r="L2992" s="11" t="str">
        <f t="shared" si="449"/>
        <v/>
      </c>
      <c r="M2992" s="9" t="str">
        <f>IF(G2992&lt;&gt;"",J2992/MAX(J$3:J2992)-1,"")</f>
        <v/>
      </c>
      <c r="N2992" s="9" t="str">
        <f>IF(G2992&lt;&gt;"",K2992/MAX(K$3:K2992)-1,"")</f>
        <v/>
      </c>
      <c r="O2992" s="16" t="str">
        <f t="shared" si="445"/>
        <v/>
      </c>
      <c r="P2992" s="16" t="str">
        <f t="shared" si="445"/>
        <v/>
      </c>
      <c r="Q2992" s="16" t="str">
        <f t="shared" si="445"/>
        <v/>
      </c>
      <c r="R2992" s="5" t="str">
        <f t="shared" si="444"/>
        <v/>
      </c>
      <c r="S2992" s="5" t="str">
        <f t="shared" si="448"/>
        <v/>
      </c>
      <c r="T2992" s="5" t="str">
        <f t="shared" si="452"/>
        <v/>
      </c>
      <c r="U2992" s="5" t="str">
        <f t="shared" si="452"/>
        <v/>
      </c>
    </row>
    <row r="2993" spans="7:21" x14ac:dyDescent="0.2">
      <c r="G2993" s="8"/>
      <c r="H2993" s="5"/>
      <c r="J2993" s="10" t="str">
        <f t="shared" si="446"/>
        <v/>
      </c>
      <c r="K2993" s="10" t="str">
        <f t="shared" si="447"/>
        <v/>
      </c>
      <c r="L2993" s="11" t="str">
        <f t="shared" si="449"/>
        <v/>
      </c>
      <c r="M2993" s="9" t="str">
        <f>IF(G2993&lt;&gt;"",J2993/MAX(J$3:J2993)-1,"")</f>
        <v/>
      </c>
      <c r="N2993" s="9" t="str">
        <f>IF(G2993&lt;&gt;"",K2993/MAX(K$3:K2993)-1,"")</f>
        <v/>
      </c>
      <c r="O2993" s="16" t="str">
        <f t="shared" si="445"/>
        <v/>
      </c>
      <c r="P2993" s="16" t="str">
        <f t="shared" si="445"/>
        <v/>
      </c>
      <c r="Q2993" s="16" t="str">
        <f t="shared" si="445"/>
        <v/>
      </c>
      <c r="R2993" s="5" t="str">
        <f t="shared" si="444"/>
        <v/>
      </c>
      <c r="S2993" s="5" t="str">
        <f t="shared" si="448"/>
        <v/>
      </c>
      <c r="T2993" s="5" t="str">
        <f t="shared" si="452"/>
        <v/>
      </c>
      <c r="U2993" s="5" t="str">
        <f t="shared" si="452"/>
        <v/>
      </c>
    </row>
    <row r="2994" spans="7:21" x14ac:dyDescent="0.2">
      <c r="G2994" s="8"/>
      <c r="H2994" s="5"/>
      <c r="J2994" s="10" t="str">
        <f t="shared" si="446"/>
        <v/>
      </c>
      <c r="K2994" s="10" t="str">
        <f t="shared" si="447"/>
        <v/>
      </c>
      <c r="L2994" s="11" t="str">
        <f t="shared" si="449"/>
        <v/>
      </c>
      <c r="M2994" s="9" t="str">
        <f>IF(G2994&lt;&gt;"",J2994/MAX(J$3:J2994)-1,"")</f>
        <v/>
      </c>
      <c r="N2994" s="9" t="str">
        <f>IF(G2994&lt;&gt;"",K2994/MAX(K$3:K2994)-1,"")</f>
        <v/>
      </c>
      <c r="O2994" s="16" t="str">
        <f t="shared" si="445"/>
        <v/>
      </c>
      <c r="P2994" s="16" t="str">
        <f t="shared" si="445"/>
        <v/>
      </c>
      <c r="Q2994" s="16" t="str">
        <f t="shared" si="445"/>
        <v/>
      </c>
      <c r="R2994" s="5" t="str">
        <f t="shared" si="444"/>
        <v/>
      </c>
      <c r="S2994" s="5" t="str">
        <f t="shared" si="448"/>
        <v/>
      </c>
      <c r="T2994" s="5" t="str">
        <f t="shared" si="452"/>
        <v/>
      </c>
      <c r="U2994" s="5" t="str">
        <f t="shared" si="452"/>
        <v/>
      </c>
    </row>
    <row r="2995" spans="7:21" x14ac:dyDescent="0.2">
      <c r="G2995" s="8"/>
      <c r="H2995" s="5"/>
      <c r="J2995" s="10" t="str">
        <f t="shared" si="446"/>
        <v/>
      </c>
      <c r="K2995" s="10" t="str">
        <f t="shared" si="447"/>
        <v/>
      </c>
      <c r="L2995" s="11" t="str">
        <f t="shared" si="449"/>
        <v/>
      </c>
      <c r="M2995" s="9" t="str">
        <f>IF(G2995&lt;&gt;"",J2995/MAX(J$3:J2995)-1,"")</f>
        <v/>
      </c>
      <c r="N2995" s="9" t="str">
        <f>IF(G2995&lt;&gt;"",K2995/MAX(K$3:K2995)-1,"")</f>
        <v/>
      </c>
      <c r="O2995" s="16" t="str">
        <f t="shared" si="445"/>
        <v/>
      </c>
      <c r="P2995" s="16" t="str">
        <f t="shared" si="445"/>
        <v/>
      </c>
      <c r="Q2995" s="16" t="str">
        <f t="shared" si="445"/>
        <v/>
      </c>
      <c r="R2995" s="5" t="str">
        <f t="shared" si="444"/>
        <v/>
      </c>
      <c r="S2995" s="5" t="str">
        <f t="shared" si="448"/>
        <v/>
      </c>
      <c r="T2995" s="5" t="str">
        <f t="shared" si="452"/>
        <v/>
      </c>
      <c r="U2995" s="5" t="str">
        <f t="shared" si="452"/>
        <v/>
      </c>
    </row>
    <row r="2996" spans="7:21" x14ac:dyDescent="0.2">
      <c r="G2996" s="8"/>
      <c r="H2996" s="5"/>
      <c r="J2996" s="10" t="str">
        <f t="shared" si="446"/>
        <v/>
      </c>
      <c r="K2996" s="10" t="str">
        <f t="shared" si="447"/>
        <v/>
      </c>
      <c r="L2996" s="11" t="str">
        <f t="shared" si="449"/>
        <v/>
      </c>
      <c r="M2996" s="9" t="str">
        <f>IF(G2996&lt;&gt;"",J2996/MAX(J$3:J2996)-1,"")</f>
        <v/>
      </c>
      <c r="N2996" s="9" t="str">
        <f>IF(G2996&lt;&gt;"",K2996/MAX(K$3:K2996)-1,"")</f>
        <v/>
      </c>
      <c r="O2996" s="16" t="str">
        <f t="shared" si="445"/>
        <v/>
      </c>
      <c r="P2996" s="16" t="str">
        <f t="shared" si="445"/>
        <v/>
      </c>
      <c r="Q2996" s="16" t="str">
        <f t="shared" si="445"/>
        <v/>
      </c>
      <c r="R2996" s="5" t="str">
        <f t="shared" si="444"/>
        <v/>
      </c>
      <c r="S2996" s="5" t="str">
        <f t="shared" si="448"/>
        <v/>
      </c>
      <c r="T2996" s="5" t="str">
        <f t="shared" si="452"/>
        <v/>
      </c>
      <c r="U2996" s="5" t="str">
        <f t="shared" si="452"/>
        <v/>
      </c>
    </row>
    <row r="2997" spans="7:21" x14ac:dyDescent="0.2">
      <c r="G2997" s="8"/>
      <c r="H2997" s="5"/>
      <c r="J2997" s="10" t="str">
        <f t="shared" si="446"/>
        <v/>
      </c>
      <c r="K2997" s="10" t="str">
        <f t="shared" si="447"/>
        <v/>
      </c>
      <c r="L2997" s="11" t="str">
        <f t="shared" si="449"/>
        <v/>
      </c>
      <c r="M2997" s="9" t="str">
        <f>IF(G2997&lt;&gt;"",J2997/MAX(J$3:J2997)-1,"")</f>
        <v/>
      </c>
      <c r="N2997" s="9" t="str">
        <f>IF(G2997&lt;&gt;"",K2997/MAX(K$3:K2997)-1,"")</f>
        <v/>
      </c>
      <c r="O2997" s="16" t="str">
        <f t="shared" si="445"/>
        <v/>
      </c>
      <c r="P2997" s="16" t="str">
        <f t="shared" si="445"/>
        <v/>
      </c>
      <c r="Q2997" s="16" t="str">
        <f t="shared" si="445"/>
        <v/>
      </c>
      <c r="R2997" s="5" t="str">
        <f t="shared" si="444"/>
        <v/>
      </c>
      <c r="S2997" s="5" t="str">
        <f t="shared" si="448"/>
        <v/>
      </c>
      <c r="T2997" s="5" t="str">
        <f t="shared" si="452"/>
        <v/>
      </c>
      <c r="U2997" s="5" t="str">
        <f t="shared" si="452"/>
        <v/>
      </c>
    </row>
    <row r="2998" spans="7:21" x14ac:dyDescent="0.2">
      <c r="G2998" s="8"/>
      <c r="H2998" s="5"/>
      <c r="J2998" s="10" t="str">
        <f t="shared" si="446"/>
        <v/>
      </c>
      <c r="K2998" s="10" t="str">
        <f t="shared" si="447"/>
        <v/>
      </c>
      <c r="L2998" s="11" t="str">
        <f t="shared" si="449"/>
        <v/>
      </c>
      <c r="M2998" s="9" t="str">
        <f>IF(G2998&lt;&gt;"",J2998/MAX(J$3:J2998)-1,"")</f>
        <v/>
      </c>
      <c r="N2998" s="9" t="str">
        <f>IF(G2998&lt;&gt;"",K2998/MAX(K$3:K2998)-1,"")</f>
        <v/>
      </c>
      <c r="O2998" s="16" t="str">
        <f t="shared" si="445"/>
        <v/>
      </c>
      <c r="P2998" s="16" t="str">
        <f t="shared" si="445"/>
        <v/>
      </c>
      <c r="Q2998" s="16" t="str">
        <f t="shared" si="445"/>
        <v/>
      </c>
      <c r="R2998" s="5" t="str">
        <f t="shared" si="444"/>
        <v/>
      </c>
      <c r="S2998" s="5" t="str">
        <f t="shared" si="448"/>
        <v/>
      </c>
      <c r="T2998" s="5" t="str">
        <f t="shared" si="452"/>
        <v/>
      </c>
      <c r="U2998" s="5" t="str">
        <f t="shared" si="452"/>
        <v/>
      </c>
    </row>
    <row r="2999" spans="7:21" x14ac:dyDescent="0.2">
      <c r="G2999" s="8"/>
      <c r="H2999" s="5"/>
      <c r="J2999" s="10" t="str">
        <f t="shared" si="446"/>
        <v/>
      </c>
      <c r="K2999" s="10" t="str">
        <f t="shared" si="447"/>
        <v/>
      </c>
      <c r="L2999" s="11" t="str">
        <f t="shared" si="449"/>
        <v/>
      </c>
      <c r="M2999" s="9" t="str">
        <f>IF(G2999&lt;&gt;"",J2999/MAX(J$3:J2999)-1,"")</f>
        <v/>
      </c>
      <c r="N2999" s="9" t="str">
        <f>IF(G2999&lt;&gt;"",K2999/MAX(K$3:K2999)-1,"")</f>
        <v/>
      </c>
      <c r="O2999" s="16" t="str">
        <f t="shared" si="445"/>
        <v/>
      </c>
      <c r="P2999" s="16" t="str">
        <f t="shared" si="445"/>
        <v/>
      </c>
      <c r="Q2999" s="16" t="str">
        <f t="shared" si="445"/>
        <v/>
      </c>
      <c r="R2999" s="5" t="str">
        <f t="shared" si="444"/>
        <v/>
      </c>
      <c r="S2999" s="5" t="str">
        <f t="shared" si="448"/>
        <v/>
      </c>
      <c r="T2999" s="5" t="str">
        <f t="shared" si="452"/>
        <v/>
      </c>
      <c r="U2999" s="5" t="str">
        <f t="shared" si="452"/>
        <v/>
      </c>
    </row>
    <row r="3000" spans="7:21" x14ac:dyDescent="0.2">
      <c r="G3000" s="8"/>
      <c r="H3000" s="5"/>
      <c r="J3000" s="10" t="str">
        <f t="shared" si="446"/>
        <v/>
      </c>
      <c r="K3000" s="10" t="str">
        <f t="shared" si="447"/>
        <v/>
      </c>
      <c r="L3000" s="11" t="str">
        <f t="shared" si="449"/>
        <v/>
      </c>
      <c r="M3000" s="9" t="str">
        <f>IF(G3000&lt;&gt;"",J3000/MAX(J$3:J3000)-1,"")</f>
        <v/>
      </c>
      <c r="N3000" s="9" t="str">
        <f>IF(G3000&lt;&gt;"",K3000/MAX(K$3:K3000)-1,"")</f>
        <v/>
      </c>
      <c r="O3000" s="16" t="str">
        <f t="shared" si="445"/>
        <v/>
      </c>
      <c r="P3000" s="16" t="str">
        <f t="shared" si="445"/>
        <v/>
      </c>
      <c r="Q3000" s="16" t="str">
        <f t="shared" si="445"/>
        <v/>
      </c>
      <c r="R3000" s="5" t="str">
        <f t="shared" si="444"/>
        <v/>
      </c>
      <c r="S3000" s="5" t="str">
        <f t="shared" si="448"/>
        <v/>
      </c>
      <c r="T3000" s="5" t="str">
        <f t="shared" ref="T3000:U3015" si="453">IF($G3000&lt;&gt;"",_xlfn.STDEV.S(O2756:O3000),"")</f>
        <v/>
      </c>
      <c r="U3000" s="5" t="str">
        <f t="shared" si="453"/>
        <v/>
      </c>
    </row>
    <row r="3001" spans="7:21" x14ac:dyDescent="0.2">
      <c r="G3001" s="8"/>
      <c r="H3001" s="5"/>
      <c r="J3001" s="10" t="str">
        <f t="shared" si="446"/>
        <v/>
      </c>
      <c r="K3001" s="10" t="str">
        <f t="shared" si="447"/>
        <v/>
      </c>
      <c r="L3001" s="11" t="str">
        <f t="shared" si="449"/>
        <v/>
      </c>
      <c r="M3001" s="9" t="str">
        <f>IF(G3001&lt;&gt;"",J3001/MAX(J$3:J3001)-1,"")</f>
        <v/>
      </c>
      <c r="N3001" s="9" t="str">
        <f>IF(G3001&lt;&gt;"",K3001/MAX(K$3:K3001)-1,"")</f>
        <v/>
      </c>
      <c r="O3001" s="16" t="str">
        <f t="shared" si="445"/>
        <v/>
      </c>
      <c r="P3001" s="16" t="str">
        <f t="shared" si="445"/>
        <v/>
      </c>
      <c r="Q3001" s="16" t="str">
        <f t="shared" si="445"/>
        <v/>
      </c>
      <c r="R3001" s="5" t="str">
        <f t="shared" si="444"/>
        <v/>
      </c>
      <c r="S3001" s="5" t="str">
        <f t="shared" si="448"/>
        <v/>
      </c>
      <c r="T3001" s="5" t="str">
        <f t="shared" si="453"/>
        <v/>
      </c>
      <c r="U3001" s="5" t="str">
        <f t="shared" si="453"/>
        <v/>
      </c>
    </row>
    <row r="3002" spans="7:21" x14ac:dyDescent="0.2">
      <c r="G3002" s="8"/>
      <c r="H3002" s="5"/>
      <c r="J3002" s="10" t="str">
        <f t="shared" si="446"/>
        <v/>
      </c>
      <c r="K3002" s="10" t="str">
        <f t="shared" si="447"/>
        <v/>
      </c>
      <c r="L3002" s="11" t="str">
        <f t="shared" si="449"/>
        <v/>
      </c>
      <c r="M3002" s="9" t="str">
        <f>IF(G3002&lt;&gt;"",J3002/MAX(J$3:J3002)-1,"")</f>
        <v/>
      </c>
      <c r="N3002" s="9" t="str">
        <f>IF(G3002&lt;&gt;"",K3002/MAX(K$3:K3002)-1,"")</f>
        <v/>
      </c>
      <c r="O3002" s="16" t="str">
        <f t="shared" si="445"/>
        <v/>
      </c>
      <c r="P3002" s="16" t="str">
        <f t="shared" si="445"/>
        <v/>
      </c>
      <c r="Q3002" s="16" t="str">
        <f t="shared" si="445"/>
        <v/>
      </c>
      <c r="R3002" s="5" t="str">
        <f t="shared" si="444"/>
        <v/>
      </c>
      <c r="S3002" s="5" t="str">
        <f t="shared" si="448"/>
        <v/>
      </c>
      <c r="T3002" s="5" t="str">
        <f t="shared" si="453"/>
        <v/>
      </c>
      <c r="U3002" s="5" t="str">
        <f t="shared" si="453"/>
        <v/>
      </c>
    </row>
    <row r="3003" spans="7:21" x14ac:dyDescent="0.2">
      <c r="G3003" s="8"/>
      <c r="H3003" s="5"/>
      <c r="J3003" s="10" t="str">
        <f t="shared" si="446"/>
        <v/>
      </c>
      <c r="K3003" s="10" t="str">
        <f t="shared" si="447"/>
        <v/>
      </c>
      <c r="L3003" s="11" t="str">
        <f t="shared" si="449"/>
        <v/>
      </c>
      <c r="M3003" s="9" t="str">
        <f>IF(G3003&lt;&gt;"",J3003/MAX(J$3:J3003)-1,"")</f>
        <v/>
      </c>
      <c r="N3003" s="9" t="str">
        <f>IF(G3003&lt;&gt;"",K3003/MAX(K$3:K3003)-1,"")</f>
        <v/>
      </c>
      <c r="O3003" s="16" t="str">
        <f t="shared" si="445"/>
        <v/>
      </c>
      <c r="P3003" s="16" t="str">
        <f t="shared" si="445"/>
        <v/>
      </c>
      <c r="Q3003" s="16" t="str">
        <f t="shared" si="445"/>
        <v/>
      </c>
      <c r="R3003" s="5" t="str">
        <f t="shared" si="444"/>
        <v/>
      </c>
      <c r="S3003" s="5" t="str">
        <f t="shared" si="448"/>
        <v/>
      </c>
      <c r="T3003" s="5" t="str">
        <f t="shared" si="453"/>
        <v/>
      </c>
      <c r="U3003" s="5" t="str">
        <f t="shared" si="453"/>
        <v/>
      </c>
    </row>
    <row r="3004" spans="7:21" x14ac:dyDescent="0.2">
      <c r="G3004" s="8"/>
      <c r="H3004" s="5"/>
      <c r="J3004" s="10" t="str">
        <f t="shared" si="446"/>
        <v/>
      </c>
      <c r="K3004" s="10" t="str">
        <f t="shared" si="447"/>
        <v/>
      </c>
      <c r="L3004" s="11" t="str">
        <f t="shared" si="449"/>
        <v/>
      </c>
      <c r="M3004" s="9" t="str">
        <f>IF(G3004&lt;&gt;"",J3004/MAX(J$3:J3004)-1,"")</f>
        <v/>
      </c>
      <c r="N3004" s="9" t="str">
        <f>IF(G3004&lt;&gt;"",K3004/MAX(K$3:K3004)-1,"")</f>
        <v/>
      </c>
      <c r="O3004" s="16" t="str">
        <f t="shared" si="445"/>
        <v/>
      </c>
      <c r="P3004" s="16" t="str">
        <f t="shared" si="445"/>
        <v/>
      </c>
      <c r="Q3004" s="16" t="str">
        <f t="shared" si="445"/>
        <v/>
      </c>
      <c r="R3004" s="5" t="str">
        <f t="shared" si="444"/>
        <v/>
      </c>
      <c r="S3004" s="5" t="str">
        <f t="shared" si="448"/>
        <v/>
      </c>
      <c r="T3004" s="5" t="str">
        <f t="shared" si="453"/>
        <v/>
      </c>
      <c r="U3004" s="5" t="str">
        <f t="shared" si="453"/>
        <v/>
      </c>
    </row>
    <row r="3005" spans="7:21" x14ac:dyDescent="0.2">
      <c r="G3005" s="8"/>
      <c r="H3005" s="5"/>
      <c r="J3005" s="10" t="str">
        <f t="shared" si="446"/>
        <v/>
      </c>
      <c r="K3005" s="10" t="str">
        <f t="shared" si="447"/>
        <v/>
      </c>
      <c r="L3005" s="11" t="str">
        <f t="shared" si="449"/>
        <v/>
      </c>
      <c r="M3005" s="9" t="str">
        <f>IF(G3005&lt;&gt;"",J3005/MAX(J$3:J3005)-1,"")</f>
        <v/>
      </c>
      <c r="N3005" s="9" t="str">
        <f>IF(G3005&lt;&gt;"",K3005/MAX(K$3:K3005)-1,"")</f>
        <v/>
      </c>
      <c r="O3005" s="16" t="str">
        <f t="shared" si="445"/>
        <v/>
      </c>
      <c r="P3005" s="16" t="str">
        <f t="shared" si="445"/>
        <v/>
      </c>
      <c r="Q3005" s="16" t="str">
        <f t="shared" si="445"/>
        <v/>
      </c>
      <c r="R3005" s="5" t="str">
        <f t="shared" ref="R3005:R3068" si="454">IF(G3005&lt;&gt;"",_xlfn.STDEV.S(Q2884:Q3005)*SQRT($B$5),"")</f>
        <v/>
      </c>
      <c r="S3005" s="5" t="str">
        <f t="shared" si="448"/>
        <v/>
      </c>
      <c r="T3005" s="5" t="str">
        <f t="shared" si="453"/>
        <v/>
      </c>
      <c r="U3005" s="5" t="str">
        <f t="shared" si="453"/>
        <v/>
      </c>
    </row>
    <row r="3006" spans="7:21" x14ac:dyDescent="0.2">
      <c r="G3006" s="8"/>
      <c r="H3006" s="5"/>
      <c r="J3006" s="10" t="str">
        <f t="shared" si="446"/>
        <v/>
      </c>
      <c r="K3006" s="10" t="str">
        <f t="shared" si="447"/>
        <v/>
      </c>
      <c r="L3006" s="11" t="str">
        <f t="shared" si="449"/>
        <v/>
      </c>
      <c r="M3006" s="9" t="str">
        <f>IF(G3006&lt;&gt;"",J3006/MAX(J$3:J3006)-1,"")</f>
        <v/>
      </c>
      <c r="N3006" s="9" t="str">
        <f>IF(G3006&lt;&gt;"",K3006/MAX(K$3:K3006)-1,"")</f>
        <v/>
      </c>
      <c r="O3006" s="16" t="str">
        <f t="shared" si="445"/>
        <v/>
      </c>
      <c r="P3006" s="16" t="str">
        <f t="shared" si="445"/>
        <v/>
      </c>
      <c r="Q3006" s="16" t="str">
        <f t="shared" si="445"/>
        <v/>
      </c>
      <c r="R3006" s="5" t="str">
        <f t="shared" si="454"/>
        <v/>
      </c>
      <c r="S3006" s="5" t="str">
        <f t="shared" si="448"/>
        <v/>
      </c>
      <c r="T3006" s="5" t="str">
        <f t="shared" si="453"/>
        <v/>
      </c>
      <c r="U3006" s="5" t="str">
        <f t="shared" si="453"/>
        <v/>
      </c>
    </row>
    <row r="3007" spans="7:21" x14ac:dyDescent="0.2">
      <c r="G3007" s="8"/>
      <c r="H3007" s="5"/>
      <c r="J3007" s="10" t="str">
        <f t="shared" si="446"/>
        <v/>
      </c>
      <c r="K3007" s="10" t="str">
        <f t="shared" si="447"/>
        <v/>
      </c>
      <c r="L3007" s="11" t="str">
        <f t="shared" si="449"/>
        <v/>
      </c>
      <c r="M3007" s="9" t="str">
        <f>IF(G3007&lt;&gt;"",J3007/MAX(J$3:J3007)-1,"")</f>
        <v/>
      </c>
      <c r="N3007" s="9" t="str">
        <f>IF(G3007&lt;&gt;"",K3007/MAX(K$3:K3007)-1,"")</f>
        <v/>
      </c>
      <c r="O3007" s="16" t="str">
        <f t="shared" si="445"/>
        <v/>
      </c>
      <c r="P3007" s="16" t="str">
        <f t="shared" si="445"/>
        <v/>
      </c>
      <c r="Q3007" s="16" t="str">
        <f t="shared" si="445"/>
        <v/>
      </c>
      <c r="R3007" s="5" t="str">
        <f t="shared" si="454"/>
        <v/>
      </c>
      <c r="S3007" s="5" t="str">
        <f t="shared" si="448"/>
        <v/>
      </c>
      <c r="T3007" s="5" t="str">
        <f t="shared" si="453"/>
        <v/>
      </c>
      <c r="U3007" s="5" t="str">
        <f t="shared" si="453"/>
        <v/>
      </c>
    </row>
    <row r="3008" spans="7:21" x14ac:dyDescent="0.2">
      <c r="G3008" s="8"/>
      <c r="H3008" s="5"/>
      <c r="J3008" s="10" t="str">
        <f t="shared" si="446"/>
        <v/>
      </c>
      <c r="K3008" s="10" t="str">
        <f t="shared" si="447"/>
        <v/>
      </c>
      <c r="L3008" s="11" t="str">
        <f t="shared" si="449"/>
        <v/>
      </c>
      <c r="M3008" s="9" t="str">
        <f>IF(G3008&lt;&gt;"",J3008/MAX(J$3:J3008)-1,"")</f>
        <v/>
      </c>
      <c r="N3008" s="9" t="str">
        <f>IF(G3008&lt;&gt;"",K3008/MAX(K$3:K3008)-1,"")</f>
        <v/>
      </c>
      <c r="O3008" s="16" t="str">
        <f t="shared" si="445"/>
        <v/>
      </c>
      <c r="P3008" s="16" t="str">
        <f t="shared" si="445"/>
        <v/>
      </c>
      <c r="Q3008" s="16" t="str">
        <f t="shared" si="445"/>
        <v/>
      </c>
      <c r="R3008" s="5" t="str">
        <f t="shared" si="454"/>
        <v/>
      </c>
      <c r="S3008" s="5" t="str">
        <f t="shared" si="448"/>
        <v/>
      </c>
      <c r="T3008" s="5" t="str">
        <f t="shared" si="453"/>
        <v/>
      </c>
      <c r="U3008" s="5" t="str">
        <f t="shared" si="453"/>
        <v/>
      </c>
    </row>
    <row r="3009" spans="7:21" x14ac:dyDescent="0.2">
      <c r="G3009" s="8"/>
      <c r="H3009" s="5"/>
      <c r="J3009" s="10" t="str">
        <f t="shared" si="446"/>
        <v/>
      </c>
      <c r="K3009" s="10" t="str">
        <f t="shared" si="447"/>
        <v/>
      </c>
      <c r="L3009" s="11" t="str">
        <f t="shared" si="449"/>
        <v/>
      </c>
      <c r="M3009" s="9" t="str">
        <f>IF(G3009&lt;&gt;"",J3009/MAX(J$3:J3009)-1,"")</f>
        <v/>
      </c>
      <c r="N3009" s="9" t="str">
        <f>IF(G3009&lt;&gt;"",K3009/MAX(K$3:K3009)-1,"")</f>
        <v/>
      </c>
      <c r="O3009" s="16" t="str">
        <f t="shared" si="445"/>
        <v/>
      </c>
      <c r="P3009" s="16" t="str">
        <f t="shared" si="445"/>
        <v/>
      </c>
      <c r="Q3009" s="16" t="str">
        <f t="shared" si="445"/>
        <v/>
      </c>
      <c r="R3009" s="5" t="str">
        <f t="shared" si="454"/>
        <v/>
      </c>
      <c r="S3009" s="5" t="str">
        <f t="shared" si="448"/>
        <v/>
      </c>
      <c r="T3009" s="5" t="str">
        <f t="shared" si="453"/>
        <v/>
      </c>
      <c r="U3009" s="5" t="str">
        <f t="shared" si="453"/>
        <v/>
      </c>
    </row>
    <row r="3010" spans="7:21" x14ac:dyDescent="0.2">
      <c r="G3010" s="8"/>
      <c r="H3010" s="5"/>
      <c r="J3010" s="10" t="str">
        <f t="shared" si="446"/>
        <v/>
      </c>
      <c r="K3010" s="10" t="str">
        <f t="shared" si="447"/>
        <v/>
      </c>
      <c r="L3010" s="11" t="str">
        <f t="shared" si="449"/>
        <v/>
      </c>
      <c r="M3010" s="9" t="str">
        <f>IF(G3010&lt;&gt;"",J3010/MAX(J$3:J3010)-1,"")</f>
        <v/>
      </c>
      <c r="N3010" s="9" t="str">
        <f>IF(G3010&lt;&gt;"",K3010/MAX(K$3:K3010)-1,"")</f>
        <v/>
      </c>
      <c r="O3010" s="16" t="str">
        <f t="shared" ref="O3010:Q3073" si="455">IF($G3010&lt;&gt;"",J3010/J3009-1,"")</f>
        <v/>
      </c>
      <c r="P3010" s="16" t="str">
        <f t="shared" si="455"/>
        <v/>
      </c>
      <c r="Q3010" s="16" t="str">
        <f t="shared" si="455"/>
        <v/>
      </c>
      <c r="R3010" s="5" t="str">
        <f t="shared" si="454"/>
        <v/>
      </c>
      <c r="S3010" s="5" t="str">
        <f t="shared" si="448"/>
        <v/>
      </c>
      <c r="T3010" s="5" t="str">
        <f t="shared" si="453"/>
        <v/>
      </c>
      <c r="U3010" s="5" t="str">
        <f t="shared" si="453"/>
        <v/>
      </c>
    </row>
    <row r="3011" spans="7:21" x14ac:dyDescent="0.2">
      <c r="G3011" s="8"/>
      <c r="H3011" s="5"/>
      <c r="J3011" s="10" t="str">
        <f t="shared" si="446"/>
        <v/>
      </c>
      <c r="K3011" s="10" t="str">
        <f t="shared" si="447"/>
        <v/>
      </c>
      <c r="L3011" s="11" t="str">
        <f t="shared" si="449"/>
        <v/>
      </c>
      <c r="M3011" s="9" t="str">
        <f>IF(G3011&lt;&gt;"",J3011/MAX(J$3:J3011)-1,"")</f>
        <v/>
      </c>
      <c r="N3011" s="9" t="str">
        <f>IF(G3011&lt;&gt;"",K3011/MAX(K$3:K3011)-1,"")</f>
        <v/>
      </c>
      <c r="O3011" s="16" t="str">
        <f t="shared" si="455"/>
        <v/>
      </c>
      <c r="P3011" s="16" t="str">
        <f t="shared" si="455"/>
        <v/>
      </c>
      <c r="Q3011" s="16" t="str">
        <f t="shared" si="455"/>
        <v/>
      </c>
      <c r="R3011" s="5" t="str">
        <f t="shared" si="454"/>
        <v/>
      </c>
      <c r="S3011" s="5" t="str">
        <f t="shared" si="448"/>
        <v/>
      </c>
      <c r="T3011" s="5" t="str">
        <f t="shared" si="453"/>
        <v/>
      </c>
      <c r="U3011" s="5" t="str">
        <f t="shared" si="453"/>
        <v/>
      </c>
    </row>
    <row r="3012" spans="7:21" x14ac:dyDescent="0.2">
      <c r="G3012" s="8"/>
      <c r="H3012" s="5"/>
      <c r="J3012" s="10" t="str">
        <f t="shared" ref="J3012:J3075" si="456">IF(G3012&lt;&gt;"",1+H3012,"")</f>
        <v/>
      </c>
      <c r="K3012" s="10" t="str">
        <f t="shared" ref="K3012:K3075" si="457">IF(G3012&lt;&gt;"",1+I3012,"")</f>
        <v/>
      </c>
      <c r="L3012" s="11" t="str">
        <f t="shared" si="449"/>
        <v/>
      </c>
      <c r="M3012" s="9" t="str">
        <f>IF(G3012&lt;&gt;"",J3012/MAX(J$3:J3012)-1,"")</f>
        <v/>
      </c>
      <c r="N3012" s="9" t="str">
        <f>IF(G3012&lt;&gt;"",K3012/MAX(K$3:K3012)-1,"")</f>
        <v/>
      </c>
      <c r="O3012" s="16" t="str">
        <f t="shared" si="455"/>
        <v/>
      </c>
      <c r="P3012" s="16" t="str">
        <f t="shared" si="455"/>
        <v/>
      </c>
      <c r="Q3012" s="16" t="str">
        <f t="shared" si="455"/>
        <v/>
      </c>
      <c r="R3012" s="5" t="str">
        <f t="shared" si="454"/>
        <v/>
      </c>
      <c r="S3012" s="5" t="str">
        <f t="shared" ref="S3012:S3075" si="458">IF(R3012&lt;&gt;"",B$12,"")</f>
        <v/>
      </c>
      <c r="T3012" s="5" t="str">
        <f t="shared" si="453"/>
        <v/>
      </c>
      <c r="U3012" s="5" t="str">
        <f t="shared" si="453"/>
        <v/>
      </c>
    </row>
    <row r="3013" spans="7:21" x14ac:dyDescent="0.2">
      <c r="G3013" s="8"/>
      <c r="H3013" s="5"/>
      <c r="J3013" s="10" t="str">
        <f t="shared" si="456"/>
        <v/>
      </c>
      <c r="K3013" s="10" t="str">
        <f t="shared" si="457"/>
        <v/>
      </c>
      <c r="L3013" s="11" t="str">
        <f t="shared" ref="L3013:L3076" si="459">IF(G3013&lt;&gt;"",J3013/K3013,"")</f>
        <v/>
      </c>
      <c r="M3013" s="9" t="str">
        <f>IF(G3013&lt;&gt;"",J3013/MAX(J$3:J3013)-1,"")</f>
        <v/>
      </c>
      <c r="N3013" s="9" t="str">
        <f>IF(G3013&lt;&gt;"",K3013/MAX(K$3:K3013)-1,"")</f>
        <v/>
      </c>
      <c r="O3013" s="16" t="str">
        <f t="shared" si="455"/>
        <v/>
      </c>
      <c r="P3013" s="16" t="str">
        <f t="shared" si="455"/>
        <v/>
      </c>
      <c r="Q3013" s="16" t="str">
        <f t="shared" si="455"/>
        <v/>
      </c>
      <c r="R3013" s="5" t="str">
        <f t="shared" si="454"/>
        <v/>
      </c>
      <c r="S3013" s="5" t="str">
        <f t="shared" si="458"/>
        <v/>
      </c>
      <c r="T3013" s="5" t="str">
        <f t="shared" si="453"/>
        <v/>
      </c>
      <c r="U3013" s="5" t="str">
        <f t="shared" si="453"/>
        <v/>
      </c>
    </row>
    <row r="3014" spans="7:21" x14ac:dyDescent="0.2">
      <c r="G3014" s="8"/>
      <c r="H3014" s="5"/>
      <c r="J3014" s="10" t="str">
        <f t="shared" si="456"/>
        <v/>
      </c>
      <c r="K3014" s="10" t="str">
        <f t="shared" si="457"/>
        <v/>
      </c>
      <c r="L3014" s="11" t="str">
        <f t="shared" si="459"/>
        <v/>
      </c>
      <c r="M3014" s="9" t="str">
        <f>IF(G3014&lt;&gt;"",J3014/MAX(J$3:J3014)-1,"")</f>
        <v/>
      </c>
      <c r="N3014" s="9" t="str">
        <f>IF(G3014&lt;&gt;"",K3014/MAX(K$3:K3014)-1,"")</f>
        <v/>
      </c>
      <c r="O3014" s="16" t="str">
        <f t="shared" si="455"/>
        <v/>
      </c>
      <c r="P3014" s="16" t="str">
        <f t="shared" si="455"/>
        <v/>
      </c>
      <c r="Q3014" s="16" t="str">
        <f t="shared" si="455"/>
        <v/>
      </c>
      <c r="R3014" s="5" t="str">
        <f t="shared" si="454"/>
        <v/>
      </c>
      <c r="S3014" s="5" t="str">
        <f t="shared" si="458"/>
        <v/>
      </c>
      <c r="T3014" s="5" t="str">
        <f t="shared" si="453"/>
        <v/>
      </c>
      <c r="U3014" s="5" t="str">
        <f t="shared" si="453"/>
        <v/>
      </c>
    </row>
    <row r="3015" spans="7:21" x14ac:dyDescent="0.2">
      <c r="G3015" s="8"/>
      <c r="H3015" s="5"/>
      <c r="J3015" s="10" t="str">
        <f t="shared" si="456"/>
        <v/>
      </c>
      <c r="K3015" s="10" t="str">
        <f t="shared" si="457"/>
        <v/>
      </c>
      <c r="L3015" s="11" t="str">
        <f t="shared" si="459"/>
        <v/>
      </c>
      <c r="M3015" s="9" t="str">
        <f>IF(G3015&lt;&gt;"",J3015/MAX(J$3:J3015)-1,"")</f>
        <v/>
      </c>
      <c r="N3015" s="9" t="str">
        <f>IF(G3015&lt;&gt;"",K3015/MAX(K$3:K3015)-1,"")</f>
        <v/>
      </c>
      <c r="O3015" s="16" t="str">
        <f t="shared" si="455"/>
        <v/>
      </c>
      <c r="P3015" s="16" t="str">
        <f t="shared" si="455"/>
        <v/>
      </c>
      <c r="Q3015" s="16" t="str">
        <f t="shared" si="455"/>
        <v/>
      </c>
      <c r="R3015" s="5" t="str">
        <f t="shared" si="454"/>
        <v/>
      </c>
      <c r="S3015" s="5" t="str">
        <f t="shared" si="458"/>
        <v/>
      </c>
      <c r="T3015" s="5" t="str">
        <f t="shared" si="453"/>
        <v/>
      </c>
      <c r="U3015" s="5" t="str">
        <f t="shared" si="453"/>
        <v/>
      </c>
    </row>
    <row r="3016" spans="7:21" x14ac:dyDescent="0.2">
      <c r="G3016" s="8"/>
      <c r="H3016" s="5"/>
      <c r="J3016" s="10" t="str">
        <f t="shared" si="456"/>
        <v/>
      </c>
      <c r="K3016" s="10" t="str">
        <f t="shared" si="457"/>
        <v/>
      </c>
      <c r="L3016" s="11" t="str">
        <f t="shared" si="459"/>
        <v/>
      </c>
      <c r="M3016" s="9" t="str">
        <f>IF(G3016&lt;&gt;"",J3016/MAX(J$3:J3016)-1,"")</f>
        <v/>
      </c>
      <c r="N3016" s="9" t="str">
        <f>IF(G3016&lt;&gt;"",K3016/MAX(K$3:K3016)-1,"")</f>
        <v/>
      </c>
      <c r="O3016" s="16" t="str">
        <f t="shared" si="455"/>
        <v/>
      </c>
      <c r="P3016" s="16" t="str">
        <f t="shared" si="455"/>
        <v/>
      </c>
      <c r="Q3016" s="16" t="str">
        <f t="shared" si="455"/>
        <v/>
      </c>
      <c r="R3016" s="5" t="str">
        <f t="shared" si="454"/>
        <v/>
      </c>
      <c r="S3016" s="5" t="str">
        <f t="shared" si="458"/>
        <v/>
      </c>
      <c r="T3016" s="5" t="str">
        <f t="shared" ref="T3016:U3031" si="460">IF($G3016&lt;&gt;"",_xlfn.STDEV.S(O2772:O3016),"")</f>
        <v/>
      </c>
      <c r="U3016" s="5" t="str">
        <f t="shared" si="460"/>
        <v/>
      </c>
    </row>
    <row r="3017" spans="7:21" x14ac:dyDescent="0.2">
      <c r="G3017" s="8"/>
      <c r="H3017" s="5"/>
      <c r="J3017" s="10" t="str">
        <f t="shared" si="456"/>
        <v/>
      </c>
      <c r="K3017" s="10" t="str">
        <f t="shared" si="457"/>
        <v/>
      </c>
      <c r="L3017" s="11" t="str">
        <f t="shared" si="459"/>
        <v/>
      </c>
      <c r="M3017" s="9" t="str">
        <f>IF(G3017&lt;&gt;"",J3017/MAX(J$3:J3017)-1,"")</f>
        <v/>
      </c>
      <c r="N3017" s="9" t="str">
        <f>IF(G3017&lt;&gt;"",K3017/MAX(K$3:K3017)-1,"")</f>
        <v/>
      </c>
      <c r="O3017" s="16" t="str">
        <f t="shared" si="455"/>
        <v/>
      </c>
      <c r="P3017" s="16" t="str">
        <f t="shared" si="455"/>
        <v/>
      </c>
      <c r="Q3017" s="16" t="str">
        <f t="shared" si="455"/>
        <v/>
      </c>
      <c r="R3017" s="5" t="str">
        <f t="shared" si="454"/>
        <v/>
      </c>
      <c r="S3017" s="5" t="str">
        <f t="shared" si="458"/>
        <v/>
      </c>
      <c r="T3017" s="5" t="str">
        <f t="shared" si="460"/>
        <v/>
      </c>
      <c r="U3017" s="5" t="str">
        <f t="shared" si="460"/>
        <v/>
      </c>
    </row>
    <row r="3018" spans="7:21" x14ac:dyDescent="0.2">
      <c r="G3018" s="8"/>
      <c r="H3018" s="5"/>
      <c r="J3018" s="10" t="str">
        <f t="shared" si="456"/>
        <v/>
      </c>
      <c r="K3018" s="10" t="str">
        <f t="shared" si="457"/>
        <v/>
      </c>
      <c r="L3018" s="11" t="str">
        <f t="shared" si="459"/>
        <v/>
      </c>
      <c r="M3018" s="9" t="str">
        <f>IF(G3018&lt;&gt;"",J3018/MAX(J$3:J3018)-1,"")</f>
        <v/>
      </c>
      <c r="N3018" s="9" t="str">
        <f>IF(G3018&lt;&gt;"",K3018/MAX(K$3:K3018)-1,"")</f>
        <v/>
      </c>
      <c r="O3018" s="16" t="str">
        <f t="shared" si="455"/>
        <v/>
      </c>
      <c r="P3018" s="16" t="str">
        <f t="shared" si="455"/>
        <v/>
      </c>
      <c r="Q3018" s="16" t="str">
        <f t="shared" si="455"/>
        <v/>
      </c>
      <c r="R3018" s="5" t="str">
        <f t="shared" si="454"/>
        <v/>
      </c>
      <c r="S3018" s="5" t="str">
        <f t="shared" si="458"/>
        <v/>
      </c>
      <c r="T3018" s="5" t="str">
        <f t="shared" si="460"/>
        <v/>
      </c>
      <c r="U3018" s="5" t="str">
        <f t="shared" si="460"/>
        <v/>
      </c>
    </row>
    <row r="3019" spans="7:21" x14ac:dyDescent="0.2">
      <c r="G3019" s="8"/>
      <c r="H3019" s="5"/>
      <c r="J3019" s="10" t="str">
        <f t="shared" si="456"/>
        <v/>
      </c>
      <c r="K3019" s="10" t="str">
        <f t="shared" si="457"/>
        <v/>
      </c>
      <c r="L3019" s="11" t="str">
        <f t="shared" si="459"/>
        <v/>
      </c>
      <c r="M3019" s="9" t="str">
        <f>IF(G3019&lt;&gt;"",J3019/MAX(J$3:J3019)-1,"")</f>
        <v/>
      </c>
      <c r="N3019" s="9" t="str">
        <f>IF(G3019&lt;&gt;"",K3019/MAX(K$3:K3019)-1,"")</f>
        <v/>
      </c>
      <c r="O3019" s="16" t="str">
        <f t="shared" si="455"/>
        <v/>
      </c>
      <c r="P3019" s="16" t="str">
        <f t="shared" si="455"/>
        <v/>
      </c>
      <c r="Q3019" s="16" t="str">
        <f t="shared" si="455"/>
        <v/>
      </c>
      <c r="R3019" s="5" t="str">
        <f t="shared" si="454"/>
        <v/>
      </c>
      <c r="S3019" s="5" t="str">
        <f t="shared" si="458"/>
        <v/>
      </c>
      <c r="T3019" s="5" t="str">
        <f t="shared" si="460"/>
        <v/>
      </c>
      <c r="U3019" s="5" t="str">
        <f t="shared" si="460"/>
        <v/>
      </c>
    </row>
    <row r="3020" spans="7:21" x14ac:dyDescent="0.2">
      <c r="G3020" s="8"/>
      <c r="H3020" s="5"/>
      <c r="J3020" s="10" t="str">
        <f t="shared" si="456"/>
        <v/>
      </c>
      <c r="K3020" s="10" t="str">
        <f t="shared" si="457"/>
        <v/>
      </c>
      <c r="L3020" s="11" t="str">
        <f t="shared" si="459"/>
        <v/>
      </c>
      <c r="M3020" s="9" t="str">
        <f>IF(G3020&lt;&gt;"",J3020/MAX(J$3:J3020)-1,"")</f>
        <v/>
      </c>
      <c r="N3020" s="9" t="str">
        <f>IF(G3020&lt;&gt;"",K3020/MAX(K$3:K3020)-1,"")</f>
        <v/>
      </c>
      <c r="O3020" s="16" t="str">
        <f t="shared" si="455"/>
        <v/>
      </c>
      <c r="P3020" s="16" t="str">
        <f t="shared" si="455"/>
        <v/>
      </c>
      <c r="Q3020" s="16" t="str">
        <f t="shared" si="455"/>
        <v/>
      </c>
      <c r="R3020" s="5" t="str">
        <f t="shared" si="454"/>
        <v/>
      </c>
      <c r="S3020" s="5" t="str">
        <f t="shared" si="458"/>
        <v/>
      </c>
      <c r="T3020" s="5" t="str">
        <f t="shared" si="460"/>
        <v/>
      </c>
      <c r="U3020" s="5" t="str">
        <f t="shared" si="460"/>
        <v/>
      </c>
    </row>
    <row r="3021" spans="7:21" x14ac:dyDescent="0.2">
      <c r="G3021" s="8"/>
      <c r="H3021" s="5"/>
      <c r="J3021" s="10" t="str">
        <f t="shared" si="456"/>
        <v/>
      </c>
      <c r="K3021" s="10" t="str">
        <f t="shared" si="457"/>
        <v/>
      </c>
      <c r="L3021" s="11" t="str">
        <f t="shared" si="459"/>
        <v/>
      </c>
      <c r="M3021" s="9" t="str">
        <f>IF(G3021&lt;&gt;"",J3021/MAX(J$3:J3021)-1,"")</f>
        <v/>
      </c>
      <c r="N3021" s="9" t="str">
        <f>IF(G3021&lt;&gt;"",K3021/MAX(K$3:K3021)-1,"")</f>
        <v/>
      </c>
      <c r="O3021" s="16" t="str">
        <f t="shared" si="455"/>
        <v/>
      </c>
      <c r="P3021" s="16" t="str">
        <f t="shared" si="455"/>
        <v/>
      </c>
      <c r="Q3021" s="16" t="str">
        <f t="shared" si="455"/>
        <v/>
      </c>
      <c r="R3021" s="5" t="str">
        <f t="shared" si="454"/>
        <v/>
      </c>
      <c r="S3021" s="5" t="str">
        <f t="shared" si="458"/>
        <v/>
      </c>
      <c r="T3021" s="5" t="str">
        <f t="shared" si="460"/>
        <v/>
      </c>
      <c r="U3021" s="5" t="str">
        <f t="shared" si="460"/>
        <v/>
      </c>
    </row>
    <row r="3022" spans="7:21" x14ac:dyDescent="0.2">
      <c r="G3022" s="8"/>
      <c r="H3022" s="5"/>
      <c r="J3022" s="10" t="str">
        <f t="shared" si="456"/>
        <v/>
      </c>
      <c r="K3022" s="10" t="str">
        <f t="shared" si="457"/>
        <v/>
      </c>
      <c r="L3022" s="11" t="str">
        <f t="shared" si="459"/>
        <v/>
      </c>
      <c r="M3022" s="9" t="str">
        <f>IF(G3022&lt;&gt;"",J3022/MAX(J$3:J3022)-1,"")</f>
        <v/>
      </c>
      <c r="N3022" s="9" t="str">
        <f>IF(G3022&lt;&gt;"",K3022/MAX(K$3:K3022)-1,"")</f>
        <v/>
      </c>
      <c r="O3022" s="16" t="str">
        <f t="shared" si="455"/>
        <v/>
      </c>
      <c r="P3022" s="16" t="str">
        <f t="shared" si="455"/>
        <v/>
      </c>
      <c r="Q3022" s="16" t="str">
        <f t="shared" si="455"/>
        <v/>
      </c>
      <c r="R3022" s="5" t="str">
        <f t="shared" si="454"/>
        <v/>
      </c>
      <c r="S3022" s="5" t="str">
        <f t="shared" si="458"/>
        <v/>
      </c>
      <c r="T3022" s="5" t="str">
        <f t="shared" si="460"/>
        <v/>
      </c>
      <c r="U3022" s="5" t="str">
        <f t="shared" si="460"/>
        <v/>
      </c>
    </row>
    <row r="3023" spans="7:21" x14ac:dyDescent="0.2">
      <c r="G3023" s="8"/>
      <c r="H3023" s="5"/>
      <c r="J3023" s="10" t="str">
        <f t="shared" si="456"/>
        <v/>
      </c>
      <c r="K3023" s="10" t="str">
        <f t="shared" si="457"/>
        <v/>
      </c>
      <c r="L3023" s="11" t="str">
        <f t="shared" si="459"/>
        <v/>
      </c>
      <c r="M3023" s="9" t="str">
        <f>IF(G3023&lt;&gt;"",J3023/MAX(J$3:J3023)-1,"")</f>
        <v/>
      </c>
      <c r="N3023" s="9" t="str">
        <f>IF(G3023&lt;&gt;"",K3023/MAX(K$3:K3023)-1,"")</f>
        <v/>
      </c>
      <c r="O3023" s="16" t="str">
        <f t="shared" si="455"/>
        <v/>
      </c>
      <c r="P3023" s="16" t="str">
        <f t="shared" si="455"/>
        <v/>
      </c>
      <c r="Q3023" s="16" t="str">
        <f t="shared" si="455"/>
        <v/>
      </c>
      <c r="R3023" s="5" t="str">
        <f t="shared" si="454"/>
        <v/>
      </c>
      <c r="S3023" s="5" t="str">
        <f t="shared" si="458"/>
        <v/>
      </c>
      <c r="T3023" s="5" t="str">
        <f t="shared" si="460"/>
        <v/>
      </c>
      <c r="U3023" s="5" t="str">
        <f t="shared" si="460"/>
        <v/>
      </c>
    </row>
    <row r="3024" spans="7:21" x14ac:dyDescent="0.2">
      <c r="G3024" s="8"/>
      <c r="H3024" s="5"/>
      <c r="J3024" s="10" t="str">
        <f t="shared" si="456"/>
        <v/>
      </c>
      <c r="K3024" s="10" t="str">
        <f t="shared" si="457"/>
        <v/>
      </c>
      <c r="L3024" s="11" t="str">
        <f t="shared" si="459"/>
        <v/>
      </c>
      <c r="M3024" s="9" t="str">
        <f>IF(G3024&lt;&gt;"",J3024/MAX(J$3:J3024)-1,"")</f>
        <v/>
      </c>
      <c r="N3024" s="9" t="str">
        <f>IF(G3024&lt;&gt;"",K3024/MAX(K$3:K3024)-1,"")</f>
        <v/>
      </c>
      <c r="O3024" s="16" t="str">
        <f t="shared" si="455"/>
        <v/>
      </c>
      <c r="P3024" s="16" t="str">
        <f t="shared" si="455"/>
        <v/>
      </c>
      <c r="Q3024" s="16" t="str">
        <f t="shared" si="455"/>
        <v/>
      </c>
      <c r="R3024" s="5" t="str">
        <f t="shared" si="454"/>
        <v/>
      </c>
      <c r="S3024" s="5" t="str">
        <f t="shared" si="458"/>
        <v/>
      </c>
      <c r="T3024" s="5" t="str">
        <f t="shared" si="460"/>
        <v/>
      </c>
      <c r="U3024" s="5" t="str">
        <f t="shared" si="460"/>
        <v/>
      </c>
    </row>
    <row r="3025" spans="7:21" x14ac:dyDescent="0.2">
      <c r="G3025" s="8"/>
      <c r="H3025" s="5"/>
      <c r="J3025" s="10" t="str">
        <f t="shared" si="456"/>
        <v/>
      </c>
      <c r="K3025" s="10" t="str">
        <f t="shared" si="457"/>
        <v/>
      </c>
      <c r="L3025" s="11" t="str">
        <f t="shared" si="459"/>
        <v/>
      </c>
      <c r="M3025" s="9" t="str">
        <f>IF(G3025&lt;&gt;"",J3025/MAX(J$3:J3025)-1,"")</f>
        <v/>
      </c>
      <c r="N3025" s="9" t="str">
        <f>IF(G3025&lt;&gt;"",K3025/MAX(K$3:K3025)-1,"")</f>
        <v/>
      </c>
      <c r="O3025" s="16" t="str">
        <f t="shared" si="455"/>
        <v/>
      </c>
      <c r="P3025" s="16" t="str">
        <f t="shared" si="455"/>
        <v/>
      </c>
      <c r="Q3025" s="16" t="str">
        <f t="shared" si="455"/>
        <v/>
      </c>
      <c r="R3025" s="5" t="str">
        <f t="shared" si="454"/>
        <v/>
      </c>
      <c r="S3025" s="5" t="str">
        <f t="shared" si="458"/>
        <v/>
      </c>
      <c r="T3025" s="5" t="str">
        <f t="shared" si="460"/>
        <v/>
      </c>
      <c r="U3025" s="5" t="str">
        <f t="shared" si="460"/>
        <v/>
      </c>
    </row>
    <row r="3026" spans="7:21" x14ac:dyDescent="0.2">
      <c r="G3026" s="8"/>
      <c r="H3026" s="5"/>
      <c r="J3026" s="10" t="str">
        <f t="shared" si="456"/>
        <v/>
      </c>
      <c r="K3026" s="10" t="str">
        <f t="shared" si="457"/>
        <v/>
      </c>
      <c r="L3026" s="11" t="str">
        <f t="shared" si="459"/>
        <v/>
      </c>
      <c r="M3026" s="9" t="str">
        <f>IF(G3026&lt;&gt;"",J3026/MAX(J$3:J3026)-1,"")</f>
        <v/>
      </c>
      <c r="N3026" s="9" t="str">
        <f>IF(G3026&lt;&gt;"",K3026/MAX(K$3:K3026)-1,"")</f>
        <v/>
      </c>
      <c r="O3026" s="16" t="str">
        <f t="shared" si="455"/>
        <v/>
      </c>
      <c r="P3026" s="16" t="str">
        <f t="shared" si="455"/>
        <v/>
      </c>
      <c r="Q3026" s="16" t="str">
        <f t="shared" si="455"/>
        <v/>
      </c>
      <c r="R3026" s="5" t="str">
        <f t="shared" si="454"/>
        <v/>
      </c>
      <c r="S3026" s="5" t="str">
        <f t="shared" si="458"/>
        <v/>
      </c>
      <c r="T3026" s="5" t="str">
        <f t="shared" si="460"/>
        <v/>
      </c>
      <c r="U3026" s="5" t="str">
        <f t="shared" si="460"/>
        <v/>
      </c>
    </row>
    <row r="3027" spans="7:21" x14ac:dyDescent="0.2">
      <c r="G3027" s="8"/>
      <c r="H3027" s="5"/>
      <c r="J3027" s="10" t="str">
        <f t="shared" si="456"/>
        <v/>
      </c>
      <c r="K3027" s="10" t="str">
        <f t="shared" si="457"/>
        <v/>
      </c>
      <c r="L3027" s="11" t="str">
        <f t="shared" si="459"/>
        <v/>
      </c>
      <c r="M3027" s="9" t="str">
        <f>IF(G3027&lt;&gt;"",J3027/MAX(J$3:J3027)-1,"")</f>
        <v/>
      </c>
      <c r="N3027" s="9" t="str">
        <f>IF(G3027&lt;&gt;"",K3027/MAX(K$3:K3027)-1,"")</f>
        <v/>
      </c>
      <c r="O3027" s="16" t="str">
        <f t="shared" si="455"/>
        <v/>
      </c>
      <c r="P3027" s="16" t="str">
        <f t="shared" si="455"/>
        <v/>
      </c>
      <c r="Q3027" s="16" t="str">
        <f t="shared" si="455"/>
        <v/>
      </c>
      <c r="R3027" s="5" t="str">
        <f t="shared" si="454"/>
        <v/>
      </c>
      <c r="S3027" s="5" t="str">
        <f t="shared" si="458"/>
        <v/>
      </c>
      <c r="T3027" s="5" t="str">
        <f t="shared" si="460"/>
        <v/>
      </c>
      <c r="U3027" s="5" t="str">
        <f t="shared" si="460"/>
        <v/>
      </c>
    </row>
    <row r="3028" spans="7:21" x14ac:dyDescent="0.2">
      <c r="G3028" s="8"/>
      <c r="H3028" s="5"/>
      <c r="J3028" s="10" t="str">
        <f t="shared" si="456"/>
        <v/>
      </c>
      <c r="K3028" s="10" t="str">
        <f t="shared" si="457"/>
        <v/>
      </c>
      <c r="L3028" s="11" t="str">
        <f t="shared" si="459"/>
        <v/>
      </c>
      <c r="M3028" s="9" t="str">
        <f>IF(G3028&lt;&gt;"",J3028/MAX(J$3:J3028)-1,"")</f>
        <v/>
      </c>
      <c r="N3028" s="9" t="str">
        <f>IF(G3028&lt;&gt;"",K3028/MAX(K$3:K3028)-1,"")</f>
        <v/>
      </c>
      <c r="O3028" s="16" t="str">
        <f t="shared" si="455"/>
        <v/>
      </c>
      <c r="P3028" s="16" t="str">
        <f t="shared" si="455"/>
        <v/>
      </c>
      <c r="Q3028" s="16" t="str">
        <f t="shared" si="455"/>
        <v/>
      </c>
      <c r="R3028" s="5" t="str">
        <f t="shared" si="454"/>
        <v/>
      </c>
      <c r="S3028" s="5" t="str">
        <f t="shared" si="458"/>
        <v/>
      </c>
      <c r="T3028" s="5" t="str">
        <f t="shared" si="460"/>
        <v/>
      </c>
      <c r="U3028" s="5" t="str">
        <f t="shared" si="460"/>
        <v/>
      </c>
    </row>
    <row r="3029" spans="7:21" x14ac:dyDescent="0.2">
      <c r="G3029" s="8"/>
      <c r="H3029" s="5"/>
      <c r="J3029" s="10" t="str">
        <f t="shared" si="456"/>
        <v/>
      </c>
      <c r="K3029" s="10" t="str">
        <f t="shared" si="457"/>
        <v/>
      </c>
      <c r="L3029" s="11" t="str">
        <f t="shared" si="459"/>
        <v/>
      </c>
      <c r="M3029" s="9" t="str">
        <f>IF(G3029&lt;&gt;"",J3029/MAX(J$3:J3029)-1,"")</f>
        <v/>
      </c>
      <c r="N3029" s="9" t="str">
        <f>IF(G3029&lt;&gt;"",K3029/MAX(K$3:K3029)-1,"")</f>
        <v/>
      </c>
      <c r="O3029" s="16" t="str">
        <f t="shared" si="455"/>
        <v/>
      </c>
      <c r="P3029" s="16" t="str">
        <f t="shared" si="455"/>
        <v/>
      </c>
      <c r="Q3029" s="16" t="str">
        <f t="shared" si="455"/>
        <v/>
      </c>
      <c r="R3029" s="5" t="str">
        <f t="shared" si="454"/>
        <v/>
      </c>
      <c r="S3029" s="5" t="str">
        <f t="shared" si="458"/>
        <v/>
      </c>
      <c r="T3029" s="5" t="str">
        <f t="shared" si="460"/>
        <v/>
      </c>
      <c r="U3029" s="5" t="str">
        <f t="shared" si="460"/>
        <v/>
      </c>
    </row>
    <row r="3030" spans="7:21" x14ac:dyDescent="0.2">
      <c r="G3030" s="8"/>
      <c r="H3030" s="5"/>
      <c r="J3030" s="10" t="str">
        <f t="shared" si="456"/>
        <v/>
      </c>
      <c r="K3030" s="10" t="str">
        <f t="shared" si="457"/>
        <v/>
      </c>
      <c r="L3030" s="11" t="str">
        <f t="shared" si="459"/>
        <v/>
      </c>
      <c r="M3030" s="9" t="str">
        <f>IF(G3030&lt;&gt;"",J3030/MAX(J$3:J3030)-1,"")</f>
        <v/>
      </c>
      <c r="N3030" s="9" t="str">
        <f>IF(G3030&lt;&gt;"",K3030/MAX(K$3:K3030)-1,"")</f>
        <v/>
      </c>
      <c r="O3030" s="16" t="str">
        <f t="shared" si="455"/>
        <v/>
      </c>
      <c r="P3030" s="16" t="str">
        <f t="shared" si="455"/>
        <v/>
      </c>
      <c r="Q3030" s="16" t="str">
        <f t="shared" si="455"/>
        <v/>
      </c>
      <c r="R3030" s="5" t="str">
        <f t="shared" si="454"/>
        <v/>
      </c>
      <c r="S3030" s="5" t="str">
        <f t="shared" si="458"/>
        <v/>
      </c>
      <c r="T3030" s="5" t="str">
        <f t="shared" si="460"/>
        <v/>
      </c>
      <c r="U3030" s="5" t="str">
        <f t="shared" si="460"/>
        <v/>
      </c>
    </row>
    <row r="3031" spans="7:21" x14ac:dyDescent="0.2">
      <c r="G3031" s="8"/>
      <c r="H3031" s="5"/>
      <c r="J3031" s="10" t="str">
        <f t="shared" si="456"/>
        <v/>
      </c>
      <c r="K3031" s="10" t="str">
        <f t="shared" si="457"/>
        <v/>
      </c>
      <c r="L3031" s="11" t="str">
        <f t="shared" si="459"/>
        <v/>
      </c>
      <c r="M3031" s="9" t="str">
        <f>IF(G3031&lt;&gt;"",J3031/MAX(J$3:J3031)-1,"")</f>
        <v/>
      </c>
      <c r="N3031" s="9" t="str">
        <f>IF(G3031&lt;&gt;"",K3031/MAX(K$3:K3031)-1,"")</f>
        <v/>
      </c>
      <c r="O3031" s="16" t="str">
        <f t="shared" si="455"/>
        <v/>
      </c>
      <c r="P3031" s="16" t="str">
        <f t="shared" si="455"/>
        <v/>
      </c>
      <c r="Q3031" s="16" t="str">
        <f t="shared" si="455"/>
        <v/>
      </c>
      <c r="R3031" s="5" t="str">
        <f t="shared" si="454"/>
        <v/>
      </c>
      <c r="S3031" s="5" t="str">
        <f t="shared" si="458"/>
        <v/>
      </c>
      <c r="T3031" s="5" t="str">
        <f t="shared" si="460"/>
        <v/>
      </c>
      <c r="U3031" s="5" t="str">
        <f t="shared" si="460"/>
        <v/>
      </c>
    </row>
    <row r="3032" spans="7:21" x14ac:dyDescent="0.2">
      <c r="G3032" s="8"/>
      <c r="H3032" s="5"/>
      <c r="J3032" s="10" t="str">
        <f t="shared" si="456"/>
        <v/>
      </c>
      <c r="K3032" s="10" t="str">
        <f t="shared" si="457"/>
        <v/>
      </c>
      <c r="L3032" s="11" t="str">
        <f t="shared" si="459"/>
        <v/>
      </c>
      <c r="M3032" s="9" t="str">
        <f>IF(G3032&lt;&gt;"",J3032/MAX(J$3:J3032)-1,"")</f>
        <v/>
      </c>
      <c r="N3032" s="9" t="str">
        <f>IF(G3032&lt;&gt;"",K3032/MAX(K$3:K3032)-1,"")</f>
        <v/>
      </c>
      <c r="O3032" s="16" t="str">
        <f t="shared" si="455"/>
        <v/>
      </c>
      <c r="P3032" s="16" t="str">
        <f t="shared" si="455"/>
        <v/>
      </c>
      <c r="Q3032" s="16" t="str">
        <f t="shared" si="455"/>
        <v/>
      </c>
      <c r="R3032" s="5" t="str">
        <f t="shared" si="454"/>
        <v/>
      </c>
      <c r="S3032" s="5" t="str">
        <f t="shared" si="458"/>
        <v/>
      </c>
      <c r="T3032" s="5" t="str">
        <f t="shared" ref="T3032:U3047" si="461">IF($G3032&lt;&gt;"",_xlfn.STDEV.S(O2788:O3032),"")</f>
        <v/>
      </c>
      <c r="U3032" s="5" t="str">
        <f t="shared" si="461"/>
        <v/>
      </c>
    </row>
    <row r="3033" spans="7:21" x14ac:dyDescent="0.2">
      <c r="G3033" s="8"/>
      <c r="H3033" s="5"/>
      <c r="J3033" s="10" t="str">
        <f t="shared" si="456"/>
        <v/>
      </c>
      <c r="K3033" s="10" t="str">
        <f t="shared" si="457"/>
        <v/>
      </c>
      <c r="L3033" s="11" t="str">
        <f t="shared" si="459"/>
        <v/>
      </c>
      <c r="M3033" s="9" t="str">
        <f>IF(G3033&lt;&gt;"",J3033/MAX(J$3:J3033)-1,"")</f>
        <v/>
      </c>
      <c r="N3033" s="9" t="str">
        <f>IF(G3033&lt;&gt;"",K3033/MAX(K$3:K3033)-1,"")</f>
        <v/>
      </c>
      <c r="O3033" s="16" t="str">
        <f t="shared" si="455"/>
        <v/>
      </c>
      <c r="P3033" s="16" t="str">
        <f t="shared" si="455"/>
        <v/>
      </c>
      <c r="Q3033" s="16" t="str">
        <f t="shared" si="455"/>
        <v/>
      </c>
      <c r="R3033" s="5" t="str">
        <f t="shared" si="454"/>
        <v/>
      </c>
      <c r="S3033" s="5" t="str">
        <f t="shared" si="458"/>
        <v/>
      </c>
      <c r="T3033" s="5" t="str">
        <f t="shared" si="461"/>
        <v/>
      </c>
      <c r="U3033" s="5" t="str">
        <f t="shared" si="461"/>
        <v/>
      </c>
    </row>
    <row r="3034" spans="7:21" x14ac:dyDescent="0.2">
      <c r="G3034" s="8"/>
      <c r="H3034" s="5"/>
      <c r="J3034" s="10" t="str">
        <f t="shared" si="456"/>
        <v/>
      </c>
      <c r="K3034" s="10" t="str">
        <f t="shared" si="457"/>
        <v/>
      </c>
      <c r="L3034" s="11" t="str">
        <f t="shared" si="459"/>
        <v/>
      </c>
      <c r="M3034" s="9" t="str">
        <f>IF(G3034&lt;&gt;"",J3034/MAX(J$3:J3034)-1,"")</f>
        <v/>
      </c>
      <c r="N3034" s="9" t="str">
        <f>IF(G3034&lt;&gt;"",K3034/MAX(K$3:K3034)-1,"")</f>
        <v/>
      </c>
      <c r="O3034" s="16" t="str">
        <f t="shared" si="455"/>
        <v/>
      </c>
      <c r="P3034" s="16" t="str">
        <f t="shared" si="455"/>
        <v/>
      </c>
      <c r="Q3034" s="16" t="str">
        <f t="shared" si="455"/>
        <v/>
      </c>
      <c r="R3034" s="5" t="str">
        <f t="shared" si="454"/>
        <v/>
      </c>
      <c r="S3034" s="5" t="str">
        <f t="shared" si="458"/>
        <v/>
      </c>
      <c r="T3034" s="5" t="str">
        <f t="shared" si="461"/>
        <v/>
      </c>
      <c r="U3034" s="5" t="str">
        <f t="shared" si="461"/>
        <v/>
      </c>
    </row>
    <row r="3035" spans="7:21" x14ac:dyDescent="0.2">
      <c r="G3035" s="8"/>
      <c r="H3035" s="5"/>
      <c r="J3035" s="10" t="str">
        <f t="shared" si="456"/>
        <v/>
      </c>
      <c r="K3035" s="10" t="str">
        <f t="shared" si="457"/>
        <v/>
      </c>
      <c r="L3035" s="11" t="str">
        <f t="shared" si="459"/>
        <v/>
      </c>
      <c r="M3035" s="9" t="str">
        <f>IF(G3035&lt;&gt;"",J3035/MAX(J$3:J3035)-1,"")</f>
        <v/>
      </c>
      <c r="N3035" s="9" t="str">
        <f>IF(G3035&lt;&gt;"",K3035/MAX(K$3:K3035)-1,"")</f>
        <v/>
      </c>
      <c r="O3035" s="16" t="str">
        <f t="shared" si="455"/>
        <v/>
      </c>
      <c r="P3035" s="16" t="str">
        <f t="shared" si="455"/>
        <v/>
      </c>
      <c r="Q3035" s="16" t="str">
        <f t="shared" si="455"/>
        <v/>
      </c>
      <c r="R3035" s="5" t="str">
        <f t="shared" si="454"/>
        <v/>
      </c>
      <c r="S3035" s="5" t="str">
        <f t="shared" si="458"/>
        <v/>
      </c>
      <c r="T3035" s="5" t="str">
        <f t="shared" si="461"/>
        <v/>
      </c>
      <c r="U3035" s="5" t="str">
        <f t="shared" si="461"/>
        <v/>
      </c>
    </row>
    <row r="3036" spans="7:21" x14ac:dyDescent="0.2">
      <c r="G3036" s="8"/>
      <c r="H3036" s="5"/>
      <c r="J3036" s="10" t="str">
        <f t="shared" si="456"/>
        <v/>
      </c>
      <c r="K3036" s="10" t="str">
        <f t="shared" si="457"/>
        <v/>
      </c>
      <c r="L3036" s="11" t="str">
        <f t="shared" si="459"/>
        <v/>
      </c>
      <c r="M3036" s="9" t="str">
        <f>IF(G3036&lt;&gt;"",J3036/MAX(J$3:J3036)-1,"")</f>
        <v/>
      </c>
      <c r="N3036" s="9" t="str">
        <f>IF(G3036&lt;&gt;"",K3036/MAX(K$3:K3036)-1,"")</f>
        <v/>
      </c>
      <c r="O3036" s="16" t="str">
        <f t="shared" si="455"/>
        <v/>
      </c>
      <c r="P3036" s="16" t="str">
        <f t="shared" si="455"/>
        <v/>
      </c>
      <c r="Q3036" s="16" t="str">
        <f t="shared" si="455"/>
        <v/>
      </c>
      <c r="R3036" s="5" t="str">
        <f t="shared" si="454"/>
        <v/>
      </c>
      <c r="S3036" s="5" t="str">
        <f t="shared" si="458"/>
        <v/>
      </c>
      <c r="T3036" s="5" t="str">
        <f t="shared" si="461"/>
        <v/>
      </c>
      <c r="U3036" s="5" t="str">
        <f t="shared" si="461"/>
        <v/>
      </c>
    </row>
    <row r="3037" spans="7:21" x14ac:dyDescent="0.2">
      <c r="G3037" s="8"/>
      <c r="H3037" s="5"/>
      <c r="J3037" s="10" t="str">
        <f t="shared" si="456"/>
        <v/>
      </c>
      <c r="K3037" s="10" t="str">
        <f t="shared" si="457"/>
        <v/>
      </c>
      <c r="L3037" s="11" t="str">
        <f t="shared" si="459"/>
        <v/>
      </c>
      <c r="M3037" s="9" t="str">
        <f>IF(G3037&lt;&gt;"",J3037/MAX(J$3:J3037)-1,"")</f>
        <v/>
      </c>
      <c r="N3037" s="9" t="str">
        <f>IF(G3037&lt;&gt;"",K3037/MAX(K$3:K3037)-1,"")</f>
        <v/>
      </c>
      <c r="O3037" s="16" t="str">
        <f t="shared" si="455"/>
        <v/>
      </c>
      <c r="P3037" s="16" t="str">
        <f t="shared" si="455"/>
        <v/>
      </c>
      <c r="Q3037" s="16" t="str">
        <f t="shared" si="455"/>
        <v/>
      </c>
      <c r="R3037" s="5" t="str">
        <f t="shared" si="454"/>
        <v/>
      </c>
      <c r="S3037" s="5" t="str">
        <f t="shared" si="458"/>
        <v/>
      </c>
      <c r="T3037" s="5" t="str">
        <f t="shared" si="461"/>
        <v/>
      </c>
      <c r="U3037" s="5" t="str">
        <f t="shared" si="461"/>
        <v/>
      </c>
    </row>
    <row r="3038" spans="7:21" x14ac:dyDescent="0.2">
      <c r="G3038" s="8"/>
      <c r="H3038" s="5"/>
      <c r="J3038" s="10" t="str">
        <f t="shared" si="456"/>
        <v/>
      </c>
      <c r="K3038" s="10" t="str">
        <f t="shared" si="457"/>
        <v/>
      </c>
      <c r="L3038" s="11" t="str">
        <f t="shared" si="459"/>
        <v/>
      </c>
      <c r="M3038" s="9" t="str">
        <f>IF(G3038&lt;&gt;"",J3038/MAX(J$3:J3038)-1,"")</f>
        <v/>
      </c>
      <c r="N3038" s="9" t="str">
        <f>IF(G3038&lt;&gt;"",K3038/MAX(K$3:K3038)-1,"")</f>
        <v/>
      </c>
      <c r="O3038" s="16" t="str">
        <f t="shared" si="455"/>
        <v/>
      </c>
      <c r="P3038" s="16" t="str">
        <f t="shared" si="455"/>
        <v/>
      </c>
      <c r="Q3038" s="16" t="str">
        <f t="shared" si="455"/>
        <v/>
      </c>
      <c r="R3038" s="5" t="str">
        <f t="shared" si="454"/>
        <v/>
      </c>
      <c r="S3038" s="5" t="str">
        <f t="shared" si="458"/>
        <v/>
      </c>
      <c r="T3038" s="5" t="str">
        <f t="shared" si="461"/>
        <v/>
      </c>
      <c r="U3038" s="5" t="str">
        <f t="shared" si="461"/>
        <v/>
      </c>
    </row>
    <row r="3039" spans="7:21" x14ac:dyDescent="0.2">
      <c r="G3039" s="8"/>
      <c r="H3039" s="5"/>
      <c r="J3039" s="10" t="str">
        <f t="shared" si="456"/>
        <v/>
      </c>
      <c r="K3039" s="10" t="str">
        <f t="shared" si="457"/>
        <v/>
      </c>
      <c r="L3039" s="11" t="str">
        <f t="shared" si="459"/>
        <v/>
      </c>
      <c r="M3039" s="9" t="str">
        <f>IF(G3039&lt;&gt;"",J3039/MAX(J$3:J3039)-1,"")</f>
        <v/>
      </c>
      <c r="N3039" s="9" t="str">
        <f>IF(G3039&lt;&gt;"",K3039/MAX(K$3:K3039)-1,"")</f>
        <v/>
      </c>
      <c r="O3039" s="16" t="str">
        <f t="shared" si="455"/>
        <v/>
      </c>
      <c r="P3039" s="16" t="str">
        <f t="shared" si="455"/>
        <v/>
      </c>
      <c r="Q3039" s="16" t="str">
        <f t="shared" si="455"/>
        <v/>
      </c>
      <c r="R3039" s="5" t="str">
        <f t="shared" si="454"/>
        <v/>
      </c>
      <c r="S3039" s="5" t="str">
        <f t="shared" si="458"/>
        <v/>
      </c>
      <c r="T3039" s="5" t="str">
        <f t="shared" si="461"/>
        <v/>
      </c>
      <c r="U3039" s="5" t="str">
        <f t="shared" si="461"/>
        <v/>
      </c>
    </row>
    <row r="3040" spans="7:21" x14ac:dyDescent="0.2">
      <c r="G3040" s="8"/>
      <c r="H3040" s="5"/>
      <c r="J3040" s="10" t="str">
        <f t="shared" si="456"/>
        <v/>
      </c>
      <c r="K3040" s="10" t="str">
        <f t="shared" si="457"/>
        <v/>
      </c>
      <c r="L3040" s="11" t="str">
        <f t="shared" si="459"/>
        <v/>
      </c>
      <c r="M3040" s="9" t="str">
        <f>IF(G3040&lt;&gt;"",J3040/MAX(J$3:J3040)-1,"")</f>
        <v/>
      </c>
      <c r="N3040" s="9" t="str">
        <f>IF(G3040&lt;&gt;"",K3040/MAX(K$3:K3040)-1,"")</f>
        <v/>
      </c>
      <c r="O3040" s="16" t="str">
        <f t="shared" si="455"/>
        <v/>
      </c>
      <c r="P3040" s="16" t="str">
        <f t="shared" si="455"/>
        <v/>
      </c>
      <c r="Q3040" s="16" t="str">
        <f t="shared" si="455"/>
        <v/>
      </c>
      <c r="R3040" s="5" t="str">
        <f t="shared" si="454"/>
        <v/>
      </c>
      <c r="S3040" s="5" t="str">
        <f t="shared" si="458"/>
        <v/>
      </c>
      <c r="T3040" s="5" t="str">
        <f t="shared" si="461"/>
        <v/>
      </c>
      <c r="U3040" s="5" t="str">
        <f t="shared" si="461"/>
        <v/>
      </c>
    </row>
    <row r="3041" spans="7:21" x14ac:dyDescent="0.2">
      <c r="G3041" s="8"/>
      <c r="H3041" s="5"/>
      <c r="J3041" s="10" t="str">
        <f t="shared" si="456"/>
        <v/>
      </c>
      <c r="K3041" s="10" t="str">
        <f t="shared" si="457"/>
        <v/>
      </c>
      <c r="L3041" s="11" t="str">
        <f t="shared" si="459"/>
        <v/>
      </c>
      <c r="M3041" s="9" t="str">
        <f>IF(G3041&lt;&gt;"",J3041/MAX(J$3:J3041)-1,"")</f>
        <v/>
      </c>
      <c r="N3041" s="9" t="str">
        <f>IF(G3041&lt;&gt;"",K3041/MAX(K$3:K3041)-1,"")</f>
        <v/>
      </c>
      <c r="O3041" s="16" t="str">
        <f t="shared" si="455"/>
        <v/>
      </c>
      <c r="P3041" s="16" t="str">
        <f t="shared" si="455"/>
        <v/>
      </c>
      <c r="Q3041" s="16" t="str">
        <f t="shared" si="455"/>
        <v/>
      </c>
      <c r="R3041" s="5" t="str">
        <f t="shared" si="454"/>
        <v/>
      </c>
      <c r="S3041" s="5" t="str">
        <f t="shared" si="458"/>
        <v/>
      </c>
      <c r="T3041" s="5" t="str">
        <f t="shared" si="461"/>
        <v/>
      </c>
      <c r="U3041" s="5" t="str">
        <f t="shared" si="461"/>
        <v/>
      </c>
    </row>
    <row r="3042" spans="7:21" x14ac:dyDescent="0.2">
      <c r="G3042" s="8"/>
      <c r="H3042" s="5"/>
      <c r="J3042" s="10" t="str">
        <f t="shared" si="456"/>
        <v/>
      </c>
      <c r="K3042" s="10" t="str">
        <f t="shared" si="457"/>
        <v/>
      </c>
      <c r="L3042" s="11" t="str">
        <f t="shared" si="459"/>
        <v/>
      </c>
      <c r="M3042" s="9" t="str">
        <f>IF(G3042&lt;&gt;"",J3042/MAX(J$3:J3042)-1,"")</f>
        <v/>
      </c>
      <c r="N3042" s="9" t="str">
        <f>IF(G3042&lt;&gt;"",K3042/MAX(K$3:K3042)-1,"")</f>
        <v/>
      </c>
      <c r="O3042" s="16" t="str">
        <f t="shared" si="455"/>
        <v/>
      </c>
      <c r="P3042" s="16" t="str">
        <f t="shared" si="455"/>
        <v/>
      </c>
      <c r="Q3042" s="16" t="str">
        <f t="shared" si="455"/>
        <v/>
      </c>
      <c r="R3042" s="5" t="str">
        <f t="shared" si="454"/>
        <v/>
      </c>
      <c r="S3042" s="5" t="str">
        <f t="shared" si="458"/>
        <v/>
      </c>
      <c r="T3042" s="5" t="str">
        <f t="shared" si="461"/>
        <v/>
      </c>
      <c r="U3042" s="5" t="str">
        <f t="shared" si="461"/>
        <v/>
      </c>
    </row>
    <row r="3043" spans="7:21" x14ac:dyDescent="0.2">
      <c r="G3043" s="8"/>
      <c r="H3043" s="5"/>
      <c r="J3043" s="10" t="str">
        <f t="shared" si="456"/>
        <v/>
      </c>
      <c r="K3043" s="10" t="str">
        <f t="shared" si="457"/>
        <v/>
      </c>
      <c r="L3043" s="11" t="str">
        <f t="shared" si="459"/>
        <v/>
      </c>
      <c r="M3043" s="9" t="str">
        <f>IF(G3043&lt;&gt;"",J3043/MAX(J$3:J3043)-1,"")</f>
        <v/>
      </c>
      <c r="N3043" s="9" t="str">
        <f>IF(G3043&lt;&gt;"",K3043/MAX(K$3:K3043)-1,"")</f>
        <v/>
      </c>
      <c r="O3043" s="16" t="str">
        <f t="shared" si="455"/>
        <v/>
      </c>
      <c r="P3043" s="16" t="str">
        <f t="shared" si="455"/>
        <v/>
      </c>
      <c r="Q3043" s="16" t="str">
        <f t="shared" si="455"/>
        <v/>
      </c>
      <c r="R3043" s="5" t="str">
        <f t="shared" si="454"/>
        <v/>
      </c>
      <c r="S3043" s="5" t="str">
        <f t="shared" si="458"/>
        <v/>
      </c>
      <c r="T3043" s="5" t="str">
        <f t="shared" si="461"/>
        <v/>
      </c>
      <c r="U3043" s="5" t="str">
        <f t="shared" si="461"/>
        <v/>
      </c>
    </row>
    <row r="3044" spans="7:21" x14ac:dyDescent="0.2">
      <c r="G3044" s="8"/>
      <c r="H3044" s="5"/>
      <c r="J3044" s="10" t="str">
        <f t="shared" si="456"/>
        <v/>
      </c>
      <c r="K3044" s="10" t="str">
        <f t="shared" si="457"/>
        <v/>
      </c>
      <c r="L3044" s="11" t="str">
        <f t="shared" si="459"/>
        <v/>
      </c>
      <c r="M3044" s="9" t="str">
        <f>IF(G3044&lt;&gt;"",J3044/MAX(J$3:J3044)-1,"")</f>
        <v/>
      </c>
      <c r="N3044" s="9" t="str">
        <f>IF(G3044&lt;&gt;"",K3044/MAX(K$3:K3044)-1,"")</f>
        <v/>
      </c>
      <c r="O3044" s="16" t="str">
        <f t="shared" si="455"/>
        <v/>
      </c>
      <c r="P3044" s="16" t="str">
        <f t="shared" si="455"/>
        <v/>
      </c>
      <c r="Q3044" s="16" t="str">
        <f t="shared" si="455"/>
        <v/>
      </c>
      <c r="R3044" s="5" t="str">
        <f t="shared" si="454"/>
        <v/>
      </c>
      <c r="S3044" s="5" t="str">
        <f t="shared" si="458"/>
        <v/>
      </c>
      <c r="T3044" s="5" t="str">
        <f t="shared" si="461"/>
        <v/>
      </c>
      <c r="U3044" s="5" t="str">
        <f t="shared" si="461"/>
        <v/>
      </c>
    </row>
    <row r="3045" spans="7:21" x14ac:dyDescent="0.2">
      <c r="G3045" s="8"/>
      <c r="H3045" s="5"/>
      <c r="J3045" s="10" t="str">
        <f t="shared" si="456"/>
        <v/>
      </c>
      <c r="K3045" s="10" t="str">
        <f t="shared" si="457"/>
        <v/>
      </c>
      <c r="L3045" s="11" t="str">
        <f t="shared" si="459"/>
        <v/>
      </c>
      <c r="M3045" s="9" t="str">
        <f>IF(G3045&lt;&gt;"",J3045/MAX(J$3:J3045)-1,"")</f>
        <v/>
      </c>
      <c r="N3045" s="9" t="str">
        <f>IF(G3045&lt;&gt;"",K3045/MAX(K$3:K3045)-1,"")</f>
        <v/>
      </c>
      <c r="O3045" s="16" t="str">
        <f t="shared" si="455"/>
        <v/>
      </c>
      <c r="P3045" s="16" t="str">
        <f t="shared" si="455"/>
        <v/>
      </c>
      <c r="Q3045" s="16" t="str">
        <f t="shared" si="455"/>
        <v/>
      </c>
      <c r="R3045" s="5" t="str">
        <f t="shared" si="454"/>
        <v/>
      </c>
      <c r="S3045" s="5" t="str">
        <f t="shared" si="458"/>
        <v/>
      </c>
      <c r="T3045" s="5" t="str">
        <f t="shared" si="461"/>
        <v/>
      </c>
      <c r="U3045" s="5" t="str">
        <f t="shared" si="461"/>
        <v/>
      </c>
    </row>
    <row r="3046" spans="7:21" x14ac:dyDescent="0.2">
      <c r="G3046" s="8"/>
      <c r="H3046" s="5"/>
      <c r="J3046" s="10" t="str">
        <f t="shared" si="456"/>
        <v/>
      </c>
      <c r="K3046" s="10" t="str">
        <f t="shared" si="457"/>
        <v/>
      </c>
      <c r="L3046" s="11" t="str">
        <f t="shared" si="459"/>
        <v/>
      </c>
      <c r="M3046" s="9" t="str">
        <f>IF(G3046&lt;&gt;"",J3046/MAX(J$3:J3046)-1,"")</f>
        <v/>
      </c>
      <c r="N3046" s="9" t="str">
        <f>IF(G3046&lt;&gt;"",K3046/MAX(K$3:K3046)-1,"")</f>
        <v/>
      </c>
      <c r="O3046" s="16" t="str">
        <f t="shared" si="455"/>
        <v/>
      </c>
      <c r="P3046" s="16" t="str">
        <f t="shared" si="455"/>
        <v/>
      </c>
      <c r="Q3046" s="16" t="str">
        <f t="shared" si="455"/>
        <v/>
      </c>
      <c r="R3046" s="5" t="str">
        <f t="shared" si="454"/>
        <v/>
      </c>
      <c r="S3046" s="5" t="str">
        <f t="shared" si="458"/>
        <v/>
      </c>
      <c r="T3046" s="5" t="str">
        <f t="shared" si="461"/>
        <v/>
      </c>
      <c r="U3046" s="5" t="str">
        <f t="shared" si="461"/>
        <v/>
      </c>
    </row>
    <row r="3047" spans="7:21" x14ac:dyDescent="0.2">
      <c r="G3047" s="8"/>
      <c r="H3047" s="5"/>
      <c r="J3047" s="10" t="str">
        <f t="shared" si="456"/>
        <v/>
      </c>
      <c r="K3047" s="10" t="str">
        <f t="shared" si="457"/>
        <v/>
      </c>
      <c r="L3047" s="11" t="str">
        <f t="shared" si="459"/>
        <v/>
      </c>
      <c r="M3047" s="9" t="str">
        <f>IF(G3047&lt;&gt;"",J3047/MAX(J$3:J3047)-1,"")</f>
        <v/>
      </c>
      <c r="N3047" s="9" t="str">
        <f>IF(G3047&lt;&gt;"",K3047/MAX(K$3:K3047)-1,"")</f>
        <v/>
      </c>
      <c r="O3047" s="16" t="str">
        <f t="shared" si="455"/>
        <v/>
      </c>
      <c r="P3047" s="16" t="str">
        <f t="shared" si="455"/>
        <v/>
      </c>
      <c r="Q3047" s="16" t="str">
        <f t="shared" si="455"/>
        <v/>
      </c>
      <c r="R3047" s="5" t="str">
        <f t="shared" si="454"/>
        <v/>
      </c>
      <c r="S3047" s="5" t="str">
        <f t="shared" si="458"/>
        <v/>
      </c>
      <c r="T3047" s="5" t="str">
        <f t="shared" si="461"/>
        <v/>
      </c>
      <c r="U3047" s="5" t="str">
        <f t="shared" si="461"/>
        <v/>
      </c>
    </row>
    <row r="3048" spans="7:21" x14ac:dyDescent="0.2">
      <c r="G3048" s="8"/>
      <c r="H3048" s="5"/>
      <c r="J3048" s="10" t="str">
        <f t="shared" si="456"/>
        <v/>
      </c>
      <c r="K3048" s="10" t="str">
        <f t="shared" si="457"/>
        <v/>
      </c>
      <c r="L3048" s="11" t="str">
        <f t="shared" si="459"/>
        <v/>
      </c>
      <c r="M3048" s="9" t="str">
        <f>IF(G3048&lt;&gt;"",J3048/MAX(J$3:J3048)-1,"")</f>
        <v/>
      </c>
      <c r="N3048" s="9" t="str">
        <f>IF(G3048&lt;&gt;"",K3048/MAX(K$3:K3048)-1,"")</f>
        <v/>
      </c>
      <c r="O3048" s="16" t="str">
        <f t="shared" si="455"/>
        <v/>
      </c>
      <c r="P3048" s="16" t="str">
        <f t="shared" si="455"/>
        <v/>
      </c>
      <c r="Q3048" s="16" t="str">
        <f t="shared" si="455"/>
        <v/>
      </c>
      <c r="R3048" s="5" t="str">
        <f t="shared" si="454"/>
        <v/>
      </c>
      <c r="S3048" s="5" t="str">
        <f t="shared" si="458"/>
        <v/>
      </c>
      <c r="T3048" s="5" t="str">
        <f t="shared" ref="T3048:U3063" si="462">IF($G3048&lt;&gt;"",_xlfn.STDEV.S(O2804:O3048),"")</f>
        <v/>
      </c>
      <c r="U3048" s="5" t="str">
        <f t="shared" si="462"/>
        <v/>
      </c>
    </row>
    <row r="3049" spans="7:21" x14ac:dyDescent="0.2">
      <c r="G3049" s="8"/>
      <c r="H3049" s="5"/>
      <c r="J3049" s="10" t="str">
        <f t="shared" si="456"/>
        <v/>
      </c>
      <c r="K3049" s="10" t="str">
        <f t="shared" si="457"/>
        <v/>
      </c>
      <c r="L3049" s="11" t="str">
        <f t="shared" si="459"/>
        <v/>
      </c>
      <c r="M3049" s="9" t="str">
        <f>IF(G3049&lt;&gt;"",J3049/MAX(J$3:J3049)-1,"")</f>
        <v/>
      </c>
      <c r="N3049" s="9" t="str">
        <f>IF(G3049&lt;&gt;"",K3049/MAX(K$3:K3049)-1,"")</f>
        <v/>
      </c>
      <c r="O3049" s="16" t="str">
        <f t="shared" si="455"/>
        <v/>
      </c>
      <c r="P3049" s="16" t="str">
        <f t="shared" si="455"/>
        <v/>
      </c>
      <c r="Q3049" s="16" t="str">
        <f t="shared" si="455"/>
        <v/>
      </c>
      <c r="R3049" s="5" t="str">
        <f t="shared" si="454"/>
        <v/>
      </c>
      <c r="S3049" s="5" t="str">
        <f t="shared" si="458"/>
        <v/>
      </c>
      <c r="T3049" s="5" t="str">
        <f t="shared" si="462"/>
        <v/>
      </c>
      <c r="U3049" s="5" t="str">
        <f t="shared" si="462"/>
        <v/>
      </c>
    </row>
    <row r="3050" spans="7:21" x14ac:dyDescent="0.2">
      <c r="G3050" s="8"/>
      <c r="H3050" s="5"/>
      <c r="J3050" s="10" t="str">
        <f t="shared" si="456"/>
        <v/>
      </c>
      <c r="K3050" s="10" t="str">
        <f t="shared" si="457"/>
        <v/>
      </c>
      <c r="L3050" s="11" t="str">
        <f t="shared" si="459"/>
        <v/>
      </c>
      <c r="M3050" s="9" t="str">
        <f>IF(G3050&lt;&gt;"",J3050/MAX(J$3:J3050)-1,"")</f>
        <v/>
      </c>
      <c r="N3050" s="9" t="str">
        <f>IF(G3050&lt;&gt;"",K3050/MAX(K$3:K3050)-1,"")</f>
        <v/>
      </c>
      <c r="O3050" s="16" t="str">
        <f t="shared" si="455"/>
        <v/>
      </c>
      <c r="P3050" s="16" t="str">
        <f t="shared" si="455"/>
        <v/>
      </c>
      <c r="Q3050" s="16" t="str">
        <f t="shared" si="455"/>
        <v/>
      </c>
      <c r="R3050" s="5" t="str">
        <f t="shared" si="454"/>
        <v/>
      </c>
      <c r="S3050" s="5" t="str">
        <f t="shared" si="458"/>
        <v/>
      </c>
      <c r="T3050" s="5" t="str">
        <f t="shared" si="462"/>
        <v/>
      </c>
      <c r="U3050" s="5" t="str">
        <f t="shared" si="462"/>
        <v/>
      </c>
    </row>
    <row r="3051" spans="7:21" x14ac:dyDescent="0.2">
      <c r="G3051" s="8"/>
      <c r="H3051" s="5"/>
      <c r="J3051" s="10" t="str">
        <f t="shared" si="456"/>
        <v/>
      </c>
      <c r="K3051" s="10" t="str">
        <f t="shared" si="457"/>
        <v/>
      </c>
      <c r="L3051" s="11" t="str">
        <f t="shared" si="459"/>
        <v/>
      </c>
      <c r="M3051" s="9" t="str">
        <f>IF(G3051&lt;&gt;"",J3051/MAX(J$3:J3051)-1,"")</f>
        <v/>
      </c>
      <c r="N3051" s="9" t="str">
        <f>IF(G3051&lt;&gt;"",K3051/MAX(K$3:K3051)-1,"")</f>
        <v/>
      </c>
      <c r="O3051" s="16" t="str">
        <f t="shared" si="455"/>
        <v/>
      </c>
      <c r="P3051" s="16" t="str">
        <f t="shared" si="455"/>
        <v/>
      </c>
      <c r="Q3051" s="16" t="str">
        <f t="shared" si="455"/>
        <v/>
      </c>
      <c r="R3051" s="5" t="str">
        <f t="shared" si="454"/>
        <v/>
      </c>
      <c r="S3051" s="5" t="str">
        <f t="shared" si="458"/>
        <v/>
      </c>
      <c r="T3051" s="5" t="str">
        <f t="shared" si="462"/>
        <v/>
      </c>
      <c r="U3051" s="5" t="str">
        <f t="shared" si="462"/>
        <v/>
      </c>
    </row>
    <row r="3052" spans="7:21" x14ac:dyDescent="0.2">
      <c r="G3052" s="8"/>
      <c r="H3052" s="5"/>
      <c r="J3052" s="10" t="str">
        <f t="shared" si="456"/>
        <v/>
      </c>
      <c r="K3052" s="10" t="str">
        <f t="shared" si="457"/>
        <v/>
      </c>
      <c r="L3052" s="11" t="str">
        <f t="shared" si="459"/>
        <v/>
      </c>
      <c r="M3052" s="9" t="str">
        <f>IF(G3052&lt;&gt;"",J3052/MAX(J$3:J3052)-1,"")</f>
        <v/>
      </c>
      <c r="N3052" s="9" t="str">
        <f>IF(G3052&lt;&gt;"",K3052/MAX(K$3:K3052)-1,"")</f>
        <v/>
      </c>
      <c r="O3052" s="16" t="str">
        <f t="shared" si="455"/>
        <v/>
      </c>
      <c r="P3052" s="16" t="str">
        <f t="shared" si="455"/>
        <v/>
      </c>
      <c r="Q3052" s="16" t="str">
        <f t="shared" si="455"/>
        <v/>
      </c>
      <c r="R3052" s="5" t="str">
        <f t="shared" si="454"/>
        <v/>
      </c>
      <c r="S3052" s="5" t="str">
        <f t="shared" si="458"/>
        <v/>
      </c>
      <c r="T3052" s="5" t="str">
        <f t="shared" si="462"/>
        <v/>
      </c>
      <c r="U3052" s="5" t="str">
        <f t="shared" si="462"/>
        <v/>
      </c>
    </row>
    <row r="3053" spans="7:21" x14ac:dyDescent="0.2">
      <c r="G3053" s="8"/>
      <c r="H3053" s="5"/>
      <c r="J3053" s="10" t="str">
        <f t="shared" si="456"/>
        <v/>
      </c>
      <c r="K3053" s="10" t="str">
        <f t="shared" si="457"/>
        <v/>
      </c>
      <c r="L3053" s="11" t="str">
        <f t="shared" si="459"/>
        <v/>
      </c>
      <c r="M3053" s="9" t="str">
        <f>IF(G3053&lt;&gt;"",J3053/MAX(J$3:J3053)-1,"")</f>
        <v/>
      </c>
      <c r="N3053" s="9" t="str">
        <f>IF(G3053&lt;&gt;"",K3053/MAX(K$3:K3053)-1,"")</f>
        <v/>
      </c>
      <c r="O3053" s="16" t="str">
        <f t="shared" si="455"/>
        <v/>
      </c>
      <c r="P3053" s="16" t="str">
        <f t="shared" si="455"/>
        <v/>
      </c>
      <c r="Q3053" s="16" t="str">
        <f t="shared" si="455"/>
        <v/>
      </c>
      <c r="R3053" s="5" t="str">
        <f t="shared" si="454"/>
        <v/>
      </c>
      <c r="S3053" s="5" t="str">
        <f t="shared" si="458"/>
        <v/>
      </c>
      <c r="T3053" s="5" t="str">
        <f t="shared" si="462"/>
        <v/>
      </c>
      <c r="U3053" s="5" t="str">
        <f t="shared" si="462"/>
        <v/>
      </c>
    </row>
    <row r="3054" spans="7:21" x14ac:dyDescent="0.2">
      <c r="G3054" s="8"/>
      <c r="H3054" s="5"/>
      <c r="J3054" s="10" t="str">
        <f t="shared" si="456"/>
        <v/>
      </c>
      <c r="K3054" s="10" t="str">
        <f t="shared" si="457"/>
        <v/>
      </c>
      <c r="L3054" s="11" t="str">
        <f t="shared" si="459"/>
        <v/>
      </c>
      <c r="M3054" s="9" t="str">
        <f>IF(G3054&lt;&gt;"",J3054/MAX(J$3:J3054)-1,"")</f>
        <v/>
      </c>
      <c r="N3054" s="9" t="str">
        <f>IF(G3054&lt;&gt;"",K3054/MAX(K$3:K3054)-1,"")</f>
        <v/>
      </c>
      <c r="O3054" s="16" t="str">
        <f t="shared" si="455"/>
        <v/>
      </c>
      <c r="P3054" s="16" t="str">
        <f t="shared" si="455"/>
        <v/>
      </c>
      <c r="Q3054" s="16" t="str">
        <f t="shared" si="455"/>
        <v/>
      </c>
      <c r="R3054" s="5" t="str">
        <f t="shared" si="454"/>
        <v/>
      </c>
      <c r="S3054" s="5" t="str">
        <f t="shared" si="458"/>
        <v/>
      </c>
      <c r="T3054" s="5" t="str">
        <f t="shared" si="462"/>
        <v/>
      </c>
      <c r="U3054" s="5" t="str">
        <f t="shared" si="462"/>
        <v/>
      </c>
    </row>
    <row r="3055" spans="7:21" x14ac:dyDescent="0.2">
      <c r="G3055" s="8"/>
      <c r="H3055" s="5"/>
      <c r="J3055" s="10" t="str">
        <f t="shared" si="456"/>
        <v/>
      </c>
      <c r="K3055" s="10" t="str">
        <f t="shared" si="457"/>
        <v/>
      </c>
      <c r="L3055" s="11" t="str">
        <f t="shared" si="459"/>
        <v/>
      </c>
      <c r="M3055" s="9" t="str">
        <f>IF(G3055&lt;&gt;"",J3055/MAX(J$3:J3055)-1,"")</f>
        <v/>
      </c>
      <c r="N3055" s="9" t="str">
        <f>IF(G3055&lt;&gt;"",K3055/MAX(K$3:K3055)-1,"")</f>
        <v/>
      </c>
      <c r="O3055" s="16" t="str">
        <f t="shared" si="455"/>
        <v/>
      </c>
      <c r="P3055" s="16" t="str">
        <f t="shared" si="455"/>
        <v/>
      </c>
      <c r="Q3055" s="16" t="str">
        <f t="shared" si="455"/>
        <v/>
      </c>
      <c r="R3055" s="5" t="str">
        <f t="shared" si="454"/>
        <v/>
      </c>
      <c r="S3055" s="5" t="str">
        <f t="shared" si="458"/>
        <v/>
      </c>
      <c r="T3055" s="5" t="str">
        <f t="shared" si="462"/>
        <v/>
      </c>
      <c r="U3055" s="5" t="str">
        <f t="shared" si="462"/>
        <v/>
      </c>
    </row>
    <row r="3056" spans="7:21" x14ac:dyDescent="0.2">
      <c r="G3056" s="8"/>
      <c r="H3056" s="5"/>
      <c r="J3056" s="10" t="str">
        <f t="shared" si="456"/>
        <v/>
      </c>
      <c r="K3056" s="10" t="str">
        <f t="shared" si="457"/>
        <v/>
      </c>
      <c r="L3056" s="11" t="str">
        <f t="shared" si="459"/>
        <v/>
      </c>
      <c r="M3056" s="9" t="str">
        <f>IF(G3056&lt;&gt;"",J3056/MAX(J$3:J3056)-1,"")</f>
        <v/>
      </c>
      <c r="N3056" s="9" t="str">
        <f>IF(G3056&lt;&gt;"",K3056/MAX(K$3:K3056)-1,"")</f>
        <v/>
      </c>
      <c r="O3056" s="16" t="str">
        <f t="shared" si="455"/>
        <v/>
      </c>
      <c r="P3056" s="16" t="str">
        <f t="shared" si="455"/>
        <v/>
      </c>
      <c r="Q3056" s="16" t="str">
        <f t="shared" si="455"/>
        <v/>
      </c>
      <c r="R3056" s="5" t="str">
        <f t="shared" si="454"/>
        <v/>
      </c>
      <c r="S3056" s="5" t="str">
        <f t="shared" si="458"/>
        <v/>
      </c>
      <c r="T3056" s="5" t="str">
        <f t="shared" si="462"/>
        <v/>
      </c>
      <c r="U3056" s="5" t="str">
        <f t="shared" si="462"/>
        <v/>
      </c>
    </row>
    <row r="3057" spans="7:21" x14ac:dyDescent="0.2">
      <c r="G3057" s="8"/>
      <c r="H3057" s="5"/>
      <c r="J3057" s="10" t="str">
        <f t="shared" si="456"/>
        <v/>
      </c>
      <c r="K3057" s="10" t="str">
        <f t="shared" si="457"/>
        <v/>
      </c>
      <c r="L3057" s="11" t="str">
        <f t="shared" si="459"/>
        <v/>
      </c>
      <c r="M3057" s="9" t="str">
        <f>IF(G3057&lt;&gt;"",J3057/MAX(J$3:J3057)-1,"")</f>
        <v/>
      </c>
      <c r="N3057" s="9" t="str">
        <f>IF(G3057&lt;&gt;"",K3057/MAX(K$3:K3057)-1,"")</f>
        <v/>
      </c>
      <c r="O3057" s="16" t="str">
        <f t="shared" si="455"/>
        <v/>
      </c>
      <c r="P3057" s="16" t="str">
        <f t="shared" si="455"/>
        <v/>
      </c>
      <c r="Q3057" s="16" t="str">
        <f t="shared" si="455"/>
        <v/>
      </c>
      <c r="R3057" s="5" t="str">
        <f t="shared" si="454"/>
        <v/>
      </c>
      <c r="S3057" s="5" t="str">
        <f t="shared" si="458"/>
        <v/>
      </c>
      <c r="T3057" s="5" t="str">
        <f t="shared" si="462"/>
        <v/>
      </c>
      <c r="U3057" s="5" t="str">
        <f t="shared" si="462"/>
        <v/>
      </c>
    </row>
    <row r="3058" spans="7:21" x14ac:dyDescent="0.2">
      <c r="G3058" s="8"/>
      <c r="H3058" s="5"/>
      <c r="J3058" s="10" t="str">
        <f t="shared" si="456"/>
        <v/>
      </c>
      <c r="K3058" s="10" t="str">
        <f t="shared" si="457"/>
        <v/>
      </c>
      <c r="L3058" s="11" t="str">
        <f t="shared" si="459"/>
        <v/>
      </c>
      <c r="M3058" s="9" t="str">
        <f>IF(G3058&lt;&gt;"",J3058/MAX(J$3:J3058)-1,"")</f>
        <v/>
      </c>
      <c r="N3058" s="9" t="str">
        <f>IF(G3058&lt;&gt;"",K3058/MAX(K$3:K3058)-1,"")</f>
        <v/>
      </c>
      <c r="O3058" s="16" t="str">
        <f t="shared" si="455"/>
        <v/>
      </c>
      <c r="P3058" s="16" t="str">
        <f t="shared" si="455"/>
        <v/>
      </c>
      <c r="Q3058" s="16" t="str">
        <f t="shared" si="455"/>
        <v/>
      </c>
      <c r="R3058" s="5" t="str">
        <f t="shared" si="454"/>
        <v/>
      </c>
      <c r="S3058" s="5" t="str">
        <f t="shared" si="458"/>
        <v/>
      </c>
      <c r="T3058" s="5" t="str">
        <f t="shared" si="462"/>
        <v/>
      </c>
      <c r="U3058" s="5" t="str">
        <f t="shared" si="462"/>
        <v/>
      </c>
    </row>
    <row r="3059" spans="7:21" x14ac:dyDescent="0.2">
      <c r="G3059" s="8"/>
      <c r="H3059" s="5"/>
      <c r="J3059" s="10" t="str">
        <f t="shared" si="456"/>
        <v/>
      </c>
      <c r="K3059" s="10" t="str">
        <f t="shared" si="457"/>
        <v/>
      </c>
      <c r="L3059" s="11" t="str">
        <f t="shared" si="459"/>
        <v/>
      </c>
      <c r="M3059" s="9" t="str">
        <f>IF(G3059&lt;&gt;"",J3059/MAX(J$3:J3059)-1,"")</f>
        <v/>
      </c>
      <c r="N3059" s="9" t="str">
        <f>IF(G3059&lt;&gt;"",K3059/MAX(K$3:K3059)-1,"")</f>
        <v/>
      </c>
      <c r="O3059" s="16" t="str">
        <f t="shared" si="455"/>
        <v/>
      </c>
      <c r="P3059" s="16" t="str">
        <f t="shared" si="455"/>
        <v/>
      </c>
      <c r="Q3059" s="16" t="str">
        <f t="shared" si="455"/>
        <v/>
      </c>
      <c r="R3059" s="5" t="str">
        <f t="shared" si="454"/>
        <v/>
      </c>
      <c r="S3059" s="5" t="str">
        <f t="shared" si="458"/>
        <v/>
      </c>
      <c r="T3059" s="5" t="str">
        <f t="shared" si="462"/>
        <v/>
      </c>
      <c r="U3059" s="5" t="str">
        <f t="shared" si="462"/>
        <v/>
      </c>
    </row>
    <row r="3060" spans="7:21" x14ac:dyDescent="0.2">
      <c r="G3060" s="8"/>
      <c r="H3060" s="5"/>
      <c r="J3060" s="10" t="str">
        <f t="shared" si="456"/>
        <v/>
      </c>
      <c r="K3060" s="10" t="str">
        <f t="shared" si="457"/>
        <v/>
      </c>
      <c r="L3060" s="11" t="str">
        <f t="shared" si="459"/>
        <v/>
      </c>
      <c r="M3060" s="9" t="str">
        <f>IF(G3060&lt;&gt;"",J3060/MAX(J$3:J3060)-1,"")</f>
        <v/>
      </c>
      <c r="N3060" s="9" t="str">
        <f>IF(G3060&lt;&gt;"",K3060/MAX(K$3:K3060)-1,"")</f>
        <v/>
      </c>
      <c r="O3060" s="16" t="str">
        <f t="shared" si="455"/>
        <v/>
      </c>
      <c r="P3060" s="16" t="str">
        <f t="shared" si="455"/>
        <v/>
      </c>
      <c r="Q3060" s="16" t="str">
        <f t="shared" si="455"/>
        <v/>
      </c>
      <c r="R3060" s="5" t="str">
        <f t="shared" si="454"/>
        <v/>
      </c>
      <c r="S3060" s="5" t="str">
        <f t="shared" si="458"/>
        <v/>
      </c>
      <c r="T3060" s="5" t="str">
        <f t="shared" si="462"/>
        <v/>
      </c>
      <c r="U3060" s="5" t="str">
        <f t="shared" si="462"/>
        <v/>
      </c>
    </row>
    <row r="3061" spans="7:21" x14ac:dyDescent="0.2">
      <c r="G3061" s="8"/>
      <c r="H3061" s="5"/>
      <c r="J3061" s="10" t="str">
        <f t="shared" si="456"/>
        <v/>
      </c>
      <c r="K3061" s="10" t="str">
        <f t="shared" si="457"/>
        <v/>
      </c>
      <c r="L3061" s="11" t="str">
        <f t="shared" si="459"/>
        <v/>
      </c>
      <c r="M3061" s="9" t="str">
        <f>IF(G3061&lt;&gt;"",J3061/MAX(J$3:J3061)-1,"")</f>
        <v/>
      </c>
      <c r="N3061" s="9" t="str">
        <f>IF(G3061&lt;&gt;"",K3061/MAX(K$3:K3061)-1,"")</f>
        <v/>
      </c>
      <c r="O3061" s="16" t="str">
        <f t="shared" si="455"/>
        <v/>
      </c>
      <c r="P3061" s="16" t="str">
        <f t="shared" si="455"/>
        <v/>
      </c>
      <c r="Q3061" s="16" t="str">
        <f t="shared" si="455"/>
        <v/>
      </c>
      <c r="R3061" s="5" t="str">
        <f t="shared" si="454"/>
        <v/>
      </c>
      <c r="S3061" s="5" t="str">
        <f t="shared" si="458"/>
        <v/>
      </c>
      <c r="T3061" s="5" t="str">
        <f t="shared" si="462"/>
        <v/>
      </c>
      <c r="U3061" s="5" t="str">
        <f t="shared" si="462"/>
        <v/>
      </c>
    </row>
    <row r="3062" spans="7:21" x14ac:dyDescent="0.2">
      <c r="G3062" s="8"/>
      <c r="H3062" s="5"/>
      <c r="J3062" s="10" t="str">
        <f t="shared" si="456"/>
        <v/>
      </c>
      <c r="K3062" s="10" t="str">
        <f t="shared" si="457"/>
        <v/>
      </c>
      <c r="L3062" s="11" t="str">
        <f t="shared" si="459"/>
        <v/>
      </c>
      <c r="M3062" s="9" t="str">
        <f>IF(G3062&lt;&gt;"",J3062/MAX(J$3:J3062)-1,"")</f>
        <v/>
      </c>
      <c r="N3062" s="9" t="str">
        <f>IF(G3062&lt;&gt;"",K3062/MAX(K$3:K3062)-1,"")</f>
        <v/>
      </c>
      <c r="O3062" s="16" t="str">
        <f t="shared" si="455"/>
        <v/>
      </c>
      <c r="P3062" s="16" t="str">
        <f t="shared" si="455"/>
        <v/>
      </c>
      <c r="Q3062" s="16" t="str">
        <f t="shared" si="455"/>
        <v/>
      </c>
      <c r="R3062" s="5" t="str">
        <f t="shared" si="454"/>
        <v/>
      </c>
      <c r="S3062" s="5" t="str">
        <f t="shared" si="458"/>
        <v/>
      </c>
      <c r="T3062" s="5" t="str">
        <f t="shared" si="462"/>
        <v/>
      </c>
      <c r="U3062" s="5" t="str">
        <f t="shared" si="462"/>
        <v/>
      </c>
    </row>
    <row r="3063" spans="7:21" x14ac:dyDescent="0.2">
      <c r="G3063" s="8"/>
      <c r="H3063" s="5"/>
      <c r="J3063" s="10" t="str">
        <f t="shared" si="456"/>
        <v/>
      </c>
      <c r="K3063" s="10" t="str">
        <f t="shared" si="457"/>
        <v/>
      </c>
      <c r="L3063" s="11" t="str">
        <f t="shared" si="459"/>
        <v/>
      </c>
      <c r="M3063" s="9" t="str">
        <f>IF(G3063&lt;&gt;"",J3063/MAX(J$3:J3063)-1,"")</f>
        <v/>
      </c>
      <c r="N3063" s="9" t="str">
        <f>IF(G3063&lt;&gt;"",K3063/MAX(K$3:K3063)-1,"")</f>
        <v/>
      </c>
      <c r="O3063" s="16" t="str">
        <f t="shared" si="455"/>
        <v/>
      </c>
      <c r="P3063" s="16" t="str">
        <f t="shared" si="455"/>
        <v/>
      </c>
      <c r="Q3063" s="16" t="str">
        <f t="shared" si="455"/>
        <v/>
      </c>
      <c r="R3063" s="5" t="str">
        <f t="shared" si="454"/>
        <v/>
      </c>
      <c r="S3063" s="5" t="str">
        <f t="shared" si="458"/>
        <v/>
      </c>
      <c r="T3063" s="5" t="str">
        <f t="shared" si="462"/>
        <v/>
      </c>
      <c r="U3063" s="5" t="str">
        <f t="shared" si="462"/>
        <v/>
      </c>
    </row>
    <row r="3064" spans="7:21" x14ac:dyDescent="0.2">
      <c r="G3064" s="8"/>
      <c r="H3064" s="5"/>
      <c r="J3064" s="10" t="str">
        <f t="shared" si="456"/>
        <v/>
      </c>
      <c r="K3064" s="10" t="str">
        <f t="shared" si="457"/>
        <v/>
      </c>
      <c r="L3064" s="11" t="str">
        <f t="shared" si="459"/>
        <v/>
      </c>
      <c r="M3064" s="9" t="str">
        <f>IF(G3064&lt;&gt;"",J3064/MAX(J$3:J3064)-1,"")</f>
        <v/>
      </c>
      <c r="N3064" s="9" t="str">
        <f>IF(G3064&lt;&gt;"",K3064/MAX(K$3:K3064)-1,"")</f>
        <v/>
      </c>
      <c r="O3064" s="16" t="str">
        <f t="shared" si="455"/>
        <v/>
      </c>
      <c r="P3064" s="16" t="str">
        <f t="shared" si="455"/>
        <v/>
      </c>
      <c r="Q3064" s="16" t="str">
        <f t="shared" si="455"/>
        <v/>
      </c>
      <c r="R3064" s="5" t="str">
        <f t="shared" si="454"/>
        <v/>
      </c>
      <c r="S3064" s="5" t="str">
        <f t="shared" si="458"/>
        <v/>
      </c>
      <c r="T3064" s="5" t="str">
        <f t="shared" ref="T3064:U3079" si="463">IF($G3064&lt;&gt;"",_xlfn.STDEV.S(O2820:O3064),"")</f>
        <v/>
      </c>
      <c r="U3064" s="5" t="str">
        <f t="shared" si="463"/>
        <v/>
      </c>
    </row>
    <row r="3065" spans="7:21" x14ac:dyDescent="0.2">
      <c r="G3065" s="8"/>
      <c r="H3065" s="5"/>
      <c r="J3065" s="10" t="str">
        <f t="shared" si="456"/>
        <v/>
      </c>
      <c r="K3065" s="10" t="str">
        <f t="shared" si="457"/>
        <v/>
      </c>
      <c r="L3065" s="11" t="str">
        <f t="shared" si="459"/>
        <v/>
      </c>
      <c r="M3065" s="9" t="str">
        <f>IF(G3065&lt;&gt;"",J3065/MAX(J$3:J3065)-1,"")</f>
        <v/>
      </c>
      <c r="N3065" s="9" t="str">
        <f>IF(G3065&lt;&gt;"",K3065/MAX(K$3:K3065)-1,"")</f>
        <v/>
      </c>
      <c r="O3065" s="16" t="str">
        <f t="shared" si="455"/>
        <v/>
      </c>
      <c r="P3065" s="16" t="str">
        <f t="shared" si="455"/>
        <v/>
      </c>
      <c r="Q3065" s="16" t="str">
        <f t="shared" si="455"/>
        <v/>
      </c>
      <c r="R3065" s="5" t="str">
        <f t="shared" si="454"/>
        <v/>
      </c>
      <c r="S3065" s="5" t="str">
        <f t="shared" si="458"/>
        <v/>
      </c>
      <c r="T3065" s="5" t="str">
        <f t="shared" si="463"/>
        <v/>
      </c>
      <c r="U3065" s="5" t="str">
        <f t="shared" si="463"/>
        <v/>
      </c>
    </row>
    <row r="3066" spans="7:21" x14ac:dyDescent="0.2">
      <c r="G3066" s="8"/>
      <c r="H3066" s="5"/>
      <c r="J3066" s="10" t="str">
        <f t="shared" si="456"/>
        <v/>
      </c>
      <c r="K3066" s="10" t="str">
        <f t="shared" si="457"/>
        <v/>
      </c>
      <c r="L3066" s="11" t="str">
        <f t="shared" si="459"/>
        <v/>
      </c>
      <c r="M3066" s="9" t="str">
        <f>IF(G3066&lt;&gt;"",J3066/MAX(J$3:J3066)-1,"")</f>
        <v/>
      </c>
      <c r="N3066" s="9" t="str">
        <f>IF(G3066&lt;&gt;"",K3066/MAX(K$3:K3066)-1,"")</f>
        <v/>
      </c>
      <c r="O3066" s="16" t="str">
        <f t="shared" si="455"/>
        <v/>
      </c>
      <c r="P3066" s="16" t="str">
        <f t="shared" si="455"/>
        <v/>
      </c>
      <c r="Q3066" s="16" t="str">
        <f t="shared" si="455"/>
        <v/>
      </c>
      <c r="R3066" s="5" t="str">
        <f t="shared" si="454"/>
        <v/>
      </c>
      <c r="S3066" s="5" t="str">
        <f t="shared" si="458"/>
        <v/>
      </c>
      <c r="T3066" s="5" t="str">
        <f t="shared" si="463"/>
        <v/>
      </c>
      <c r="U3066" s="5" t="str">
        <f t="shared" si="463"/>
        <v/>
      </c>
    </row>
    <row r="3067" spans="7:21" x14ac:dyDescent="0.2">
      <c r="G3067" s="8"/>
      <c r="H3067" s="5"/>
      <c r="J3067" s="10" t="str">
        <f t="shared" si="456"/>
        <v/>
      </c>
      <c r="K3067" s="10" t="str">
        <f t="shared" si="457"/>
        <v/>
      </c>
      <c r="L3067" s="11" t="str">
        <f t="shared" si="459"/>
        <v/>
      </c>
      <c r="M3067" s="9" t="str">
        <f>IF(G3067&lt;&gt;"",J3067/MAX(J$3:J3067)-1,"")</f>
        <v/>
      </c>
      <c r="N3067" s="9" t="str">
        <f>IF(G3067&lt;&gt;"",K3067/MAX(K$3:K3067)-1,"")</f>
        <v/>
      </c>
      <c r="O3067" s="16" t="str">
        <f t="shared" si="455"/>
        <v/>
      </c>
      <c r="P3067" s="16" t="str">
        <f t="shared" si="455"/>
        <v/>
      </c>
      <c r="Q3067" s="16" t="str">
        <f t="shared" si="455"/>
        <v/>
      </c>
      <c r="R3067" s="5" t="str">
        <f t="shared" si="454"/>
        <v/>
      </c>
      <c r="S3067" s="5" t="str">
        <f t="shared" si="458"/>
        <v/>
      </c>
      <c r="T3067" s="5" t="str">
        <f t="shared" si="463"/>
        <v/>
      </c>
      <c r="U3067" s="5" t="str">
        <f t="shared" si="463"/>
        <v/>
      </c>
    </row>
    <row r="3068" spans="7:21" x14ac:dyDescent="0.2">
      <c r="G3068" s="8"/>
      <c r="H3068" s="5"/>
      <c r="J3068" s="10" t="str">
        <f t="shared" si="456"/>
        <v/>
      </c>
      <c r="K3068" s="10" t="str">
        <f t="shared" si="457"/>
        <v/>
      </c>
      <c r="L3068" s="11" t="str">
        <f t="shared" si="459"/>
        <v/>
      </c>
      <c r="M3068" s="9" t="str">
        <f>IF(G3068&lt;&gt;"",J3068/MAX(J$3:J3068)-1,"")</f>
        <v/>
      </c>
      <c r="N3068" s="9" t="str">
        <f>IF(G3068&lt;&gt;"",K3068/MAX(K$3:K3068)-1,"")</f>
        <v/>
      </c>
      <c r="O3068" s="16" t="str">
        <f t="shared" si="455"/>
        <v/>
      </c>
      <c r="P3068" s="16" t="str">
        <f t="shared" si="455"/>
        <v/>
      </c>
      <c r="Q3068" s="16" t="str">
        <f t="shared" si="455"/>
        <v/>
      </c>
      <c r="R3068" s="5" t="str">
        <f t="shared" si="454"/>
        <v/>
      </c>
      <c r="S3068" s="5" t="str">
        <f t="shared" si="458"/>
        <v/>
      </c>
      <c r="T3068" s="5" t="str">
        <f t="shared" si="463"/>
        <v/>
      </c>
      <c r="U3068" s="5" t="str">
        <f t="shared" si="463"/>
        <v/>
      </c>
    </row>
    <row r="3069" spans="7:21" x14ac:dyDescent="0.2">
      <c r="G3069" s="8"/>
      <c r="H3069" s="5"/>
      <c r="J3069" s="10" t="str">
        <f t="shared" si="456"/>
        <v/>
      </c>
      <c r="K3069" s="10" t="str">
        <f t="shared" si="457"/>
        <v/>
      </c>
      <c r="L3069" s="11" t="str">
        <f t="shared" si="459"/>
        <v/>
      </c>
      <c r="M3069" s="9" t="str">
        <f>IF(G3069&lt;&gt;"",J3069/MAX(J$3:J3069)-1,"")</f>
        <v/>
      </c>
      <c r="N3069" s="9" t="str">
        <f>IF(G3069&lt;&gt;"",K3069/MAX(K$3:K3069)-1,"")</f>
        <v/>
      </c>
      <c r="O3069" s="16" t="str">
        <f t="shared" si="455"/>
        <v/>
      </c>
      <c r="P3069" s="16" t="str">
        <f t="shared" si="455"/>
        <v/>
      </c>
      <c r="Q3069" s="16" t="str">
        <f t="shared" si="455"/>
        <v/>
      </c>
      <c r="R3069" s="5" t="str">
        <f t="shared" ref="R3069:R3132" si="464">IF(G3069&lt;&gt;"",_xlfn.STDEV.S(Q2948:Q3069)*SQRT($B$5),"")</f>
        <v/>
      </c>
      <c r="S3069" s="5" t="str">
        <f t="shared" si="458"/>
        <v/>
      </c>
      <c r="T3069" s="5" t="str">
        <f t="shared" si="463"/>
        <v/>
      </c>
      <c r="U3069" s="5" t="str">
        <f t="shared" si="463"/>
        <v/>
      </c>
    </row>
    <row r="3070" spans="7:21" x14ac:dyDescent="0.2">
      <c r="G3070" s="8"/>
      <c r="H3070" s="5"/>
      <c r="J3070" s="10" t="str">
        <f t="shared" si="456"/>
        <v/>
      </c>
      <c r="K3070" s="10" t="str">
        <f t="shared" si="457"/>
        <v/>
      </c>
      <c r="L3070" s="11" t="str">
        <f t="shared" si="459"/>
        <v/>
      </c>
      <c r="M3070" s="9" t="str">
        <f>IF(G3070&lt;&gt;"",J3070/MAX(J$3:J3070)-1,"")</f>
        <v/>
      </c>
      <c r="N3070" s="9" t="str">
        <f>IF(G3070&lt;&gt;"",K3070/MAX(K$3:K3070)-1,"")</f>
        <v/>
      </c>
      <c r="O3070" s="16" t="str">
        <f t="shared" si="455"/>
        <v/>
      </c>
      <c r="P3070" s="16" t="str">
        <f t="shared" si="455"/>
        <v/>
      </c>
      <c r="Q3070" s="16" t="str">
        <f t="shared" si="455"/>
        <v/>
      </c>
      <c r="R3070" s="5" t="str">
        <f t="shared" si="464"/>
        <v/>
      </c>
      <c r="S3070" s="5" t="str">
        <f t="shared" si="458"/>
        <v/>
      </c>
      <c r="T3070" s="5" t="str">
        <f t="shared" si="463"/>
        <v/>
      </c>
      <c r="U3070" s="5" t="str">
        <f t="shared" si="463"/>
        <v/>
      </c>
    </row>
    <row r="3071" spans="7:21" x14ac:dyDescent="0.2">
      <c r="G3071" s="8"/>
      <c r="H3071" s="5"/>
      <c r="J3071" s="10" t="str">
        <f t="shared" si="456"/>
        <v/>
      </c>
      <c r="K3071" s="10" t="str">
        <f t="shared" si="457"/>
        <v/>
      </c>
      <c r="L3071" s="11" t="str">
        <f t="shared" si="459"/>
        <v/>
      </c>
      <c r="M3071" s="9" t="str">
        <f>IF(G3071&lt;&gt;"",J3071/MAX(J$3:J3071)-1,"")</f>
        <v/>
      </c>
      <c r="N3071" s="9" t="str">
        <f>IF(G3071&lt;&gt;"",K3071/MAX(K$3:K3071)-1,"")</f>
        <v/>
      </c>
      <c r="O3071" s="16" t="str">
        <f t="shared" si="455"/>
        <v/>
      </c>
      <c r="P3071" s="16" t="str">
        <f t="shared" si="455"/>
        <v/>
      </c>
      <c r="Q3071" s="16" t="str">
        <f t="shared" si="455"/>
        <v/>
      </c>
      <c r="R3071" s="5" t="str">
        <f t="shared" si="464"/>
        <v/>
      </c>
      <c r="S3071" s="5" t="str">
        <f t="shared" si="458"/>
        <v/>
      </c>
      <c r="T3071" s="5" t="str">
        <f t="shared" si="463"/>
        <v/>
      </c>
      <c r="U3071" s="5" t="str">
        <f t="shared" si="463"/>
        <v/>
      </c>
    </row>
    <row r="3072" spans="7:21" x14ac:dyDescent="0.2">
      <c r="G3072" s="8"/>
      <c r="H3072" s="5"/>
      <c r="J3072" s="10" t="str">
        <f t="shared" si="456"/>
        <v/>
      </c>
      <c r="K3072" s="10" t="str">
        <f t="shared" si="457"/>
        <v/>
      </c>
      <c r="L3072" s="11" t="str">
        <f t="shared" si="459"/>
        <v/>
      </c>
      <c r="M3072" s="9" t="str">
        <f>IF(G3072&lt;&gt;"",J3072/MAX(J$3:J3072)-1,"")</f>
        <v/>
      </c>
      <c r="N3072" s="9" t="str">
        <f>IF(G3072&lt;&gt;"",K3072/MAX(K$3:K3072)-1,"")</f>
        <v/>
      </c>
      <c r="O3072" s="16" t="str">
        <f t="shared" si="455"/>
        <v/>
      </c>
      <c r="P3072" s="16" t="str">
        <f t="shared" si="455"/>
        <v/>
      </c>
      <c r="Q3072" s="16" t="str">
        <f t="shared" si="455"/>
        <v/>
      </c>
      <c r="R3072" s="5" t="str">
        <f t="shared" si="464"/>
        <v/>
      </c>
      <c r="S3072" s="5" t="str">
        <f t="shared" si="458"/>
        <v/>
      </c>
      <c r="T3072" s="5" t="str">
        <f t="shared" si="463"/>
        <v/>
      </c>
      <c r="U3072" s="5" t="str">
        <f t="shared" si="463"/>
        <v/>
      </c>
    </row>
    <row r="3073" spans="7:21" x14ac:dyDescent="0.2">
      <c r="G3073" s="8"/>
      <c r="H3073" s="5"/>
      <c r="J3073" s="10" t="str">
        <f t="shared" si="456"/>
        <v/>
      </c>
      <c r="K3073" s="10" t="str">
        <f t="shared" si="457"/>
        <v/>
      </c>
      <c r="L3073" s="11" t="str">
        <f t="shared" si="459"/>
        <v/>
      </c>
      <c r="M3073" s="9" t="str">
        <f>IF(G3073&lt;&gt;"",J3073/MAX(J$3:J3073)-1,"")</f>
        <v/>
      </c>
      <c r="N3073" s="9" t="str">
        <f>IF(G3073&lt;&gt;"",K3073/MAX(K$3:K3073)-1,"")</f>
        <v/>
      </c>
      <c r="O3073" s="16" t="str">
        <f t="shared" si="455"/>
        <v/>
      </c>
      <c r="P3073" s="16" t="str">
        <f t="shared" si="455"/>
        <v/>
      </c>
      <c r="Q3073" s="16" t="str">
        <f t="shared" si="455"/>
        <v/>
      </c>
      <c r="R3073" s="5" t="str">
        <f t="shared" si="464"/>
        <v/>
      </c>
      <c r="S3073" s="5" t="str">
        <f t="shared" si="458"/>
        <v/>
      </c>
      <c r="T3073" s="5" t="str">
        <f t="shared" si="463"/>
        <v/>
      </c>
      <c r="U3073" s="5" t="str">
        <f t="shared" si="463"/>
        <v/>
      </c>
    </row>
    <row r="3074" spans="7:21" x14ac:dyDescent="0.2">
      <c r="G3074" s="8"/>
      <c r="H3074" s="5"/>
      <c r="J3074" s="10" t="str">
        <f t="shared" si="456"/>
        <v/>
      </c>
      <c r="K3074" s="10" t="str">
        <f t="shared" si="457"/>
        <v/>
      </c>
      <c r="L3074" s="11" t="str">
        <f t="shared" si="459"/>
        <v/>
      </c>
      <c r="M3074" s="9" t="str">
        <f>IF(G3074&lt;&gt;"",J3074/MAX(J$3:J3074)-1,"")</f>
        <v/>
      </c>
      <c r="N3074" s="9" t="str">
        <f>IF(G3074&lt;&gt;"",K3074/MAX(K$3:K3074)-1,"")</f>
        <v/>
      </c>
      <c r="O3074" s="16" t="str">
        <f t="shared" ref="O3074:Q3137" si="465">IF($G3074&lt;&gt;"",J3074/J3073-1,"")</f>
        <v/>
      </c>
      <c r="P3074" s="16" t="str">
        <f t="shared" si="465"/>
        <v/>
      </c>
      <c r="Q3074" s="16" t="str">
        <f t="shared" si="465"/>
        <v/>
      </c>
      <c r="R3074" s="5" t="str">
        <f t="shared" si="464"/>
        <v/>
      </c>
      <c r="S3074" s="5" t="str">
        <f t="shared" si="458"/>
        <v/>
      </c>
      <c r="T3074" s="5" t="str">
        <f t="shared" si="463"/>
        <v/>
      </c>
      <c r="U3074" s="5" t="str">
        <f t="shared" si="463"/>
        <v/>
      </c>
    </row>
    <row r="3075" spans="7:21" x14ac:dyDescent="0.2">
      <c r="G3075" s="8"/>
      <c r="H3075" s="5"/>
      <c r="J3075" s="10" t="str">
        <f t="shared" si="456"/>
        <v/>
      </c>
      <c r="K3075" s="10" t="str">
        <f t="shared" si="457"/>
        <v/>
      </c>
      <c r="L3075" s="11" t="str">
        <f t="shared" si="459"/>
        <v/>
      </c>
      <c r="M3075" s="9" t="str">
        <f>IF(G3075&lt;&gt;"",J3075/MAX(J$3:J3075)-1,"")</f>
        <v/>
      </c>
      <c r="N3075" s="9" t="str">
        <f>IF(G3075&lt;&gt;"",K3075/MAX(K$3:K3075)-1,"")</f>
        <v/>
      </c>
      <c r="O3075" s="16" t="str">
        <f t="shared" si="465"/>
        <v/>
      </c>
      <c r="P3075" s="16" t="str">
        <f t="shared" si="465"/>
        <v/>
      </c>
      <c r="Q3075" s="16" t="str">
        <f t="shared" si="465"/>
        <v/>
      </c>
      <c r="R3075" s="5" t="str">
        <f t="shared" si="464"/>
        <v/>
      </c>
      <c r="S3075" s="5" t="str">
        <f t="shared" si="458"/>
        <v/>
      </c>
      <c r="T3075" s="5" t="str">
        <f t="shared" si="463"/>
        <v/>
      </c>
      <c r="U3075" s="5" t="str">
        <f t="shared" si="463"/>
        <v/>
      </c>
    </row>
    <row r="3076" spans="7:21" x14ac:dyDescent="0.2">
      <c r="G3076" s="8"/>
      <c r="H3076" s="5"/>
      <c r="J3076" s="10" t="str">
        <f t="shared" ref="J3076:J3139" si="466">IF(G3076&lt;&gt;"",1+H3076,"")</f>
        <v/>
      </c>
      <c r="K3076" s="10" t="str">
        <f t="shared" ref="K3076:K3139" si="467">IF(G3076&lt;&gt;"",1+I3076,"")</f>
        <v/>
      </c>
      <c r="L3076" s="11" t="str">
        <f t="shared" si="459"/>
        <v/>
      </c>
      <c r="M3076" s="9" t="str">
        <f>IF(G3076&lt;&gt;"",J3076/MAX(J$3:J3076)-1,"")</f>
        <v/>
      </c>
      <c r="N3076" s="9" t="str">
        <f>IF(G3076&lt;&gt;"",K3076/MAX(K$3:K3076)-1,"")</f>
        <v/>
      </c>
      <c r="O3076" s="16" t="str">
        <f t="shared" si="465"/>
        <v/>
      </c>
      <c r="P3076" s="16" t="str">
        <f t="shared" si="465"/>
        <v/>
      </c>
      <c r="Q3076" s="16" t="str">
        <f t="shared" si="465"/>
        <v/>
      </c>
      <c r="R3076" s="5" t="str">
        <f t="shared" si="464"/>
        <v/>
      </c>
      <c r="S3076" s="5" t="str">
        <f t="shared" ref="S3076:S3139" si="468">IF(R3076&lt;&gt;"",B$12,"")</f>
        <v/>
      </c>
      <c r="T3076" s="5" t="str">
        <f t="shared" si="463"/>
        <v/>
      </c>
      <c r="U3076" s="5" t="str">
        <f t="shared" si="463"/>
        <v/>
      </c>
    </row>
    <row r="3077" spans="7:21" x14ac:dyDescent="0.2">
      <c r="G3077" s="8"/>
      <c r="H3077" s="5"/>
      <c r="J3077" s="10" t="str">
        <f t="shared" si="466"/>
        <v/>
      </c>
      <c r="K3077" s="10" t="str">
        <f t="shared" si="467"/>
        <v/>
      </c>
      <c r="L3077" s="11" t="str">
        <f t="shared" ref="L3077:L3140" si="469">IF(G3077&lt;&gt;"",J3077/K3077,"")</f>
        <v/>
      </c>
      <c r="M3077" s="9" t="str">
        <f>IF(G3077&lt;&gt;"",J3077/MAX(J$3:J3077)-1,"")</f>
        <v/>
      </c>
      <c r="N3077" s="9" t="str">
        <f>IF(G3077&lt;&gt;"",K3077/MAX(K$3:K3077)-1,"")</f>
        <v/>
      </c>
      <c r="O3077" s="16" t="str">
        <f t="shared" si="465"/>
        <v/>
      </c>
      <c r="P3077" s="16" t="str">
        <f t="shared" si="465"/>
        <v/>
      </c>
      <c r="Q3077" s="16" t="str">
        <f t="shared" si="465"/>
        <v/>
      </c>
      <c r="R3077" s="5" t="str">
        <f t="shared" si="464"/>
        <v/>
      </c>
      <c r="S3077" s="5" t="str">
        <f t="shared" si="468"/>
        <v/>
      </c>
      <c r="T3077" s="5" t="str">
        <f t="shared" si="463"/>
        <v/>
      </c>
      <c r="U3077" s="5" t="str">
        <f t="shared" si="463"/>
        <v/>
      </c>
    </row>
    <row r="3078" spans="7:21" x14ac:dyDescent="0.2">
      <c r="G3078" s="8"/>
      <c r="H3078" s="5"/>
      <c r="J3078" s="10" t="str">
        <f t="shared" si="466"/>
        <v/>
      </c>
      <c r="K3078" s="10" t="str">
        <f t="shared" si="467"/>
        <v/>
      </c>
      <c r="L3078" s="11" t="str">
        <f t="shared" si="469"/>
        <v/>
      </c>
      <c r="M3078" s="9" t="str">
        <f>IF(G3078&lt;&gt;"",J3078/MAX(J$3:J3078)-1,"")</f>
        <v/>
      </c>
      <c r="N3078" s="9" t="str">
        <f>IF(G3078&lt;&gt;"",K3078/MAX(K$3:K3078)-1,"")</f>
        <v/>
      </c>
      <c r="O3078" s="16" t="str">
        <f t="shared" si="465"/>
        <v/>
      </c>
      <c r="P3078" s="16" t="str">
        <f t="shared" si="465"/>
        <v/>
      </c>
      <c r="Q3078" s="16" t="str">
        <f t="shared" si="465"/>
        <v/>
      </c>
      <c r="R3078" s="5" t="str">
        <f t="shared" si="464"/>
        <v/>
      </c>
      <c r="S3078" s="5" t="str">
        <f t="shared" si="468"/>
        <v/>
      </c>
      <c r="T3078" s="5" t="str">
        <f t="shared" si="463"/>
        <v/>
      </c>
      <c r="U3078" s="5" t="str">
        <f t="shared" si="463"/>
        <v/>
      </c>
    </row>
    <row r="3079" spans="7:21" x14ac:dyDescent="0.2">
      <c r="G3079" s="8"/>
      <c r="H3079" s="5"/>
      <c r="J3079" s="10" t="str">
        <f t="shared" si="466"/>
        <v/>
      </c>
      <c r="K3079" s="10" t="str">
        <f t="shared" si="467"/>
        <v/>
      </c>
      <c r="L3079" s="11" t="str">
        <f t="shared" si="469"/>
        <v/>
      </c>
      <c r="M3079" s="9" t="str">
        <f>IF(G3079&lt;&gt;"",J3079/MAX(J$3:J3079)-1,"")</f>
        <v/>
      </c>
      <c r="N3079" s="9" t="str">
        <f>IF(G3079&lt;&gt;"",K3079/MAX(K$3:K3079)-1,"")</f>
        <v/>
      </c>
      <c r="O3079" s="16" t="str">
        <f t="shared" si="465"/>
        <v/>
      </c>
      <c r="P3079" s="16" t="str">
        <f t="shared" si="465"/>
        <v/>
      </c>
      <c r="Q3079" s="16" t="str">
        <f t="shared" si="465"/>
        <v/>
      </c>
      <c r="R3079" s="5" t="str">
        <f t="shared" si="464"/>
        <v/>
      </c>
      <c r="S3079" s="5" t="str">
        <f t="shared" si="468"/>
        <v/>
      </c>
      <c r="T3079" s="5" t="str">
        <f t="shared" si="463"/>
        <v/>
      </c>
      <c r="U3079" s="5" t="str">
        <f t="shared" si="463"/>
        <v/>
      </c>
    </row>
    <row r="3080" spans="7:21" x14ac:dyDescent="0.2">
      <c r="G3080" s="8"/>
      <c r="H3080" s="5"/>
      <c r="J3080" s="10" t="str">
        <f t="shared" si="466"/>
        <v/>
      </c>
      <c r="K3080" s="10" t="str">
        <f t="shared" si="467"/>
        <v/>
      </c>
      <c r="L3080" s="11" t="str">
        <f t="shared" si="469"/>
        <v/>
      </c>
      <c r="M3080" s="9" t="str">
        <f>IF(G3080&lt;&gt;"",J3080/MAX(J$3:J3080)-1,"")</f>
        <v/>
      </c>
      <c r="N3080" s="9" t="str">
        <f>IF(G3080&lt;&gt;"",K3080/MAX(K$3:K3080)-1,"")</f>
        <v/>
      </c>
      <c r="O3080" s="16" t="str">
        <f t="shared" si="465"/>
        <v/>
      </c>
      <c r="P3080" s="16" t="str">
        <f t="shared" si="465"/>
        <v/>
      </c>
      <c r="Q3080" s="16" t="str">
        <f t="shared" si="465"/>
        <v/>
      </c>
      <c r="R3080" s="5" t="str">
        <f t="shared" si="464"/>
        <v/>
      </c>
      <c r="S3080" s="5" t="str">
        <f t="shared" si="468"/>
        <v/>
      </c>
      <c r="T3080" s="5" t="str">
        <f t="shared" ref="T3080:U3095" si="470">IF($G3080&lt;&gt;"",_xlfn.STDEV.S(O2836:O3080),"")</f>
        <v/>
      </c>
      <c r="U3080" s="5" t="str">
        <f t="shared" si="470"/>
        <v/>
      </c>
    </row>
    <row r="3081" spans="7:21" x14ac:dyDescent="0.2">
      <c r="G3081" s="8"/>
      <c r="H3081" s="5"/>
      <c r="J3081" s="10" t="str">
        <f t="shared" si="466"/>
        <v/>
      </c>
      <c r="K3081" s="10" t="str">
        <f t="shared" si="467"/>
        <v/>
      </c>
      <c r="L3081" s="11" t="str">
        <f t="shared" si="469"/>
        <v/>
      </c>
      <c r="M3081" s="9" t="str">
        <f>IF(G3081&lt;&gt;"",J3081/MAX(J$3:J3081)-1,"")</f>
        <v/>
      </c>
      <c r="N3081" s="9" t="str">
        <f>IF(G3081&lt;&gt;"",K3081/MAX(K$3:K3081)-1,"")</f>
        <v/>
      </c>
      <c r="O3081" s="16" t="str">
        <f t="shared" si="465"/>
        <v/>
      </c>
      <c r="P3081" s="16" t="str">
        <f t="shared" si="465"/>
        <v/>
      </c>
      <c r="Q3081" s="16" t="str">
        <f t="shared" si="465"/>
        <v/>
      </c>
      <c r="R3081" s="5" t="str">
        <f t="shared" si="464"/>
        <v/>
      </c>
      <c r="S3081" s="5" t="str">
        <f t="shared" si="468"/>
        <v/>
      </c>
      <c r="T3081" s="5" t="str">
        <f t="shared" si="470"/>
        <v/>
      </c>
      <c r="U3081" s="5" t="str">
        <f t="shared" si="470"/>
        <v/>
      </c>
    </row>
    <row r="3082" spans="7:21" x14ac:dyDescent="0.2">
      <c r="G3082" s="8"/>
      <c r="H3082" s="5"/>
      <c r="J3082" s="10" t="str">
        <f t="shared" si="466"/>
        <v/>
      </c>
      <c r="K3082" s="10" t="str">
        <f t="shared" si="467"/>
        <v/>
      </c>
      <c r="L3082" s="11" t="str">
        <f t="shared" si="469"/>
        <v/>
      </c>
      <c r="M3082" s="9" t="str">
        <f>IF(G3082&lt;&gt;"",J3082/MAX(J$3:J3082)-1,"")</f>
        <v/>
      </c>
      <c r="N3082" s="9" t="str">
        <f>IF(G3082&lt;&gt;"",K3082/MAX(K$3:K3082)-1,"")</f>
        <v/>
      </c>
      <c r="O3082" s="16" t="str">
        <f t="shared" si="465"/>
        <v/>
      </c>
      <c r="P3082" s="16" t="str">
        <f t="shared" si="465"/>
        <v/>
      </c>
      <c r="Q3082" s="16" t="str">
        <f t="shared" si="465"/>
        <v/>
      </c>
      <c r="R3082" s="5" t="str">
        <f t="shared" si="464"/>
        <v/>
      </c>
      <c r="S3082" s="5" t="str">
        <f t="shared" si="468"/>
        <v/>
      </c>
      <c r="T3082" s="5" t="str">
        <f t="shared" si="470"/>
        <v/>
      </c>
      <c r="U3082" s="5" t="str">
        <f t="shared" si="470"/>
        <v/>
      </c>
    </row>
    <row r="3083" spans="7:21" x14ac:dyDescent="0.2">
      <c r="G3083" s="8"/>
      <c r="H3083" s="5"/>
      <c r="J3083" s="10" t="str">
        <f t="shared" si="466"/>
        <v/>
      </c>
      <c r="K3083" s="10" t="str">
        <f t="shared" si="467"/>
        <v/>
      </c>
      <c r="L3083" s="11" t="str">
        <f t="shared" si="469"/>
        <v/>
      </c>
      <c r="M3083" s="9" t="str">
        <f>IF(G3083&lt;&gt;"",J3083/MAX(J$3:J3083)-1,"")</f>
        <v/>
      </c>
      <c r="N3083" s="9" t="str">
        <f>IF(G3083&lt;&gt;"",K3083/MAX(K$3:K3083)-1,"")</f>
        <v/>
      </c>
      <c r="O3083" s="16" t="str">
        <f t="shared" si="465"/>
        <v/>
      </c>
      <c r="P3083" s="16" t="str">
        <f t="shared" si="465"/>
        <v/>
      </c>
      <c r="Q3083" s="16" t="str">
        <f t="shared" si="465"/>
        <v/>
      </c>
      <c r="R3083" s="5" t="str">
        <f t="shared" si="464"/>
        <v/>
      </c>
      <c r="S3083" s="5" t="str">
        <f t="shared" si="468"/>
        <v/>
      </c>
      <c r="T3083" s="5" t="str">
        <f t="shared" si="470"/>
        <v/>
      </c>
      <c r="U3083" s="5" t="str">
        <f t="shared" si="470"/>
        <v/>
      </c>
    </row>
    <row r="3084" spans="7:21" x14ac:dyDescent="0.2">
      <c r="G3084" s="8"/>
      <c r="H3084" s="5"/>
      <c r="J3084" s="10" t="str">
        <f t="shared" si="466"/>
        <v/>
      </c>
      <c r="K3084" s="10" t="str">
        <f t="shared" si="467"/>
        <v/>
      </c>
      <c r="L3084" s="11" t="str">
        <f t="shared" si="469"/>
        <v/>
      </c>
      <c r="M3084" s="9" t="str">
        <f>IF(G3084&lt;&gt;"",J3084/MAX(J$3:J3084)-1,"")</f>
        <v/>
      </c>
      <c r="N3084" s="9" t="str">
        <f>IF(G3084&lt;&gt;"",K3084/MAX(K$3:K3084)-1,"")</f>
        <v/>
      </c>
      <c r="O3084" s="16" t="str">
        <f t="shared" si="465"/>
        <v/>
      </c>
      <c r="P3084" s="16" t="str">
        <f t="shared" si="465"/>
        <v/>
      </c>
      <c r="Q3084" s="16" t="str">
        <f t="shared" si="465"/>
        <v/>
      </c>
      <c r="R3084" s="5" t="str">
        <f t="shared" si="464"/>
        <v/>
      </c>
      <c r="S3084" s="5" t="str">
        <f t="shared" si="468"/>
        <v/>
      </c>
      <c r="T3084" s="5" t="str">
        <f t="shared" si="470"/>
        <v/>
      </c>
      <c r="U3084" s="5" t="str">
        <f t="shared" si="470"/>
        <v/>
      </c>
    </row>
    <row r="3085" spans="7:21" x14ac:dyDescent="0.2">
      <c r="G3085" s="8"/>
      <c r="H3085" s="5"/>
      <c r="J3085" s="10" t="str">
        <f t="shared" si="466"/>
        <v/>
      </c>
      <c r="K3085" s="10" t="str">
        <f t="shared" si="467"/>
        <v/>
      </c>
      <c r="L3085" s="11" t="str">
        <f t="shared" si="469"/>
        <v/>
      </c>
      <c r="M3085" s="9" t="str">
        <f>IF(G3085&lt;&gt;"",J3085/MAX(J$3:J3085)-1,"")</f>
        <v/>
      </c>
      <c r="N3085" s="9" t="str">
        <f>IF(G3085&lt;&gt;"",K3085/MAX(K$3:K3085)-1,"")</f>
        <v/>
      </c>
      <c r="O3085" s="16" t="str">
        <f t="shared" si="465"/>
        <v/>
      </c>
      <c r="P3085" s="16" t="str">
        <f t="shared" si="465"/>
        <v/>
      </c>
      <c r="Q3085" s="16" t="str">
        <f t="shared" si="465"/>
        <v/>
      </c>
      <c r="R3085" s="5" t="str">
        <f t="shared" si="464"/>
        <v/>
      </c>
      <c r="S3085" s="5" t="str">
        <f t="shared" si="468"/>
        <v/>
      </c>
      <c r="T3085" s="5" t="str">
        <f t="shared" si="470"/>
        <v/>
      </c>
      <c r="U3085" s="5" t="str">
        <f t="shared" si="470"/>
        <v/>
      </c>
    </row>
    <row r="3086" spans="7:21" x14ac:dyDescent="0.2">
      <c r="G3086" s="8"/>
      <c r="H3086" s="5"/>
      <c r="J3086" s="10" t="str">
        <f t="shared" si="466"/>
        <v/>
      </c>
      <c r="K3086" s="10" t="str">
        <f t="shared" si="467"/>
        <v/>
      </c>
      <c r="L3086" s="11" t="str">
        <f t="shared" si="469"/>
        <v/>
      </c>
      <c r="M3086" s="9" t="str">
        <f>IF(G3086&lt;&gt;"",J3086/MAX(J$3:J3086)-1,"")</f>
        <v/>
      </c>
      <c r="N3086" s="9" t="str">
        <f>IF(G3086&lt;&gt;"",K3086/MAX(K$3:K3086)-1,"")</f>
        <v/>
      </c>
      <c r="O3086" s="16" t="str">
        <f t="shared" si="465"/>
        <v/>
      </c>
      <c r="P3086" s="16" t="str">
        <f t="shared" si="465"/>
        <v/>
      </c>
      <c r="Q3086" s="16" t="str">
        <f t="shared" si="465"/>
        <v/>
      </c>
      <c r="R3086" s="5" t="str">
        <f t="shared" si="464"/>
        <v/>
      </c>
      <c r="S3086" s="5" t="str">
        <f t="shared" si="468"/>
        <v/>
      </c>
      <c r="T3086" s="5" t="str">
        <f t="shared" si="470"/>
        <v/>
      </c>
      <c r="U3086" s="5" t="str">
        <f t="shared" si="470"/>
        <v/>
      </c>
    </row>
    <row r="3087" spans="7:21" x14ac:dyDescent="0.2">
      <c r="G3087" s="8"/>
      <c r="H3087" s="5"/>
      <c r="J3087" s="10" t="str">
        <f t="shared" si="466"/>
        <v/>
      </c>
      <c r="K3087" s="10" t="str">
        <f t="shared" si="467"/>
        <v/>
      </c>
      <c r="L3087" s="11" t="str">
        <f t="shared" si="469"/>
        <v/>
      </c>
      <c r="M3087" s="9" t="str">
        <f>IF(G3087&lt;&gt;"",J3087/MAX(J$3:J3087)-1,"")</f>
        <v/>
      </c>
      <c r="N3087" s="9" t="str">
        <f>IF(G3087&lt;&gt;"",K3087/MAX(K$3:K3087)-1,"")</f>
        <v/>
      </c>
      <c r="O3087" s="16" t="str">
        <f t="shared" si="465"/>
        <v/>
      </c>
      <c r="P3087" s="16" t="str">
        <f t="shared" si="465"/>
        <v/>
      </c>
      <c r="Q3087" s="16" t="str">
        <f t="shared" si="465"/>
        <v/>
      </c>
      <c r="R3087" s="5" t="str">
        <f t="shared" si="464"/>
        <v/>
      </c>
      <c r="S3087" s="5" t="str">
        <f t="shared" si="468"/>
        <v/>
      </c>
      <c r="T3087" s="5" t="str">
        <f t="shared" si="470"/>
        <v/>
      </c>
      <c r="U3087" s="5" t="str">
        <f t="shared" si="470"/>
        <v/>
      </c>
    </row>
    <row r="3088" spans="7:21" x14ac:dyDescent="0.2">
      <c r="G3088" s="8"/>
      <c r="H3088" s="5"/>
      <c r="J3088" s="10" t="str">
        <f t="shared" si="466"/>
        <v/>
      </c>
      <c r="K3088" s="10" t="str">
        <f t="shared" si="467"/>
        <v/>
      </c>
      <c r="L3088" s="11" t="str">
        <f t="shared" si="469"/>
        <v/>
      </c>
      <c r="M3088" s="9" t="str">
        <f>IF(G3088&lt;&gt;"",J3088/MAX(J$3:J3088)-1,"")</f>
        <v/>
      </c>
      <c r="N3088" s="9" t="str">
        <f>IF(G3088&lt;&gt;"",K3088/MAX(K$3:K3088)-1,"")</f>
        <v/>
      </c>
      <c r="O3088" s="16" t="str">
        <f t="shared" si="465"/>
        <v/>
      </c>
      <c r="P3088" s="16" t="str">
        <f t="shared" si="465"/>
        <v/>
      </c>
      <c r="Q3088" s="16" t="str">
        <f t="shared" si="465"/>
        <v/>
      </c>
      <c r="R3088" s="5" t="str">
        <f t="shared" si="464"/>
        <v/>
      </c>
      <c r="S3088" s="5" t="str">
        <f t="shared" si="468"/>
        <v/>
      </c>
      <c r="T3088" s="5" t="str">
        <f t="shared" si="470"/>
        <v/>
      </c>
      <c r="U3088" s="5" t="str">
        <f t="shared" si="470"/>
        <v/>
      </c>
    </row>
    <row r="3089" spans="7:21" x14ac:dyDescent="0.2">
      <c r="G3089" s="8"/>
      <c r="H3089" s="5"/>
      <c r="J3089" s="10" t="str">
        <f t="shared" si="466"/>
        <v/>
      </c>
      <c r="K3089" s="10" t="str">
        <f t="shared" si="467"/>
        <v/>
      </c>
      <c r="L3089" s="11" t="str">
        <f t="shared" si="469"/>
        <v/>
      </c>
      <c r="M3089" s="9" t="str">
        <f>IF(G3089&lt;&gt;"",J3089/MAX(J$3:J3089)-1,"")</f>
        <v/>
      </c>
      <c r="N3089" s="9" t="str">
        <f>IF(G3089&lt;&gt;"",K3089/MAX(K$3:K3089)-1,"")</f>
        <v/>
      </c>
      <c r="O3089" s="16" t="str">
        <f t="shared" si="465"/>
        <v/>
      </c>
      <c r="P3089" s="16" t="str">
        <f t="shared" si="465"/>
        <v/>
      </c>
      <c r="Q3089" s="16" t="str">
        <f t="shared" si="465"/>
        <v/>
      </c>
      <c r="R3089" s="5" t="str">
        <f t="shared" si="464"/>
        <v/>
      </c>
      <c r="S3089" s="5" t="str">
        <f t="shared" si="468"/>
        <v/>
      </c>
      <c r="T3089" s="5" t="str">
        <f t="shared" si="470"/>
        <v/>
      </c>
      <c r="U3089" s="5" t="str">
        <f t="shared" si="470"/>
        <v/>
      </c>
    </row>
    <row r="3090" spans="7:21" x14ac:dyDescent="0.2">
      <c r="G3090" s="8"/>
      <c r="H3090" s="5"/>
      <c r="J3090" s="10" t="str">
        <f t="shared" si="466"/>
        <v/>
      </c>
      <c r="K3090" s="10" t="str">
        <f t="shared" si="467"/>
        <v/>
      </c>
      <c r="L3090" s="11" t="str">
        <f t="shared" si="469"/>
        <v/>
      </c>
      <c r="M3090" s="9" t="str">
        <f>IF(G3090&lt;&gt;"",J3090/MAX(J$3:J3090)-1,"")</f>
        <v/>
      </c>
      <c r="N3090" s="9" t="str">
        <f>IF(G3090&lt;&gt;"",K3090/MAX(K$3:K3090)-1,"")</f>
        <v/>
      </c>
      <c r="O3090" s="16" t="str">
        <f t="shared" si="465"/>
        <v/>
      </c>
      <c r="P3090" s="16" t="str">
        <f t="shared" si="465"/>
        <v/>
      </c>
      <c r="Q3090" s="16" t="str">
        <f t="shared" si="465"/>
        <v/>
      </c>
      <c r="R3090" s="5" t="str">
        <f t="shared" si="464"/>
        <v/>
      </c>
      <c r="S3090" s="5" t="str">
        <f t="shared" si="468"/>
        <v/>
      </c>
      <c r="T3090" s="5" t="str">
        <f t="shared" si="470"/>
        <v/>
      </c>
      <c r="U3090" s="5" t="str">
        <f t="shared" si="470"/>
        <v/>
      </c>
    </row>
    <row r="3091" spans="7:21" x14ac:dyDescent="0.2">
      <c r="G3091" s="8"/>
      <c r="H3091" s="5"/>
      <c r="J3091" s="10" t="str">
        <f t="shared" si="466"/>
        <v/>
      </c>
      <c r="K3091" s="10" t="str">
        <f t="shared" si="467"/>
        <v/>
      </c>
      <c r="L3091" s="11" t="str">
        <f t="shared" si="469"/>
        <v/>
      </c>
      <c r="M3091" s="9" t="str">
        <f>IF(G3091&lt;&gt;"",J3091/MAX(J$3:J3091)-1,"")</f>
        <v/>
      </c>
      <c r="N3091" s="9" t="str">
        <f>IF(G3091&lt;&gt;"",K3091/MAX(K$3:K3091)-1,"")</f>
        <v/>
      </c>
      <c r="O3091" s="16" t="str">
        <f t="shared" si="465"/>
        <v/>
      </c>
      <c r="P3091" s="16" t="str">
        <f t="shared" si="465"/>
        <v/>
      </c>
      <c r="Q3091" s="16" t="str">
        <f t="shared" si="465"/>
        <v/>
      </c>
      <c r="R3091" s="5" t="str">
        <f t="shared" si="464"/>
        <v/>
      </c>
      <c r="S3091" s="5" t="str">
        <f t="shared" si="468"/>
        <v/>
      </c>
      <c r="T3091" s="5" t="str">
        <f t="shared" si="470"/>
        <v/>
      </c>
      <c r="U3091" s="5" t="str">
        <f t="shared" si="470"/>
        <v/>
      </c>
    </row>
    <row r="3092" spans="7:21" x14ac:dyDescent="0.2">
      <c r="G3092" s="8"/>
      <c r="H3092" s="5"/>
      <c r="J3092" s="10" t="str">
        <f t="shared" si="466"/>
        <v/>
      </c>
      <c r="K3092" s="10" t="str">
        <f t="shared" si="467"/>
        <v/>
      </c>
      <c r="L3092" s="11" t="str">
        <f t="shared" si="469"/>
        <v/>
      </c>
      <c r="M3092" s="9" t="str">
        <f>IF(G3092&lt;&gt;"",J3092/MAX(J$3:J3092)-1,"")</f>
        <v/>
      </c>
      <c r="N3092" s="9" t="str">
        <f>IF(G3092&lt;&gt;"",K3092/MAX(K$3:K3092)-1,"")</f>
        <v/>
      </c>
      <c r="O3092" s="16" t="str">
        <f t="shared" si="465"/>
        <v/>
      </c>
      <c r="P3092" s="16" t="str">
        <f t="shared" si="465"/>
        <v/>
      </c>
      <c r="Q3092" s="16" t="str">
        <f t="shared" si="465"/>
        <v/>
      </c>
      <c r="R3092" s="5" t="str">
        <f t="shared" si="464"/>
        <v/>
      </c>
      <c r="S3092" s="5" t="str">
        <f t="shared" si="468"/>
        <v/>
      </c>
      <c r="T3092" s="5" t="str">
        <f t="shared" si="470"/>
        <v/>
      </c>
      <c r="U3092" s="5" t="str">
        <f t="shared" si="470"/>
        <v/>
      </c>
    </row>
    <row r="3093" spans="7:21" x14ac:dyDescent="0.2">
      <c r="G3093" s="8"/>
      <c r="H3093" s="5"/>
      <c r="J3093" s="10" t="str">
        <f t="shared" si="466"/>
        <v/>
      </c>
      <c r="K3093" s="10" t="str">
        <f t="shared" si="467"/>
        <v/>
      </c>
      <c r="L3093" s="11" t="str">
        <f t="shared" si="469"/>
        <v/>
      </c>
      <c r="M3093" s="9" t="str">
        <f>IF(G3093&lt;&gt;"",J3093/MAX(J$3:J3093)-1,"")</f>
        <v/>
      </c>
      <c r="N3093" s="9" t="str">
        <f>IF(G3093&lt;&gt;"",K3093/MAX(K$3:K3093)-1,"")</f>
        <v/>
      </c>
      <c r="O3093" s="16" t="str">
        <f t="shared" si="465"/>
        <v/>
      </c>
      <c r="P3093" s="16" t="str">
        <f t="shared" si="465"/>
        <v/>
      </c>
      <c r="Q3093" s="16" t="str">
        <f t="shared" si="465"/>
        <v/>
      </c>
      <c r="R3093" s="5" t="str">
        <f t="shared" si="464"/>
        <v/>
      </c>
      <c r="S3093" s="5" t="str">
        <f t="shared" si="468"/>
        <v/>
      </c>
      <c r="T3093" s="5" t="str">
        <f t="shared" si="470"/>
        <v/>
      </c>
      <c r="U3093" s="5" t="str">
        <f t="shared" si="470"/>
        <v/>
      </c>
    </row>
    <row r="3094" spans="7:21" x14ac:dyDescent="0.2">
      <c r="G3094" s="8"/>
      <c r="H3094" s="5"/>
      <c r="J3094" s="10" t="str">
        <f t="shared" si="466"/>
        <v/>
      </c>
      <c r="K3094" s="10" t="str">
        <f t="shared" si="467"/>
        <v/>
      </c>
      <c r="L3094" s="11" t="str">
        <f t="shared" si="469"/>
        <v/>
      </c>
      <c r="M3094" s="9" t="str">
        <f>IF(G3094&lt;&gt;"",J3094/MAX(J$3:J3094)-1,"")</f>
        <v/>
      </c>
      <c r="N3094" s="9" t="str">
        <f>IF(G3094&lt;&gt;"",K3094/MAX(K$3:K3094)-1,"")</f>
        <v/>
      </c>
      <c r="O3094" s="16" t="str">
        <f t="shared" si="465"/>
        <v/>
      </c>
      <c r="P3094" s="16" t="str">
        <f t="shared" si="465"/>
        <v/>
      </c>
      <c r="Q3094" s="16" t="str">
        <f t="shared" si="465"/>
        <v/>
      </c>
      <c r="R3094" s="5" t="str">
        <f t="shared" si="464"/>
        <v/>
      </c>
      <c r="S3094" s="5" t="str">
        <f t="shared" si="468"/>
        <v/>
      </c>
      <c r="T3094" s="5" t="str">
        <f t="shared" si="470"/>
        <v/>
      </c>
      <c r="U3094" s="5" t="str">
        <f t="shared" si="470"/>
        <v/>
      </c>
    </row>
    <row r="3095" spans="7:21" x14ac:dyDescent="0.2">
      <c r="G3095" s="8"/>
      <c r="H3095" s="5"/>
      <c r="J3095" s="10" t="str">
        <f t="shared" si="466"/>
        <v/>
      </c>
      <c r="K3095" s="10" t="str">
        <f t="shared" si="467"/>
        <v/>
      </c>
      <c r="L3095" s="11" t="str">
        <f t="shared" si="469"/>
        <v/>
      </c>
      <c r="M3095" s="9" t="str">
        <f>IF(G3095&lt;&gt;"",J3095/MAX(J$3:J3095)-1,"")</f>
        <v/>
      </c>
      <c r="N3095" s="9" t="str">
        <f>IF(G3095&lt;&gt;"",K3095/MAX(K$3:K3095)-1,"")</f>
        <v/>
      </c>
      <c r="O3095" s="16" t="str">
        <f t="shared" si="465"/>
        <v/>
      </c>
      <c r="P3095" s="16" t="str">
        <f t="shared" si="465"/>
        <v/>
      </c>
      <c r="Q3095" s="16" t="str">
        <f t="shared" si="465"/>
        <v/>
      </c>
      <c r="R3095" s="5" t="str">
        <f t="shared" si="464"/>
        <v/>
      </c>
      <c r="S3095" s="5" t="str">
        <f t="shared" si="468"/>
        <v/>
      </c>
      <c r="T3095" s="5" t="str">
        <f t="shared" si="470"/>
        <v/>
      </c>
      <c r="U3095" s="5" t="str">
        <f t="shared" si="470"/>
        <v/>
      </c>
    </row>
    <row r="3096" spans="7:21" x14ac:dyDescent="0.2">
      <c r="G3096" s="8"/>
      <c r="H3096" s="5"/>
      <c r="J3096" s="10" t="str">
        <f t="shared" si="466"/>
        <v/>
      </c>
      <c r="K3096" s="10" t="str">
        <f t="shared" si="467"/>
        <v/>
      </c>
      <c r="L3096" s="11" t="str">
        <f t="shared" si="469"/>
        <v/>
      </c>
      <c r="M3096" s="9" t="str">
        <f>IF(G3096&lt;&gt;"",J3096/MAX(J$3:J3096)-1,"")</f>
        <v/>
      </c>
      <c r="N3096" s="9" t="str">
        <f>IF(G3096&lt;&gt;"",K3096/MAX(K$3:K3096)-1,"")</f>
        <v/>
      </c>
      <c r="O3096" s="16" t="str">
        <f t="shared" si="465"/>
        <v/>
      </c>
      <c r="P3096" s="16" t="str">
        <f t="shared" si="465"/>
        <v/>
      </c>
      <c r="Q3096" s="16" t="str">
        <f t="shared" si="465"/>
        <v/>
      </c>
      <c r="R3096" s="5" t="str">
        <f t="shared" si="464"/>
        <v/>
      </c>
      <c r="S3096" s="5" t="str">
        <f t="shared" si="468"/>
        <v/>
      </c>
      <c r="T3096" s="5" t="str">
        <f t="shared" ref="T3096:U3111" si="471">IF($G3096&lt;&gt;"",_xlfn.STDEV.S(O2852:O3096),"")</f>
        <v/>
      </c>
      <c r="U3096" s="5" t="str">
        <f t="shared" si="471"/>
        <v/>
      </c>
    </row>
    <row r="3097" spans="7:21" x14ac:dyDescent="0.2">
      <c r="G3097" s="8"/>
      <c r="H3097" s="5"/>
      <c r="J3097" s="10" t="str">
        <f t="shared" si="466"/>
        <v/>
      </c>
      <c r="K3097" s="10" t="str">
        <f t="shared" si="467"/>
        <v/>
      </c>
      <c r="L3097" s="11" t="str">
        <f t="shared" si="469"/>
        <v/>
      </c>
      <c r="M3097" s="9" t="str">
        <f>IF(G3097&lt;&gt;"",J3097/MAX(J$3:J3097)-1,"")</f>
        <v/>
      </c>
      <c r="N3097" s="9" t="str">
        <f>IF(G3097&lt;&gt;"",K3097/MAX(K$3:K3097)-1,"")</f>
        <v/>
      </c>
      <c r="O3097" s="16" t="str">
        <f t="shared" si="465"/>
        <v/>
      </c>
      <c r="P3097" s="16" t="str">
        <f t="shared" si="465"/>
        <v/>
      </c>
      <c r="Q3097" s="16" t="str">
        <f t="shared" si="465"/>
        <v/>
      </c>
      <c r="R3097" s="5" t="str">
        <f t="shared" si="464"/>
        <v/>
      </c>
      <c r="S3097" s="5" t="str">
        <f t="shared" si="468"/>
        <v/>
      </c>
      <c r="T3097" s="5" t="str">
        <f t="shared" si="471"/>
        <v/>
      </c>
      <c r="U3097" s="5" t="str">
        <f t="shared" si="471"/>
        <v/>
      </c>
    </row>
    <row r="3098" spans="7:21" x14ac:dyDescent="0.2">
      <c r="G3098" s="8"/>
      <c r="H3098" s="5"/>
      <c r="J3098" s="10" t="str">
        <f t="shared" si="466"/>
        <v/>
      </c>
      <c r="K3098" s="10" t="str">
        <f t="shared" si="467"/>
        <v/>
      </c>
      <c r="L3098" s="11" t="str">
        <f t="shared" si="469"/>
        <v/>
      </c>
      <c r="M3098" s="9" t="str">
        <f>IF(G3098&lt;&gt;"",J3098/MAX(J$3:J3098)-1,"")</f>
        <v/>
      </c>
      <c r="N3098" s="9" t="str">
        <f>IF(G3098&lt;&gt;"",K3098/MAX(K$3:K3098)-1,"")</f>
        <v/>
      </c>
      <c r="O3098" s="16" t="str">
        <f t="shared" si="465"/>
        <v/>
      </c>
      <c r="P3098" s="16" t="str">
        <f t="shared" si="465"/>
        <v/>
      </c>
      <c r="Q3098" s="16" t="str">
        <f t="shared" si="465"/>
        <v/>
      </c>
      <c r="R3098" s="5" t="str">
        <f t="shared" si="464"/>
        <v/>
      </c>
      <c r="S3098" s="5" t="str">
        <f t="shared" si="468"/>
        <v/>
      </c>
      <c r="T3098" s="5" t="str">
        <f t="shared" si="471"/>
        <v/>
      </c>
      <c r="U3098" s="5" t="str">
        <f t="shared" si="471"/>
        <v/>
      </c>
    </row>
    <row r="3099" spans="7:21" x14ac:dyDescent="0.2">
      <c r="G3099" s="8"/>
      <c r="H3099" s="5"/>
      <c r="J3099" s="10" t="str">
        <f t="shared" si="466"/>
        <v/>
      </c>
      <c r="K3099" s="10" t="str">
        <f t="shared" si="467"/>
        <v/>
      </c>
      <c r="L3099" s="11" t="str">
        <f t="shared" si="469"/>
        <v/>
      </c>
      <c r="M3099" s="9" t="str">
        <f>IF(G3099&lt;&gt;"",J3099/MAX(J$3:J3099)-1,"")</f>
        <v/>
      </c>
      <c r="N3099" s="9" t="str">
        <f>IF(G3099&lt;&gt;"",K3099/MAX(K$3:K3099)-1,"")</f>
        <v/>
      </c>
      <c r="O3099" s="16" t="str">
        <f t="shared" si="465"/>
        <v/>
      </c>
      <c r="P3099" s="16" t="str">
        <f t="shared" si="465"/>
        <v/>
      </c>
      <c r="Q3099" s="16" t="str">
        <f t="shared" si="465"/>
        <v/>
      </c>
      <c r="R3099" s="5" t="str">
        <f t="shared" si="464"/>
        <v/>
      </c>
      <c r="S3099" s="5" t="str">
        <f t="shared" si="468"/>
        <v/>
      </c>
      <c r="T3099" s="5" t="str">
        <f t="shared" si="471"/>
        <v/>
      </c>
      <c r="U3099" s="5" t="str">
        <f t="shared" si="471"/>
        <v/>
      </c>
    </row>
    <row r="3100" spans="7:21" x14ac:dyDescent="0.2">
      <c r="G3100" s="8"/>
      <c r="H3100" s="5"/>
      <c r="J3100" s="10" t="str">
        <f t="shared" si="466"/>
        <v/>
      </c>
      <c r="K3100" s="10" t="str">
        <f t="shared" si="467"/>
        <v/>
      </c>
      <c r="L3100" s="11" t="str">
        <f t="shared" si="469"/>
        <v/>
      </c>
      <c r="M3100" s="9" t="str">
        <f>IF(G3100&lt;&gt;"",J3100/MAX(J$3:J3100)-1,"")</f>
        <v/>
      </c>
      <c r="N3100" s="9" t="str">
        <f>IF(G3100&lt;&gt;"",K3100/MAX(K$3:K3100)-1,"")</f>
        <v/>
      </c>
      <c r="O3100" s="16" t="str">
        <f t="shared" si="465"/>
        <v/>
      </c>
      <c r="P3100" s="16" t="str">
        <f t="shared" si="465"/>
        <v/>
      </c>
      <c r="Q3100" s="16" t="str">
        <f t="shared" si="465"/>
        <v/>
      </c>
      <c r="R3100" s="5" t="str">
        <f t="shared" si="464"/>
        <v/>
      </c>
      <c r="S3100" s="5" t="str">
        <f t="shared" si="468"/>
        <v/>
      </c>
      <c r="T3100" s="5" t="str">
        <f t="shared" si="471"/>
        <v/>
      </c>
      <c r="U3100" s="5" t="str">
        <f t="shared" si="471"/>
        <v/>
      </c>
    </row>
    <row r="3101" spans="7:21" x14ac:dyDescent="0.2">
      <c r="G3101" s="8"/>
      <c r="H3101" s="5"/>
      <c r="J3101" s="10" t="str">
        <f t="shared" si="466"/>
        <v/>
      </c>
      <c r="K3101" s="10" t="str">
        <f t="shared" si="467"/>
        <v/>
      </c>
      <c r="L3101" s="11" t="str">
        <f t="shared" si="469"/>
        <v/>
      </c>
      <c r="M3101" s="9" t="str">
        <f>IF(G3101&lt;&gt;"",J3101/MAX(J$3:J3101)-1,"")</f>
        <v/>
      </c>
      <c r="N3101" s="9" t="str">
        <f>IF(G3101&lt;&gt;"",K3101/MAX(K$3:K3101)-1,"")</f>
        <v/>
      </c>
      <c r="O3101" s="16" t="str">
        <f t="shared" si="465"/>
        <v/>
      </c>
      <c r="P3101" s="16" t="str">
        <f t="shared" si="465"/>
        <v/>
      </c>
      <c r="Q3101" s="16" t="str">
        <f t="shared" si="465"/>
        <v/>
      </c>
      <c r="R3101" s="5" t="str">
        <f t="shared" si="464"/>
        <v/>
      </c>
      <c r="S3101" s="5" t="str">
        <f t="shared" si="468"/>
        <v/>
      </c>
      <c r="T3101" s="5" t="str">
        <f t="shared" si="471"/>
        <v/>
      </c>
      <c r="U3101" s="5" t="str">
        <f t="shared" si="471"/>
        <v/>
      </c>
    </row>
    <row r="3102" spans="7:21" x14ac:dyDescent="0.2">
      <c r="G3102" s="8"/>
      <c r="H3102" s="5"/>
      <c r="J3102" s="10" t="str">
        <f t="shared" si="466"/>
        <v/>
      </c>
      <c r="K3102" s="10" t="str">
        <f t="shared" si="467"/>
        <v/>
      </c>
      <c r="L3102" s="11" t="str">
        <f t="shared" si="469"/>
        <v/>
      </c>
      <c r="M3102" s="9" t="str">
        <f>IF(G3102&lt;&gt;"",J3102/MAX(J$3:J3102)-1,"")</f>
        <v/>
      </c>
      <c r="N3102" s="9" t="str">
        <f>IF(G3102&lt;&gt;"",K3102/MAX(K$3:K3102)-1,"")</f>
        <v/>
      </c>
      <c r="O3102" s="16" t="str">
        <f t="shared" si="465"/>
        <v/>
      </c>
      <c r="P3102" s="16" t="str">
        <f t="shared" si="465"/>
        <v/>
      </c>
      <c r="Q3102" s="16" t="str">
        <f t="shared" si="465"/>
        <v/>
      </c>
      <c r="R3102" s="5" t="str">
        <f t="shared" si="464"/>
        <v/>
      </c>
      <c r="S3102" s="5" t="str">
        <f t="shared" si="468"/>
        <v/>
      </c>
      <c r="T3102" s="5" t="str">
        <f t="shared" si="471"/>
        <v/>
      </c>
      <c r="U3102" s="5" t="str">
        <f t="shared" si="471"/>
        <v/>
      </c>
    </row>
    <row r="3103" spans="7:21" x14ac:dyDescent="0.2">
      <c r="G3103" s="8"/>
      <c r="H3103" s="5"/>
      <c r="J3103" s="10" t="str">
        <f t="shared" si="466"/>
        <v/>
      </c>
      <c r="K3103" s="10" t="str">
        <f t="shared" si="467"/>
        <v/>
      </c>
      <c r="L3103" s="11" t="str">
        <f t="shared" si="469"/>
        <v/>
      </c>
      <c r="M3103" s="9" t="str">
        <f>IF(G3103&lt;&gt;"",J3103/MAX(J$3:J3103)-1,"")</f>
        <v/>
      </c>
      <c r="N3103" s="9" t="str">
        <f>IF(G3103&lt;&gt;"",K3103/MAX(K$3:K3103)-1,"")</f>
        <v/>
      </c>
      <c r="O3103" s="16" t="str">
        <f t="shared" si="465"/>
        <v/>
      </c>
      <c r="P3103" s="16" t="str">
        <f t="shared" si="465"/>
        <v/>
      </c>
      <c r="Q3103" s="16" t="str">
        <f t="shared" si="465"/>
        <v/>
      </c>
      <c r="R3103" s="5" t="str">
        <f t="shared" si="464"/>
        <v/>
      </c>
      <c r="S3103" s="5" t="str">
        <f t="shared" si="468"/>
        <v/>
      </c>
      <c r="T3103" s="5" t="str">
        <f t="shared" si="471"/>
        <v/>
      </c>
      <c r="U3103" s="5" t="str">
        <f t="shared" si="471"/>
        <v/>
      </c>
    </row>
    <row r="3104" spans="7:21" x14ac:dyDescent="0.2">
      <c r="G3104" s="8"/>
      <c r="H3104" s="5"/>
      <c r="J3104" s="10" t="str">
        <f t="shared" si="466"/>
        <v/>
      </c>
      <c r="K3104" s="10" t="str">
        <f t="shared" si="467"/>
        <v/>
      </c>
      <c r="L3104" s="11" t="str">
        <f t="shared" si="469"/>
        <v/>
      </c>
      <c r="M3104" s="9" t="str">
        <f>IF(G3104&lt;&gt;"",J3104/MAX(J$3:J3104)-1,"")</f>
        <v/>
      </c>
      <c r="N3104" s="9" t="str">
        <f>IF(G3104&lt;&gt;"",K3104/MAX(K$3:K3104)-1,"")</f>
        <v/>
      </c>
      <c r="O3104" s="16" t="str">
        <f t="shared" si="465"/>
        <v/>
      </c>
      <c r="P3104" s="16" t="str">
        <f t="shared" si="465"/>
        <v/>
      </c>
      <c r="Q3104" s="16" t="str">
        <f t="shared" si="465"/>
        <v/>
      </c>
      <c r="R3104" s="5" t="str">
        <f t="shared" si="464"/>
        <v/>
      </c>
      <c r="S3104" s="5" t="str">
        <f t="shared" si="468"/>
        <v/>
      </c>
      <c r="T3104" s="5" t="str">
        <f t="shared" si="471"/>
        <v/>
      </c>
      <c r="U3104" s="5" t="str">
        <f t="shared" si="471"/>
        <v/>
      </c>
    </row>
    <row r="3105" spans="7:21" x14ac:dyDescent="0.2">
      <c r="G3105" s="8"/>
      <c r="H3105" s="5"/>
      <c r="J3105" s="10" t="str">
        <f t="shared" si="466"/>
        <v/>
      </c>
      <c r="K3105" s="10" t="str">
        <f t="shared" si="467"/>
        <v/>
      </c>
      <c r="L3105" s="11" t="str">
        <f t="shared" si="469"/>
        <v/>
      </c>
      <c r="M3105" s="9" t="str">
        <f>IF(G3105&lt;&gt;"",J3105/MAX(J$3:J3105)-1,"")</f>
        <v/>
      </c>
      <c r="N3105" s="9" t="str">
        <f>IF(G3105&lt;&gt;"",K3105/MAX(K$3:K3105)-1,"")</f>
        <v/>
      </c>
      <c r="O3105" s="16" t="str">
        <f t="shared" si="465"/>
        <v/>
      </c>
      <c r="P3105" s="16" t="str">
        <f t="shared" si="465"/>
        <v/>
      </c>
      <c r="Q3105" s="16" t="str">
        <f t="shared" si="465"/>
        <v/>
      </c>
      <c r="R3105" s="5" t="str">
        <f t="shared" si="464"/>
        <v/>
      </c>
      <c r="S3105" s="5" t="str">
        <f t="shared" si="468"/>
        <v/>
      </c>
      <c r="T3105" s="5" t="str">
        <f t="shared" si="471"/>
        <v/>
      </c>
      <c r="U3105" s="5" t="str">
        <f t="shared" si="471"/>
        <v/>
      </c>
    </row>
    <row r="3106" spans="7:21" x14ac:dyDescent="0.2">
      <c r="G3106" s="8"/>
      <c r="H3106" s="5"/>
      <c r="J3106" s="10" t="str">
        <f t="shared" si="466"/>
        <v/>
      </c>
      <c r="K3106" s="10" t="str">
        <f t="shared" si="467"/>
        <v/>
      </c>
      <c r="L3106" s="11" t="str">
        <f t="shared" si="469"/>
        <v/>
      </c>
      <c r="M3106" s="9" t="str">
        <f>IF(G3106&lt;&gt;"",J3106/MAX(J$3:J3106)-1,"")</f>
        <v/>
      </c>
      <c r="N3106" s="9" t="str">
        <f>IF(G3106&lt;&gt;"",K3106/MAX(K$3:K3106)-1,"")</f>
        <v/>
      </c>
      <c r="O3106" s="16" t="str">
        <f t="shared" si="465"/>
        <v/>
      </c>
      <c r="P3106" s="16" t="str">
        <f t="shared" si="465"/>
        <v/>
      </c>
      <c r="Q3106" s="16" t="str">
        <f t="shared" si="465"/>
        <v/>
      </c>
      <c r="R3106" s="5" t="str">
        <f t="shared" si="464"/>
        <v/>
      </c>
      <c r="S3106" s="5" t="str">
        <f t="shared" si="468"/>
        <v/>
      </c>
      <c r="T3106" s="5" t="str">
        <f t="shared" si="471"/>
        <v/>
      </c>
      <c r="U3106" s="5" t="str">
        <f t="shared" si="471"/>
        <v/>
      </c>
    </row>
    <row r="3107" spans="7:21" x14ac:dyDescent="0.2">
      <c r="G3107" s="8"/>
      <c r="H3107" s="5"/>
      <c r="J3107" s="10" t="str">
        <f t="shared" si="466"/>
        <v/>
      </c>
      <c r="K3107" s="10" t="str">
        <f t="shared" si="467"/>
        <v/>
      </c>
      <c r="L3107" s="11" t="str">
        <f t="shared" si="469"/>
        <v/>
      </c>
      <c r="M3107" s="9" t="str">
        <f>IF(G3107&lt;&gt;"",J3107/MAX(J$3:J3107)-1,"")</f>
        <v/>
      </c>
      <c r="N3107" s="9" t="str">
        <f>IF(G3107&lt;&gt;"",K3107/MAX(K$3:K3107)-1,"")</f>
        <v/>
      </c>
      <c r="O3107" s="16" t="str">
        <f t="shared" si="465"/>
        <v/>
      </c>
      <c r="P3107" s="16" t="str">
        <f t="shared" si="465"/>
        <v/>
      </c>
      <c r="Q3107" s="16" t="str">
        <f t="shared" si="465"/>
        <v/>
      </c>
      <c r="R3107" s="5" t="str">
        <f t="shared" si="464"/>
        <v/>
      </c>
      <c r="S3107" s="5" t="str">
        <f t="shared" si="468"/>
        <v/>
      </c>
      <c r="T3107" s="5" t="str">
        <f t="shared" si="471"/>
        <v/>
      </c>
      <c r="U3107" s="5" t="str">
        <f t="shared" si="471"/>
        <v/>
      </c>
    </row>
    <row r="3108" spans="7:21" x14ac:dyDescent="0.2">
      <c r="G3108" s="8"/>
      <c r="H3108" s="5"/>
      <c r="J3108" s="10" t="str">
        <f t="shared" si="466"/>
        <v/>
      </c>
      <c r="K3108" s="10" t="str">
        <f t="shared" si="467"/>
        <v/>
      </c>
      <c r="L3108" s="11" t="str">
        <f t="shared" si="469"/>
        <v/>
      </c>
      <c r="M3108" s="9" t="str">
        <f>IF(G3108&lt;&gt;"",J3108/MAX(J$3:J3108)-1,"")</f>
        <v/>
      </c>
      <c r="N3108" s="9" t="str">
        <f>IF(G3108&lt;&gt;"",K3108/MAX(K$3:K3108)-1,"")</f>
        <v/>
      </c>
      <c r="O3108" s="16" t="str">
        <f t="shared" si="465"/>
        <v/>
      </c>
      <c r="P3108" s="16" t="str">
        <f t="shared" si="465"/>
        <v/>
      </c>
      <c r="Q3108" s="16" t="str">
        <f t="shared" si="465"/>
        <v/>
      </c>
      <c r="R3108" s="5" t="str">
        <f t="shared" si="464"/>
        <v/>
      </c>
      <c r="S3108" s="5" t="str">
        <f t="shared" si="468"/>
        <v/>
      </c>
      <c r="T3108" s="5" t="str">
        <f t="shared" si="471"/>
        <v/>
      </c>
      <c r="U3108" s="5" t="str">
        <f t="shared" si="471"/>
        <v/>
      </c>
    </row>
    <row r="3109" spans="7:21" x14ac:dyDescent="0.2">
      <c r="G3109" s="8"/>
      <c r="H3109" s="5"/>
      <c r="J3109" s="10" t="str">
        <f t="shared" si="466"/>
        <v/>
      </c>
      <c r="K3109" s="10" t="str">
        <f t="shared" si="467"/>
        <v/>
      </c>
      <c r="L3109" s="11" t="str">
        <f t="shared" si="469"/>
        <v/>
      </c>
      <c r="M3109" s="9" t="str">
        <f>IF(G3109&lt;&gt;"",J3109/MAX(J$3:J3109)-1,"")</f>
        <v/>
      </c>
      <c r="N3109" s="9" t="str">
        <f>IF(G3109&lt;&gt;"",K3109/MAX(K$3:K3109)-1,"")</f>
        <v/>
      </c>
      <c r="O3109" s="16" t="str">
        <f t="shared" si="465"/>
        <v/>
      </c>
      <c r="P3109" s="16" t="str">
        <f t="shared" si="465"/>
        <v/>
      </c>
      <c r="Q3109" s="16" t="str">
        <f t="shared" si="465"/>
        <v/>
      </c>
      <c r="R3109" s="5" t="str">
        <f t="shared" si="464"/>
        <v/>
      </c>
      <c r="S3109" s="5" t="str">
        <f t="shared" si="468"/>
        <v/>
      </c>
      <c r="T3109" s="5" t="str">
        <f t="shared" si="471"/>
        <v/>
      </c>
      <c r="U3109" s="5" t="str">
        <f t="shared" si="471"/>
        <v/>
      </c>
    </row>
    <row r="3110" spans="7:21" x14ac:dyDescent="0.2">
      <c r="G3110" s="8"/>
      <c r="H3110" s="5"/>
      <c r="J3110" s="10" t="str">
        <f t="shared" si="466"/>
        <v/>
      </c>
      <c r="K3110" s="10" t="str">
        <f t="shared" si="467"/>
        <v/>
      </c>
      <c r="L3110" s="11" t="str">
        <f t="shared" si="469"/>
        <v/>
      </c>
      <c r="M3110" s="9" t="str">
        <f>IF(G3110&lt;&gt;"",J3110/MAX(J$3:J3110)-1,"")</f>
        <v/>
      </c>
      <c r="N3110" s="9" t="str">
        <f>IF(G3110&lt;&gt;"",K3110/MAX(K$3:K3110)-1,"")</f>
        <v/>
      </c>
      <c r="O3110" s="16" t="str">
        <f t="shared" si="465"/>
        <v/>
      </c>
      <c r="P3110" s="16" t="str">
        <f t="shared" si="465"/>
        <v/>
      </c>
      <c r="Q3110" s="16" t="str">
        <f t="shared" si="465"/>
        <v/>
      </c>
      <c r="R3110" s="5" t="str">
        <f t="shared" si="464"/>
        <v/>
      </c>
      <c r="S3110" s="5" t="str">
        <f t="shared" si="468"/>
        <v/>
      </c>
      <c r="T3110" s="5" t="str">
        <f t="shared" si="471"/>
        <v/>
      </c>
      <c r="U3110" s="5" t="str">
        <f t="shared" si="471"/>
        <v/>
      </c>
    </row>
    <row r="3111" spans="7:21" x14ac:dyDescent="0.2">
      <c r="G3111" s="8"/>
      <c r="H3111" s="5"/>
      <c r="J3111" s="10" t="str">
        <f t="shared" si="466"/>
        <v/>
      </c>
      <c r="K3111" s="10" t="str">
        <f t="shared" si="467"/>
        <v/>
      </c>
      <c r="L3111" s="11" t="str">
        <f t="shared" si="469"/>
        <v/>
      </c>
      <c r="M3111" s="9" t="str">
        <f>IF(G3111&lt;&gt;"",J3111/MAX(J$3:J3111)-1,"")</f>
        <v/>
      </c>
      <c r="N3111" s="9" t="str">
        <f>IF(G3111&lt;&gt;"",K3111/MAX(K$3:K3111)-1,"")</f>
        <v/>
      </c>
      <c r="O3111" s="16" t="str">
        <f t="shared" si="465"/>
        <v/>
      </c>
      <c r="P3111" s="16" t="str">
        <f t="shared" si="465"/>
        <v/>
      </c>
      <c r="Q3111" s="16" t="str">
        <f t="shared" si="465"/>
        <v/>
      </c>
      <c r="R3111" s="5" t="str">
        <f t="shared" si="464"/>
        <v/>
      </c>
      <c r="S3111" s="5" t="str">
        <f t="shared" si="468"/>
        <v/>
      </c>
      <c r="T3111" s="5" t="str">
        <f t="shared" si="471"/>
        <v/>
      </c>
      <c r="U3111" s="5" t="str">
        <f t="shared" si="471"/>
        <v/>
      </c>
    </row>
    <row r="3112" spans="7:21" x14ac:dyDescent="0.2">
      <c r="G3112" s="8"/>
      <c r="H3112" s="5"/>
      <c r="J3112" s="10" t="str">
        <f t="shared" si="466"/>
        <v/>
      </c>
      <c r="K3112" s="10" t="str">
        <f t="shared" si="467"/>
        <v/>
      </c>
      <c r="L3112" s="11" t="str">
        <f t="shared" si="469"/>
        <v/>
      </c>
      <c r="M3112" s="9" t="str">
        <f>IF(G3112&lt;&gt;"",J3112/MAX(J$3:J3112)-1,"")</f>
        <v/>
      </c>
      <c r="N3112" s="9" t="str">
        <f>IF(G3112&lt;&gt;"",K3112/MAX(K$3:K3112)-1,"")</f>
        <v/>
      </c>
      <c r="O3112" s="16" t="str">
        <f t="shared" si="465"/>
        <v/>
      </c>
      <c r="P3112" s="16" t="str">
        <f t="shared" si="465"/>
        <v/>
      </c>
      <c r="Q3112" s="16" t="str">
        <f t="shared" si="465"/>
        <v/>
      </c>
      <c r="R3112" s="5" t="str">
        <f t="shared" si="464"/>
        <v/>
      </c>
      <c r="S3112" s="5" t="str">
        <f t="shared" si="468"/>
        <v/>
      </c>
      <c r="T3112" s="5" t="str">
        <f t="shared" ref="T3112:U3127" si="472">IF($G3112&lt;&gt;"",_xlfn.STDEV.S(O2868:O3112),"")</f>
        <v/>
      </c>
      <c r="U3112" s="5" t="str">
        <f t="shared" si="472"/>
        <v/>
      </c>
    </row>
    <row r="3113" spans="7:21" x14ac:dyDescent="0.2">
      <c r="G3113" s="8"/>
      <c r="H3113" s="5"/>
      <c r="J3113" s="10" t="str">
        <f t="shared" si="466"/>
        <v/>
      </c>
      <c r="K3113" s="10" t="str">
        <f t="shared" si="467"/>
        <v/>
      </c>
      <c r="L3113" s="11" t="str">
        <f t="shared" si="469"/>
        <v/>
      </c>
      <c r="M3113" s="9" t="str">
        <f>IF(G3113&lt;&gt;"",J3113/MAX(J$3:J3113)-1,"")</f>
        <v/>
      </c>
      <c r="N3113" s="9" t="str">
        <f>IF(G3113&lt;&gt;"",K3113/MAX(K$3:K3113)-1,"")</f>
        <v/>
      </c>
      <c r="O3113" s="16" t="str">
        <f t="shared" si="465"/>
        <v/>
      </c>
      <c r="P3113" s="16" t="str">
        <f t="shared" si="465"/>
        <v/>
      </c>
      <c r="Q3113" s="16" t="str">
        <f t="shared" si="465"/>
        <v/>
      </c>
      <c r="R3113" s="5" t="str">
        <f t="shared" si="464"/>
        <v/>
      </c>
      <c r="S3113" s="5" t="str">
        <f t="shared" si="468"/>
        <v/>
      </c>
      <c r="T3113" s="5" t="str">
        <f t="shared" si="472"/>
        <v/>
      </c>
      <c r="U3113" s="5" t="str">
        <f t="shared" si="472"/>
        <v/>
      </c>
    </row>
    <row r="3114" spans="7:21" x14ac:dyDescent="0.2">
      <c r="G3114" s="8"/>
      <c r="H3114" s="5"/>
      <c r="J3114" s="10" t="str">
        <f t="shared" si="466"/>
        <v/>
      </c>
      <c r="K3114" s="10" t="str">
        <f t="shared" si="467"/>
        <v/>
      </c>
      <c r="L3114" s="11" t="str">
        <f t="shared" si="469"/>
        <v/>
      </c>
      <c r="M3114" s="9" t="str">
        <f>IF(G3114&lt;&gt;"",J3114/MAX(J$3:J3114)-1,"")</f>
        <v/>
      </c>
      <c r="N3114" s="9" t="str">
        <f>IF(G3114&lt;&gt;"",K3114/MAX(K$3:K3114)-1,"")</f>
        <v/>
      </c>
      <c r="O3114" s="16" t="str">
        <f t="shared" si="465"/>
        <v/>
      </c>
      <c r="P3114" s="16" t="str">
        <f t="shared" si="465"/>
        <v/>
      </c>
      <c r="Q3114" s="16" t="str">
        <f t="shared" si="465"/>
        <v/>
      </c>
      <c r="R3114" s="5" t="str">
        <f t="shared" si="464"/>
        <v/>
      </c>
      <c r="S3114" s="5" t="str">
        <f t="shared" si="468"/>
        <v/>
      </c>
      <c r="T3114" s="5" t="str">
        <f t="shared" si="472"/>
        <v/>
      </c>
      <c r="U3114" s="5" t="str">
        <f t="shared" si="472"/>
        <v/>
      </c>
    </row>
    <row r="3115" spans="7:21" x14ac:dyDescent="0.2">
      <c r="G3115" s="8"/>
      <c r="H3115" s="5"/>
      <c r="J3115" s="10" t="str">
        <f t="shared" si="466"/>
        <v/>
      </c>
      <c r="K3115" s="10" t="str">
        <f t="shared" si="467"/>
        <v/>
      </c>
      <c r="L3115" s="11" t="str">
        <f t="shared" si="469"/>
        <v/>
      </c>
      <c r="M3115" s="9" t="str">
        <f>IF(G3115&lt;&gt;"",J3115/MAX(J$3:J3115)-1,"")</f>
        <v/>
      </c>
      <c r="N3115" s="9" t="str">
        <f>IF(G3115&lt;&gt;"",K3115/MAX(K$3:K3115)-1,"")</f>
        <v/>
      </c>
      <c r="O3115" s="16" t="str">
        <f t="shared" si="465"/>
        <v/>
      </c>
      <c r="P3115" s="16" t="str">
        <f t="shared" si="465"/>
        <v/>
      </c>
      <c r="Q3115" s="16" t="str">
        <f t="shared" si="465"/>
        <v/>
      </c>
      <c r="R3115" s="5" t="str">
        <f t="shared" si="464"/>
        <v/>
      </c>
      <c r="S3115" s="5" t="str">
        <f t="shared" si="468"/>
        <v/>
      </c>
      <c r="T3115" s="5" t="str">
        <f t="shared" si="472"/>
        <v/>
      </c>
      <c r="U3115" s="5" t="str">
        <f t="shared" si="472"/>
        <v/>
      </c>
    </row>
    <row r="3116" spans="7:21" x14ac:dyDescent="0.2">
      <c r="G3116" s="8"/>
      <c r="H3116" s="5"/>
      <c r="J3116" s="10" t="str">
        <f t="shared" si="466"/>
        <v/>
      </c>
      <c r="K3116" s="10" t="str">
        <f t="shared" si="467"/>
        <v/>
      </c>
      <c r="L3116" s="11" t="str">
        <f t="shared" si="469"/>
        <v/>
      </c>
      <c r="M3116" s="9" t="str">
        <f>IF(G3116&lt;&gt;"",J3116/MAX(J$3:J3116)-1,"")</f>
        <v/>
      </c>
      <c r="N3116" s="9" t="str">
        <f>IF(G3116&lt;&gt;"",K3116/MAX(K$3:K3116)-1,"")</f>
        <v/>
      </c>
      <c r="O3116" s="16" t="str">
        <f t="shared" si="465"/>
        <v/>
      </c>
      <c r="P3116" s="16" t="str">
        <f t="shared" si="465"/>
        <v/>
      </c>
      <c r="Q3116" s="16" t="str">
        <f t="shared" si="465"/>
        <v/>
      </c>
      <c r="R3116" s="5" t="str">
        <f t="shared" si="464"/>
        <v/>
      </c>
      <c r="S3116" s="5" t="str">
        <f t="shared" si="468"/>
        <v/>
      </c>
      <c r="T3116" s="5" t="str">
        <f t="shared" si="472"/>
        <v/>
      </c>
      <c r="U3116" s="5" t="str">
        <f t="shared" si="472"/>
        <v/>
      </c>
    </row>
    <row r="3117" spans="7:21" x14ac:dyDescent="0.2">
      <c r="G3117" s="8"/>
      <c r="H3117" s="5"/>
      <c r="J3117" s="10" t="str">
        <f t="shared" si="466"/>
        <v/>
      </c>
      <c r="K3117" s="10" t="str">
        <f t="shared" si="467"/>
        <v/>
      </c>
      <c r="L3117" s="11" t="str">
        <f t="shared" si="469"/>
        <v/>
      </c>
      <c r="M3117" s="9" t="str">
        <f>IF(G3117&lt;&gt;"",J3117/MAX(J$3:J3117)-1,"")</f>
        <v/>
      </c>
      <c r="N3117" s="9" t="str">
        <f>IF(G3117&lt;&gt;"",K3117/MAX(K$3:K3117)-1,"")</f>
        <v/>
      </c>
      <c r="O3117" s="16" t="str">
        <f t="shared" si="465"/>
        <v/>
      </c>
      <c r="P3117" s="16" t="str">
        <f t="shared" si="465"/>
        <v/>
      </c>
      <c r="Q3117" s="16" t="str">
        <f t="shared" si="465"/>
        <v/>
      </c>
      <c r="R3117" s="5" t="str">
        <f t="shared" si="464"/>
        <v/>
      </c>
      <c r="S3117" s="5" t="str">
        <f t="shared" si="468"/>
        <v/>
      </c>
      <c r="T3117" s="5" t="str">
        <f t="shared" si="472"/>
        <v/>
      </c>
      <c r="U3117" s="5" t="str">
        <f t="shared" si="472"/>
        <v/>
      </c>
    </row>
    <row r="3118" spans="7:21" x14ac:dyDescent="0.2">
      <c r="G3118" s="8"/>
      <c r="H3118" s="5"/>
      <c r="J3118" s="10" t="str">
        <f t="shared" si="466"/>
        <v/>
      </c>
      <c r="K3118" s="10" t="str">
        <f t="shared" si="467"/>
        <v/>
      </c>
      <c r="L3118" s="11" t="str">
        <f t="shared" si="469"/>
        <v/>
      </c>
      <c r="M3118" s="9" t="str">
        <f>IF(G3118&lt;&gt;"",J3118/MAX(J$3:J3118)-1,"")</f>
        <v/>
      </c>
      <c r="N3118" s="9" t="str">
        <f>IF(G3118&lt;&gt;"",K3118/MAX(K$3:K3118)-1,"")</f>
        <v/>
      </c>
      <c r="O3118" s="16" t="str">
        <f t="shared" si="465"/>
        <v/>
      </c>
      <c r="P3118" s="16" t="str">
        <f t="shared" si="465"/>
        <v/>
      </c>
      <c r="Q3118" s="16" t="str">
        <f t="shared" si="465"/>
        <v/>
      </c>
      <c r="R3118" s="5" t="str">
        <f t="shared" si="464"/>
        <v/>
      </c>
      <c r="S3118" s="5" t="str">
        <f t="shared" si="468"/>
        <v/>
      </c>
      <c r="T3118" s="5" t="str">
        <f t="shared" si="472"/>
        <v/>
      </c>
      <c r="U3118" s="5" t="str">
        <f t="shared" si="472"/>
        <v/>
      </c>
    </row>
    <row r="3119" spans="7:21" x14ac:dyDescent="0.2">
      <c r="G3119" s="8"/>
      <c r="H3119" s="5"/>
      <c r="J3119" s="10" t="str">
        <f t="shared" si="466"/>
        <v/>
      </c>
      <c r="K3119" s="10" t="str">
        <f t="shared" si="467"/>
        <v/>
      </c>
      <c r="L3119" s="11" t="str">
        <f t="shared" si="469"/>
        <v/>
      </c>
      <c r="M3119" s="9" t="str">
        <f>IF(G3119&lt;&gt;"",J3119/MAX(J$3:J3119)-1,"")</f>
        <v/>
      </c>
      <c r="N3119" s="9" t="str">
        <f>IF(G3119&lt;&gt;"",K3119/MAX(K$3:K3119)-1,"")</f>
        <v/>
      </c>
      <c r="O3119" s="16" t="str">
        <f t="shared" si="465"/>
        <v/>
      </c>
      <c r="P3119" s="16" t="str">
        <f t="shared" si="465"/>
        <v/>
      </c>
      <c r="Q3119" s="16" t="str">
        <f t="shared" si="465"/>
        <v/>
      </c>
      <c r="R3119" s="5" t="str">
        <f t="shared" si="464"/>
        <v/>
      </c>
      <c r="S3119" s="5" t="str">
        <f t="shared" si="468"/>
        <v/>
      </c>
      <c r="T3119" s="5" t="str">
        <f t="shared" si="472"/>
        <v/>
      </c>
      <c r="U3119" s="5" t="str">
        <f t="shared" si="472"/>
        <v/>
      </c>
    </row>
    <row r="3120" spans="7:21" x14ac:dyDescent="0.2">
      <c r="G3120" s="8"/>
      <c r="H3120" s="5"/>
      <c r="J3120" s="10" t="str">
        <f t="shared" si="466"/>
        <v/>
      </c>
      <c r="K3120" s="10" t="str">
        <f t="shared" si="467"/>
        <v/>
      </c>
      <c r="L3120" s="11" t="str">
        <f t="shared" si="469"/>
        <v/>
      </c>
      <c r="M3120" s="9" t="str">
        <f>IF(G3120&lt;&gt;"",J3120/MAX(J$3:J3120)-1,"")</f>
        <v/>
      </c>
      <c r="N3120" s="9" t="str">
        <f>IF(G3120&lt;&gt;"",K3120/MAX(K$3:K3120)-1,"")</f>
        <v/>
      </c>
      <c r="O3120" s="16" t="str">
        <f t="shared" si="465"/>
        <v/>
      </c>
      <c r="P3120" s="16" t="str">
        <f t="shared" si="465"/>
        <v/>
      </c>
      <c r="Q3120" s="16" t="str">
        <f t="shared" si="465"/>
        <v/>
      </c>
      <c r="R3120" s="5" t="str">
        <f t="shared" si="464"/>
        <v/>
      </c>
      <c r="S3120" s="5" t="str">
        <f t="shared" si="468"/>
        <v/>
      </c>
      <c r="T3120" s="5" t="str">
        <f t="shared" si="472"/>
        <v/>
      </c>
      <c r="U3120" s="5" t="str">
        <f t="shared" si="472"/>
        <v/>
      </c>
    </row>
    <row r="3121" spans="7:21" x14ac:dyDescent="0.2">
      <c r="G3121" s="8"/>
      <c r="H3121" s="5"/>
      <c r="J3121" s="10" t="str">
        <f t="shared" si="466"/>
        <v/>
      </c>
      <c r="K3121" s="10" t="str">
        <f t="shared" si="467"/>
        <v/>
      </c>
      <c r="L3121" s="11" t="str">
        <f t="shared" si="469"/>
        <v/>
      </c>
      <c r="M3121" s="9" t="str">
        <f>IF(G3121&lt;&gt;"",J3121/MAX(J$3:J3121)-1,"")</f>
        <v/>
      </c>
      <c r="N3121" s="9" t="str">
        <f>IF(G3121&lt;&gt;"",K3121/MAX(K$3:K3121)-1,"")</f>
        <v/>
      </c>
      <c r="O3121" s="16" t="str">
        <f t="shared" si="465"/>
        <v/>
      </c>
      <c r="P3121" s="16" t="str">
        <f t="shared" si="465"/>
        <v/>
      </c>
      <c r="Q3121" s="16" t="str">
        <f t="shared" si="465"/>
        <v/>
      </c>
      <c r="R3121" s="5" t="str">
        <f t="shared" si="464"/>
        <v/>
      </c>
      <c r="S3121" s="5" t="str">
        <f t="shared" si="468"/>
        <v/>
      </c>
      <c r="T3121" s="5" t="str">
        <f t="shared" si="472"/>
        <v/>
      </c>
      <c r="U3121" s="5" t="str">
        <f t="shared" si="472"/>
        <v/>
      </c>
    </row>
    <row r="3122" spans="7:21" x14ac:dyDescent="0.2">
      <c r="G3122" s="8"/>
      <c r="H3122" s="5"/>
      <c r="J3122" s="10" t="str">
        <f t="shared" si="466"/>
        <v/>
      </c>
      <c r="K3122" s="10" t="str">
        <f t="shared" si="467"/>
        <v/>
      </c>
      <c r="L3122" s="11" t="str">
        <f t="shared" si="469"/>
        <v/>
      </c>
      <c r="M3122" s="9" t="str">
        <f>IF(G3122&lt;&gt;"",J3122/MAX(J$3:J3122)-1,"")</f>
        <v/>
      </c>
      <c r="N3122" s="9" t="str">
        <f>IF(G3122&lt;&gt;"",K3122/MAX(K$3:K3122)-1,"")</f>
        <v/>
      </c>
      <c r="O3122" s="16" t="str">
        <f t="shared" si="465"/>
        <v/>
      </c>
      <c r="P3122" s="16" t="str">
        <f t="shared" si="465"/>
        <v/>
      </c>
      <c r="Q3122" s="16" t="str">
        <f t="shared" si="465"/>
        <v/>
      </c>
      <c r="R3122" s="5" t="str">
        <f t="shared" si="464"/>
        <v/>
      </c>
      <c r="S3122" s="5" t="str">
        <f t="shared" si="468"/>
        <v/>
      </c>
      <c r="T3122" s="5" t="str">
        <f t="shared" si="472"/>
        <v/>
      </c>
      <c r="U3122" s="5" t="str">
        <f t="shared" si="472"/>
        <v/>
      </c>
    </row>
    <row r="3123" spans="7:21" x14ac:dyDescent="0.2">
      <c r="G3123" s="8"/>
      <c r="H3123" s="5"/>
      <c r="J3123" s="10" t="str">
        <f t="shared" si="466"/>
        <v/>
      </c>
      <c r="K3123" s="10" t="str">
        <f t="shared" si="467"/>
        <v/>
      </c>
      <c r="L3123" s="11" t="str">
        <f t="shared" si="469"/>
        <v/>
      </c>
      <c r="M3123" s="9" t="str">
        <f>IF(G3123&lt;&gt;"",J3123/MAX(J$3:J3123)-1,"")</f>
        <v/>
      </c>
      <c r="N3123" s="9" t="str">
        <f>IF(G3123&lt;&gt;"",K3123/MAX(K$3:K3123)-1,"")</f>
        <v/>
      </c>
      <c r="O3123" s="16" t="str">
        <f t="shared" si="465"/>
        <v/>
      </c>
      <c r="P3123" s="16" t="str">
        <f t="shared" si="465"/>
        <v/>
      </c>
      <c r="Q3123" s="16" t="str">
        <f t="shared" si="465"/>
        <v/>
      </c>
      <c r="R3123" s="5" t="str">
        <f t="shared" si="464"/>
        <v/>
      </c>
      <c r="S3123" s="5" t="str">
        <f t="shared" si="468"/>
        <v/>
      </c>
      <c r="T3123" s="5" t="str">
        <f t="shared" si="472"/>
        <v/>
      </c>
      <c r="U3123" s="5" t="str">
        <f t="shared" si="472"/>
        <v/>
      </c>
    </row>
    <row r="3124" spans="7:21" x14ac:dyDescent="0.2">
      <c r="G3124" s="8"/>
      <c r="H3124" s="5"/>
      <c r="J3124" s="10" t="str">
        <f t="shared" si="466"/>
        <v/>
      </c>
      <c r="K3124" s="10" t="str">
        <f t="shared" si="467"/>
        <v/>
      </c>
      <c r="L3124" s="11" t="str">
        <f t="shared" si="469"/>
        <v/>
      </c>
      <c r="M3124" s="9" t="str">
        <f>IF(G3124&lt;&gt;"",J3124/MAX(J$3:J3124)-1,"")</f>
        <v/>
      </c>
      <c r="N3124" s="9" t="str">
        <f>IF(G3124&lt;&gt;"",K3124/MAX(K$3:K3124)-1,"")</f>
        <v/>
      </c>
      <c r="O3124" s="16" t="str">
        <f t="shared" si="465"/>
        <v/>
      </c>
      <c r="P3124" s="16" t="str">
        <f t="shared" si="465"/>
        <v/>
      </c>
      <c r="Q3124" s="16" t="str">
        <f t="shared" si="465"/>
        <v/>
      </c>
      <c r="R3124" s="5" t="str">
        <f t="shared" si="464"/>
        <v/>
      </c>
      <c r="S3124" s="5" t="str">
        <f t="shared" si="468"/>
        <v/>
      </c>
      <c r="T3124" s="5" t="str">
        <f t="shared" si="472"/>
        <v/>
      </c>
      <c r="U3124" s="5" t="str">
        <f t="shared" si="472"/>
        <v/>
      </c>
    </row>
    <row r="3125" spans="7:21" x14ac:dyDescent="0.2">
      <c r="G3125" s="8"/>
      <c r="H3125" s="5"/>
      <c r="J3125" s="10" t="str">
        <f t="shared" si="466"/>
        <v/>
      </c>
      <c r="K3125" s="10" t="str">
        <f t="shared" si="467"/>
        <v/>
      </c>
      <c r="L3125" s="11" t="str">
        <f t="shared" si="469"/>
        <v/>
      </c>
      <c r="M3125" s="9" t="str">
        <f>IF(G3125&lt;&gt;"",J3125/MAX(J$3:J3125)-1,"")</f>
        <v/>
      </c>
      <c r="N3125" s="9" t="str">
        <f>IF(G3125&lt;&gt;"",K3125/MAX(K$3:K3125)-1,"")</f>
        <v/>
      </c>
      <c r="O3125" s="16" t="str">
        <f t="shared" si="465"/>
        <v/>
      </c>
      <c r="P3125" s="16" t="str">
        <f t="shared" si="465"/>
        <v/>
      </c>
      <c r="Q3125" s="16" t="str">
        <f t="shared" si="465"/>
        <v/>
      </c>
      <c r="R3125" s="5" t="str">
        <f t="shared" si="464"/>
        <v/>
      </c>
      <c r="S3125" s="5" t="str">
        <f t="shared" si="468"/>
        <v/>
      </c>
      <c r="T3125" s="5" t="str">
        <f t="shared" si="472"/>
        <v/>
      </c>
      <c r="U3125" s="5" t="str">
        <f t="shared" si="472"/>
        <v/>
      </c>
    </row>
    <row r="3126" spans="7:21" x14ac:dyDescent="0.2">
      <c r="G3126" s="8"/>
      <c r="H3126" s="5"/>
      <c r="J3126" s="10" t="str">
        <f t="shared" si="466"/>
        <v/>
      </c>
      <c r="K3126" s="10" t="str">
        <f t="shared" si="467"/>
        <v/>
      </c>
      <c r="L3126" s="11" t="str">
        <f t="shared" si="469"/>
        <v/>
      </c>
      <c r="M3126" s="9" t="str">
        <f>IF(G3126&lt;&gt;"",J3126/MAX(J$3:J3126)-1,"")</f>
        <v/>
      </c>
      <c r="N3126" s="9" t="str">
        <f>IF(G3126&lt;&gt;"",K3126/MAX(K$3:K3126)-1,"")</f>
        <v/>
      </c>
      <c r="O3126" s="16" t="str">
        <f t="shared" si="465"/>
        <v/>
      </c>
      <c r="P3126" s="16" t="str">
        <f t="shared" si="465"/>
        <v/>
      </c>
      <c r="Q3126" s="16" t="str">
        <f t="shared" si="465"/>
        <v/>
      </c>
      <c r="R3126" s="5" t="str">
        <f t="shared" si="464"/>
        <v/>
      </c>
      <c r="S3126" s="5" t="str">
        <f t="shared" si="468"/>
        <v/>
      </c>
      <c r="T3126" s="5" t="str">
        <f t="shared" si="472"/>
        <v/>
      </c>
      <c r="U3126" s="5" t="str">
        <f t="shared" si="472"/>
        <v/>
      </c>
    </row>
    <row r="3127" spans="7:21" x14ac:dyDescent="0.2">
      <c r="G3127" s="8"/>
      <c r="H3127" s="5"/>
      <c r="J3127" s="10" t="str">
        <f t="shared" si="466"/>
        <v/>
      </c>
      <c r="K3127" s="10" t="str">
        <f t="shared" si="467"/>
        <v/>
      </c>
      <c r="L3127" s="11" t="str">
        <f t="shared" si="469"/>
        <v/>
      </c>
      <c r="M3127" s="9" t="str">
        <f>IF(G3127&lt;&gt;"",J3127/MAX(J$3:J3127)-1,"")</f>
        <v/>
      </c>
      <c r="N3127" s="9" t="str">
        <f>IF(G3127&lt;&gt;"",K3127/MAX(K$3:K3127)-1,"")</f>
        <v/>
      </c>
      <c r="O3127" s="16" t="str">
        <f t="shared" si="465"/>
        <v/>
      </c>
      <c r="P3127" s="16" t="str">
        <f t="shared" si="465"/>
        <v/>
      </c>
      <c r="Q3127" s="16" t="str">
        <f t="shared" si="465"/>
        <v/>
      </c>
      <c r="R3127" s="5" t="str">
        <f t="shared" si="464"/>
        <v/>
      </c>
      <c r="S3127" s="5" t="str">
        <f t="shared" si="468"/>
        <v/>
      </c>
      <c r="T3127" s="5" t="str">
        <f t="shared" si="472"/>
        <v/>
      </c>
      <c r="U3127" s="5" t="str">
        <f t="shared" si="472"/>
        <v/>
      </c>
    </row>
    <row r="3128" spans="7:21" x14ac:dyDescent="0.2">
      <c r="G3128" s="8"/>
      <c r="H3128" s="5"/>
      <c r="J3128" s="10" t="str">
        <f t="shared" si="466"/>
        <v/>
      </c>
      <c r="K3128" s="10" t="str">
        <f t="shared" si="467"/>
        <v/>
      </c>
      <c r="L3128" s="11" t="str">
        <f t="shared" si="469"/>
        <v/>
      </c>
      <c r="M3128" s="9" t="str">
        <f>IF(G3128&lt;&gt;"",J3128/MAX(J$3:J3128)-1,"")</f>
        <v/>
      </c>
      <c r="N3128" s="9" t="str">
        <f>IF(G3128&lt;&gt;"",K3128/MAX(K$3:K3128)-1,"")</f>
        <v/>
      </c>
      <c r="O3128" s="16" t="str">
        <f t="shared" si="465"/>
        <v/>
      </c>
      <c r="P3128" s="16" t="str">
        <f t="shared" si="465"/>
        <v/>
      </c>
      <c r="Q3128" s="16" t="str">
        <f t="shared" si="465"/>
        <v/>
      </c>
      <c r="R3128" s="5" t="str">
        <f t="shared" si="464"/>
        <v/>
      </c>
      <c r="S3128" s="5" t="str">
        <f t="shared" si="468"/>
        <v/>
      </c>
      <c r="T3128" s="5" t="str">
        <f t="shared" ref="T3128:U3143" si="473">IF($G3128&lt;&gt;"",_xlfn.STDEV.S(O2884:O3128),"")</f>
        <v/>
      </c>
      <c r="U3128" s="5" t="str">
        <f t="shared" si="473"/>
        <v/>
      </c>
    </row>
    <row r="3129" spans="7:21" x14ac:dyDescent="0.2">
      <c r="G3129" s="8"/>
      <c r="H3129" s="5"/>
      <c r="J3129" s="10" t="str">
        <f t="shared" si="466"/>
        <v/>
      </c>
      <c r="K3129" s="10" t="str">
        <f t="shared" si="467"/>
        <v/>
      </c>
      <c r="L3129" s="11" t="str">
        <f t="shared" si="469"/>
        <v/>
      </c>
      <c r="M3129" s="9" t="str">
        <f>IF(G3129&lt;&gt;"",J3129/MAX(J$3:J3129)-1,"")</f>
        <v/>
      </c>
      <c r="N3129" s="9" t="str">
        <f>IF(G3129&lt;&gt;"",K3129/MAX(K$3:K3129)-1,"")</f>
        <v/>
      </c>
      <c r="O3129" s="16" t="str">
        <f t="shared" si="465"/>
        <v/>
      </c>
      <c r="P3129" s="16" t="str">
        <f t="shared" si="465"/>
        <v/>
      </c>
      <c r="Q3129" s="16" t="str">
        <f t="shared" si="465"/>
        <v/>
      </c>
      <c r="R3129" s="5" t="str">
        <f t="shared" si="464"/>
        <v/>
      </c>
      <c r="S3129" s="5" t="str">
        <f t="shared" si="468"/>
        <v/>
      </c>
      <c r="T3129" s="5" t="str">
        <f t="shared" si="473"/>
        <v/>
      </c>
      <c r="U3129" s="5" t="str">
        <f t="shared" si="473"/>
        <v/>
      </c>
    </row>
    <row r="3130" spans="7:21" x14ac:dyDescent="0.2">
      <c r="G3130" s="8"/>
      <c r="H3130" s="5"/>
      <c r="J3130" s="10" t="str">
        <f t="shared" si="466"/>
        <v/>
      </c>
      <c r="K3130" s="10" t="str">
        <f t="shared" si="467"/>
        <v/>
      </c>
      <c r="L3130" s="11" t="str">
        <f t="shared" si="469"/>
        <v/>
      </c>
      <c r="M3130" s="9" t="str">
        <f>IF(G3130&lt;&gt;"",J3130/MAX(J$3:J3130)-1,"")</f>
        <v/>
      </c>
      <c r="N3130" s="9" t="str">
        <f>IF(G3130&lt;&gt;"",K3130/MAX(K$3:K3130)-1,"")</f>
        <v/>
      </c>
      <c r="O3130" s="16" t="str">
        <f t="shared" si="465"/>
        <v/>
      </c>
      <c r="P3130" s="16" t="str">
        <f t="shared" si="465"/>
        <v/>
      </c>
      <c r="Q3130" s="16" t="str">
        <f t="shared" si="465"/>
        <v/>
      </c>
      <c r="R3130" s="5" t="str">
        <f t="shared" si="464"/>
        <v/>
      </c>
      <c r="S3130" s="5" t="str">
        <f t="shared" si="468"/>
        <v/>
      </c>
      <c r="T3130" s="5" t="str">
        <f t="shared" si="473"/>
        <v/>
      </c>
      <c r="U3130" s="5" t="str">
        <f t="shared" si="473"/>
        <v/>
      </c>
    </row>
    <row r="3131" spans="7:21" x14ac:dyDescent="0.2">
      <c r="G3131" s="8"/>
      <c r="H3131" s="5"/>
      <c r="J3131" s="10" t="str">
        <f t="shared" si="466"/>
        <v/>
      </c>
      <c r="K3131" s="10" t="str">
        <f t="shared" si="467"/>
        <v/>
      </c>
      <c r="L3131" s="11" t="str">
        <f t="shared" si="469"/>
        <v/>
      </c>
      <c r="M3131" s="9" t="str">
        <f>IF(G3131&lt;&gt;"",J3131/MAX(J$3:J3131)-1,"")</f>
        <v/>
      </c>
      <c r="N3131" s="9" t="str">
        <f>IF(G3131&lt;&gt;"",K3131/MAX(K$3:K3131)-1,"")</f>
        <v/>
      </c>
      <c r="O3131" s="16" t="str">
        <f t="shared" si="465"/>
        <v/>
      </c>
      <c r="P3131" s="16" t="str">
        <f t="shared" si="465"/>
        <v/>
      </c>
      <c r="Q3131" s="16" t="str">
        <f t="shared" si="465"/>
        <v/>
      </c>
      <c r="R3131" s="5" t="str">
        <f t="shared" si="464"/>
        <v/>
      </c>
      <c r="S3131" s="5" t="str">
        <f t="shared" si="468"/>
        <v/>
      </c>
      <c r="T3131" s="5" t="str">
        <f t="shared" si="473"/>
        <v/>
      </c>
      <c r="U3131" s="5" t="str">
        <f t="shared" si="473"/>
        <v/>
      </c>
    </row>
    <row r="3132" spans="7:21" x14ac:dyDescent="0.2">
      <c r="G3132" s="8"/>
      <c r="H3132" s="5"/>
      <c r="J3132" s="10" t="str">
        <f t="shared" si="466"/>
        <v/>
      </c>
      <c r="K3132" s="10" t="str">
        <f t="shared" si="467"/>
        <v/>
      </c>
      <c r="L3132" s="11" t="str">
        <f t="shared" si="469"/>
        <v/>
      </c>
      <c r="M3132" s="9" t="str">
        <f>IF(G3132&lt;&gt;"",J3132/MAX(J$3:J3132)-1,"")</f>
        <v/>
      </c>
      <c r="N3132" s="9" t="str">
        <f>IF(G3132&lt;&gt;"",K3132/MAX(K$3:K3132)-1,"")</f>
        <v/>
      </c>
      <c r="O3132" s="16" t="str">
        <f t="shared" si="465"/>
        <v/>
      </c>
      <c r="P3132" s="16" t="str">
        <f t="shared" si="465"/>
        <v/>
      </c>
      <c r="Q3132" s="16" t="str">
        <f t="shared" si="465"/>
        <v/>
      </c>
      <c r="R3132" s="5" t="str">
        <f t="shared" si="464"/>
        <v/>
      </c>
      <c r="S3132" s="5" t="str">
        <f t="shared" si="468"/>
        <v/>
      </c>
      <c r="T3132" s="5" t="str">
        <f t="shared" si="473"/>
        <v/>
      </c>
      <c r="U3132" s="5" t="str">
        <f t="shared" si="473"/>
        <v/>
      </c>
    </row>
    <row r="3133" spans="7:21" x14ac:dyDescent="0.2">
      <c r="G3133" s="8"/>
      <c r="H3133" s="5"/>
      <c r="J3133" s="10" t="str">
        <f t="shared" si="466"/>
        <v/>
      </c>
      <c r="K3133" s="10" t="str">
        <f t="shared" si="467"/>
        <v/>
      </c>
      <c r="L3133" s="11" t="str">
        <f t="shared" si="469"/>
        <v/>
      </c>
      <c r="M3133" s="9" t="str">
        <f>IF(G3133&lt;&gt;"",J3133/MAX(J$3:J3133)-1,"")</f>
        <v/>
      </c>
      <c r="N3133" s="9" t="str">
        <f>IF(G3133&lt;&gt;"",K3133/MAX(K$3:K3133)-1,"")</f>
        <v/>
      </c>
      <c r="O3133" s="16" t="str">
        <f t="shared" si="465"/>
        <v/>
      </c>
      <c r="P3133" s="16" t="str">
        <f t="shared" si="465"/>
        <v/>
      </c>
      <c r="Q3133" s="16" t="str">
        <f t="shared" si="465"/>
        <v/>
      </c>
      <c r="R3133" s="5" t="str">
        <f t="shared" ref="R3133:R3196" si="474">IF(G3133&lt;&gt;"",_xlfn.STDEV.S(Q3012:Q3133)*SQRT($B$5),"")</f>
        <v/>
      </c>
      <c r="S3133" s="5" t="str">
        <f t="shared" si="468"/>
        <v/>
      </c>
      <c r="T3133" s="5" t="str">
        <f t="shared" si="473"/>
        <v/>
      </c>
      <c r="U3133" s="5" t="str">
        <f t="shared" si="473"/>
        <v/>
      </c>
    </row>
    <row r="3134" spans="7:21" x14ac:dyDescent="0.2">
      <c r="G3134" s="8"/>
      <c r="H3134" s="5"/>
      <c r="J3134" s="10" t="str">
        <f t="shared" si="466"/>
        <v/>
      </c>
      <c r="K3134" s="10" t="str">
        <f t="shared" si="467"/>
        <v/>
      </c>
      <c r="L3134" s="11" t="str">
        <f t="shared" si="469"/>
        <v/>
      </c>
      <c r="M3134" s="9" t="str">
        <f>IF(G3134&lt;&gt;"",J3134/MAX(J$3:J3134)-1,"")</f>
        <v/>
      </c>
      <c r="N3134" s="9" t="str">
        <f>IF(G3134&lt;&gt;"",K3134/MAX(K$3:K3134)-1,"")</f>
        <v/>
      </c>
      <c r="O3134" s="16" t="str">
        <f t="shared" si="465"/>
        <v/>
      </c>
      <c r="P3134" s="16" t="str">
        <f t="shared" si="465"/>
        <v/>
      </c>
      <c r="Q3134" s="16" t="str">
        <f t="shared" si="465"/>
        <v/>
      </c>
      <c r="R3134" s="5" t="str">
        <f t="shared" si="474"/>
        <v/>
      </c>
      <c r="S3134" s="5" t="str">
        <f t="shared" si="468"/>
        <v/>
      </c>
      <c r="T3134" s="5" t="str">
        <f t="shared" si="473"/>
        <v/>
      </c>
      <c r="U3134" s="5" t="str">
        <f t="shared" si="473"/>
        <v/>
      </c>
    </row>
    <row r="3135" spans="7:21" x14ac:dyDescent="0.2">
      <c r="G3135" s="8"/>
      <c r="H3135" s="5"/>
      <c r="J3135" s="10" t="str">
        <f t="shared" si="466"/>
        <v/>
      </c>
      <c r="K3135" s="10" t="str">
        <f t="shared" si="467"/>
        <v/>
      </c>
      <c r="L3135" s="11" t="str">
        <f t="shared" si="469"/>
        <v/>
      </c>
      <c r="M3135" s="9" t="str">
        <f>IF(G3135&lt;&gt;"",J3135/MAX(J$3:J3135)-1,"")</f>
        <v/>
      </c>
      <c r="N3135" s="9" t="str">
        <f>IF(G3135&lt;&gt;"",K3135/MAX(K$3:K3135)-1,"")</f>
        <v/>
      </c>
      <c r="O3135" s="16" t="str">
        <f t="shared" si="465"/>
        <v/>
      </c>
      <c r="P3135" s="16" t="str">
        <f t="shared" si="465"/>
        <v/>
      </c>
      <c r="Q3135" s="16" t="str">
        <f t="shared" si="465"/>
        <v/>
      </c>
      <c r="R3135" s="5" t="str">
        <f t="shared" si="474"/>
        <v/>
      </c>
      <c r="S3135" s="5" t="str">
        <f t="shared" si="468"/>
        <v/>
      </c>
      <c r="T3135" s="5" t="str">
        <f t="shared" si="473"/>
        <v/>
      </c>
      <c r="U3135" s="5" t="str">
        <f t="shared" si="473"/>
        <v/>
      </c>
    </row>
    <row r="3136" spans="7:21" x14ac:dyDescent="0.2">
      <c r="G3136" s="8"/>
      <c r="H3136" s="5"/>
      <c r="J3136" s="10" t="str">
        <f t="shared" si="466"/>
        <v/>
      </c>
      <c r="K3136" s="10" t="str">
        <f t="shared" si="467"/>
        <v/>
      </c>
      <c r="L3136" s="11" t="str">
        <f t="shared" si="469"/>
        <v/>
      </c>
      <c r="M3136" s="9" t="str">
        <f>IF(G3136&lt;&gt;"",J3136/MAX(J$3:J3136)-1,"")</f>
        <v/>
      </c>
      <c r="N3136" s="9" t="str">
        <f>IF(G3136&lt;&gt;"",K3136/MAX(K$3:K3136)-1,"")</f>
        <v/>
      </c>
      <c r="O3136" s="16" t="str">
        <f t="shared" si="465"/>
        <v/>
      </c>
      <c r="P3136" s="16" t="str">
        <f t="shared" si="465"/>
        <v/>
      </c>
      <c r="Q3136" s="16" t="str">
        <f t="shared" si="465"/>
        <v/>
      </c>
      <c r="R3136" s="5" t="str">
        <f t="shared" si="474"/>
        <v/>
      </c>
      <c r="S3136" s="5" t="str">
        <f t="shared" si="468"/>
        <v/>
      </c>
      <c r="T3136" s="5" t="str">
        <f t="shared" si="473"/>
        <v/>
      </c>
      <c r="U3136" s="5" t="str">
        <f t="shared" si="473"/>
        <v/>
      </c>
    </row>
    <row r="3137" spans="7:21" x14ac:dyDescent="0.2">
      <c r="G3137" s="8"/>
      <c r="H3137" s="5"/>
      <c r="J3137" s="10" t="str">
        <f t="shared" si="466"/>
        <v/>
      </c>
      <c r="K3137" s="10" t="str">
        <f t="shared" si="467"/>
        <v/>
      </c>
      <c r="L3137" s="11" t="str">
        <f t="shared" si="469"/>
        <v/>
      </c>
      <c r="M3137" s="9" t="str">
        <f>IF(G3137&lt;&gt;"",J3137/MAX(J$3:J3137)-1,"")</f>
        <v/>
      </c>
      <c r="N3137" s="9" t="str">
        <f>IF(G3137&lt;&gt;"",K3137/MAX(K$3:K3137)-1,"")</f>
        <v/>
      </c>
      <c r="O3137" s="16" t="str">
        <f t="shared" si="465"/>
        <v/>
      </c>
      <c r="P3137" s="16" t="str">
        <f t="shared" si="465"/>
        <v/>
      </c>
      <c r="Q3137" s="16" t="str">
        <f t="shared" si="465"/>
        <v/>
      </c>
      <c r="R3137" s="5" t="str">
        <f t="shared" si="474"/>
        <v/>
      </c>
      <c r="S3137" s="5" t="str">
        <f t="shared" si="468"/>
        <v/>
      </c>
      <c r="T3137" s="5" t="str">
        <f t="shared" si="473"/>
        <v/>
      </c>
      <c r="U3137" s="5" t="str">
        <f t="shared" si="473"/>
        <v/>
      </c>
    </row>
    <row r="3138" spans="7:21" x14ac:dyDescent="0.2">
      <c r="G3138" s="8"/>
      <c r="H3138" s="5"/>
      <c r="J3138" s="10" t="str">
        <f t="shared" si="466"/>
        <v/>
      </c>
      <c r="K3138" s="10" t="str">
        <f t="shared" si="467"/>
        <v/>
      </c>
      <c r="L3138" s="11" t="str">
        <f t="shared" si="469"/>
        <v/>
      </c>
      <c r="M3138" s="9" t="str">
        <f>IF(G3138&lt;&gt;"",J3138/MAX(J$3:J3138)-1,"")</f>
        <v/>
      </c>
      <c r="N3138" s="9" t="str">
        <f>IF(G3138&lt;&gt;"",K3138/MAX(K$3:K3138)-1,"")</f>
        <v/>
      </c>
      <c r="O3138" s="16" t="str">
        <f t="shared" ref="O3138:Q3201" si="475">IF($G3138&lt;&gt;"",J3138/J3137-1,"")</f>
        <v/>
      </c>
      <c r="P3138" s="16" t="str">
        <f t="shared" si="475"/>
        <v/>
      </c>
      <c r="Q3138" s="16" t="str">
        <f t="shared" si="475"/>
        <v/>
      </c>
      <c r="R3138" s="5" t="str">
        <f t="shared" si="474"/>
        <v/>
      </c>
      <c r="S3138" s="5" t="str">
        <f t="shared" si="468"/>
        <v/>
      </c>
      <c r="T3138" s="5" t="str">
        <f t="shared" si="473"/>
        <v/>
      </c>
      <c r="U3138" s="5" t="str">
        <f t="shared" si="473"/>
        <v/>
      </c>
    </row>
    <row r="3139" spans="7:21" x14ac:dyDescent="0.2">
      <c r="G3139" s="8"/>
      <c r="H3139" s="5"/>
      <c r="J3139" s="10" t="str">
        <f t="shared" si="466"/>
        <v/>
      </c>
      <c r="K3139" s="10" t="str">
        <f t="shared" si="467"/>
        <v/>
      </c>
      <c r="L3139" s="11" t="str">
        <f t="shared" si="469"/>
        <v/>
      </c>
      <c r="M3139" s="9" t="str">
        <f>IF(G3139&lt;&gt;"",J3139/MAX(J$3:J3139)-1,"")</f>
        <v/>
      </c>
      <c r="N3139" s="9" t="str">
        <f>IF(G3139&lt;&gt;"",K3139/MAX(K$3:K3139)-1,"")</f>
        <v/>
      </c>
      <c r="O3139" s="16" t="str">
        <f t="shared" si="475"/>
        <v/>
      </c>
      <c r="P3139" s="16" t="str">
        <f t="shared" si="475"/>
        <v/>
      </c>
      <c r="Q3139" s="16" t="str">
        <f t="shared" si="475"/>
        <v/>
      </c>
      <c r="R3139" s="5" t="str">
        <f t="shared" si="474"/>
        <v/>
      </c>
      <c r="S3139" s="5" t="str">
        <f t="shared" si="468"/>
        <v/>
      </c>
      <c r="T3139" s="5" t="str">
        <f t="shared" si="473"/>
        <v/>
      </c>
      <c r="U3139" s="5" t="str">
        <f t="shared" si="473"/>
        <v/>
      </c>
    </row>
    <row r="3140" spans="7:21" x14ac:dyDescent="0.2">
      <c r="G3140" s="8"/>
      <c r="H3140" s="5"/>
      <c r="J3140" s="10" t="str">
        <f t="shared" ref="J3140:J3203" si="476">IF(G3140&lt;&gt;"",1+H3140,"")</f>
        <v/>
      </c>
      <c r="K3140" s="10" t="str">
        <f t="shared" ref="K3140:K3203" si="477">IF(G3140&lt;&gt;"",1+I3140,"")</f>
        <v/>
      </c>
      <c r="L3140" s="11" t="str">
        <f t="shared" si="469"/>
        <v/>
      </c>
      <c r="M3140" s="9" t="str">
        <f>IF(G3140&lt;&gt;"",J3140/MAX(J$3:J3140)-1,"")</f>
        <v/>
      </c>
      <c r="N3140" s="9" t="str">
        <f>IF(G3140&lt;&gt;"",K3140/MAX(K$3:K3140)-1,"")</f>
        <v/>
      </c>
      <c r="O3140" s="16" t="str">
        <f t="shared" si="475"/>
        <v/>
      </c>
      <c r="P3140" s="16" t="str">
        <f t="shared" si="475"/>
        <v/>
      </c>
      <c r="Q3140" s="16" t="str">
        <f t="shared" si="475"/>
        <v/>
      </c>
      <c r="R3140" s="5" t="str">
        <f t="shared" si="474"/>
        <v/>
      </c>
      <c r="S3140" s="5" t="str">
        <f t="shared" ref="S3140:S3203" si="478">IF(R3140&lt;&gt;"",B$12,"")</f>
        <v/>
      </c>
      <c r="T3140" s="5" t="str">
        <f t="shared" si="473"/>
        <v/>
      </c>
      <c r="U3140" s="5" t="str">
        <f t="shared" si="473"/>
        <v/>
      </c>
    </row>
    <row r="3141" spans="7:21" x14ac:dyDescent="0.2">
      <c r="G3141" s="8"/>
      <c r="H3141" s="5"/>
      <c r="J3141" s="10" t="str">
        <f t="shared" si="476"/>
        <v/>
      </c>
      <c r="K3141" s="10" t="str">
        <f t="shared" si="477"/>
        <v/>
      </c>
      <c r="L3141" s="11" t="str">
        <f t="shared" ref="L3141:L3204" si="479">IF(G3141&lt;&gt;"",J3141/K3141,"")</f>
        <v/>
      </c>
      <c r="M3141" s="9" t="str">
        <f>IF(G3141&lt;&gt;"",J3141/MAX(J$3:J3141)-1,"")</f>
        <v/>
      </c>
      <c r="N3141" s="9" t="str">
        <f>IF(G3141&lt;&gt;"",K3141/MAX(K$3:K3141)-1,"")</f>
        <v/>
      </c>
      <c r="O3141" s="16" t="str">
        <f t="shared" si="475"/>
        <v/>
      </c>
      <c r="P3141" s="16" t="str">
        <f t="shared" si="475"/>
        <v/>
      </c>
      <c r="Q3141" s="16" t="str">
        <f t="shared" si="475"/>
        <v/>
      </c>
      <c r="R3141" s="5" t="str">
        <f t="shared" si="474"/>
        <v/>
      </c>
      <c r="S3141" s="5" t="str">
        <f t="shared" si="478"/>
        <v/>
      </c>
      <c r="T3141" s="5" t="str">
        <f t="shared" si="473"/>
        <v/>
      </c>
      <c r="U3141" s="5" t="str">
        <f t="shared" si="473"/>
        <v/>
      </c>
    </row>
    <row r="3142" spans="7:21" x14ac:dyDescent="0.2">
      <c r="G3142" s="8"/>
      <c r="H3142" s="5"/>
      <c r="J3142" s="10" t="str">
        <f t="shared" si="476"/>
        <v/>
      </c>
      <c r="K3142" s="10" t="str">
        <f t="shared" si="477"/>
        <v/>
      </c>
      <c r="L3142" s="11" t="str">
        <f t="shared" si="479"/>
        <v/>
      </c>
      <c r="M3142" s="9" t="str">
        <f>IF(G3142&lt;&gt;"",J3142/MAX(J$3:J3142)-1,"")</f>
        <v/>
      </c>
      <c r="N3142" s="9" t="str">
        <f>IF(G3142&lt;&gt;"",K3142/MAX(K$3:K3142)-1,"")</f>
        <v/>
      </c>
      <c r="O3142" s="16" t="str">
        <f t="shared" si="475"/>
        <v/>
      </c>
      <c r="P3142" s="16" t="str">
        <f t="shared" si="475"/>
        <v/>
      </c>
      <c r="Q3142" s="16" t="str">
        <f t="shared" si="475"/>
        <v/>
      </c>
      <c r="R3142" s="5" t="str">
        <f t="shared" si="474"/>
        <v/>
      </c>
      <c r="S3142" s="5" t="str">
        <f t="shared" si="478"/>
        <v/>
      </c>
      <c r="T3142" s="5" t="str">
        <f t="shared" si="473"/>
        <v/>
      </c>
      <c r="U3142" s="5" t="str">
        <f t="shared" si="473"/>
        <v/>
      </c>
    </row>
    <row r="3143" spans="7:21" x14ac:dyDescent="0.2">
      <c r="G3143" s="8"/>
      <c r="H3143" s="5"/>
      <c r="J3143" s="10" t="str">
        <f t="shared" si="476"/>
        <v/>
      </c>
      <c r="K3143" s="10" t="str">
        <f t="shared" si="477"/>
        <v/>
      </c>
      <c r="L3143" s="11" t="str">
        <f t="shared" si="479"/>
        <v/>
      </c>
      <c r="M3143" s="9" t="str">
        <f>IF(G3143&lt;&gt;"",J3143/MAX(J$3:J3143)-1,"")</f>
        <v/>
      </c>
      <c r="N3143" s="9" t="str">
        <f>IF(G3143&lt;&gt;"",K3143/MAX(K$3:K3143)-1,"")</f>
        <v/>
      </c>
      <c r="O3143" s="16" t="str">
        <f t="shared" si="475"/>
        <v/>
      </c>
      <c r="P3143" s="16" t="str">
        <f t="shared" si="475"/>
        <v/>
      </c>
      <c r="Q3143" s="16" t="str">
        <f t="shared" si="475"/>
        <v/>
      </c>
      <c r="R3143" s="5" t="str">
        <f t="shared" si="474"/>
        <v/>
      </c>
      <c r="S3143" s="5" t="str">
        <f t="shared" si="478"/>
        <v/>
      </c>
      <c r="T3143" s="5" t="str">
        <f t="shared" si="473"/>
        <v/>
      </c>
      <c r="U3143" s="5" t="str">
        <f t="shared" si="473"/>
        <v/>
      </c>
    </row>
    <row r="3144" spans="7:21" x14ac:dyDescent="0.2">
      <c r="G3144" s="8"/>
      <c r="H3144" s="5"/>
      <c r="J3144" s="10" t="str">
        <f t="shared" si="476"/>
        <v/>
      </c>
      <c r="K3144" s="10" t="str">
        <f t="shared" si="477"/>
        <v/>
      </c>
      <c r="L3144" s="11" t="str">
        <f t="shared" si="479"/>
        <v/>
      </c>
      <c r="M3144" s="9" t="str">
        <f>IF(G3144&lt;&gt;"",J3144/MAX(J$3:J3144)-1,"")</f>
        <v/>
      </c>
      <c r="N3144" s="9" t="str">
        <f>IF(G3144&lt;&gt;"",K3144/MAX(K$3:K3144)-1,"")</f>
        <v/>
      </c>
      <c r="O3144" s="16" t="str">
        <f t="shared" si="475"/>
        <v/>
      </c>
      <c r="P3144" s="16" t="str">
        <f t="shared" si="475"/>
        <v/>
      </c>
      <c r="Q3144" s="16" t="str">
        <f t="shared" si="475"/>
        <v/>
      </c>
      <c r="R3144" s="5" t="str">
        <f t="shared" si="474"/>
        <v/>
      </c>
      <c r="S3144" s="5" t="str">
        <f t="shared" si="478"/>
        <v/>
      </c>
      <c r="T3144" s="5" t="str">
        <f t="shared" ref="T3144:U3159" si="480">IF($G3144&lt;&gt;"",_xlfn.STDEV.S(O2900:O3144),"")</f>
        <v/>
      </c>
      <c r="U3144" s="5" t="str">
        <f t="shared" si="480"/>
        <v/>
      </c>
    </row>
    <row r="3145" spans="7:21" x14ac:dyDescent="0.2">
      <c r="G3145" s="8"/>
      <c r="H3145" s="5"/>
      <c r="J3145" s="10" t="str">
        <f t="shared" si="476"/>
        <v/>
      </c>
      <c r="K3145" s="10" t="str">
        <f t="shared" si="477"/>
        <v/>
      </c>
      <c r="L3145" s="11" t="str">
        <f t="shared" si="479"/>
        <v/>
      </c>
      <c r="M3145" s="9" t="str">
        <f>IF(G3145&lt;&gt;"",J3145/MAX(J$3:J3145)-1,"")</f>
        <v/>
      </c>
      <c r="N3145" s="9" t="str">
        <f>IF(G3145&lt;&gt;"",K3145/MAX(K$3:K3145)-1,"")</f>
        <v/>
      </c>
      <c r="O3145" s="16" t="str">
        <f t="shared" si="475"/>
        <v/>
      </c>
      <c r="P3145" s="16" t="str">
        <f t="shared" si="475"/>
        <v/>
      </c>
      <c r="Q3145" s="16" t="str">
        <f t="shared" si="475"/>
        <v/>
      </c>
      <c r="R3145" s="5" t="str">
        <f t="shared" si="474"/>
        <v/>
      </c>
      <c r="S3145" s="5" t="str">
        <f t="shared" si="478"/>
        <v/>
      </c>
      <c r="T3145" s="5" t="str">
        <f t="shared" si="480"/>
        <v/>
      </c>
      <c r="U3145" s="5" t="str">
        <f t="shared" si="480"/>
        <v/>
      </c>
    </row>
    <row r="3146" spans="7:21" x14ac:dyDescent="0.2">
      <c r="G3146" s="8"/>
      <c r="H3146" s="5"/>
      <c r="J3146" s="10" t="str">
        <f t="shared" si="476"/>
        <v/>
      </c>
      <c r="K3146" s="10" t="str">
        <f t="shared" si="477"/>
        <v/>
      </c>
      <c r="L3146" s="11" t="str">
        <f t="shared" si="479"/>
        <v/>
      </c>
      <c r="M3146" s="9" t="str">
        <f>IF(G3146&lt;&gt;"",J3146/MAX(J$3:J3146)-1,"")</f>
        <v/>
      </c>
      <c r="N3146" s="9" t="str">
        <f>IF(G3146&lt;&gt;"",K3146/MAX(K$3:K3146)-1,"")</f>
        <v/>
      </c>
      <c r="O3146" s="16" t="str">
        <f t="shared" si="475"/>
        <v/>
      </c>
      <c r="P3146" s="16" t="str">
        <f t="shared" si="475"/>
        <v/>
      </c>
      <c r="Q3146" s="16" t="str">
        <f t="shared" si="475"/>
        <v/>
      </c>
      <c r="R3146" s="5" t="str">
        <f t="shared" si="474"/>
        <v/>
      </c>
      <c r="S3146" s="5" t="str">
        <f t="shared" si="478"/>
        <v/>
      </c>
      <c r="T3146" s="5" t="str">
        <f t="shared" si="480"/>
        <v/>
      </c>
      <c r="U3146" s="5" t="str">
        <f t="shared" si="480"/>
        <v/>
      </c>
    </row>
    <row r="3147" spans="7:21" x14ac:dyDescent="0.2">
      <c r="G3147" s="8"/>
      <c r="H3147" s="5"/>
      <c r="J3147" s="10" t="str">
        <f t="shared" si="476"/>
        <v/>
      </c>
      <c r="K3147" s="10" t="str">
        <f t="shared" si="477"/>
        <v/>
      </c>
      <c r="L3147" s="11" t="str">
        <f t="shared" si="479"/>
        <v/>
      </c>
      <c r="M3147" s="9" t="str">
        <f>IF(G3147&lt;&gt;"",J3147/MAX(J$3:J3147)-1,"")</f>
        <v/>
      </c>
      <c r="N3147" s="9" t="str">
        <f>IF(G3147&lt;&gt;"",K3147/MAX(K$3:K3147)-1,"")</f>
        <v/>
      </c>
      <c r="O3147" s="16" t="str">
        <f t="shared" si="475"/>
        <v/>
      </c>
      <c r="P3147" s="16" t="str">
        <f t="shared" si="475"/>
        <v/>
      </c>
      <c r="Q3147" s="16" t="str">
        <f t="shared" si="475"/>
        <v/>
      </c>
      <c r="R3147" s="5" t="str">
        <f t="shared" si="474"/>
        <v/>
      </c>
      <c r="S3147" s="5" t="str">
        <f t="shared" si="478"/>
        <v/>
      </c>
      <c r="T3147" s="5" t="str">
        <f t="shared" si="480"/>
        <v/>
      </c>
      <c r="U3147" s="5" t="str">
        <f t="shared" si="480"/>
        <v/>
      </c>
    </row>
    <row r="3148" spans="7:21" x14ac:dyDescent="0.2">
      <c r="G3148" s="8"/>
      <c r="H3148" s="5"/>
      <c r="J3148" s="10" t="str">
        <f t="shared" si="476"/>
        <v/>
      </c>
      <c r="K3148" s="10" t="str">
        <f t="shared" si="477"/>
        <v/>
      </c>
      <c r="L3148" s="11" t="str">
        <f t="shared" si="479"/>
        <v/>
      </c>
      <c r="M3148" s="9" t="str">
        <f>IF(G3148&lt;&gt;"",J3148/MAX(J$3:J3148)-1,"")</f>
        <v/>
      </c>
      <c r="N3148" s="9" t="str">
        <f>IF(G3148&lt;&gt;"",K3148/MAX(K$3:K3148)-1,"")</f>
        <v/>
      </c>
      <c r="O3148" s="16" t="str">
        <f t="shared" si="475"/>
        <v/>
      </c>
      <c r="P3148" s="16" t="str">
        <f t="shared" si="475"/>
        <v/>
      </c>
      <c r="Q3148" s="16" t="str">
        <f t="shared" si="475"/>
        <v/>
      </c>
      <c r="R3148" s="5" t="str">
        <f t="shared" si="474"/>
        <v/>
      </c>
      <c r="S3148" s="5" t="str">
        <f t="shared" si="478"/>
        <v/>
      </c>
      <c r="T3148" s="5" t="str">
        <f t="shared" si="480"/>
        <v/>
      </c>
      <c r="U3148" s="5" t="str">
        <f t="shared" si="480"/>
        <v/>
      </c>
    </row>
    <row r="3149" spans="7:21" x14ac:dyDescent="0.2">
      <c r="G3149" s="8"/>
      <c r="H3149" s="5"/>
      <c r="J3149" s="10" t="str">
        <f t="shared" si="476"/>
        <v/>
      </c>
      <c r="K3149" s="10" t="str">
        <f t="shared" si="477"/>
        <v/>
      </c>
      <c r="L3149" s="11" t="str">
        <f t="shared" si="479"/>
        <v/>
      </c>
      <c r="M3149" s="9" t="str">
        <f>IF(G3149&lt;&gt;"",J3149/MAX(J$3:J3149)-1,"")</f>
        <v/>
      </c>
      <c r="N3149" s="9" t="str">
        <f>IF(G3149&lt;&gt;"",K3149/MAX(K$3:K3149)-1,"")</f>
        <v/>
      </c>
      <c r="O3149" s="16" t="str">
        <f t="shared" si="475"/>
        <v/>
      </c>
      <c r="P3149" s="16" t="str">
        <f t="shared" si="475"/>
        <v/>
      </c>
      <c r="Q3149" s="16" t="str">
        <f t="shared" si="475"/>
        <v/>
      </c>
      <c r="R3149" s="5" t="str">
        <f t="shared" si="474"/>
        <v/>
      </c>
      <c r="S3149" s="5" t="str">
        <f t="shared" si="478"/>
        <v/>
      </c>
      <c r="T3149" s="5" t="str">
        <f t="shared" si="480"/>
        <v/>
      </c>
      <c r="U3149" s="5" t="str">
        <f t="shared" si="480"/>
        <v/>
      </c>
    </row>
    <row r="3150" spans="7:21" x14ac:dyDescent="0.2">
      <c r="G3150" s="8"/>
      <c r="H3150" s="5"/>
      <c r="J3150" s="10" t="str">
        <f t="shared" si="476"/>
        <v/>
      </c>
      <c r="K3150" s="10" t="str">
        <f t="shared" si="477"/>
        <v/>
      </c>
      <c r="L3150" s="11" t="str">
        <f t="shared" si="479"/>
        <v/>
      </c>
      <c r="M3150" s="9" t="str">
        <f>IF(G3150&lt;&gt;"",J3150/MAX(J$3:J3150)-1,"")</f>
        <v/>
      </c>
      <c r="N3150" s="9" t="str">
        <f>IF(G3150&lt;&gt;"",K3150/MAX(K$3:K3150)-1,"")</f>
        <v/>
      </c>
      <c r="O3150" s="16" t="str">
        <f t="shared" si="475"/>
        <v/>
      </c>
      <c r="P3150" s="16" t="str">
        <f t="shared" si="475"/>
        <v/>
      </c>
      <c r="Q3150" s="16" t="str">
        <f t="shared" si="475"/>
        <v/>
      </c>
      <c r="R3150" s="5" t="str">
        <f t="shared" si="474"/>
        <v/>
      </c>
      <c r="S3150" s="5" t="str">
        <f t="shared" si="478"/>
        <v/>
      </c>
      <c r="T3150" s="5" t="str">
        <f t="shared" si="480"/>
        <v/>
      </c>
      <c r="U3150" s="5" t="str">
        <f t="shared" si="480"/>
        <v/>
      </c>
    </row>
    <row r="3151" spans="7:21" x14ac:dyDescent="0.2">
      <c r="G3151" s="8"/>
      <c r="H3151" s="5"/>
      <c r="J3151" s="10" t="str">
        <f t="shared" si="476"/>
        <v/>
      </c>
      <c r="K3151" s="10" t="str">
        <f t="shared" si="477"/>
        <v/>
      </c>
      <c r="L3151" s="11" t="str">
        <f t="shared" si="479"/>
        <v/>
      </c>
      <c r="M3151" s="9" t="str">
        <f>IF(G3151&lt;&gt;"",J3151/MAX(J$3:J3151)-1,"")</f>
        <v/>
      </c>
      <c r="N3151" s="9" t="str">
        <f>IF(G3151&lt;&gt;"",K3151/MAX(K$3:K3151)-1,"")</f>
        <v/>
      </c>
      <c r="O3151" s="16" t="str">
        <f t="shared" si="475"/>
        <v/>
      </c>
      <c r="P3151" s="16" t="str">
        <f t="shared" si="475"/>
        <v/>
      </c>
      <c r="Q3151" s="16" t="str">
        <f t="shared" si="475"/>
        <v/>
      </c>
      <c r="R3151" s="5" t="str">
        <f t="shared" si="474"/>
        <v/>
      </c>
      <c r="S3151" s="5" t="str">
        <f t="shared" si="478"/>
        <v/>
      </c>
      <c r="T3151" s="5" t="str">
        <f t="shared" si="480"/>
        <v/>
      </c>
      <c r="U3151" s="5" t="str">
        <f t="shared" si="480"/>
        <v/>
      </c>
    </row>
    <row r="3152" spans="7:21" x14ac:dyDescent="0.2">
      <c r="G3152" s="8"/>
      <c r="H3152" s="5"/>
      <c r="J3152" s="10" t="str">
        <f t="shared" si="476"/>
        <v/>
      </c>
      <c r="K3152" s="10" t="str">
        <f t="shared" si="477"/>
        <v/>
      </c>
      <c r="L3152" s="11" t="str">
        <f t="shared" si="479"/>
        <v/>
      </c>
      <c r="M3152" s="9" t="str">
        <f>IF(G3152&lt;&gt;"",J3152/MAX(J$3:J3152)-1,"")</f>
        <v/>
      </c>
      <c r="N3152" s="9" t="str">
        <f>IF(G3152&lt;&gt;"",K3152/MAX(K$3:K3152)-1,"")</f>
        <v/>
      </c>
      <c r="O3152" s="16" t="str">
        <f t="shared" si="475"/>
        <v/>
      </c>
      <c r="P3152" s="16" t="str">
        <f t="shared" si="475"/>
        <v/>
      </c>
      <c r="Q3152" s="16" t="str">
        <f t="shared" si="475"/>
        <v/>
      </c>
      <c r="R3152" s="5" t="str">
        <f t="shared" si="474"/>
        <v/>
      </c>
      <c r="S3152" s="5" t="str">
        <f t="shared" si="478"/>
        <v/>
      </c>
      <c r="T3152" s="5" t="str">
        <f t="shared" si="480"/>
        <v/>
      </c>
      <c r="U3152" s="5" t="str">
        <f t="shared" si="480"/>
        <v/>
      </c>
    </row>
    <row r="3153" spans="7:21" x14ac:dyDescent="0.2">
      <c r="G3153" s="8"/>
      <c r="H3153" s="5"/>
      <c r="J3153" s="10" t="str">
        <f t="shared" si="476"/>
        <v/>
      </c>
      <c r="K3153" s="10" t="str">
        <f t="shared" si="477"/>
        <v/>
      </c>
      <c r="L3153" s="11" t="str">
        <f t="shared" si="479"/>
        <v/>
      </c>
      <c r="M3153" s="9" t="str">
        <f>IF(G3153&lt;&gt;"",J3153/MAX(J$3:J3153)-1,"")</f>
        <v/>
      </c>
      <c r="N3153" s="9" t="str">
        <f>IF(G3153&lt;&gt;"",K3153/MAX(K$3:K3153)-1,"")</f>
        <v/>
      </c>
      <c r="O3153" s="16" t="str">
        <f t="shared" si="475"/>
        <v/>
      </c>
      <c r="P3153" s="16" t="str">
        <f t="shared" si="475"/>
        <v/>
      </c>
      <c r="Q3153" s="16" t="str">
        <f t="shared" si="475"/>
        <v/>
      </c>
      <c r="R3153" s="5" t="str">
        <f t="shared" si="474"/>
        <v/>
      </c>
      <c r="S3153" s="5" t="str">
        <f t="shared" si="478"/>
        <v/>
      </c>
      <c r="T3153" s="5" t="str">
        <f t="shared" si="480"/>
        <v/>
      </c>
      <c r="U3153" s="5" t="str">
        <f t="shared" si="480"/>
        <v/>
      </c>
    </row>
    <row r="3154" spans="7:21" x14ac:dyDescent="0.2">
      <c r="G3154" s="8"/>
      <c r="H3154" s="5"/>
      <c r="J3154" s="10" t="str">
        <f t="shared" si="476"/>
        <v/>
      </c>
      <c r="K3154" s="10" t="str">
        <f t="shared" si="477"/>
        <v/>
      </c>
      <c r="L3154" s="11" t="str">
        <f t="shared" si="479"/>
        <v/>
      </c>
      <c r="M3154" s="9" t="str">
        <f>IF(G3154&lt;&gt;"",J3154/MAX(J$3:J3154)-1,"")</f>
        <v/>
      </c>
      <c r="N3154" s="9" t="str">
        <f>IF(G3154&lt;&gt;"",K3154/MAX(K$3:K3154)-1,"")</f>
        <v/>
      </c>
      <c r="O3154" s="16" t="str">
        <f t="shared" si="475"/>
        <v/>
      </c>
      <c r="P3154" s="16" t="str">
        <f t="shared" si="475"/>
        <v/>
      </c>
      <c r="Q3154" s="16" t="str">
        <f t="shared" si="475"/>
        <v/>
      </c>
      <c r="R3154" s="5" t="str">
        <f t="shared" si="474"/>
        <v/>
      </c>
      <c r="S3154" s="5" t="str">
        <f t="shared" si="478"/>
        <v/>
      </c>
      <c r="T3154" s="5" t="str">
        <f t="shared" si="480"/>
        <v/>
      </c>
      <c r="U3154" s="5" t="str">
        <f t="shared" si="480"/>
        <v/>
      </c>
    </row>
    <row r="3155" spans="7:21" x14ac:dyDescent="0.2">
      <c r="G3155" s="8"/>
      <c r="H3155" s="5"/>
      <c r="J3155" s="10" t="str">
        <f t="shared" si="476"/>
        <v/>
      </c>
      <c r="K3155" s="10" t="str">
        <f t="shared" si="477"/>
        <v/>
      </c>
      <c r="L3155" s="11" t="str">
        <f t="shared" si="479"/>
        <v/>
      </c>
      <c r="M3155" s="9" t="str">
        <f>IF(G3155&lt;&gt;"",J3155/MAX(J$3:J3155)-1,"")</f>
        <v/>
      </c>
      <c r="N3155" s="9" t="str">
        <f>IF(G3155&lt;&gt;"",K3155/MAX(K$3:K3155)-1,"")</f>
        <v/>
      </c>
      <c r="O3155" s="16" t="str">
        <f t="shared" si="475"/>
        <v/>
      </c>
      <c r="P3155" s="16" t="str">
        <f t="shared" si="475"/>
        <v/>
      </c>
      <c r="Q3155" s="16" t="str">
        <f t="shared" si="475"/>
        <v/>
      </c>
      <c r="R3155" s="5" t="str">
        <f t="shared" si="474"/>
        <v/>
      </c>
      <c r="S3155" s="5" t="str">
        <f t="shared" si="478"/>
        <v/>
      </c>
      <c r="T3155" s="5" t="str">
        <f t="shared" si="480"/>
        <v/>
      </c>
      <c r="U3155" s="5" t="str">
        <f t="shared" si="480"/>
        <v/>
      </c>
    </row>
    <row r="3156" spans="7:21" x14ac:dyDescent="0.2">
      <c r="G3156" s="8"/>
      <c r="H3156" s="5"/>
      <c r="J3156" s="10" t="str">
        <f t="shared" si="476"/>
        <v/>
      </c>
      <c r="K3156" s="10" t="str">
        <f t="shared" si="477"/>
        <v/>
      </c>
      <c r="L3156" s="11" t="str">
        <f t="shared" si="479"/>
        <v/>
      </c>
      <c r="M3156" s="9" t="str">
        <f>IF(G3156&lt;&gt;"",J3156/MAX(J$3:J3156)-1,"")</f>
        <v/>
      </c>
      <c r="N3156" s="9" t="str">
        <f>IF(G3156&lt;&gt;"",K3156/MAX(K$3:K3156)-1,"")</f>
        <v/>
      </c>
      <c r="O3156" s="16" t="str">
        <f t="shared" si="475"/>
        <v/>
      </c>
      <c r="P3156" s="16" t="str">
        <f t="shared" si="475"/>
        <v/>
      </c>
      <c r="Q3156" s="16" t="str">
        <f t="shared" si="475"/>
        <v/>
      </c>
      <c r="R3156" s="5" t="str">
        <f t="shared" si="474"/>
        <v/>
      </c>
      <c r="S3156" s="5" t="str">
        <f t="shared" si="478"/>
        <v/>
      </c>
      <c r="T3156" s="5" t="str">
        <f t="shared" si="480"/>
        <v/>
      </c>
      <c r="U3156" s="5" t="str">
        <f t="shared" si="480"/>
        <v/>
      </c>
    </row>
    <row r="3157" spans="7:21" x14ac:dyDescent="0.2">
      <c r="G3157" s="8"/>
      <c r="H3157" s="5"/>
      <c r="J3157" s="10" t="str">
        <f t="shared" si="476"/>
        <v/>
      </c>
      <c r="K3157" s="10" t="str">
        <f t="shared" si="477"/>
        <v/>
      </c>
      <c r="L3157" s="11" t="str">
        <f t="shared" si="479"/>
        <v/>
      </c>
      <c r="M3157" s="9" t="str">
        <f>IF(G3157&lt;&gt;"",J3157/MAX(J$3:J3157)-1,"")</f>
        <v/>
      </c>
      <c r="N3157" s="9" t="str">
        <f>IF(G3157&lt;&gt;"",K3157/MAX(K$3:K3157)-1,"")</f>
        <v/>
      </c>
      <c r="O3157" s="16" t="str">
        <f t="shared" si="475"/>
        <v/>
      </c>
      <c r="P3157" s="16" t="str">
        <f t="shared" si="475"/>
        <v/>
      </c>
      <c r="Q3157" s="16" t="str">
        <f t="shared" si="475"/>
        <v/>
      </c>
      <c r="R3157" s="5" t="str">
        <f t="shared" si="474"/>
        <v/>
      </c>
      <c r="S3157" s="5" t="str">
        <f t="shared" si="478"/>
        <v/>
      </c>
      <c r="T3157" s="5" t="str">
        <f t="shared" si="480"/>
        <v/>
      </c>
      <c r="U3157" s="5" t="str">
        <f t="shared" si="480"/>
        <v/>
      </c>
    </row>
    <row r="3158" spans="7:21" x14ac:dyDescent="0.2">
      <c r="G3158" s="8"/>
      <c r="H3158" s="5"/>
      <c r="J3158" s="10" t="str">
        <f t="shared" si="476"/>
        <v/>
      </c>
      <c r="K3158" s="10" t="str">
        <f t="shared" si="477"/>
        <v/>
      </c>
      <c r="L3158" s="11" t="str">
        <f t="shared" si="479"/>
        <v/>
      </c>
      <c r="M3158" s="9" t="str">
        <f>IF(G3158&lt;&gt;"",J3158/MAX(J$3:J3158)-1,"")</f>
        <v/>
      </c>
      <c r="N3158" s="9" t="str">
        <f>IF(G3158&lt;&gt;"",K3158/MAX(K$3:K3158)-1,"")</f>
        <v/>
      </c>
      <c r="O3158" s="16" t="str">
        <f t="shared" si="475"/>
        <v/>
      </c>
      <c r="P3158" s="16" t="str">
        <f t="shared" si="475"/>
        <v/>
      </c>
      <c r="Q3158" s="16" t="str">
        <f t="shared" si="475"/>
        <v/>
      </c>
      <c r="R3158" s="5" t="str">
        <f t="shared" si="474"/>
        <v/>
      </c>
      <c r="S3158" s="5" t="str">
        <f t="shared" si="478"/>
        <v/>
      </c>
      <c r="T3158" s="5" t="str">
        <f t="shared" si="480"/>
        <v/>
      </c>
      <c r="U3158" s="5" t="str">
        <f t="shared" si="480"/>
        <v/>
      </c>
    </row>
    <row r="3159" spans="7:21" x14ac:dyDescent="0.2">
      <c r="G3159" s="8"/>
      <c r="H3159" s="5"/>
      <c r="J3159" s="10" t="str">
        <f t="shared" si="476"/>
        <v/>
      </c>
      <c r="K3159" s="10" t="str">
        <f t="shared" si="477"/>
        <v/>
      </c>
      <c r="L3159" s="11" t="str">
        <f t="shared" si="479"/>
        <v/>
      </c>
      <c r="M3159" s="9" t="str">
        <f>IF(G3159&lt;&gt;"",J3159/MAX(J$3:J3159)-1,"")</f>
        <v/>
      </c>
      <c r="N3159" s="9" t="str">
        <f>IF(G3159&lt;&gt;"",K3159/MAX(K$3:K3159)-1,"")</f>
        <v/>
      </c>
      <c r="O3159" s="16" t="str">
        <f t="shared" si="475"/>
        <v/>
      </c>
      <c r="P3159" s="16" t="str">
        <f t="shared" si="475"/>
        <v/>
      </c>
      <c r="Q3159" s="16" t="str">
        <f t="shared" si="475"/>
        <v/>
      </c>
      <c r="R3159" s="5" t="str">
        <f t="shared" si="474"/>
        <v/>
      </c>
      <c r="S3159" s="5" t="str">
        <f t="shared" si="478"/>
        <v/>
      </c>
      <c r="T3159" s="5" t="str">
        <f t="shared" si="480"/>
        <v/>
      </c>
      <c r="U3159" s="5" t="str">
        <f t="shared" si="480"/>
        <v/>
      </c>
    </row>
    <row r="3160" spans="7:21" x14ac:dyDescent="0.2">
      <c r="G3160" s="8"/>
      <c r="H3160" s="5"/>
      <c r="J3160" s="10" t="str">
        <f t="shared" si="476"/>
        <v/>
      </c>
      <c r="K3160" s="10" t="str">
        <f t="shared" si="477"/>
        <v/>
      </c>
      <c r="L3160" s="11" t="str">
        <f t="shared" si="479"/>
        <v/>
      </c>
      <c r="M3160" s="9" t="str">
        <f>IF(G3160&lt;&gt;"",J3160/MAX(J$3:J3160)-1,"")</f>
        <v/>
      </c>
      <c r="N3160" s="9" t="str">
        <f>IF(G3160&lt;&gt;"",K3160/MAX(K$3:K3160)-1,"")</f>
        <v/>
      </c>
      <c r="O3160" s="16" t="str">
        <f t="shared" si="475"/>
        <v/>
      </c>
      <c r="P3160" s="16" t="str">
        <f t="shared" si="475"/>
        <v/>
      </c>
      <c r="Q3160" s="16" t="str">
        <f t="shared" si="475"/>
        <v/>
      </c>
      <c r="R3160" s="5" t="str">
        <f t="shared" si="474"/>
        <v/>
      </c>
      <c r="S3160" s="5" t="str">
        <f t="shared" si="478"/>
        <v/>
      </c>
      <c r="T3160" s="5" t="str">
        <f t="shared" ref="T3160:U3175" si="481">IF($G3160&lt;&gt;"",_xlfn.STDEV.S(O2916:O3160),"")</f>
        <v/>
      </c>
      <c r="U3160" s="5" t="str">
        <f t="shared" si="481"/>
        <v/>
      </c>
    </row>
    <row r="3161" spans="7:21" x14ac:dyDescent="0.2">
      <c r="G3161" s="8"/>
      <c r="H3161" s="5"/>
      <c r="J3161" s="10" t="str">
        <f t="shared" si="476"/>
        <v/>
      </c>
      <c r="K3161" s="10" t="str">
        <f t="shared" si="477"/>
        <v/>
      </c>
      <c r="L3161" s="11" t="str">
        <f t="shared" si="479"/>
        <v/>
      </c>
      <c r="M3161" s="9" t="str">
        <f>IF(G3161&lt;&gt;"",J3161/MAX(J$3:J3161)-1,"")</f>
        <v/>
      </c>
      <c r="N3161" s="9" t="str">
        <f>IF(G3161&lt;&gt;"",K3161/MAX(K$3:K3161)-1,"")</f>
        <v/>
      </c>
      <c r="O3161" s="16" t="str">
        <f t="shared" si="475"/>
        <v/>
      </c>
      <c r="P3161" s="16" t="str">
        <f t="shared" si="475"/>
        <v/>
      </c>
      <c r="Q3161" s="16" t="str">
        <f t="shared" si="475"/>
        <v/>
      </c>
      <c r="R3161" s="5" t="str">
        <f t="shared" si="474"/>
        <v/>
      </c>
      <c r="S3161" s="5" t="str">
        <f t="shared" si="478"/>
        <v/>
      </c>
      <c r="T3161" s="5" t="str">
        <f t="shared" si="481"/>
        <v/>
      </c>
      <c r="U3161" s="5" t="str">
        <f t="shared" si="481"/>
        <v/>
      </c>
    </row>
    <row r="3162" spans="7:21" x14ac:dyDescent="0.2">
      <c r="G3162" s="8"/>
      <c r="H3162" s="5"/>
      <c r="J3162" s="10" t="str">
        <f t="shared" si="476"/>
        <v/>
      </c>
      <c r="K3162" s="10" t="str">
        <f t="shared" si="477"/>
        <v/>
      </c>
      <c r="L3162" s="11" t="str">
        <f t="shared" si="479"/>
        <v/>
      </c>
      <c r="M3162" s="9" t="str">
        <f>IF(G3162&lt;&gt;"",J3162/MAX(J$3:J3162)-1,"")</f>
        <v/>
      </c>
      <c r="N3162" s="9" t="str">
        <f>IF(G3162&lt;&gt;"",K3162/MAX(K$3:K3162)-1,"")</f>
        <v/>
      </c>
      <c r="O3162" s="16" t="str">
        <f t="shared" si="475"/>
        <v/>
      </c>
      <c r="P3162" s="16" t="str">
        <f t="shared" si="475"/>
        <v/>
      </c>
      <c r="Q3162" s="16" t="str">
        <f t="shared" si="475"/>
        <v/>
      </c>
      <c r="R3162" s="5" t="str">
        <f t="shared" si="474"/>
        <v/>
      </c>
      <c r="S3162" s="5" t="str">
        <f t="shared" si="478"/>
        <v/>
      </c>
      <c r="T3162" s="5" t="str">
        <f t="shared" si="481"/>
        <v/>
      </c>
      <c r="U3162" s="5" t="str">
        <f t="shared" si="481"/>
        <v/>
      </c>
    </row>
    <row r="3163" spans="7:21" x14ac:dyDescent="0.2">
      <c r="G3163" s="8"/>
      <c r="H3163" s="5"/>
      <c r="J3163" s="10" t="str">
        <f t="shared" si="476"/>
        <v/>
      </c>
      <c r="K3163" s="10" t="str">
        <f t="shared" si="477"/>
        <v/>
      </c>
      <c r="L3163" s="11" t="str">
        <f t="shared" si="479"/>
        <v/>
      </c>
      <c r="M3163" s="9" t="str">
        <f>IF(G3163&lt;&gt;"",J3163/MAX(J$3:J3163)-1,"")</f>
        <v/>
      </c>
      <c r="N3163" s="9" t="str">
        <f>IF(G3163&lt;&gt;"",K3163/MAX(K$3:K3163)-1,"")</f>
        <v/>
      </c>
      <c r="O3163" s="16" t="str">
        <f t="shared" si="475"/>
        <v/>
      </c>
      <c r="P3163" s="16" t="str">
        <f t="shared" si="475"/>
        <v/>
      </c>
      <c r="Q3163" s="16" t="str">
        <f t="shared" si="475"/>
        <v/>
      </c>
      <c r="R3163" s="5" t="str">
        <f t="shared" si="474"/>
        <v/>
      </c>
      <c r="S3163" s="5" t="str">
        <f t="shared" si="478"/>
        <v/>
      </c>
      <c r="T3163" s="5" t="str">
        <f t="shared" si="481"/>
        <v/>
      </c>
      <c r="U3163" s="5" t="str">
        <f t="shared" si="481"/>
        <v/>
      </c>
    </row>
    <row r="3164" spans="7:21" x14ac:dyDescent="0.2">
      <c r="G3164" s="8"/>
      <c r="H3164" s="5"/>
      <c r="J3164" s="10" t="str">
        <f t="shared" si="476"/>
        <v/>
      </c>
      <c r="K3164" s="10" t="str">
        <f t="shared" si="477"/>
        <v/>
      </c>
      <c r="L3164" s="11" t="str">
        <f t="shared" si="479"/>
        <v/>
      </c>
      <c r="M3164" s="9" t="str">
        <f>IF(G3164&lt;&gt;"",J3164/MAX(J$3:J3164)-1,"")</f>
        <v/>
      </c>
      <c r="N3164" s="9" t="str">
        <f>IF(G3164&lt;&gt;"",K3164/MAX(K$3:K3164)-1,"")</f>
        <v/>
      </c>
      <c r="O3164" s="16" t="str">
        <f t="shared" si="475"/>
        <v/>
      </c>
      <c r="P3164" s="16" t="str">
        <f t="shared" si="475"/>
        <v/>
      </c>
      <c r="Q3164" s="16" t="str">
        <f t="shared" si="475"/>
        <v/>
      </c>
      <c r="R3164" s="5" t="str">
        <f t="shared" si="474"/>
        <v/>
      </c>
      <c r="S3164" s="5" t="str">
        <f t="shared" si="478"/>
        <v/>
      </c>
      <c r="T3164" s="5" t="str">
        <f t="shared" si="481"/>
        <v/>
      </c>
      <c r="U3164" s="5" t="str">
        <f t="shared" si="481"/>
        <v/>
      </c>
    </row>
    <row r="3165" spans="7:21" x14ac:dyDescent="0.2">
      <c r="G3165" s="8"/>
      <c r="H3165" s="5"/>
      <c r="J3165" s="10" t="str">
        <f t="shared" si="476"/>
        <v/>
      </c>
      <c r="K3165" s="10" t="str">
        <f t="shared" si="477"/>
        <v/>
      </c>
      <c r="L3165" s="11" t="str">
        <f t="shared" si="479"/>
        <v/>
      </c>
      <c r="M3165" s="9" t="str">
        <f>IF(G3165&lt;&gt;"",J3165/MAX(J$3:J3165)-1,"")</f>
        <v/>
      </c>
      <c r="N3165" s="9" t="str">
        <f>IF(G3165&lt;&gt;"",K3165/MAX(K$3:K3165)-1,"")</f>
        <v/>
      </c>
      <c r="O3165" s="16" t="str">
        <f t="shared" si="475"/>
        <v/>
      </c>
      <c r="P3165" s="16" t="str">
        <f t="shared" si="475"/>
        <v/>
      </c>
      <c r="Q3165" s="16" t="str">
        <f t="shared" si="475"/>
        <v/>
      </c>
      <c r="R3165" s="5" t="str">
        <f t="shared" si="474"/>
        <v/>
      </c>
      <c r="S3165" s="5" t="str">
        <f t="shared" si="478"/>
        <v/>
      </c>
      <c r="T3165" s="5" t="str">
        <f t="shared" si="481"/>
        <v/>
      </c>
      <c r="U3165" s="5" t="str">
        <f t="shared" si="481"/>
        <v/>
      </c>
    </row>
    <row r="3166" spans="7:21" x14ac:dyDescent="0.2">
      <c r="G3166" s="8"/>
      <c r="H3166" s="5"/>
      <c r="J3166" s="10" t="str">
        <f t="shared" si="476"/>
        <v/>
      </c>
      <c r="K3166" s="10" t="str">
        <f t="shared" si="477"/>
        <v/>
      </c>
      <c r="L3166" s="11" t="str">
        <f t="shared" si="479"/>
        <v/>
      </c>
      <c r="M3166" s="9" t="str">
        <f>IF(G3166&lt;&gt;"",J3166/MAX(J$3:J3166)-1,"")</f>
        <v/>
      </c>
      <c r="N3166" s="9" t="str">
        <f>IF(G3166&lt;&gt;"",K3166/MAX(K$3:K3166)-1,"")</f>
        <v/>
      </c>
      <c r="O3166" s="16" t="str">
        <f t="shared" si="475"/>
        <v/>
      </c>
      <c r="P3166" s="16" t="str">
        <f t="shared" si="475"/>
        <v/>
      </c>
      <c r="Q3166" s="16" t="str">
        <f t="shared" si="475"/>
        <v/>
      </c>
      <c r="R3166" s="5" t="str">
        <f t="shared" si="474"/>
        <v/>
      </c>
      <c r="S3166" s="5" t="str">
        <f t="shared" si="478"/>
        <v/>
      </c>
      <c r="T3166" s="5" t="str">
        <f t="shared" si="481"/>
        <v/>
      </c>
      <c r="U3166" s="5" t="str">
        <f t="shared" si="481"/>
        <v/>
      </c>
    </row>
    <row r="3167" spans="7:21" x14ac:dyDescent="0.2">
      <c r="G3167" s="8"/>
      <c r="H3167" s="5"/>
      <c r="J3167" s="10" t="str">
        <f t="shared" si="476"/>
        <v/>
      </c>
      <c r="K3167" s="10" t="str">
        <f t="shared" si="477"/>
        <v/>
      </c>
      <c r="L3167" s="11" t="str">
        <f t="shared" si="479"/>
        <v/>
      </c>
      <c r="M3167" s="9" t="str">
        <f>IF(G3167&lt;&gt;"",J3167/MAX(J$3:J3167)-1,"")</f>
        <v/>
      </c>
      <c r="N3167" s="9" t="str">
        <f>IF(G3167&lt;&gt;"",K3167/MAX(K$3:K3167)-1,"")</f>
        <v/>
      </c>
      <c r="O3167" s="16" t="str">
        <f t="shared" si="475"/>
        <v/>
      </c>
      <c r="P3167" s="16" t="str">
        <f t="shared" si="475"/>
        <v/>
      </c>
      <c r="Q3167" s="16" t="str">
        <f t="shared" si="475"/>
        <v/>
      </c>
      <c r="R3167" s="5" t="str">
        <f t="shared" si="474"/>
        <v/>
      </c>
      <c r="S3167" s="5" t="str">
        <f t="shared" si="478"/>
        <v/>
      </c>
      <c r="T3167" s="5" t="str">
        <f t="shared" si="481"/>
        <v/>
      </c>
      <c r="U3167" s="5" t="str">
        <f t="shared" si="481"/>
        <v/>
      </c>
    </row>
    <row r="3168" spans="7:21" x14ac:dyDescent="0.2">
      <c r="G3168" s="8"/>
      <c r="H3168" s="5"/>
      <c r="J3168" s="10" t="str">
        <f t="shared" si="476"/>
        <v/>
      </c>
      <c r="K3168" s="10" t="str">
        <f t="shared" si="477"/>
        <v/>
      </c>
      <c r="L3168" s="11" t="str">
        <f t="shared" si="479"/>
        <v/>
      </c>
      <c r="M3168" s="9" t="str">
        <f>IF(G3168&lt;&gt;"",J3168/MAX(J$3:J3168)-1,"")</f>
        <v/>
      </c>
      <c r="N3168" s="9" t="str">
        <f>IF(G3168&lt;&gt;"",K3168/MAX(K$3:K3168)-1,"")</f>
        <v/>
      </c>
      <c r="O3168" s="16" t="str">
        <f t="shared" si="475"/>
        <v/>
      </c>
      <c r="P3168" s="16" t="str">
        <f t="shared" si="475"/>
        <v/>
      </c>
      <c r="Q3168" s="16" t="str">
        <f t="shared" si="475"/>
        <v/>
      </c>
      <c r="R3168" s="5" t="str">
        <f t="shared" si="474"/>
        <v/>
      </c>
      <c r="S3168" s="5" t="str">
        <f t="shared" si="478"/>
        <v/>
      </c>
      <c r="T3168" s="5" t="str">
        <f t="shared" si="481"/>
        <v/>
      </c>
      <c r="U3168" s="5" t="str">
        <f t="shared" si="481"/>
        <v/>
      </c>
    </row>
    <row r="3169" spans="7:21" x14ac:dyDescent="0.2">
      <c r="G3169" s="8"/>
      <c r="H3169" s="5"/>
      <c r="J3169" s="10" t="str">
        <f t="shared" si="476"/>
        <v/>
      </c>
      <c r="K3169" s="10" t="str">
        <f t="shared" si="477"/>
        <v/>
      </c>
      <c r="L3169" s="11" t="str">
        <f t="shared" si="479"/>
        <v/>
      </c>
      <c r="M3169" s="9" t="str">
        <f>IF(G3169&lt;&gt;"",J3169/MAX(J$3:J3169)-1,"")</f>
        <v/>
      </c>
      <c r="N3169" s="9" t="str">
        <f>IF(G3169&lt;&gt;"",K3169/MAX(K$3:K3169)-1,"")</f>
        <v/>
      </c>
      <c r="O3169" s="16" t="str">
        <f t="shared" si="475"/>
        <v/>
      </c>
      <c r="P3169" s="16" t="str">
        <f t="shared" si="475"/>
        <v/>
      </c>
      <c r="Q3169" s="16" t="str">
        <f t="shared" si="475"/>
        <v/>
      </c>
      <c r="R3169" s="5" t="str">
        <f t="shared" si="474"/>
        <v/>
      </c>
      <c r="S3169" s="5" t="str">
        <f t="shared" si="478"/>
        <v/>
      </c>
      <c r="T3169" s="5" t="str">
        <f t="shared" si="481"/>
        <v/>
      </c>
      <c r="U3169" s="5" t="str">
        <f t="shared" si="481"/>
        <v/>
      </c>
    </row>
    <row r="3170" spans="7:21" x14ac:dyDescent="0.2">
      <c r="G3170" s="8"/>
      <c r="H3170" s="5"/>
      <c r="J3170" s="10" t="str">
        <f t="shared" si="476"/>
        <v/>
      </c>
      <c r="K3170" s="10" t="str">
        <f t="shared" si="477"/>
        <v/>
      </c>
      <c r="L3170" s="11" t="str">
        <f t="shared" si="479"/>
        <v/>
      </c>
      <c r="M3170" s="9" t="str">
        <f>IF(G3170&lt;&gt;"",J3170/MAX(J$3:J3170)-1,"")</f>
        <v/>
      </c>
      <c r="N3170" s="9" t="str">
        <f>IF(G3170&lt;&gt;"",K3170/MAX(K$3:K3170)-1,"")</f>
        <v/>
      </c>
      <c r="O3170" s="16" t="str">
        <f t="shared" si="475"/>
        <v/>
      </c>
      <c r="P3170" s="16" t="str">
        <f t="shared" si="475"/>
        <v/>
      </c>
      <c r="Q3170" s="16" t="str">
        <f t="shared" si="475"/>
        <v/>
      </c>
      <c r="R3170" s="5" t="str">
        <f t="shared" si="474"/>
        <v/>
      </c>
      <c r="S3170" s="5" t="str">
        <f t="shared" si="478"/>
        <v/>
      </c>
      <c r="T3170" s="5" t="str">
        <f t="shared" si="481"/>
        <v/>
      </c>
      <c r="U3170" s="5" t="str">
        <f t="shared" si="481"/>
        <v/>
      </c>
    </row>
    <row r="3171" spans="7:21" x14ac:dyDescent="0.2">
      <c r="G3171" s="8"/>
      <c r="H3171" s="5"/>
      <c r="J3171" s="10" t="str">
        <f t="shared" si="476"/>
        <v/>
      </c>
      <c r="K3171" s="10" t="str">
        <f t="shared" si="477"/>
        <v/>
      </c>
      <c r="L3171" s="11" t="str">
        <f t="shared" si="479"/>
        <v/>
      </c>
      <c r="M3171" s="9" t="str">
        <f>IF(G3171&lt;&gt;"",J3171/MAX(J$3:J3171)-1,"")</f>
        <v/>
      </c>
      <c r="N3171" s="9" t="str">
        <f>IF(G3171&lt;&gt;"",K3171/MAX(K$3:K3171)-1,"")</f>
        <v/>
      </c>
      <c r="O3171" s="16" t="str">
        <f t="shared" si="475"/>
        <v/>
      </c>
      <c r="P3171" s="16" t="str">
        <f t="shared" si="475"/>
        <v/>
      </c>
      <c r="Q3171" s="16" t="str">
        <f t="shared" si="475"/>
        <v/>
      </c>
      <c r="R3171" s="5" t="str">
        <f t="shared" si="474"/>
        <v/>
      </c>
      <c r="S3171" s="5" t="str">
        <f t="shared" si="478"/>
        <v/>
      </c>
      <c r="T3171" s="5" t="str">
        <f t="shared" si="481"/>
        <v/>
      </c>
      <c r="U3171" s="5" t="str">
        <f t="shared" si="481"/>
        <v/>
      </c>
    </row>
    <row r="3172" spans="7:21" x14ac:dyDescent="0.2">
      <c r="G3172" s="8"/>
      <c r="H3172" s="5"/>
      <c r="J3172" s="10" t="str">
        <f t="shared" si="476"/>
        <v/>
      </c>
      <c r="K3172" s="10" t="str">
        <f t="shared" si="477"/>
        <v/>
      </c>
      <c r="L3172" s="11" t="str">
        <f t="shared" si="479"/>
        <v/>
      </c>
      <c r="M3172" s="9" t="str">
        <f>IF(G3172&lt;&gt;"",J3172/MAX(J$3:J3172)-1,"")</f>
        <v/>
      </c>
      <c r="N3172" s="9" t="str">
        <f>IF(G3172&lt;&gt;"",K3172/MAX(K$3:K3172)-1,"")</f>
        <v/>
      </c>
      <c r="O3172" s="16" t="str">
        <f t="shared" si="475"/>
        <v/>
      </c>
      <c r="P3172" s="16" t="str">
        <f t="shared" si="475"/>
        <v/>
      </c>
      <c r="Q3172" s="16" t="str">
        <f t="shared" si="475"/>
        <v/>
      </c>
      <c r="R3172" s="5" t="str">
        <f t="shared" si="474"/>
        <v/>
      </c>
      <c r="S3172" s="5" t="str">
        <f t="shared" si="478"/>
        <v/>
      </c>
      <c r="T3172" s="5" t="str">
        <f t="shared" si="481"/>
        <v/>
      </c>
      <c r="U3172" s="5" t="str">
        <f t="shared" si="481"/>
        <v/>
      </c>
    </row>
    <row r="3173" spans="7:21" x14ac:dyDescent="0.2">
      <c r="G3173" s="8"/>
      <c r="H3173" s="5"/>
      <c r="J3173" s="10" t="str">
        <f t="shared" si="476"/>
        <v/>
      </c>
      <c r="K3173" s="10" t="str">
        <f t="shared" si="477"/>
        <v/>
      </c>
      <c r="L3173" s="11" t="str">
        <f t="shared" si="479"/>
        <v/>
      </c>
      <c r="M3173" s="9" t="str">
        <f>IF(G3173&lt;&gt;"",J3173/MAX(J$3:J3173)-1,"")</f>
        <v/>
      </c>
      <c r="N3173" s="9" t="str">
        <f>IF(G3173&lt;&gt;"",K3173/MAX(K$3:K3173)-1,"")</f>
        <v/>
      </c>
      <c r="O3173" s="16" t="str">
        <f t="shared" si="475"/>
        <v/>
      </c>
      <c r="P3173" s="16" t="str">
        <f t="shared" si="475"/>
        <v/>
      </c>
      <c r="Q3173" s="16" t="str">
        <f t="shared" si="475"/>
        <v/>
      </c>
      <c r="R3173" s="5" t="str">
        <f t="shared" si="474"/>
        <v/>
      </c>
      <c r="S3173" s="5" t="str">
        <f t="shared" si="478"/>
        <v/>
      </c>
      <c r="T3173" s="5" t="str">
        <f t="shared" si="481"/>
        <v/>
      </c>
      <c r="U3173" s="5" t="str">
        <f t="shared" si="481"/>
        <v/>
      </c>
    </row>
    <row r="3174" spans="7:21" x14ac:dyDescent="0.2">
      <c r="G3174" s="8"/>
      <c r="H3174" s="5"/>
      <c r="J3174" s="10" t="str">
        <f t="shared" si="476"/>
        <v/>
      </c>
      <c r="K3174" s="10" t="str">
        <f t="shared" si="477"/>
        <v/>
      </c>
      <c r="L3174" s="11" t="str">
        <f t="shared" si="479"/>
        <v/>
      </c>
      <c r="M3174" s="9" t="str">
        <f>IF(G3174&lt;&gt;"",J3174/MAX(J$3:J3174)-1,"")</f>
        <v/>
      </c>
      <c r="N3174" s="9" t="str">
        <f>IF(G3174&lt;&gt;"",K3174/MAX(K$3:K3174)-1,"")</f>
        <v/>
      </c>
      <c r="O3174" s="16" t="str">
        <f t="shared" si="475"/>
        <v/>
      </c>
      <c r="P3174" s="16" t="str">
        <f t="shared" si="475"/>
        <v/>
      </c>
      <c r="Q3174" s="16" t="str">
        <f t="shared" si="475"/>
        <v/>
      </c>
      <c r="R3174" s="5" t="str">
        <f t="shared" si="474"/>
        <v/>
      </c>
      <c r="S3174" s="5" t="str">
        <f t="shared" si="478"/>
        <v/>
      </c>
      <c r="T3174" s="5" t="str">
        <f t="shared" si="481"/>
        <v/>
      </c>
      <c r="U3174" s="5" t="str">
        <f t="shared" si="481"/>
        <v/>
      </c>
    </row>
    <row r="3175" spans="7:21" x14ac:dyDescent="0.2">
      <c r="G3175" s="8"/>
      <c r="H3175" s="5"/>
      <c r="J3175" s="10" t="str">
        <f t="shared" si="476"/>
        <v/>
      </c>
      <c r="K3175" s="10" t="str">
        <f t="shared" si="477"/>
        <v/>
      </c>
      <c r="L3175" s="11" t="str">
        <f t="shared" si="479"/>
        <v/>
      </c>
      <c r="M3175" s="9" t="str">
        <f>IF(G3175&lt;&gt;"",J3175/MAX(J$3:J3175)-1,"")</f>
        <v/>
      </c>
      <c r="N3175" s="9" t="str">
        <f>IF(G3175&lt;&gt;"",K3175/MAX(K$3:K3175)-1,"")</f>
        <v/>
      </c>
      <c r="O3175" s="16" t="str">
        <f t="shared" si="475"/>
        <v/>
      </c>
      <c r="P3175" s="16" t="str">
        <f t="shared" si="475"/>
        <v/>
      </c>
      <c r="Q3175" s="16" t="str">
        <f t="shared" si="475"/>
        <v/>
      </c>
      <c r="R3175" s="5" t="str">
        <f t="shared" si="474"/>
        <v/>
      </c>
      <c r="S3175" s="5" t="str">
        <f t="shared" si="478"/>
        <v/>
      </c>
      <c r="T3175" s="5" t="str">
        <f t="shared" si="481"/>
        <v/>
      </c>
      <c r="U3175" s="5" t="str">
        <f t="shared" si="481"/>
        <v/>
      </c>
    </row>
    <row r="3176" spans="7:21" x14ac:dyDescent="0.2">
      <c r="G3176" s="8"/>
      <c r="H3176" s="5"/>
      <c r="J3176" s="10" t="str">
        <f t="shared" si="476"/>
        <v/>
      </c>
      <c r="K3176" s="10" t="str">
        <f t="shared" si="477"/>
        <v/>
      </c>
      <c r="L3176" s="11" t="str">
        <f t="shared" si="479"/>
        <v/>
      </c>
      <c r="M3176" s="9" t="str">
        <f>IF(G3176&lt;&gt;"",J3176/MAX(J$3:J3176)-1,"")</f>
        <v/>
      </c>
      <c r="N3176" s="9" t="str">
        <f>IF(G3176&lt;&gt;"",K3176/MAX(K$3:K3176)-1,"")</f>
        <v/>
      </c>
      <c r="O3176" s="16" t="str">
        <f t="shared" si="475"/>
        <v/>
      </c>
      <c r="P3176" s="16" t="str">
        <f t="shared" si="475"/>
        <v/>
      </c>
      <c r="Q3176" s="16" t="str">
        <f t="shared" si="475"/>
        <v/>
      </c>
      <c r="R3176" s="5" t="str">
        <f t="shared" si="474"/>
        <v/>
      </c>
      <c r="S3176" s="5" t="str">
        <f t="shared" si="478"/>
        <v/>
      </c>
      <c r="T3176" s="5" t="str">
        <f t="shared" ref="T3176:U3191" si="482">IF($G3176&lt;&gt;"",_xlfn.STDEV.S(O2932:O3176),"")</f>
        <v/>
      </c>
      <c r="U3176" s="5" t="str">
        <f t="shared" si="482"/>
        <v/>
      </c>
    </row>
    <row r="3177" spans="7:21" x14ac:dyDescent="0.2">
      <c r="G3177" s="8"/>
      <c r="H3177" s="5"/>
      <c r="J3177" s="10" t="str">
        <f t="shared" si="476"/>
        <v/>
      </c>
      <c r="K3177" s="10" t="str">
        <f t="shared" si="477"/>
        <v/>
      </c>
      <c r="L3177" s="11" t="str">
        <f t="shared" si="479"/>
        <v/>
      </c>
      <c r="M3177" s="9" t="str">
        <f>IF(G3177&lt;&gt;"",J3177/MAX(J$3:J3177)-1,"")</f>
        <v/>
      </c>
      <c r="N3177" s="9" t="str">
        <f>IF(G3177&lt;&gt;"",K3177/MAX(K$3:K3177)-1,"")</f>
        <v/>
      </c>
      <c r="O3177" s="16" t="str">
        <f t="shared" si="475"/>
        <v/>
      </c>
      <c r="P3177" s="16" t="str">
        <f t="shared" si="475"/>
        <v/>
      </c>
      <c r="Q3177" s="16" t="str">
        <f t="shared" si="475"/>
        <v/>
      </c>
      <c r="R3177" s="5" t="str">
        <f t="shared" si="474"/>
        <v/>
      </c>
      <c r="S3177" s="5" t="str">
        <f t="shared" si="478"/>
        <v/>
      </c>
      <c r="T3177" s="5" t="str">
        <f t="shared" si="482"/>
        <v/>
      </c>
      <c r="U3177" s="5" t="str">
        <f t="shared" si="482"/>
        <v/>
      </c>
    </row>
    <row r="3178" spans="7:21" x14ac:dyDescent="0.2">
      <c r="G3178" s="8"/>
      <c r="H3178" s="5"/>
      <c r="J3178" s="10" t="str">
        <f t="shared" si="476"/>
        <v/>
      </c>
      <c r="K3178" s="10" t="str">
        <f t="shared" si="477"/>
        <v/>
      </c>
      <c r="L3178" s="11" t="str">
        <f t="shared" si="479"/>
        <v/>
      </c>
      <c r="M3178" s="9" t="str">
        <f>IF(G3178&lt;&gt;"",J3178/MAX(J$3:J3178)-1,"")</f>
        <v/>
      </c>
      <c r="N3178" s="9" t="str">
        <f>IF(G3178&lt;&gt;"",K3178/MAX(K$3:K3178)-1,"")</f>
        <v/>
      </c>
      <c r="O3178" s="16" t="str">
        <f t="shared" si="475"/>
        <v/>
      </c>
      <c r="P3178" s="16" t="str">
        <f t="shared" si="475"/>
        <v/>
      </c>
      <c r="Q3178" s="16" t="str">
        <f t="shared" si="475"/>
        <v/>
      </c>
      <c r="R3178" s="5" t="str">
        <f t="shared" si="474"/>
        <v/>
      </c>
      <c r="S3178" s="5" t="str">
        <f t="shared" si="478"/>
        <v/>
      </c>
      <c r="T3178" s="5" t="str">
        <f t="shared" si="482"/>
        <v/>
      </c>
      <c r="U3178" s="5" t="str">
        <f t="shared" si="482"/>
        <v/>
      </c>
    </row>
    <row r="3179" spans="7:21" x14ac:dyDescent="0.2">
      <c r="G3179" s="8"/>
      <c r="H3179" s="5"/>
      <c r="J3179" s="10" t="str">
        <f t="shared" si="476"/>
        <v/>
      </c>
      <c r="K3179" s="10" t="str">
        <f t="shared" si="477"/>
        <v/>
      </c>
      <c r="L3179" s="11" t="str">
        <f t="shared" si="479"/>
        <v/>
      </c>
      <c r="M3179" s="9" t="str">
        <f>IF(G3179&lt;&gt;"",J3179/MAX(J$3:J3179)-1,"")</f>
        <v/>
      </c>
      <c r="N3179" s="9" t="str">
        <f>IF(G3179&lt;&gt;"",K3179/MAX(K$3:K3179)-1,"")</f>
        <v/>
      </c>
      <c r="O3179" s="16" t="str">
        <f t="shared" si="475"/>
        <v/>
      </c>
      <c r="P3179" s="16" t="str">
        <f t="shared" si="475"/>
        <v/>
      </c>
      <c r="Q3179" s="16" t="str">
        <f t="shared" si="475"/>
        <v/>
      </c>
      <c r="R3179" s="5" t="str">
        <f t="shared" si="474"/>
        <v/>
      </c>
      <c r="S3179" s="5" t="str">
        <f t="shared" si="478"/>
        <v/>
      </c>
      <c r="T3179" s="5" t="str">
        <f t="shared" si="482"/>
        <v/>
      </c>
      <c r="U3179" s="5" t="str">
        <f t="shared" si="482"/>
        <v/>
      </c>
    </row>
    <row r="3180" spans="7:21" x14ac:dyDescent="0.2">
      <c r="G3180" s="8"/>
      <c r="H3180" s="5"/>
      <c r="J3180" s="10" t="str">
        <f t="shared" si="476"/>
        <v/>
      </c>
      <c r="K3180" s="10" t="str">
        <f t="shared" si="477"/>
        <v/>
      </c>
      <c r="L3180" s="11" t="str">
        <f t="shared" si="479"/>
        <v/>
      </c>
      <c r="M3180" s="9" t="str">
        <f>IF(G3180&lt;&gt;"",J3180/MAX(J$3:J3180)-1,"")</f>
        <v/>
      </c>
      <c r="N3180" s="9" t="str">
        <f>IF(G3180&lt;&gt;"",K3180/MAX(K$3:K3180)-1,"")</f>
        <v/>
      </c>
      <c r="O3180" s="16" t="str">
        <f t="shared" si="475"/>
        <v/>
      </c>
      <c r="P3180" s="16" t="str">
        <f t="shared" si="475"/>
        <v/>
      </c>
      <c r="Q3180" s="16" t="str">
        <f t="shared" si="475"/>
        <v/>
      </c>
      <c r="R3180" s="5" t="str">
        <f t="shared" si="474"/>
        <v/>
      </c>
      <c r="S3180" s="5" t="str">
        <f t="shared" si="478"/>
        <v/>
      </c>
      <c r="T3180" s="5" t="str">
        <f t="shared" si="482"/>
        <v/>
      </c>
      <c r="U3180" s="5" t="str">
        <f t="shared" si="482"/>
        <v/>
      </c>
    </row>
    <row r="3181" spans="7:21" x14ac:dyDescent="0.2">
      <c r="G3181" s="8"/>
      <c r="H3181" s="5"/>
      <c r="J3181" s="10" t="str">
        <f t="shared" si="476"/>
        <v/>
      </c>
      <c r="K3181" s="10" t="str">
        <f t="shared" si="477"/>
        <v/>
      </c>
      <c r="L3181" s="11" t="str">
        <f t="shared" si="479"/>
        <v/>
      </c>
      <c r="M3181" s="9" t="str">
        <f>IF(G3181&lt;&gt;"",J3181/MAX(J$3:J3181)-1,"")</f>
        <v/>
      </c>
      <c r="N3181" s="9" t="str">
        <f>IF(G3181&lt;&gt;"",K3181/MAX(K$3:K3181)-1,"")</f>
        <v/>
      </c>
      <c r="O3181" s="16" t="str">
        <f t="shared" si="475"/>
        <v/>
      </c>
      <c r="P3181" s="16" t="str">
        <f t="shared" si="475"/>
        <v/>
      </c>
      <c r="Q3181" s="16" t="str">
        <f t="shared" si="475"/>
        <v/>
      </c>
      <c r="R3181" s="5" t="str">
        <f t="shared" si="474"/>
        <v/>
      </c>
      <c r="S3181" s="5" t="str">
        <f t="shared" si="478"/>
        <v/>
      </c>
      <c r="T3181" s="5" t="str">
        <f t="shared" si="482"/>
        <v/>
      </c>
      <c r="U3181" s="5" t="str">
        <f t="shared" si="482"/>
        <v/>
      </c>
    </row>
    <row r="3182" spans="7:21" x14ac:dyDescent="0.2">
      <c r="G3182" s="8"/>
      <c r="H3182" s="5"/>
      <c r="J3182" s="10" t="str">
        <f t="shared" si="476"/>
        <v/>
      </c>
      <c r="K3182" s="10" t="str">
        <f t="shared" si="477"/>
        <v/>
      </c>
      <c r="L3182" s="11" t="str">
        <f t="shared" si="479"/>
        <v/>
      </c>
      <c r="M3182" s="9" t="str">
        <f>IF(G3182&lt;&gt;"",J3182/MAX(J$3:J3182)-1,"")</f>
        <v/>
      </c>
      <c r="N3182" s="9" t="str">
        <f>IF(G3182&lt;&gt;"",K3182/MAX(K$3:K3182)-1,"")</f>
        <v/>
      </c>
      <c r="O3182" s="16" t="str">
        <f t="shared" si="475"/>
        <v/>
      </c>
      <c r="P3182" s="16" t="str">
        <f t="shared" si="475"/>
        <v/>
      </c>
      <c r="Q3182" s="16" t="str">
        <f t="shared" si="475"/>
        <v/>
      </c>
      <c r="R3182" s="5" t="str">
        <f t="shared" si="474"/>
        <v/>
      </c>
      <c r="S3182" s="5" t="str">
        <f t="shared" si="478"/>
        <v/>
      </c>
      <c r="T3182" s="5" t="str">
        <f t="shared" si="482"/>
        <v/>
      </c>
      <c r="U3182" s="5" t="str">
        <f t="shared" si="482"/>
        <v/>
      </c>
    </row>
    <row r="3183" spans="7:21" x14ac:dyDescent="0.2">
      <c r="G3183" s="8"/>
      <c r="H3183" s="5"/>
      <c r="J3183" s="10" t="str">
        <f t="shared" si="476"/>
        <v/>
      </c>
      <c r="K3183" s="10" t="str">
        <f t="shared" si="477"/>
        <v/>
      </c>
      <c r="L3183" s="11" t="str">
        <f t="shared" si="479"/>
        <v/>
      </c>
      <c r="M3183" s="9" t="str">
        <f>IF(G3183&lt;&gt;"",J3183/MAX(J$3:J3183)-1,"")</f>
        <v/>
      </c>
      <c r="N3183" s="9" t="str">
        <f>IF(G3183&lt;&gt;"",K3183/MAX(K$3:K3183)-1,"")</f>
        <v/>
      </c>
      <c r="O3183" s="16" t="str">
        <f t="shared" si="475"/>
        <v/>
      </c>
      <c r="P3183" s="16" t="str">
        <f t="shared" si="475"/>
        <v/>
      </c>
      <c r="Q3183" s="16" t="str">
        <f t="shared" si="475"/>
        <v/>
      </c>
      <c r="R3183" s="5" t="str">
        <f t="shared" si="474"/>
        <v/>
      </c>
      <c r="S3183" s="5" t="str">
        <f t="shared" si="478"/>
        <v/>
      </c>
      <c r="T3183" s="5" t="str">
        <f t="shared" si="482"/>
        <v/>
      </c>
      <c r="U3183" s="5" t="str">
        <f t="shared" si="482"/>
        <v/>
      </c>
    </row>
    <row r="3184" spans="7:21" x14ac:dyDescent="0.2">
      <c r="G3184" s="8"/>
      <c r="H3184" s="5"/>
      <c r="J3184" s="10" t="str">
        <f t="shared" si="476"/>
        <v/>
      </c>
      <c r="K3184" s="10" t="str">
        <f t="shared" si="477"/>
        <v/>
      </c>
      <c r="L3184" s="11" t="str">
        <f t="shared" si="479"/>
        <v/>
      </c>
      <c r="M3184" s="9" t="str">
        <f>IF(G3184&lt;&gt;"",J3184/MAX(J$3:J3184)-1,"")</f>
        <v/>
      </c>
      <c r="N3184" s="9" t="str">
        <f>IF(G3184&lt;&gt;"",K3184/MAX(K$3:K3184)-1,"")</f>
        <v/>
      </c>
      <c r="O3184" s="16" t="str">
        <f t="shared" si="475"/>
        <v/>
      </c>
      <c r="P3184" s="16" t="str">
        <f t="shared" si="475"/>
        <v/>
      </c>
      <c r="Q3184" s="16" t="str">
        <f t="shared" si="475"/>
        <v/>
      </c>
      <c r="R3184" s="5" t="str">
        <f t="shared" si="474"/>
        <v/>
      </c>
      <c r="S3184" s="5" t="str">
        <f t="shared" si="478"/>
        <v/>
      </c>
      <c r="T3184" s="5" t="str">
        <f t="shared" si="482"/>
        <v/>
      </c>
      <c r="U3184" s="5" t="str">
        <f t="shared" si="482"/>
        <v/>
      </c>
    </row>
    <row r="3185" spans="7:21" x14ac:dyDescent="0.2">
      <c r="G3185" s="8"/>
      <c r="H3185" s="5"/>
      <c r="J3185" s="10" t="str">
        <f t="shared" si="476"/>
        <v/>
      </c>
      <c r="K3185" s="10" t="str">
        <f t="shared" si="477"/>
        <v/>
      </c>
      <c r="L3185" s="11" t="str">
        <f t="shared" si="479"/>
        <v/>
      </c>
      <c r="M3185" s="9" t="str">
        <f>IF(G3185&lt;&gt;"",J3185/MAX(J$3:J3185)-1,"")</f>
        <v/>
      </c>
      <c r="N3185" s="9" t="str">
        <f>IF(G3185&lt;&gt;"",K3185/MAX(K$3:K3185)-1,"")</f>
        <v/>
      </c>
      <c r="O3185" s="16" t="str">
        <f t="shared" si="475"/>
        <v/>
      </c>
      <c r="P3185" s="16" t="str">
        <f t="shared" si="475"/>
        <v/>
      </c>
      <c r="Q3185" s="16" t="str">
        <f t="shared" si="475"/>
        <v/>
      </c>
      <c r="R3185" s="5" t="str">
        <f t="shared" si="474"/>
        <v/>
      </c>
      <c r="S3185" s="5" t="str">
        <f t="shared" si="478"/>
        <v/>
      </c>
      <c r="T3185" s="5" t="str">
        <f t="shared" si="482"/>
        <v/>
      </c>
      <c r="U3185" s="5" t="str">
        <f t="shared" si="482"/>
        <v/>
      </c>
    </row>
    <row r="3186" spans="7:21" x14ac:dyDescent="0.2">
      <c r="G3186" s="8"/>
      <c r="H3186" s="5"/>
      <c r="J3186" s="10" t="str">
        <f t="shared" si="476"/>
        <v/>
      </c>
      <c r="K3186" s="10" t="str">
        <f t="shared" si="477"/>
        <v/>
      </c>
      <c r="L3186" s="11" t="str">
        <f t="shared" si="479"/>
        <v/>
      </c>
      <c r="M3186" s="9" t="str">
        <f>IF(G3186&lt;&gt;"",J3186/MAX(J$3:J3186)-1,"")</f>
        <v/>
      </c>
      <c r="N3186" s="9" t="str">
        <f>IF(G3186&lt;&gt;"",K3186/MAX(K$3:K3186)-1,"")</f>
        <v/>
      </c>
      <c r="O3186" s="16" t="str">
        <f t="shared" si="475"/>
        <v/>
      </c>
      <c r="P3186" s="16" t="str">
        <f t="shared" si="475"/>
        <v/>
      </c>
      <c r="Q3186" s="16" t="str">
        <f t="shared" si="475"/>
        <v/>
      </c>
      <c r="R3186" s="5" t="str">
        <f t="shared" si="474"/>
        <v/>
      </c>
      <c r="S3186" s="5" t="str">
        <f t="shared" si="478"/>
        <v/>
      </c>
      <c r="T3186" s="5" t="str">
        <f t="shared" si="482"/>
        <v/>
      </c>
      <c r="U3186" s="5" t="str">
        <f t="shared" si="482"/>
        <v/>
      </c>
    </row>
    <row r="3187" spans="7:21" x14ac:dyDescent="0.2">
      <c r="G3187" s="8"/>
      <c r="H3187" s="5"/>
      <c r="J3187" s="10" t="str">
        <f t="shared" si="476"/>
        <v/>
      </c>
      <c r="K3187" s="10" t="str">
        <f t="shared" si="477"/>
        <v/>
      </c>
      <c r="L3187" s="11" t="str">
        <f t="shared" si="479"/>
        <v/>
      </c>
      <c r="M3187" s="9" t="str">
        <f>IF(G3187&lt;&gt;"",J3187/MAX(J$3:J3187)-1,"")</f>
        <v/>
      </c>
      <c r="N3187" s="9" t="str">
        <f>IF(G3187&lt;&gt;"",K3187/MAX(K$3:K3187)-1,"")</f>
        <v/>
      </c>
      <c r="O3187" s="16" t="str">
        <f t="shared" si="475"/>
        <v/>
      </c>
      <c r="P3187" s="16" t="str">
        <f t="shared" si="475"/>
        <v/>
      </c>
      <c r="Q3187" s="16" t="str">
        <f t="shared" si="475"/>
        <v/>
      </c>
      <c r="R3187" s="5" t="str">
        <f t="shared" si="474"/>
        <v/>
      </c>
      <c r="S3187" s="5" t="str">
        <f t="shared" si="478"/>
        <v/>
      </c>
      <c r="T3187" s="5" t="str">
        <f t="shared" si="482"/>
        <v/>
      </c>
      <c r="U3187" s="5" t="str">
        <f t="shared" si="482"/>
        <v/>
      </c>
    </row>
    <row r="3188" spans="7:21" x14ac:dyDescent="0.2">
      <c r="G3188" s="8"/>
      <c r="H3188" s="5"/>
      <c r="J3188" s="10" t="str">
        <f t="shared" si="476"/>
        <v/>
      </c>
      <c r="K3188" s="10" t="str">
        <f t="shared" si="477"/>
        <v/>
      </c>
      <c r="L3188" s="11" t="str">
        <f t="shared" si="479"/>
        <v/>
      </c>
      <c r="M3188" s="9" t="str">
        <f>IF(G3188&lt;&gt;"",J3188/MAX(J$3:J3188)-1,"")</f>
        <v/>
      </c>
      <c r="N3188" s="9" t="str">
        <f>IF(G3188&lt;&gt;"",K3188/MAX(K$3:K3188)-1,"")</f>
        <v/>
      </c>
      <c r="O3188" s="16" t="str">
        <f t="shared" si="475"/>
        <v/>
      </c>
      <c r="P3188" s="16" t="str">
        <f t="shared" si="475"/>
        <v/>
      </c>
      <c r="Q3188" s="16" t="str">
        <f t="shared" si="475"/>
        <v/>
      </c>
      <c r="R3188" s="5" t="str">
        <f t="shared" si="474"/>
        <v/>
      </c>
      <c r="S3188" s="5" t="str">
        <f t="shared" si="478"/>
        <v/>
      </c>
      <c r="T3188" s="5" t="str">
        <f t="shared" si="482"/>
        <v/>
      </c>
      <c r="U3188" s="5" t="str">
        <f t="shared" si="482"/>
        <v/>
      </c>
    </row>
    <row r="3189" spans="7:21" x14ac:dyDescent="0.2">
      <c r="G3189" s="8"/>
      <c r="H3189" s="5"/>
      <c r="J3189" s="10" t="str">
        <f t="shared" si="476"/>
        <v/>
      </c>
      <c r="K3189" s="10" t="str">
        <f t="shared" si="477"/>
        <v/>
      </c>
      <c r="L3189" s="11" t="str">
        <f t="shared" si="479"/>
        <v/>
      </c>
      <c r="M3189" s="9" t="str">
        <f>IF(G3189&lt;&gt;"",J3189/MAX(J$3:J3189)-1,"")</f>
        <v/>
      </c>
      <c r="N3189" s="9" t="str">
        <f>IF(G3189&lt;&gt;"",K3189/MAX(K$3:K3189)-1,"")</f>
        <v/>
      </c>
      <c r="O3189" s="16" t="str">
        <f t="shared" si="475"/>
        <v/>
      </c>
      <c r="P3189" s="16" t="str">
        <f t="shared" si="475"/>
        <v/>
      </c>
      <c r="Q3189" s="16" t="str">
        <f t="shared" si="475"/>
        <v/>
      </c>
      <c r="R3189" s="5" t="str">
        <f t="shared" si="474"/>
        <v/>
      </c>
      <c r="S3189" s="5" t="str">
        <f t="shared" si="478"/>
        <v/>
      </c>
      <c r="T3189" s="5" t="str">
        <f t="shared" si="482"/>
        <v/>
      </c>
      <c r="U3189" s="5" t="str">
        <f t="shared" si="482"/>
        <v/>
      </c>
    </row>
    <row r="3190" spans="7:21" x14ac:dyDescent="0.2">
      <c r="G3190" s="8"/>
      <c r="H3190" s="5"/>
      <c r="J3190" s="10" t="str">
        <f t="shared" si="476"/>
        <v/>
      </c>
      <c r="K3190" s="10" t="str">
        <f t="shared" si="477"/>
        <v/>
      </c>
      <c r="L3190" s="11" t="str">
        <f t="shared" si="479"/>
        <v/>
      </c>
      <c r="M3190" s="9" t="str">
        <f>IF(G3190&lt;&gt;"",J3190/MAX(J$3:J3190)-1,"")</f>
        <v/>
      </c>
      <c r="N3190" s="9" t="str">
        <f>IF(G3190&lt;&gt;"",K3190/MAX(K$3:K3190)-1,"")</f>
        <v/>
      </c>
      <c r="O3190" s="16" t="str">
        <f t="shared" si="475"/>
        <v/>
      </c>
      <c r="P3190" s="16" t="str">
        <f t="shared" si="475"/>
        <v/>
      </c>
      <c r="Q3190" s="16" t="str">
        <f t="shared" si="475"/>
        <v/>
      </c>
      <c r="R3190" s="5" t="str">
        <f t="shared" si="474"/>
        <v/>
      </c>
      <c r="S3190" s="5" t="str">
        <f t="shared" si="478"/>
        <v/>
      </c>
      <c r="T3190" s="5" t="str">
        <f t="shared" si="482"/>
        <v/>
      </c>
      <c r="U3190" s="5" t="str">
        <f t="shared" si="482"/>
        <v/>
      </c>
    </row>
    <row r="3191" spans="7:21" x14ac:dyDescent="0.2">
      <c r="G3191" s="8"/>
      <c r="H3191" s="5"/>
      <c r="J3191" s="10" t="str">
        <f t="shared" si="476"/>
        <v/>
      </c>
      <c r="K3191" s="10" t="str">
        <f t="shared" si="477"/>
        <v/>
      </c>
      <c r="L3191" s="11" t="str">
        <f t="shared" si="479"/>
        <v/>
      </c>
      <c r="M3191" s="9" t="str">
        <f>IF(G3191&lt;&gt;"",J3191/MAX(J$3:J3191)-1,"")</f>
        <v/>
      </c>
      <c r="N3191" s="9" t="str">
        <f>IF(G3191&lt;&gt;"",K3191/MAX(K$3:K3191)-1,"")</f>
        <v/>
      </c>
      <c r="O3191" s="16" t="str">
        <f t="shared" si="475"/>
        <v/>
      </c>
      <c r="P3191" s="16" t="str">
        <f t="shared" si="475"/>
        <v/>
      </c>
      <c r="Q3191" s="16" t="str">
        <f t="shared" si="475"/>
        <v/>
      </c>
      <c r="R3191" s="5" t="str">
        <f t="shared" si="474"/>
        <v/>
      </c>
      <c r="S3191" s="5" t="str">
        <f t="shared" si="478"/>
        <v/>
      </c>
      <c r="T3191" s="5" t="str">
        <f t="shared" si="482"/>
        <v/>
      </c>
      <c r="U3191" s="5" t="str">
        <f t="shared" si="482"/>
        <v/>
      </c>
    </row>
    <row r="3192" spans="7:21" x14ac:dyDescent="0.2">
      <c r="G3192" s="8"/>
      <c r="H3192" s="5"/>
      <c r="J3192" s="10" t="str">
        <f t="shared" si="476"/>
        <v/>
      </c>
      <c r="K3192" s="10" t="str">
        <f t="shared" si="477"/>
        <v/>
      </c>
      <c r="L3192" s="11" t="str">
        <f t="shared" si="479"/>
        <v/>
      </c>
      <c r="M3192" s="9" t="str">
        <f>IF(G3192&lt;&gt;"",J3192/MAX(J$3:J3192)-1,"")</f>
        <v/>
      </c>
      <c r="N3192" s="9" t="str">
        <f>IF(G3192&lt;&gt;"",K3192/MAX(K$3:K3192)-1,"")</f>
        <v/>
      </c>
      <c r="O3192" s="16" t="str">
        <f t="shared" si="475"/>
        <v/>
      </c>
      <c r="P3192" s="16" t="str">
        <f t="shared" si="475"/>
        <v/>
      </c>
      <c r="Q3192" s="16" t="str">
        <f t="shared" si="475"/>
        <v/>
      </c>
      <c r="R3192" s="5" t="str">
        <f t="shared" si="474"/>
        <v/>
      </c>
      <c r="S3192" s="5" t="str">
        <f t="shared" si="478"/>
        <v/>
      </c>
      <c r="T3192" s="5" t="str">
        <f t="shared" ref="T3192:U3207" si="483">IF($G3192&lt;&gt;"",_xlfn.STDEV.S(O2948:O3192),"")</f>
        <v/>
      </c>
      <c r="U3192" s="5" t="str">
        <f t="shared" si="483"/>
        <v/>
      </c>
    </row>
    <row r="3193" spans="7:21" x14ac:dyDescent="0.2">
      <c r="G3193" s="8"/>
      <c r="H3193" s="5"/>
      <c r="J3193" s="10" t="str">
        <f t="shared" si="476"/>
        <v/>
      </c>
      <c r="K3193" s="10" t="str">
        <f t="shared" si="477"/>
        <v/>
      </c>
      <c r="L3193" s="11" t="str">
        <f t="shared" si="479"/>
        <v/>
      </c>
      <c r="M3193" s="9" t="str">
        <f>IF(G3193&lt;&gt;"",J3193/MAX(J$3:J3193)-1,"")</f>
        <v/>
      </c>
      <c r="N3193" s="9" t="str">
        <f>IF(G3193&lt;&gt;"",K3193/MAX(K$3:K3193)-1,"")</f>
        <v/>
      </c>
      <c r="O3193" s="16" t="str">
        <f t="shared" si="475"/>
        <v/>
      </c>
      <c r="P3193" s="16" t="str">
        <f t="shared" si="475"/>
        <v/>
      </c>
      <c r="Q3193" s="16" t="str">
        <f t="shared" si="475"/>
        <v/>
      </c>
      <c r="R3193" s="5" t="str">
        <f t="shared" si="474"/>
        <v/>
      </c>
      <c r="S3193" s="5" t="str">
        <f t="shared" si="478"/>
        <v/>
      </c>
      <c r="T3193" s="5" t="str">
        <f t="shared" si="483"/>
        <v/>
      </c>
      <c r="U3193" s="5" t="str">
        <f t="shared" si="483"/>
        <v/>
      </c>
    </row>
    <row r="3194" spans="7:21" x14ac:dyDescent="0.2">
      <c r="G3194" s="8"/>
      <c r="H3194" s="5"/>
      <c r="J3194" s="10" t="str">
        <f t="shared" si="476"/>
        <v/>
      </c>
      <c r="K3194" s="10" t="str">
        <f t="shared" si="477"/>
        <v/>
      </c>
      <c r="L3194" s="11" t="str">
        <f t="shared" si="479"/>
        <v/>
      </c>
      <c r="M3194" s="9" t="str">
        <f>IF(G3194&lt;&gt;"",J3194/MAX(J$3:J3194)-1,"")</f>
        <v/>
      </c>
      <c r="N3194" s="9" t="str">
        <f>IF(G3194&lt;&gt;"",K3194/MAX(K$3:K3194)-1,"")</f>
        <v/>
      </c>
      <c r="O3194" s="16" t="str">
        <f t="shared" si="475"/>
        <v/>
      </c>
      <c r="P3194" s="16" t="str">
        <f t="shared" si="475"/>
        <v/>
      </c>
      <c r="Q3194" s="16" t="str">
        <f t="shared" si="475"/>
        <v/>
      </c>
      <c r="R3194" s="5" t="str">
        <f t="shared" si="474"/>
        <v/>
      </c>
      <c r="S3194" s="5" t="str">
        <f t="shared" si="478"/>
        <v/>
      </c>
      <c r="T3194" s="5" t="str">
        <f t="shared" si="483"/>
        <v/>
      </c>
      <c r="U3194" s="5" t="str">
        <f t="shared" si="483"/>
        <v/>
      </c>
    </row>
    <row r="3195" spans="7:21" x14ac:dyDescent="0.2">
      <c r="G3195" s="8"/>
      <c r="H3195" s="5"/>
      <c r="J3195" s="10" t="str">
        <f t="shared" si="476"/>
        <v/>
      </c>
      <c r="K3195" s="10" t="str">
        <f t="shared" si="477"/>
        <v/>
      </c>
      <c r="L3195" s="11" t="str">
        <f t="shared" si="479"/>
        <v/>
      </c>
      <c r="M3195" s="9" t="str">
        <f>IF(G3195&lt;&gt;"",J3195/MAX(J$3:J3195)-1,"")</f>
        <v/>
      </c>
      <c r="N3195" s="9" t="str">
        <f>IF(G3195&lt;&gt;"",K3195/MAX(K$3:K3195)-1,"")</f>
        <v/>
      </c>
      <c r="O3195" s="16" t="str">
        <f t="shared" si="475"/>
        <v/>
      </c>
      <c r="P3195" s="16" t="str">
        <f t="shared" si="475"/>
        <v/>
      </c>
      <c r="Q3195" s="16" t="str">
        <f t="shared" si="475"/>
        <v/>
      </c>
      <c r="R3195" s="5" t="str">
        <f t="shared" si="474"/>
        <v/>
      </c>
      <c r="S3195" s="5" t="str">
        <f t="shared" si="478"/>
        <v/>
      </c>
      <c r="T3195" s="5" t="str">
        <f t="shared" si="483"/>
        <v/>
      </c>
      <c r="U3195" s="5" t="str">
        <f t="shared" si="483"/>
        <v/>
      </c>
    </row>
    <row r="3196" spans="7:21" x14ac:dyDescent="0.2">
      <c r="G3196" s="8"/>
      <c r="H3196" s="5"/>
      <c r="J3196" s="10" t="str">
        <f t="shared" si="476"/>
        <v/>
      </c>
      <c r="K3196" s="10" t="str">
        <f t="shared" si="477"/>
        <v/>
      </c>
      <c r="L3196" s="11" t="str">
        <f t="shared" si="479"/>
        <v/>
      </c>
      <c r="M3196" s="9" t="str">
        <f>IF(G3196&lt;&gt;"",J3196/MAX(J$3:J3196)-1,"")</f>
        <v/>
      </c>
      <c r="N3196" s="9" t="str">
        <f>IF(G3196&lt;&gt;"",K3196/MAX(K$3:K3196)-1,"")</f>
        <v/>
      </c>
      <c r="O3196" s="16" t="str">
        <f t="shared" si="475"/>
        <v/>
      </c>
      <c r="P3196" s="16" t="str">
        <f t="shared" si="475"/>
        <v/>
      </c>
      <c r="Q3196" s="16" t="str">
        <f t="shared" si="475"/>
        <v/>
      </c>
      <c r="R3196" s="5" t="str">
        <f t="shared" si="474"/>
        <v/>
      </c>
      <c r="S3196" s="5" t="str">
        <f t="shared" si="478"/>
        <v/>
      </c>
      <c r="T3196" s="5" t="str">
        <f t="shared" si="483"/>
        <v/>
      </c>
      <c r="U3196" s="5" t="str">
        <f t="shared" si="483"/>
        <v/>
      </c>
    </row>
    <row r="3197" spans="7:21" x14ac:dyDescent="0.2">
      <c r="G3197" s="8"/>
      <c r="H3197" s="5"/>
      <c r="J3197" s="10" t="str">
        <f t="shared" si="476"/>
        <v/>
      </c>
      <c r="K3197" s="10" t="str">
        <f t="shared" si="477"/>
        <v/>
      </c>
      <c r="L3197" s="11" t="str">
        <f t="shared" si="479"/>
        <v/>
      </c>
      <c r="M3197" s="9" t="str">
        <f>IF(G3197&lt;&gt;"",J3197/MAX(J$3:J3197)-1,"")</f>
        <v/>
      </c>
      <c r="N3197" s="9" t="str">
        <f>IF(G3197&lt;&gt;"",K3197/MAX(K$3:K3197)-1,"")</f>
        <v/>
      </c>
      <c r="O3197" s="16" t="str">
        <f t="shared" si="475"/>
        <v/>
      </c>
      <c r="P3197" s="16" t="str">
        <f t="shared" si="475"/>
        <v/>
      </c>
      <c r="Q3197" s="16" t="str">
        <f t="shared" si="475"/>
        <v/>
      </c>
      <c r="R3197" s="5" t="str">
        <f t="shared" ref="R3197:R3260" si="484">IF(G3197&lt;&gt;"",_xlfn.STDEV.S(Q3076:Q3197)*SQRT($B$5),"")</f>
        <v/>
      </c>
      <c r="S3197" s="5" t="str">
        <f t="shared" si="478"/>
        <v/>
      </c>
      <c r="T3197" s="5" t="str">
        <f t="shared" si="483"/>
        <v/>
      </c>
      <c r="U3197" s="5" t="str">
        <f t="shared" si="483"/>
        <v/>
      </c>
    </row>
    <row r="3198" spans="7:21" x14ac:dyDescent="0.2">
      <c r="G3198" s="8"/>
      <c r="H3198" s="5"/>
      <c r="J3198" s="10" t="str">
        <f t="shared" si="476"/>
        <v/>
      </c>
      <c r="K3198" s="10" t="str">
        <f t="shared" si="477"/>
        <v/>
      </c>
      <c r="L3198" s="11" t="str">
        <f t="shared" si="479"/>
        <v/>
      </c>
      <c r="M3198" s="9" t="str">
        <f>IF(G3198&lt;&gt;"",J3198/MAX(J$3:J3198)-1,"")</f>
        <v/>
      </c>
      <c r="N3198" s="9" t="str">
        <f>IF(G3198&lt;&gt;"",K3198/MAX(K$3:K3198)-1,"")</f>
        <v/>
      </c>
      <c r="O3198" s="16" t="str">
        <f t="shared" si="475"/>
        <v/>
      </c>
      <c r="P3198" s="16" t="str">
        <f t="shared" si="475"/>
        <v/>
      </c>
      <c r="Q3198" s="16" t="str">
        <f t="shared" si="475"/>
        <v/>
      </c>
      <c r="R3198" s="5" t="str">
        <f t="shared" si="484"/>
        <v/>
      </c>
      <c r="S3198" s="5" t="str">
        <f t="shared" si="478"/>
        <v/>
      </c>
      <c r="T3198" s="5" t="str">
        <f t="shared" si="483"/>
        <v/>
      </c>
      <c r="U3198" s="5" t="str">
        <f t="shared" si="483"/>
        <v/>
      </c>
    </row>
    <row r="3199" spans="7:21" x14ac:dyDescent="0.2">
      <c r="G3199" s="8"/>
      <c r="H3199" s="5"/>
      <c r="J3199" s="10" t="str">
        <f t="shared" si="476"/>
        <v/>
      </c>
      <c r="K3199" s="10" t="str">
        <f t="shared" si="477"/>
        <v/>
      </c>
      <c r="L3199" s="11" t="str">
        <f t="shared" si="479"/>
        <v/>
      </c>
      <c r="M3199" s="9" t="str">
        <f>IF(G3199&lt;&gt;"",J3199/MAX(J$3:J3199)-1,"")</f>
        <v/>
      </c>
      <c r="N3199" s="9" t="str">
        <f>IF(G3199&lt;&gt;"",K3199/MAX(K$3:K3199)-1,"")</f>
        <v/>
      </c>
      <c r="O3199" s="16" t="str">
        <f t="shared" si="475"/>
        <v/>
      </c>
      <c r="P3199" s="16" t="str">
        <f t="shared" si="475"/>
        <v/>
      </c>
      <c r="Q3199" s="16" t="str">
        <f t="shared" si="475"/>
        <v/>
      </c>
      <c r="R3199" s="5" t="str">
        <f t="shared" si="484"/>
        <v/>
      </c>
      <c r="S3199" s="5" t="str">
        <f t="shared" si="478"/>
        <v/>
      </c>
      <c r="T3199" s="5" t="str">
        <f t="shared" si="483"/>
        <v/>
      </c>
      <c r="U3199" s="5" t="str">
        <f t="shared" si="483"/>
        <v/>
      </c>
    </row>
    <row r="3200" spans="7:21" x14ac:dyDescent="0.2">
      <c r="G3200" s="8"/>
      <c r="H3200" s="5"/>
      <c r="J3200" s="10" t="str">
        <f t="shared" si="476"/>
        <v/>
      </c>
      <c r="K3200" s="10" t="str">
        <f t="shared" si="477"/>
        <v/>
      </c>
      <c r="L3200" s="11" t="str">
        <f t="shared" si="479"/>
        <v/>
      </c>
      <c r="M3200" s="9" t="str">
        <f>IF(G3200&lt;&gt;"",J3200/MAX(J$3:J3200)-1,"")</f>
        <v/>
      </c>
      <c r="N3200" s="9" t="str">
        <f>IF(G3200&lt;&gt;"",K3200/MAX(K$3:K3200)-1,"")</f>
        <v/>
      </c>
      <c r="O3200" s="16" t="str">
        <f t="shared" si="475"/>
        <v/>
      </c>
      <c r="P3200" s="16" t="str">
        <f t="shared" si="475"/>
        <v/>
      </c>
      <c r="Q3200" s="16" t="str">
        <f t="shared" si="475"/>
        <v/>
      </c>
      <c r="R3200" s="5" t="str">
        <f t="shared" si="484"/>
        <v/>
      </c>
      <c r="S3200" s="5" t="str">
        <f t="shared" si="478"/>
        <v/>
      </c>
      <c r="T3200" s="5" t="str">
        <f t="shared" si="483"/>
        <v/>
      </c>
      <c r="U3200" s="5" t="str">
        <f t="shared" si="483"/>
        <v/>
      </c>
    </row>
    <row r="3201" spans="7:21" x14ac:dyDescent="0.2">
      <c r="G3201" s="8"/>
      <c r="H3201" s="5"/>
      <c r="J3201" s="10" t="str">
        <f t="shared" si="476"/>
        <v/>
      </c>
      <c r="K3201" s="10" t="str">
        <f t="shared" si="477"/>
        <v/>
      </c>
      <c r="L3201" s="11" t="str">
        <f t="shared" si="479"/>
        <v/>
      </c>
      <c r="M3201" s="9" t="str">
        <f>IF(G3201&lt;&gt;"",J3201/MAX(J$3:J3201)-1,"")</f>
        <v/>
      </c>
      <c r="N3201" s="9" t="str">
        <f>IF(G3201&lt;&gt;"",K3201/MAX(K$3:K3201)-1,"")</f>
        <v/>
      </c>
      <c r="O3201" s="16" t="str">
        <f t="shared" si="475"/>
        <v/>
      </c>
      <c r="P3201" s="16" t="str">
        <f t="shared" si="475"/>
        <v/>
      </c>
      <c r="Q3201" s="16" t="str">
        <f t="shared" si="475"/>
        <v/>
      </c>
      <c r="R3201" s="5" t="str">
        <f t="shared" si="484"/>
        <v/>
      </c>
      <c r="S3201" s="5" t="str">
        <f t="shared" si="478"/>
        <v/>
      </c>
      <c r="T3201" s="5" t="str">
        <f t="shared" si="483"/>
        <v/>
      </c>
      <c r="U3201" s="5" t="str">
        <f t="shared" si="483"/>
        <v/>
      </c>
    </row>
    <row r="3202" spans="7:21" x14ac:dyDescent="0.2">
      <c r="G3202" s="8"/>
      <c r="H3202" s="5"/>
      <c r="J3202" s="10" t="str">
        <f t="shared" si="476"/>
        <v/>
      </c>
      <c r="K3202" s="10" t="str">
        <f t="shared" si="477"/>
        <v/>
      </c>
      <c r="L3202" s="11" t="str">
        <f t="shared" si="479"/>
        <v/>
      </c>
      <c r="M3202" s="9" t="str">
        <f>IF(G3202&lt;&gt;"",J3202/MAX(J$3:J3202)-1,"")</f>
        <v/>
      </c>
      <c r="N3202" s="9" t="str">
        <f>IF(G3202&lt;&gt;"",K3202/MAX(K$3:K3202)-1,"")</f>
        <v/>
      </c>
      <c r="O3202" s="16" t="str">
        <f t="shared" ref="O3202:Q3265" si="485">IF($G3202&lt;&gt;"",J3202/J3201-1,"")</f>
        <v/>
      </c>
      <c r="P3202" s="16" t="str">
        <f t="shared" si="485"/>
        <v/>
      </c>
      <c r="Q3202" s="16" t="str">
        <f t="shared" si="485"/>
        <v/>
      </c>
      <c r="R3202" s="5" t="str">
        <f t="shared" si="484"/>
        <v/>
      </c>
      <c r="S3202" s="5" t="str">
        <f t="shared" si="478"/>
        <v/>
      </c>
      <c r="T3202" s="5" t="str">
        <f t="shared" si="483"/>
        <v/>
      </c>
      <c r="U3202" s="5" t="str">
        <f t="shared" si="483"/>
        <v/>
      </c>
    </row>
    <row r="3203" spans="7:21" x14ac:dyDescent="0.2">
      <c r="G3203" s="8"/>
      <c r="H3203" s="5"/>
      <c r="J3203" s="10" t="str">
        <f t="shared" si="476"/>
        <v/>
      </c>
      <c r="K3203" s="10" t="str">
        <f t="shared" si="477"/>
        <v/>
      </c>
      <c r="L3203" s="11" t="str">
        <f t="shared" si="479"/>
        <v/>
      </c>
      <c r="M3203" s="9" t="str">
        <f>IF(G3203&lt;&gt;"",J3203/MAX(J$3:J3203)-1,"")</f>
        <v/>
      </c>
      <c r="N3203" s="9" t="str">
        <f>IF(G3203&lt;&gt;"",K3203/MAX(K$3:K3203)-1,"")</f>
        <v/>
      </c>
      <c r="O3203" s="16" t="str">
        <f t="shared" si="485"/>
        <v/>
      </c>
      <c r="P3203" s="16" t="str">
        <f t="shared" si="485"/>
        <v/>
      </c>
      <c r="Q3203" s="16" t="str">
        <f t="shared" si="485"/>
        <v/>
      </c>
      <c r="R3203" s="5" t="str">
        <f t="shared" si="484"/>
        <v/>
      </c>
      <c r="S3203" s="5" t="str">
        <f t="shared" si="478"/>
        <v/>
      </c>
      <c r="T3203" s="5" t="str">
        <f t="shared" si="483"/>
        <v/>
      </c>
      <c r="U3203" s="5" t="str">
        <f t="shared" si="483"/>
        <v/>
      </c>
    </row>
    <row r="3204" spans="7:21" x14ac:dyDescent="0.2">
      <c r="G3204" s="8"/>
      <c r="H3204" s="5"/>
      <c r="J3204" s="10" t="str">
        <f t="shared" ref="J3204:J3267" si="486">IF(G3204&lt;&gt;"",1+H3204,"")</f>
        <v/>
      </c>
      <c r="K3204" s="10" t="str">
        <f t="shared" ref="K3204:K3267" si="487">IF(G3204&lt;&gt;"",1+I3204,"")</f>
        <v/>
      </c>
      <c r="L3204" s="11" t="str">
        <f t="shared" si="479"/>
        <v/>
      </c>
      <c r="M3204" s="9" t="str">
        <f>IF(G3204&lt;&gt;"",J3204/MAX(J$3:J3204)-1,"")</f>
        <v/>
      </c>
      <c r="N3204" s="9" t="str">
        <f>IF(G3204&lt;&gt;"",K3204/MAX(K$3:K3204)-1,"")</f>
        <v/>
      </c>
      <c r="O3204" s="16" t="str">
        <f t="shared" si="485"/>
        <v/>
      </c>
      <c r="P3204" s="16" t="str">
        <f t="shared" si="485"/>
        <v/>
      </c>
      <c r="Q3204" s="16" t="str">
        <f t="shared" si="485"/>
        <v/>
      </c>
      <c r="R3204" s="5" t="str">
        <f t="shared" si="484"/>
        <v/>
      </c>
      <c r="S3204" s="5" t="str">
        <f t="shared" ref="S3204:S3267" si="488">IF(R3204&lt;&gt;"",B$12,"")</f>
        <v/>
      </c>
      <c r="T3204" s="5" t="str">
        <f t="shared" si="483"/>
        <v/>
      </c>
      <c r="U3204" s="5" t="str">
        <f t="shared" si="483"/>
        <v/>
      </c>
    </row>
    <row r="3205" spans="7:21" x14ac:dyDescent="0.2">
      <c r="G3205" s="8"/>
      <c r="H3205" s="5"/>
      <c r="J3205" s="10" t="str">
        <f t="shared" si="486"/>
        <v/>
      </c>
      <c r="K3205" s="10" t="str">
        <f t="shared" si="487"/>
        <v/>
      </c>
      <c r="L3205" s="11" t="str">
        <f t="shared" ref="L3205:L3268" si="489">IF(G3205&lt;&gt;"",J3205/K3205,"")</f>
        <v/>
      </c>
      <c r="M3205" s="9" t="str">
        <f>IF(G3205&lt;&gt;"",J3205/MAX(J$3:J3205)-1,"")</f>
        <v/>
      </c>
      <c r="N3205" s="9" t="str">
        <f>IF(G3205&lt;&gt;"",K3205/MAX(K$3:K3205)-1,"")</f>
        <v/>
      </c>
      <c r="O3205" s="16" t="str">
        <f t="shared" si="485"/>
        <v/>
      </c>
      <c r="P3205" s="16" t="str">
        <f t="shared" si="485"/>
        <v/>
      </c>
      <c r="Q3205" s="16" t="str">
        <f t="shared" si="485"/>
        <v/>
      </c>
      <c r="R3205" s="5" t="str">
        <f t="shared" si="484"/>
        <v/>
      </c>
      <c r="S3205" s="5" t="str">
        <f t="shared" si="488"/>
        <v/>
      </c>
      <c r="T3205" s="5" t="str">
        <f t="shared" si="483"/>
        <v/>
      </c>
      <c r="U3205" s="5" t="str">
        <f t="shared" si="483"/>
        <v/>
      </c>
    </row>
    <row r="3206" spans="7:21" x14ac:dyDescent="0.2">
      <c r="G3206" s="8"/>
      <c r="H3206" s="5"/>
      <c r="J3206" s="10" t="str">
        <f t="shared" si="486"/>
        <v/>
      </c>
      <c r="K3206" s="10" t="str">
        <f t="shared" si="487"/>
        <v/>
      </c>
      <c r="L3206" s="11" t="str">
        <f t="shared" si="489"/>
        <v/>
      </c>
      <c r="M3206" s="9" t="str">
        <f>IF(G3206&lt;&gt;"",J3206/MAX(J$3:J3206)-1,"")</f>
        <v/>
      </c>
      <c r="N3206" s="9" t="str">
        <f>IF(G3206&lt;&gt;"",K3206/MAX(K$3:K3206)-1,"")</f>
        <v/>
      </c>
      <c r="O3206" s="16" t="str">
        <f t="shared" si="485"/>
        <v/>
      </c>
      <c r="P3206" s="16" t="str">
        <f t="shared" si="485"/>
        <v/>
      </c>
      <c r="Q3206" s="16" t="str">
        <f t="shared" si="485"/>
        <v/>
      </c>
      <c r="R3206" s="5" t="str">
        <f t="shared" si="484"/>
        <v/>
      </c>
      <c r="S3206" s="5" t="str">
        <f t="shared" si="488"/>
        <v/>
      </c>
      <c r="T3206" s="5" t="str">
        <f t="shared" si="483"/>
        <v/>
      </c>
      <c r="U3206" s="5" t="str">
        <f t="shared" si="483"/>
        <v/>
      </c>
    </row>
    <row r="3207" spans="7:21" x14ac:dyDescent="0.2">
      <c r="G3207" s="8"/>
      <c r="H3207" s="5"/>
      <c r="J3207" s="10" t="str">
        <f t="shared" si="486"/>
        <v/>
      </c>
      <c r="K3207" s="10" t="str">
        <f t="shared" si="487"/>
        <v/>
      </c>
      <c r="L3207" s="11" t="str">
        <f t="shared" si="489"/>
        <v/>
      </c>
      <c r="M3207" s="9" t="str">
        <f>IF(G3207&lt;&gt;"",J3207/MAX(J$3:J3207)-1,"")</f>
        <v/>
      </c>
      <c r="N3207" s="9" t="str">
        <f>IF(G3207&lt;&gt;"",K3207/MAX(K$3:K3207)-1,"")</f>
        <v/>
      </c>
      <c r="O3207" s="16" t="str">
        <f t="shared" si="485"/>
        <v/>
      </c>
      <c r="P3207" s="16" t="str">
        <f t="shared" si="485"/>
        <v/>
      </c>
      <c r="Q3207" s="16" t="str">
        <f t="shared" si="485"/>
        <v/>
      </c>
      <c r="R3207" s="5" t="str">
        <f t="shared" si="484"/>
        <v/>
      </c>
      <c r="S3207" s="5" t="str">
        <f t="shared" si="488"/>
        <v/>
      </c>
      <c r="T3207" s="5" t="str">
        <f t="shared" si="483"/>
        <v/>
      </c>
      <c r="U3207" s="5" t="str">
        <f t="shared" si="483"/>
        <v/>
      </c>
    </row>
    <row r="3208" spans="7:21" x14ac:dyDescent="0.2">
      <c r="G3208" s="8"/>
      <c r="H3208" s="5"/>
      <c r="J3208" s="10" t="str">
        <f t="shared" si="486"/>
        <v/>
      </c>
      <c r="K3208" s="10" t="str">
        <f t="shared" si="487"/>
        <v/>
      </c>
      <c r="L3208" s="11" t="str">
        <f t="shared" si="489"/>
        <v/>
      </c>
      <c r="M3208" s="9" t="str">
        <f>IF(G3208&lt;&gt;"",J3208/MAX(J$3:J3208)-1,"")</f>
        <v/>
      </c>
      <c r="N3208" s="9" t="str">
        <f>IF(G3208&lt;&gt;"",K3208/MAX(K$3:K3208)-1,"")</f>
        <v/>
      </c>
      <c r="O3208" s="16" t="str">
        <f t="shared" si="485"/>
        <v/>
      </c>
      <c r="P3208" s="16" t="str">
        <f t="shared" si="485"/>
        <v/>
      </c>
      <c r="Q3208" s="16" t="str">
        <f t="shared" si="485"/>
        <v/>
      </c>
      <c r="R3208" s="5" t="str">
        <f t="shared" si="484"/>
        <v/>
      </c>
      <c r="S3208" s="5" t="str">
        <f t="shared" si="488"/>
        <v/>
      </c>
      <c r="T3208" s="5" t="str">
        <f t="shared" ref="T3208:U3223" si="490">IF($G3208&lt;&gt;"",_xlfn.STDEV.S(O2964:O3208),"")</f>
        <v/>
      </c>
      <c r="U3208" s="5" t="str">
        <f t="shared" si="490"/>
        <v/>
      </c>
    </row>
    <row r="3209" spans="7:21" x14ac:dyDescent="0.2">
      <c r="G3209" s="8"/>
      <c r="H3209" s="5"/>
      <c r="J3209" s="10" t="str">
        <f t="shared" si="486"/>
        <v/>
      </c>
      <c r="K3209" s="10" t="str">
        <f t="shared" si="487"/>
        <v/>
      </c>
      <c r="L3209" s="11" t="str">
        <f t="shared" si="489"/>
        <v/>
      </c>
      <c r="M3209" s="9" t="str">
        <f>IF(G3209&lt;&gt;"",J3209/MAX(J$3:J3209)-1,"")</f>
        <v/>
      </c>
      <c r="N3209" s="9" t="str">
        <f>IF(G3209&lt;&gt;"",K3209/MAX(K$3:K3209)-1,"")</f>
        <v/>
      </c>
      <c r="O3209" s="16" t="str">
        <f t="shared" si="485"/>
        <v/>
      </c>
      <c r="P3209" s="16" t="str">
        <f t="shared" si="485"/>
        <v/>
      </c>
      <c r="Q3209" s="16" t="str">
        <f t="shared" si="485"/>
        <v/>
      </c>
      <c r="R3209" s="5" t="str">
        <f t="shared" si="484"/>
        <v/>
      </c>
      <c r="S3209" s="5" t="str">
        <f t="shared" si="488"/>
        <v/>
      </c>
      <c r="T3209" s="5" t="str">
        <f t="shared" si="490"/>
        <v/>
      </c>
      <c r="U3209" s="5" t="str">
        <f t="shared" si="490"/>
        <v/>
      </c>
    </row>
    <row r="3210" spans="7:21" x14ac:dyDescent="0.2">
      <c r="G3210" s="8"/>
      <c r="H3210" s="5"/>
      <c r="J3210" s="10" t="str">
        <f t="shared" si="486"/>
        <v/>
      </c>
      <c r="K3210" s="10" t="str">
        <f t="shared" si="487"/>
        <v/>
      </c>
      <c r="L3210" s="11" t="str">
        <f t="shared" si="489"/>
        <v/>
      </c>
      <c r="M3210" s="9" t="str">
        <f>IF(G3210&lt;&gt;"",J3210/MAX(J$3:J3210)-1,"")</f>
        <v/>
      </c>
      <c r="N3210" s="9" t="str">
        <f>IF(G3210&lt;&gt;"",K3210/MAX(K$3:K3210)-1,"")</f>
        <v/>
      </c>
      <c r="O3210" s="16" t="str">
        <f t="shared" si="485"/>
        <v/>
      </c>
      <c r="P3210" s="16" t="str">
        <f t="shared" si="485"/>
        <v/>
      </c>
      <c r="Q3210" s="16" t="str">
        <f t="shared" si="485"/>
        <v/>
      </c>
      <c r="R3210" s="5" t="str">
        <f t="shared" si="484"/>
        <v/>
      </c>
      <c r="S3210" s="5" t="str">
        <f t="shared" si="488"/>
        <v/>
      </c>
      <c r="T3210" s="5" t="str">
        <f t="shared" si="490"/>
        <v/>
      </c>
      <c r="U3210" s="5" t="str">
        <f t="shared" si="490"/>
        <v/>
      </c>
    </row>
    <row r="3211" spans="7:21" x14ac:dyDescent="0.2">
      <c r="G3211" s="8"/>
      <c r="H3211" s="5"/>
      <c r="J3211" s="10" t="str">
        <f t="shared" si="486"/>
        <v/>
      </c>
      <c r="K3211" s="10" t="str">
        <f t="shared" si="487"/>
        <v/>
      </c>
      <c r="L3211" s="11" t="str">
        <f t="shared" si="489"/>
        <v/>
      </c>
      <c r="M3211" s="9" t="str">
        <f>IF(G3211&lt;&gt;"",J3211/MAX(J$3:J3211)-1,"")</f>
        <v/>
      </c>
      <c r="N3211" s="9" t="str">
        <f>IF(G3211&lt;&gt;"",K3211/MAX(K$3:K3211)-1,"")</f>
        <v/>
      </c>
      <c r="O3211" s="16" t="str">
        <f t="shared" si="485"/>
        <v/>
      </c>
      <c r="P3211" s="16" t="str">
        <f t="shared" si="485"/>
        <v/>
      </c>
      <c r="Q3211" s="16" t="str">
        <f t="shared" si="485"/>
        <v/>
      </c>
      <c r="R3211" s="5" t="str">
        <f t="shared" si="484"/>
        <v/>
      </c>
      <c r="S3211" s="5" t="str">
        <f t="shared" si="488"/>
        <v/>
      </c>
      <c r="T3211" s="5" t="str">
        <f t="shared" si="490"/>
        <v/>
      </c>
      <c r="U3211" s="5" t="str">
        <f t="shared" si="490"/>
        <v/>
      </c>
    </row>
    <row r="3212" spans="7:21" x14ac:dyDescent="0.2">
      <c r="G3212" s="8"/>
      <c r="H3212" s="5"/>
      <c r="J3212" s="10" t="str">
        <f t="shared" si="486"/>
        <v/>
      </c>
      <c r="K3212" s="10" t="str">
        <f t="shared" si="487"/>
        <v/>
      </c>
      <c r="L3212" s="11" t="str">
        <f t="shared" si="489"/>
        <v/>
      </c>
      <c r="M3212" s="9" t="str">
        <f>IF(G3212&lt;&gt;"",J3212/MAX(J$3:J3212)-1,"")</f>
        <v/>
      </c>
      <c r="N3212" s="9" t="str">
        <f>IF(G3212&lt;&gt;"",K3212/MAX(K$3:K3212)-1,"")</f>
        <v/>
      </c>
      <c r="O3212" s="16" t="str">
        <f t="shared" si="485"/>
        <v/>
      </c>
      <c r="P3212" s="16" t="str">
        <f t="shared" si="485"/>
        <v/>
      </c>
      <c r="Q3212" s="16" t="str">
        <f t="shared" si="485"/>
        <v/>
      </c>
      <c r="R3212" s="5" t="str">
        <f t="shared" si="484"/>
        <v/>
      </c>
      <c r="S3212" s="5" t="str">
        <f t="shared" si="488"/>
        <v/>
      </c>
      <c r="T3212" s="5" t="str">
        <f t="shared" si="490"/>
        <v/>
      </c>
      <c r="U3212" s="5" t="str">
        <f t="shared" si="490"/>
        <v/>
      </c>
    </row>
    <row r="3213" spans="7:21" x14ac:dyDescent="0.2">
      <c r="G3213" s="8"/>
      <c r="H3213" s="5"/>
      <c r="J3213" s="10" t="str">
        <f t="shared" si="486"/>
        <v/>
      </c>
      <c r="K3213" s="10" t="str">
        <f t="shared" si="487"/>
        <v/>
      </c>
      <c r="L3213" s="11" t="str">
        <f t="shared" si="489"/>
        <v/>
      </c>
      <c r="M3213" s="9" t="str">
        <f>IF(G3213&lt;&gt;"",J3213/MAX(J$3:J3213)-1,"")</f>
        <v/>
      </c>
      <c r="N3213" s="9" t="str">
        <f>IF(G3213&lt;&gt;"",K3213/MAX(K$3:K3213)-1,"")</f>
        <v/>
      </c>
      <c r="O3213" s="16" t="str">
        <f t="shared" si="485"/>
        <v/>
      </c>
      <c r="P3213" s="16" t="str">
        <f t="shared" si="485"/>
        <v/>
      </c>
      <c r="Q3213" s="16" t="str">
        <f t="shared" si="485"/>
        <v/>
      </c>
      <c r="R3213" s="5" t="str">
        <f t="shared" si="484"/>
        <v/>
      </c>
      <c r="S3213" s="5" t="str">
        <f t="shared" si="488"/>
        <v/>
      </c>
      <c r="T3213" s="5" t="str">
        <f t="shared" si="490"/>
        <v/>
      </c>
      <c r="U3213" s="5" t="str">
        <f t="shared" si="490"/>
        <v/>
      </c>
    </row>
    <row r="3214" spans="7:21" x14ac:dyDescent="0.2">
      <c r="G3214" s="8"/>
      <c r="H3214" s="5"/>
      <c r="J3214" s="10" t="str">
        <f t="shared" si="486"/>
        <v/>
      </c>
      <c r="K3214" s="10" t="str">
        <f t="shared" si="487"/>
        <v/>
      </c>
      <c r="L3214" s="11" t="str">
        <f t="shared" si="489"/>
        <v/>
      </c>
      <c r="M3214" s="9" t="str">
        <f>IF(G3214&lt;&gt;"",J3214/MAX(J$3:J3214)-1,"")</f>
        <v/>
      </c>
      <c r="N3214" s="9" t="str">
        <f>IF(G3214&lt;&gt;"",K3214/MAX(K$3:K3214)-1,"")</f>
        <v/>
      </c>
      <c r="O3214" s="16" t="str">
        <f t="shared" si="485"/>
        <v/>
      </c>
      <c r="P3214" s="16" t="str">
        <f t="shared" si="485"/>
        <v/>
      </c>
      <c r="Q3214" s="16" t="str">
        <f t="shared" si="485"/>
        <v/>
      </c>
      <c r="R3214" s="5" t="str">
        <f t="shared" si="484"/>
        <v/>
      </c>
      <c r="S3214" s="5" t="str">
        <f t="shared" si="488"/>
        <v/>
      </c>
      <c r="T3214" s="5" t="str">
        <f t="shared" si="490"/>
        <v/>
      </c>
      <c r="U3214" s="5" t="str">
        <f t="shared" si="490"/>
        <v/>
      </c>
    </row>
    <row r="3215" spans="7:21" x14ac:dyDescent="0.2">
      <c r="G3215" s="8"/>
      <c r="H3215" s="5"/>
      <c r="J3215" s="10" t="str">
        <f t="shared" si="486"/>
        <v/>
      </c>
      <c r="K3215" s="10" t="str">
        <f t="shared" si="487"/>
        <v/>
      </c>
      <c r="L3215" s="11" t="str">
        <f t="shared" si="489"/>
        <v/>
      </c>
      <c r="M3215" s="9" t="str">
        <f>IF(G3215&lt;&gt;"",J3215/MAX(J$3:J3215)-1,"")</f>
        <v/>
      </c>
      <c r="N3215" s="9" t="str">
        <f>IF(G3215&lt;&gt;"",K3215/MAX(K$3:K3215)-1,"")</f>
        <v/>
      </c>
      <c r="O3215" s="16" t="str">
        <f t="shared" si="485"/>
        <v/>
      </c>
      <c r="P3215" s="16" t="str">
        <f t="shared" si="485"/>
        <v/>
      </c>
      <c r="Q3215" s="16" t="str">
        <f t="shared" si="485"/>
        <v/>
      </c>
      <c r="R3215" s="5" t="str">
        <f t="shared" si="484"/>
        <v/>
      </c>
      <c r="S3215" s="5" t="str">
        <f t="shared" si="488"/>
        <v/>
      </c>
      <c r="T3215" s="5" t="str">
        <f t="shared" si="490"/>
        <v/>
      </c>
      <c r="U3215" s="5" t="str">
        <f t="shared" si="490"/>
        <v/>
      </c>
    </row>
    <row r="3216" spans="7:21" x14ac:dyDescent="0.2">
      <c r="G3216" s="8"/>
      <c r="H3216" s="5"/>
      <c r="J3216" s="10" t="str">
        <f t="shared" si="486"/>
        <v/>
      </c>
      <c r="K3216" s="10" t="str">
        <f t="shared" si="487"/>
        <v/>
      </c>
      <c r="L3216" s="11" t="str">
        <f t="shared" si="489"/>
        <v/>
      </c>
      <c r="M3216" s="9" t="str">
        <f>IF(G3216&lt;&gt;"",J3216/MAX(J$3:J3216)-1,"")</f>
        <v/>
      </c>
      <c r="N3216" s="9" t="str">
        <f>IF(G3216&lt;&gt;"",K3216/MAX(K$3:K3216)-1,"")</f>
        <v/>
      </c>
      <c r="O3216" s="16" t="str">
        <f t="shared" si="485"/>
        <v/>
      </c>
      <c r="P3216" s="16" t="str">
        <f t="shared" si="485"/>
        <v/>
      </c>
      <c r="Q3216" s="16" t="str">
        <f t="shared" si="485"/>
        <v/>
      </c>
      <c r="R3216" s="5" t="str">
        <f t="shared" si="484"/>
        <v/>
      </c>
      <c r="S3216" s="5" t="str">
        <f t="shared" si="488"/>
        <v/>
      </c>
      <c r="T3216" s="5" t="str">
        <f t="shared" si="490"/>
        <v/>
      </c>
      <c r="U3216" s="5" t="str">
        <f t="shared" si="490"/>
        <v/>
      </c>
    </row>
    <row r="3217" spans="7:21" x14ac:dyDescent="0.2">
      <c r="G3217" s="8"/>
      <c r="H3217" s="5"/>
      <c r="J3217" s="10" t="str">
        <f t="shared" si="486"/>
        <v/>
      </c>
      <c r="K3217" s="10" t="str">
        <f t="shared" si="487"/>
        <v/>
      </c>
      <c r="L3217" s="11" t="str">
        <f t="shared" si="489"/>
        <v/>
      </c>
      <c r="M3217" s="9" t="str">
        <f>IF(G3217&lt;&gt;"",J3217/MAX(J$3:J3217)-1,"")</f>
        <v/>
      </c>
      <c r="N3217" s="9" t="str">
        <f>IF(G3217&lt;&gt;"",K3217/MAX(K$3:K3217)-1,"")</f>
        <v/>
      </c>
      <c r="O3217" s="16" t="str">
        <f t="shared" si="485"/>
        <v/>
      </c>
      <c r="P3217" s="16" t="str">
        <f t="shared" si="485"/>
        <v/>
      </c>
      <c r="Q3217" s="16" t="str">
        <f t="shared" si="485"/>
        <v/>
      </c>
      <c r="R3217" s="5" t="str">
        <f t="shared" si="484"/>
        <v/>
      </c>
      <c r="S3217" s="5" t="str">
        <f t="shared" si="488"/>
        <v/>
      </c>
      <c r="T3217" s="5" t="str">
        <f t="shared" si="490"/>
        <v/>
      </c>
      <c r="U3217" s="5" t="str">
        <f t="shared" si="490"/>
        <v/>
      </c>
    </row>
    <row r="3218" spans="7:21" x14ac:dyDescent="0.2">
      <c r="G3218" s="8"/>
      <c r="H3218" s="5"/>
      <c r="J3218" s="10" t="str">
        <f t="shared" si="486"/>
        <v/>
      </c>
      <c r="K3218" s="10" t="str">
        <f t="shared" si="487"/>
        <v/>
      </c>
      <c r="L3218" s="11" t="str">
        <f t="shared" si="489"/>
        <v/>
      </c>
      <c r="M3218" s="9" t="str">
        <f>IF(G3218&lt;&gt;"",J3218/MAX(J$3:J3218)-1,"")</f>
        <v/>
      </c>
      <c r="N3218" s="9" t="str">
        <f>IF(G3218&lt;&gt;"",K3218/MAX(K$3:K3218)-1,"")</f>
        <v/>
      </c>
      <c r="O3218" s="16" t="str">
        <f t="shared" si="485"/>
        <v/>
      </c>
      <c r="P3218" s="16" t="str">
        <f t="shared" si="485"/>
        <v/>
      </c>
      <c r="Q3218" s="16" t="str">
        <f t="shared" si="485"/>
        <v/>
      </c>
      <c r="R3218" s="5" t="str">
        <f t="shared" si="484"/>
        <v/>
      </c>
      <c r="S3218" s="5" t="str">
        <f t="shared" si="488"/>
        <v/>
      </c>
      <c r="T3218" s="5" t="str">
        <f t="shared" si="490"/>
        <v/>
      </c>
      <c r="U3218" s="5" t="str">
        <f t="shared" si="490"/>
        <v/>
      </c>
    </row>
    <row r="3219" spans="7:21" x14ac:dyDescent="0.2">
      <c r="G3219" s="8"/>
      <c r="H3219" s="5"/>
      <c r="J3219" s="10" t="str">
        <f t="shared" si="486"/>
        <v/>
      </c>
      <c r="K3219" s="10" t="str">
        <f t="shared" si="487"/>
        <v/>
      </c>
      <c r="L3219" s="11" t="str">
        <f t="shared" si="489"/>
        <v/>
      </c>
      <c r="M3219" s="9" t="str">
        <f>IF(G3219&lt;&gt;"",J3219/MAX(J$3:J3219)-1,"")</f>
        <v/>
      </c>
      <c r="N3219" s="9" t="str">
        <f>IF(G3219&lt;&gt;"",K3219/MAX(K$3:K3219)-1,"")</f>
        <v/>
      </c>
      <c r="O3219" s="16" t="str">
        <f t="shared" si="485"/>
        <v/>
      </c>
      <c r="P3219" s="16" t="str">
        <f t="shared" si="485"/>
        <v/>
      </c>
      <c r="Q3219" s="16" t="str">
        <f t="shared" si="485"/>
        <v/>
      </c>
      <c r="R3219" s="5" t="str">
        <f t="shared" si="484"/>
        <v/>
      </c>
      <c r="S3219" s="5" t="str">
        <f t="shared" si="488"/>
        <v/>
      </c>
      <c r="T3219" s="5" t="str">
        <f t="shared" si="490"/>
        <v/>
      </c>
      <c r="U3219" s="5" t="str">
        <f t="shared" si="490"/>
        <v/>
      </c>
    </row>
    <row r="3220" spans="7:21" x14ac:dyDescent="0.2">
      <c r="G3220" s="8"/>
      <c r="H3220" s="5"/>
      <c r="J3220" s="10" t="str">
        <f t="shared" si="486"/>
        <v/>
      </c>
      <c r="K3220" s="10" t="str">
        <f t="shared" si="487"/>
        <v/>
      </c>
      <c r="L3220" s="11" t="str">
        <f t="shared" si="489"/>
        <v/>
      </c>
      <c r="M3220" s="9" t="str">
        <f>IF(G3220&lt;&gt;"",J3220/MAX(J$3:J3220)-1,"")</f>
        <v/>
      </c>
      <c r="N3220" s="9" t="str">
        <f>IF(G3220&lt;&gt;"",K3220/MAX(K$3:K3220)-1,"")</f>
        <v/>
      </c>
      <c r="O3220" s="16" t="str">
        <f t="shared" si="485"/>
        <v/>
      </c>
      <c r="P3220" s="16" t="str">
        <f t="shared" si="485"/>
        <v/>
      </c>
      <c r="Q3220" s="16" t="str">
        <f t="shared" si="485"/>
        <v/>
      </c>
      <c r="R3220" s="5" t="str">
        <f t="shared" si="484"/>
        <v/>
      </c>
      <c r="S3220" s="5" t="str">
        <f t="shared" si="488"/>
        <v/>
      </c>
      <c r="T3220" s="5" t="str">
        <f t="shared" si="490"/>
        <v/>
      </c>
      <c r="U3220" s="5" t="str">
        <f t="shared" si="490"/>
        <v/>
      </c>
    </row>
    <row r="3221" spans="7:21" x14ac:dyDescent="0.2">
      <c r="G3221" s="8"/>
      <c r="H3221" s="5"/>
      <c r="J3221" s="10" t="str">
        <f t="shared" si="486"/>
        <v/>
      </c>
      <c r="K3221" s="10" t="str">
        <f t="shared" si="487"/>
        <v/>
      </c>
      <c r="L3221" s="11" t="str">
        <f t="shared" si="489"/>
        <v/>
      </c>
      <c r="M3221" s="9" t="str">
        <f>IF(G3221&lt;&gt;"",J3221/MAX(J$3:J3221)-1,"")</f>
        <v/>
      </c>
      <c r="N3221" s="9" t="str">
        <f>IF(G3221&lt;&gt;"",K3221/MAX(K$3:K3221)-1,"")</f>
        <v/>
      </c>
      <c r="O3221" s="16" t="str">
        <f t="shared" si="485"/>
        <v/>
      </c>
      <c r="P3221" s="16" t="str">
        <f t="shared" si="485"/>
        <v/>
      </c>
      <c r="Q3221" s="16" t="str">
        <f t="shared" si="485"/>
        <v/>
      </c>
      <c r="R3221" s="5" t="str">
        <f t="shared" si="484"/>
        <v/>
      </c>
      <c r="S3221" s="5" t="str">
        <f t="shared" si="488"/>
        <v/>
      </c>
      <c r="T3221" s="5" t="str">
        <f t="shared" si="490"/>
        <v/>
      </c>
      <c r="U3221" s="5" t="str">
        <f t="shared" si="490"/>
        <v/>
      </c>
    </row>
    <row r="3222" spans="7:21" x14ac:dyDescent="0.2">
      <c r="G3222" s="8"/>
      <c r="H3222" s="5"/>
      <c r="J3222" s="10" t="str">
        <f t="shared" si="486"/>
        <v/>
      </c>
      <c r="K3222" s="10" t="str">
        <f t="shared" si="487"/>
        <v/>
      </c>
      <c r="L3222" s="11" t="str">
        <f t="shared" si="489"/>
        <v/>
      </c>
      <c r="M3222" s="9" t="str">
        <f>IF(G3222&lt;&gt;"",J3222/MAX(J$3:J3222)-1,"")</f>
        <v/>
      </c>
      <c r="N3222" s="9" t="str">
        <f>IF(G3222&lt;&gt;"",K3222/MAX(K$3:K3222)-1,"")</f>
        <v/>
      </c>
      <c r="O3222" s="16" t="str">
        <f t="shared" si="485"/>
        <v/>
      </c>
      <c r="P3222" s="16" t="str">
        <f t="shared" si="485"/>
        <v/>
      </c>
      <c r="Q3222" s="16" t="str">
        <f t="shared" si="485"/>
        <v/>
      </c>
      <c r="R3222" s="5" t="str">
        <f t="shared" si="484"/>
        <v/>
      </c>
      <c r="S3222" s="5" t="str">
        <f t="shared" si="488"/>
        <v/>
      </c>
      <c r="T3222" s="5" t="str">
        <f t="shared" si="490"/>
        <v/>
      </c>
      <c r="U3222" s="5" t="str">
        <f t="shared" si="490"/>
        <v/>
      </c>
    </row>
    <row r="3223" spans="7:21" x14ac:dyDescent="0.2">
      <c r="G3223" s="8"/>
      <c r="H3223" s="5"/>
      <c r="J3223" s="10" t="str">
        <f t="shared" si="486"/>
        <v/>
      </c>
      <c r="K3223" s="10" t="str">
        <f t="shared" si="487"/>
        <v/>
      </c>
      <c r="L3223" s="11" t="str">
        <f t="shared" si="489"/>
        <v/>
      </c>
      <c r="M3223" s="9" t="str">
        <f>IF(G3223&lt;&gt;"",J3223/MAX(J$3:J3223)-1,"")</f>
        <v/>
      </c>
      <c r="N3223" s="9" t="str">
        <f>IF(G3223&lt;&gt;"",K3223/MAX(K$3:K3223)-1,"")</f>
        <v/>
      </c>
      <c r="O3223" s="16" t="str">
        <f t="shared" si="485"/>
        <v/>
      </c>
      <c r="P3223" s="16" t="str">
        <f t="shared" si="485"/>
        <v/>
      </c>
      <c r="Q3223" s="16" t="str">
        <f t="shared" si="485"/>
        <v/>
      </c>
      <c r="R3223" s="5" t="str">
        <f t="shared" si="484"/>
        <v/>
      </c>
      <c r="S3223" s="5" t="str">
        <f t="shared" si="488"/>
        <v/>
      </c>
      <c r="T3223" s="5" t="str">
        <f t="shared" si="490"/>
        <v/>
      </c>
      <c r="U3223" s="5" t="str">
        <f t="shared" si="490"/>
        <v/>
      </c>
    </row>
    <row r="3224" spans="7:21" x14ac:dyDescent="0.2">
      <c r="G3224" s="8"/>
      <c r="H3224" s="5"/>
      <c r="J3224" s="10" t="str">
        <f t="shared" si="486"/>
        <v/>
      </c>
      <c r="K3224" s="10" t="str">
        <f t="shared" si="487"/>
        <v/>
      </c>
      <c r="L3224" s="11" t="str">
        <f t="shared" si="489"/>
        <v/>
      </c>
      <c r="M3224" s="9" t="str">
        <f>IF(G3224&lt;&gt;"",J3224/MAX(J$3:J3224)-1,"")</f>
        <v/>
      </c>
      <c r="N3224" s="9" t="str">
        <f>IF(G3224&lt;&gt;"",K3224/MAX(K$3:K3224)-1,"")</f>
        <v/>
      </c>
      <c r="O3224" s="16" t="str">
        <f t="shared" si="485"/>
        <v/>
      </c>
      <c r="P3224" s="16" t="str">
        <f t="shared" si="485"/>
        <v/>
      </c>
      <c r="Q3224" s="16" t="str">
        <f t="shared" si="485"/>
        <v/>
      </c>
      <c r="R3224" s="5" t="str">
        <f t="shared" si="484"/>
        <v/>
      </c>
      <c r="S3224" s="5" t="str">
        <f t="shared" si="488"/>
        <v/>
      </c>
      <c r="T3224" s="5" t="str">
        <f t="shared" ref="T3224:U3239" si="491">IF($G3224&lt;&gt;"",_xlfn.STDEV.S(O2980:O3224),"")</f>
        <v/>
      </c>
      <c r="U3224" s="5" t="str">
        <f t="shared" si="491"/>
        <v/>
      </c>
    </row>
    <row r="3225" spans="7:21" x14ac:dyDescent="0.2">
      <c r="G3225" s="8"/>
      <c r="H3225" s="5"/>
      <c r="J3225" s="10" t="str">
        <f t="shared" si="486"/>
        <v/>
      </c>
      <c r="K3225" s="10" t="str">
        <f t="shared" si="487"/>
        <v/>
      </c>
      <c r="L3225" s="11" t="str">
        <f t="shared" si="489"/>
        <v/>
      </c>
      <c r="M3225" s="9" t="str">
        <f>IF(G3225&lt;&gt;"",J3225/MAX(J$3:J3225)-1,"")</f>
        <v/>
      </c>
      <c r="N3225" s="9" t="str">
        <f>IF(G3225&lt;&gt;"",K3225/MAX(K$3:K3225)-1,"")</f>
        <v/>
      </c>
      <c r="O3225" s="16" t="str">
        <f t="shared" si="485"/>
        <v/>
      </c>
      <c r="P3225" s="16" t="str">
        <f t="shared" si="485"/>
        <v/>
      </c>
      <c r="Q3225" s="16" t="str">
        <f t="shared" si="485"/>
        <v/>
      </c>
      <c r="R3225" s="5" t="str">
        <f t="shared" si="484"/>
        <v/>
      </c>
      <c r="S3225" s="5" t="str">
        <f t="shared" si="488"/>
        <v/>
      </c>
      <c r="T3225" s="5" t="str">
        <f t="shared" si="491"/>
        <v/>
      </c>
      <c r="U3225" s="5" t="str">
        <f t="shared" si="491"/>
        <v/>
      </c>
    </row>
    <row r="3226" spans="7:21" x14ac:dyDescent="0.2">
      <c r="G3226" s="8"/>
      <c r="H3226" s="5"/>
      <c r="J3226" s="10" t="str">
        <f t="shared" si="486"/>
        <v/>
      </c>
      <c r="K3226" s="10" t="str">
        <f t="shared" si="487"/>
        <v/>
      </c>
      <c r="L3226" s="11" t="str">
        <f t="shared" si="489"/>
        <v/>
      </c>
      <c r="M3226" s="9" t="str">
        <f>IF(G3226&lt;&gt;"",J3226/MAX(J$3:J3226)-1,"")</f>
        <v/>
      </c>
      <c r="N3226" s="9" t="str">
        <f>IF(G3226&lt;&gt;"",K3226/MAX(K$3:K3226)-1,"")</f>
        <v/>
      </c>
      <c r="O3226" s="16" t="str">
        <f t="shared" si="485"/>
        <v/>
      </c>
      <c r="P3226" s="16" t="str">
        <f t="shared" si="485"/>
        <v/>
      </c>
      <c r="Q3226" s="16" t="str">
        <f t="shared" si="485"/>
        <v/>
      </c>
      <c r="R3226" s="5" t="str">
        <f t="shared" si="484"/>
        <v/>
      </c>
      <c r="S3226" s="5" t="str">
        <f t="shared" si="488"/>
        <v/>
      </c>
      <c r="T3226" s="5" t="str">
        <f t="shared" si="491"/>
        <v/>
      </c>
      <c r="U3226" s="5" t="str">
        <f t="shared" si="491"/>
        <v/>
      </c>
    </row>
    <row r="3227" spans="7:21" x14ac:dyDescent="0.2">
      <c r="G3227" s="8"/>
      <c r="H3227" s="5"/>
      <c r="J3227" s="10" t="str">
        <f t="shared" si="486"/>
        <v/>
      </c>
      <c r="K3227" s="10" t="str">
        <f t="shared" si="487"/>
        <v/>
      </c>
      <c r="L3227" s="11" t="str">
        <f t="shared" si="489"/>
        <v/>
      </c>
      <c r="M3227" s="9" t="str">
        <f>IF(G3227&lt;&gt;"",J3227/MAX(J$3:J3227)-1,"")</f>
        <v/>
      </c>
      <c r="N3227" s="9" t="str">
        <f>IF(G3227&lt;&gt;"",K3227/MAX(K$3:K3227)-1,"")</f>
        <v/>
      </c>
      <c r="O3227" s="16" t="str">
        <f t="shared" si="485"/>
        <v/>
      </c>
      <c r="P3227" s="16" t="str">
        <f t="shared" si="485"/>
        <v/>
      </c>
      <c r="Q3227" s="16" t="str">
        <f t="shared" si="485"/>
        <v/>
      </c>
      <c r="R3227" s="5" t="str">
        <f t="shared" si="484"/>
        <v/>
      </c>
      <c r="S3227" s="5" t="str">
        <f t="shared" si="488"/>
        <v/>
      </c>
      <c r="T3227" s="5" t="str">
        <f t="shared" si="491"/>
        <v/>
      </c>
      <c r="U3227" s="5" t="str">
        <f t="shared" si="491"/>
        <v/>
      </c>
    </row>
    <row r="3228" spans="7:21" x14ac:dyDescent="0.2">
      <c r="G3228" s="8"/>
      <c r="H3228" s="5"/>
      <c r="J3228" s="10" t="str">
        <f t="shared" si="486"/>
        <v/>
      </c>
      <c r="K3228" s="10" t="str">
        <f t="shared" si="487"/>
        <v/>
      </c>
      <c r="L3228" s="11" t="str">
        <f t="shared" si="489"/>
        <v/>
      </c>
      <c r="M3228" s="9" t="str">
        <f>IF(G3228&lt;&gt;"",J3228/MAX(J$3:J3228)-1,"")</f>
        <v/>
      </c>
      <c r="N3228" s="9" t="str">
        <f>IF(G3228&lt;&gt;"",K3228/MAX(K$3:K3228)-1,"")</f>
        <v/>
      </c>
      <c r="O3228" s="16" t="str">
        <f t="shared" si="485"/>
        <v/>
      </c>
      <c r="P3228" s="16" t="str">
        <f t="shared" si="485"/>
        <v/>
      </c>
      <c r="Q3228" s="16" t="str">
        <f t="shared" si="485"/>
        <v/>
      </c>
      <c r="R3228" s="5" t="str">
        <f t="shared" si="484"/>
        <v/>
      </c>
      <c r="S3228" s="5" t="str">
        <f t="shared" si="488"/>
        <v/>
      </c>
      <c r="T3228" s="5" t="str">
        <f t="shared" si="491"/>
        <v/>
      </c>
      <c r="U3228" s="5" t="str">
        <f t="shared" si="491"/>
        <v/>
      </c>
    </row>
    <row r="3229" spans="7:21" x14ac:dyDescent="0.2">
      <c r="G3229" s="8"/>
      <c r="H3229" s="5"/>
      <c r="J3229" s="10" t="str">
        <f t="shared" si="486"/>
        <v/>
      </c>
      <c r="K3229" s="10" t="str">
        <f t="shared" si="487"/>
        <v/>
      </c>
      <c r="L3229" s="11" t="str">
        <f t="shared" si="489"/>
        <v/>
      </c>
      <c r="M3229" s="9" t="str">
        <f>IF(G3229&lt;&gt;"",J3229/MAX(J$3:J3229)-1,"")</f>
        <v/>
      </c>
      <c r="N3229" s="9" t="str">
        <f>IF(G3229&lt;&gt;"",K3229/MAX(K$3:K3229)-1,"")</f>
        <v/>
      </c>
      <c r="O3229" s="16" t="str">
        <f t="shared" si="485"/>
        <v/>
      </c>
      <c r="P3229" s="16" t="str">
        <f t="shared" si="485"/>
        <v/>
      </c>
      <c r="Q3229" s="16" t="str">
        <f t="shared" si="485"/>
        <v/>
      </c>
      <c r="R3229" s="5" t="str">
        <f t="shared" si="484"/>
        <v/>
      </c>
      <c r="S3229" s="5" t="str">
        <f t="shared" si="488"/>
        <v/>
      </c>
      <c r="T3229" s="5" t="str">
        <f t="shared" si="491"/>
        <v/>
      </c>
      <c r="U3229" s="5" t="str">
        <f t="shared" si="491"/>
        <v/>
      </c>
    </row>
    <row r="3230" spans="7:21" x14ac:dyDescent="0.2">
      <c r="G3230" s="8"/>
      <c r="H3230" s="5"/>
      <c r="J3230" s="10" t="str">
        <f t="shared" si="486"/>
        <v/>
      </c>
      <c r="K3230" s="10" t="str">
        <f t="shared" si="487"/>
        <v/>
      </c>
      <c r="L3230" s="11" t="str">
        <f t="shared" si="489"/>
        <v/>
      </c>
      <c r="M3230" s="9" t="str">
        <f>IF(G3230&lt;&gt;"",J3230/MAX(J$3:J3230)-1,"")</f>
        <v/>
      </c>
      <c r="N3230" s="9" t="str">
        <f>IF(G3230&lt;&gt;"",K3230/MAX(K$3:K3230)-1,"")</f>
        <v/>
      </c>
      <c r="O3230" s="16" t="str">
        <f t="shared" si="485"/>
        <v/>
      </c>
      <c r="P3230" s="16" t="str">
        <f t="shared" si="485"/>
        <v/>
      </c>
      <c r="Q3230" s="16" t="str">
        <f t="shared" si="485"/>
        <v/>
      </c>
      <c r="R3230" s="5" t="str">
        <f t="shared" si="484"/>
        <v/>
      </c>
      <c r="S3230" s="5" t="str">
        <f t="shared" si="488"/>
        <v/>
      </c>
      <c r="T3230" s="5" t="str">
        <f t="shared" si="491"/>
        <v/>
      </c>
      <c r="U3230" s="5" t="str">
        <f t="shared" si="491"/>
        <v/>
      </c>
    </row>
    <row r="3231" spans="7:21" x14ac:dyDescent="0.2">
      <c r="G3231" s="8"/>
      <c r="H3231" s="5"/>
      <c r="J3231" s="10" t="str">
        <f t="shared" si="486"/>
        <v/>
      </c>
      <c r="K3231" s="10" t="str">
        <f t="shared" si="487"/>
        <v/>
      </c>
      <c r="L3231" s="11" t="str">
        <f t="shared" si="489"/>
        <v/>
      </c>
      <c r="M3231" s="9" t="str">
        <f>IF(G3231&lt;&gt;"",J3231/MAX(J$3:J3231)-1,"")</f>
        <v/>
      </c>
      <c r="N3231" s="9" t="str">
        <f>IF(G3231&lt;&gt;"",K3231/MAX(K$3:K3231)-1,"")</f>
        <v/>
      </c>
      <c r="O3231" s="16" t="str">
        <f t="shared" si="485"/>
        <v/>
      </c>
      <c r="P3231" s="16" t="str">
        <f t="shared" si="485"/>
        <v/>
      </c>
      <c r="Q3231" s="16" t="str">
        <f t="shared" si="485"/>
        <v/>
      </c>
      <c r="R3231" s="5" t="str">
        <f t="shared" si="484"/>
        <v/>
      </c>
      <c r="S3231" s="5" t="str">
        <f t="shared" si="488"/>
        <v/>
      </c>
      <c r="T3231" s="5" t="str">
        <f t="shared" si="491"/>
        <v/>
      </c>
      <c r="U3231" s="5" t="str">
        <f t="shared" si="491"/>
        <v/>
      </c>
    </row>
    <row r="3232" spans="7:21" x14ac:dyDescent="0.2">
      <c r="G3232" s="8"/>
      <c r="H3232" s="5"/>
      <c r="J3232" s="10" t="str">
        <f t="shared" si="486"/>
        <v/>
      </c>
      <c r="K3232" s="10" t="str">
        <f t="shared" si="487"/>
        <v/>
      </c>
      <c r="L3232" s="11" t="str">
        <f t="shared" si="489"/>
        <v/>
      </c>
      <c r="M3232" s="9" t="str">
        <f>IF(G3232&lt;&gt;"",J3232/MAX(J$3:J3232)-1,"")</f>
        <v/>
      </c>
      <c r="N3232" s="9" t="str">
        <f>IF(G3232&lt;&gt;"",K3232/MAX(K$3:K3232)-1,"")</f>
        <v/>
      </c>
      <c r="O3232" s="16" t="str">
        <f t="shared" si="485"/>
        <v/>
      </c>
      <c r="P3232" s="16" t="str">
        <f t="shared" si="485"/>
        <v/>
      </c>
      <c r="Q3232" s="16" t="str">
        <f t="shared" si="485"/>
        <v/>
      </c>
      <c r="R3232" s="5" t="str">
        <f t="shared" si="484"/>
        <v/>
      </c>
      <c r="S3232" s="5" t="str">
        <f t="shared" si="488"/>
        <v/>
      </c>
      <c r="T3232" s="5" t="str">
        <f t="shared" si="491"/>
        <v/>
      </c>
      <c r="U3232" s="5" t="str">
        <f t="shared" si="491"/>
        <v/>
      </c>
    </row>
    <row r="3233" spans="7:21" x14ac:dyDescent="0.2">
      <c r="G3233" s="8"/>
      <c r="H3233" s="5"/>
      <c r="J3233" s="10" t="str">
        <f t="shared" si="486"/>
        <v/>
      </c>
      <c r="K3233" s="10" t="str">
        <f t="shared" si="487"/>
        <v/>
      </c>
      <c r="L3233" s="11" t="str">
        <f t="shared" si="489"/>
        <v/>
      </c>
      <c r="M3233" s="9" t="str">
        <f>IF(G3233&lt;&gt;"",J3233/MAX(J$3:J3233)-1,"")</f>
        <v/>
      </c>
      <c r="N3233" s="9" t="str">
        <f>IF(G3233&lt;&gt;"",K3233/MAX(K$3:K3233)-1,"")</f>
        <v/>
      </c>
      <c r="O3233" s="16" t="str">
        <f t="shared" si="485"/>
        <v/>
      </c>
      <c r="P3233" s="16" t="str">
        <f t="shared" si="485"/>
        <v/>
      </c>
      <c r="Q3233" s="16" t="str">
        <f t="shared" si="485"/>
        <v/>
      </c>
      <c r="R3233" s="5" t="str">
        <f t="shared" si="484"/>
        <v/>
      </c>
      <c r="S3233" s="5" t="str">
        <f t="shared" si="488"/>
        <v/>
      </c>
      <c r="T3233" s="5" t="str">
        <f t="shared" si="491"/>
        <v/>
      </c>
      <c r="U3233" s="5" t="str">
        <f t="shared" si="491"/>
        <v/>
      </c>
    </row>
    <row r="3234" spans="7:21" x14ac:dyDescent="0.2">
      <c r="G3234" s="8"/>
      <c r="H3234" s="5"/>
      <c r="J3234" s="10" t="str">
        <f t="shared" si="486"/>
        <v/>
      </c>
      <c r="K3234" s="10" t="str">
        <f t="shared" si="487"/>
        <v/>
      </c>
      <c r="L3234" s="11" t="str">
        <f t="shared" si="489"/>
        <v/>
      </c>
      <c r="M3234" s="9" t="str">
        <f>IF(G3234&lt;&gt;"",J3234/MAX(J$3:J3234)-1,"")</f>
        <v/>
      </c>
      <c r="N3234" s="9" t="str">
        <f>IF(G3234&lt;&gt;"",K3234/MAX(K$3:K3234)-1,"")</f>
        <v/>
      </c>
      <c r="O3234" s="16" t="str">
        <f t="shared" si="485"/>
        <v/>
      </c>
      <c r="P3234" s="16" t="str">
        <f t="shared" si="485"/>
        <v/>
      </c>
      <c r="Q3234" s="16" t="str">
        <f t="shared" si="485"/>
        <v/>
      </c>
      <c r="R3234" s="5" t="str">
        <f t="shared" si="484"/>
        <v/>
      </c>
      <c r="S3234" s="5" t="str">
        <f t="shared" si="488"/>
        <v/>
      </c>
      <c r="T3234" s="5" t="str">
        <f t="shared" si="491"/>
        <v/>
      </c>
      <c r="U3234" s="5" t="str">
        <f t="shared" si="491"/>
        <v/>
      </c>
    </row>
    <row r="3235" spans="7:21" x14ac:dyDescent="0.2">
      <c r="G3235" s="8"/>
      <c r="H3235" s="5"/>
      <c r="J3235" s="10" t="str">
        <f t="shared" si="486"/>
        <v/>
      </c>
      <c r="K3235" s="10" t="str">
        <f t="shared" si="487"/>
        <v/>
      </c>
      <c r="L3235" s="11" t="str">
        <f t="shared" si="489"/>
        <v/>
      </c>
      <c r="M3235" s="9" t="str">
        <f>IF(G3235&lt;&gt;"",J3235/MAX(J$3:J3235)-1,"")</f>
        <v/>
      </c>
      <c r="N3235" s="9" t="str">
        <f>IF(G3235&lt;&gt;"",K3235/MAX(K$3:K3235)-1,"")</f>
        <v/>
      </c>
      <c r="O3235" s="16" t="str">
        <f t="shared" si="485"/>
        <v/>
      </c>
      <c r="P3235" s="16" t="str">
        <f t="shared" si="485"/>
        <v/>
      </c>
      <c r="Q3235" s="16" t="str">
        <f t="shared" si="485"/>
        <v/>
      </c>
      <c r="R3235" s="5" t="str">
        <f t="shared" si="484"/>
        <v/>
      </c>
      <c r="S3235" s="5" t="str">
        <f t="shared" si="488"/>
        <v/>
      </c>
      <c r="T3235" s="5" t="str">
        <f t="shared" si="491"/>
        <v/>
      </c>
      <c r="U3235" s="5" t="str">
        <f t="shared" si="491"/>
        <v/>
      </c>
    </row>
    <row r="3236" spans="7:21" x14ac:dyDescent="0.2">
      <c r="G3236" s="8"/>
      <c r="H3236" s="5"/>
      <c r="J3236" s="10" t="str">
        <f t="shared" si="486"/>
        <v/>
      </c>
      <c r="K3236" s="10" t="str">
        <f t="shared" si="487"/>
        <v/>
      </c>
      <c r="L3236" s="11" t="str">
        <f t="shared" si="489"/>
        <v/>
      </c>
      <c r="M3236" s="9" t="str">
        <f>IF(G3236&lt;&gt;"",J3236/MAX(J$3:J3236)-1,"")</f>
        <v/>
      </c>
      <c r="N3236" s="9" t="str">
        <f>IF(G3236&lt;&gt;"",K3236/MAX(K$3:K3236)-1,"")</f>
        <v/>
      </c>
      <c r="O3236" s="16" t="str">
        <f t="shared" si="485"/>
        <v/>
      </c>
      <c r="P3236" s="16" t="str">
        <f t="shared" si="485"/>
        <v/>
      </c>
      <c r="Q3236" s="16" t="str">
        <f t="shared" si="485"/>
        <v/>
      </c>
      <c r="R3236" s="5" t="str">
        <f t="shared" si="484"/>
        <v/>
      </c>
      <c r="S3236" s="5" t="str">
        <f t="shared" si="488"/>
        <v/>
      </c>
      <c r="T3236" s="5" t="str">
        <f t="shared" si="491"/>
        <v/>
      </c>
      <c r="U3236" s="5" t="str">
        <f t="shared" si="491"/>
        <v/>
      </c>
    </row>
    <row r="3237" spans="7:21" x14ac:dyDescent="0.2">
      <c r="G3237" s="8"/>
      <c r="H3237" s="5"/>
      <c r="J3237" s="10" t="str">
        <f t="shared" si="486"/>
        <v/>
      </c>
      <c r="K3237" s="10" t="str">
        <f t="shared" si="487"/>
        <v/>
      </c>
      <c r="L3237" s="11" t="str">
        <f t="shared" si="489"/>
        <v/>
      </c>
      <c r="M3237" s="9" t="str">
        <f>IF(G3237&lt;&gt;"",J3237/MAX(J$3:J3237)-1,"")</f>
        <v/>
      </c>
      <c r="N3237" s="9" t="str">
        <f>IF(G3237&lt;&gt;"",K3237/MAX(K$3:K3237)-1,"")</f>
        <v/>
      </c>
      <c r="O3237" s="16" t="str">
        <f t="shared" si="485"/>
        <v/>
      </c>
      <c r="P3237" s="16" t="str">
        <f t="shared" si="485"/>
        <v/>
      </c>
      <c r="Q3237" s="16" t="str">
        <f t="shared" si="485"/>
        <v/>
      </c>
      <c r="R3237" s="5" t="str">
        <f t="shared" si="484"/>
        <v/>
      </c>
      <c r="S3237" s="5" t="str">
        <f t="shared" si="488"/>
        <v/>
      </c>
      <c r="T3237" s="5" t="str">
        <f t="shared" si="491"/>
        <v/>
      </c>
      <c r="U3237" s="5" t="str">
        <f t="shared" si="491"/>
        <v/>
      </c>
    </row>
    <row r="3238" spans="7:21" x14ac:dyDescent="0.2">
      <c r="G3238" s="8"/>
      <c r="H3238" s="5"/>
      <c r="J3238" s="10" t="str">
        <f t="shared" si="486"/>
        <v/>
      </c>
      <c r="K3238" s="10" t="str">
        <f t="shared" si="487"/>
        <v/>
      </c>
      <c r="L3238" s="11" t="str">
        <f t="shared" si="489"/>
        <v/>
      </c>
      <c r="M3238" s="9" t="str">
        <f>IF(G3238&lt;&gt;"",J3238/MAX(J$3:J3238)-1,"")</f>
        <v/>
      </c>
      <c r="N3238" s="9" t="str">
        <f>IF(G3238&lt;&gt;"",K3238/MAX(K$3:K3238)-1,"")</f>
        <v/>
      </c>
      <c r="O3238" s="16" t="str">
        <f t="shared" si="485"/>
        <v/>
      </c>
      <c r="P3238" s="16" t="str">
        <f t="shared" si="485"/>
        <v/>
      </c>
      <c r="Q3238" s="16" t="str">
        <f t="shared" si="485"/>
        <v/>
      </c>
      <c r="R3238" s="5" t="str">
        <f t="shared" si="484"/>
        <v/>
      </c>
      <c r="S3238" s="5" t="str">
        <f t="shared" si="488"/>
        <v/>
      </c>
      <c r="T3238" s="5" t="str">
        <f t="shared" si="491"/>
        <v/>
      </c>
      <c r="U3238" s="5" t="str">
        <f t="shared" si="491"/>
        <v/>
      </c>
    </row>
    <row r="3239" spans="7:21" x14ac:dyDescent="0.2">
      <c r="G3239" s="8"/>
      <c r="H3239" s="5"/>
      <c r="J3239" s="10" t="str">
        <f t="shared" si="486"/>
        <v/>
      </c>
      <c r="K3239" s="10" t="str">
        <f t="shared" si="487"/>
        <v/>
      </c>
      <c r="L3239" s="11" t="str">
        <f t="shared" si="489"/>
        <v/>
      </c>
      <c r="M3239" s="9" t="str">
        <f>IF(G3239&lt;&gt;"",J3239/MAX(J$3:J3239)-1,"")</f>
        <v/>
      </c>
      <c r="N3239" s="9" t="str">
        <f>IF(G3239&lt;&gt;"",K3239/MAX(K$3:K3239)-1,"")</f>
        <v/>
      </c>
      <c r="O3239" s="16" t="str">
        <f t="shared" si="485"/>
        <v/>
      </c>
      <c r="P3239" s="16" t="str">
        <f t="shared" si="485"/>
        <v/>
      </c>
      <c r="Q3239" s="16" t="str">
        <f t="shared" si="485"/>
        <v/>
      </c>
      <c r="R3239" s="5" t="str">
        <f t="shared" si="484"/>
        <v/>
      </c>
      <c r="S3239" s="5" t="str">
        <f t="shared" si="488"/>
        <v/>
      </c>
      <c r="T3239" s="5" t="str">
        <f t="shared" si="491"/>
        <v/>
      </c>
      <c r="U3239" s="5" t="str">
        <f t="shared" si="491"/>
        <v/>
      </c>
    </row>
    <row r="3240" spans="7:21" x14ac:dyDescent="0.2">
      <c r="G3240" s="8"/>
      <c r="H3240" s="5"/>
      <c r="J3240" s="10" t="str">
        <f t="shared" si="486"/>
        <v/>
      </c>
      <c r="K3240" s="10" t="str">
        <f t="shared" si="487"/>
        <v/>
      </c>
      <c r="L3240" s="11" t="str">
        <f t="shared" si="489"/>
        <v/>
      </c>
      <c r="M3240" s="9" t="str">
        <f>IF(G3240&lt;&gt;"",J3240/MAX(J$3:J3240)-1,"")</f>
        <v/>
      </c>
      <c r="N3240" s="9" t="str">
        <f>IF(G3240&lt;&gt;"",K3240/MAX(K$3:K3240)-1,"")</f>
        <v/>
      </c>
      <c r="O3240" s="16" t="str">
        <f t="shared" si="485"/>
        <v/>
      </c>
      <c r="P3240" s="16" t="str">
        <f t="shared" si="485"/>
        <v/>
      </c>
      <c r="Q3240" s="16" t="str">
        <f t="shared" si="485"/>
        <v/>
      </c>
      <c r="R3240" s="5" t="str">
        <f t="shared" si="484"/>
        <v/>
      </c>
      <c r="S3240" s="5" t="str">
        <f t="shared" si="488"/>
        <v/>
      </c>
      <c r="T3240" s="5" t="str">
        <f t="shared" ref="T3240:U3255" si="492">IF($G3240&lt;&gt;"",_xlfn.STDEV.S(O2996:O3240),"")</f>
        <v/>
      </c>
      <c r="U3240" s="5" t="str">
        <f t="shared" si="492"/>
        <v/>
      </c>
    </row>
    <row r="3241" spans="7:21" x14ac:dyDescent="0.2">
      <c r="G3241" s="8"/>
      <c r="H3241" s="5"/>
      <c r="J3241" s="10" t="str">
        <f t="shared" si="486"/>
        <v/>
      </c>
      <c r="K3241" s="10" t="str">
        <f t="shared" si="487"/>
        <v/>
      </c>
      <c r="L3241" s="11" t="str">
        <f t="shared" si="489"/>
        <v/>
      </c>
      <c r="M3241" s="9" t="str">
        <f>IF(G3241&lt;&gt;"",J3241/MAX(J$3:J3241)-1,"")</f>
        <v/>
      </c>
      <c r="N3241" s="9" t="str">
        <f>IF(G3241&lt;&gt;"",K3241/MAX(K$3:K3241)-1,"")</f>
        <v/>
      </c>
      <c r="O3241" s="16" t="str">
        <f t="shared" si="485"/>
        <v/>
      </c>
      <c r="P3241" s="16" t="str">
        <f t="shared" si="485"/>
        <v/>
      </c>
      <c r="Q3241" s="16" t="str">
        <f t="shared" si="485"/>
        <v/>
      </c>
      <c r="R3241" s="5" t="str">
        <f t="shared" si="484"/>
        <v/>
      </c>
      <c r="S3241" s="5" t="str">
        <f t="shared" si="488"/>
        <v/>
      </c>
      <c r="T3241" s="5" t="str">
        <f t="shared" si="492"/>
        <v/>
      </c>
      <c r="U3241" s="5" t="str">
        <f t="shared" si="492"/>
        <v/>
      </c>
    </row>
    <row r="3242" spans="7:21" x14ac:dyDescent="0.2">
      <c r="G3242" s="8"/>
      <c r="H3242" s="5"/>
      <c r="J3242" s="10" t="str">
        <f t="shared" si="486"/>
        <v/>
      </c>
      <c r="K3242" s="10" t="str">
        <f t="shared" si="487"/>
        <v/>
      </c>
      <c r="L3242" s="11" t="str">
        <f t="shared" si="489"/>
        <v/>
      </c>
      <c r="M3242" s="9" t="str">
        <f>IF(G3242&lt;&gt;"",J3242/MAX(J$3:J3242)-1,"")</f>
        <v/>
      </c>
      <c r="N3242" s="9" t="str">
        <f>IF(G3242&lt;&gt;"",K3242/MAX(K$3:K3242)-1,"")</f>
        <v/>
      </c>
      <c r="O3242" s="16" t="str">
        <f t="shared" si="485"/>
        <v/>
      </c>
      <c r="P3242" s="16" t="str">
        <f t="shared" si="485"/>
        <v/>
      </c>
      <c r="Q3242" s="16" t="str">
        <f t="shared" si="485"/>
        <v/>
      </c>
      <c r="R3242" s="5" t="str">
        <f t="shared" si="484"/>
        <v/>
      </c>
      <c r="S3242" s="5" t="str">
        <f t="shared" si="488"/>
        <v/>
      </c>
      <c r="T3242" s="5" t="str">
        <f t="shared" si="492"/>
        <v/>
      </c>
      <c r="U3242" s="5" t="str">
        <f t="shared" si="492"/>
        <v/>
      </c>
    </row>
    <row r="3243" spans="7:21" x14ac:dyDescent="0.2">
      <c r="G3243" s="8"/>
      <c r="H3243" s="5"/>
      <c r="J3243" s="10" t="str">
        <f t="shared" si="486"/>
        <v/>
      </c>
      <c r="K3243" s="10" t="str">
        <f t="shared" si="487"/>
        <v/>
      </c>
      <c r="L3243" s="11" t="str">
        <f t="shared" si="489"/>
        <v/>
      </c>
      <c r="M3243" s="9" t="str">
        <f>IF(G3243&lt;&gt;"",J3243/MAX(J$3:J3243)-1,"")</f>
        <v/>
      </c>
      <c r="N3243" s="9" t="str">
        <f>IF(G3243&lt;&gt;"",K3243/MAX(K$3:K3243)-1,"")</f>
        <v/>
      </c>
      <c r="O3243" s="16" t="str">
        <f t="shared" si="485"/>
        <v/>
      </c>
      <c r="P3243" s="16" t="str">
        <f t="shared" si="485"/>
        <v/>
      </c>
      <c r="Q3243" s="16" t="str">
        <f t="shared" si="485"/>
        <v/>
      </c>
      <c r="R3243" s="5" t="str">
        <f t="shared" si="484"/>
        <v/>
      </c>
      <c r="S3243" s="5" t="str">
        <f t="shared" si="488"/>
        <v/>
      </c>
      <c r="T3243" s="5" t="str">
        <f t="shared" si="492"/>
        <v/>
      </c>
      <c r="U3243" s="5" t="str">
        <f t="shared" si="492"/>
        <v/>
      </c>
    </row>
    <row r="3244" spans="7:21" x14ac:dyDescent="0.2">
      <c r="G3244" s="8"/>
      <c r="H3244" s="5"/>
      <c r="J3244" s="10" t="str">
        <f t="shared" si="486"/>
        <v/>
      </c>
      <c r="K3244" s="10" t="str">
        <f t="shared" si="487"/>
        <v/>
      </c>
      <c r="L3244" s="11" t="str">
        <f t="shared" si="489"/>
        <v/>
      </c>
      <c r="M3244" s="9" t="str">
        <f>IF(G3244&lt;&gt;"",J3244/MAX(J$3:J3244)-1,"")</f>
        <v/>
      </c>
      <c r="N3244" s="9" t="str">
        <f>IF(G3244&lt;&gt;"",K3244/MAX(K$3:K3244)-1,"")</f>
        <v/>
      </c>
      <c r="O3244" s="16" t="str">
        <f t="shared" si="485"/>
        <v/>
      </c>
      <c r="P3244" s="16" t="str">
        <f t="shared" si="485"/>
        <v/>
      </c>
      <c r="Q3244" s="16" t="str">
        <f t="shared" si="485"/>
        <v/>
      </c>
      <c r="R3244" s="5" t="str">
        <f t="shared" si="484"/>
        <v/>
      </c>
      <c r="S3244" s="5" t="str">
        <f t="shared" si="488"/>
        <v/>
      </c>
      <c r="T3244" s="5" t="str">
        <f t="shared" si="492"/>
        <v/>
      </c>
      <c r="U3244" s="5" t="str">
        <f t="shared" si="492"/>
        <v/>
      </c>
    </row>
    <row r="3245" spans="7:21" x14ac:dyDescent="0.2">
      <c r="G3245" s="8"/>
      <c r="H3245" s="5"/>
      <c r="J3245" s="10" t="str">
        <f t="shared" si="486"/>
        <v/>
      </c>
      <c r="K3245" s="10" t="str">
        <f t="shared" si="487"/>
        <v/>
      </c>
      <c r="L3245" s="11" t="str">
        <f t="shared" si="489"/>
        <v/>
      </c>
      <c r="M3245" s="9" t="str">
        <f>IF(G3245&lt;&gt;"",J3245/MAX(J$3:J3245)-1,"")</f>
        <v/>
      </c>
      <c r="N3245" s="9" t="str">
        <f>IF(G3245&lt;&gt;"",K3245/MAX(K$3:K3245)-1,"")</f>
        <v/>
      </c>
      <c r="O3245" s="16" t="str">
        <f t="shared" si="485"/>
        <v/>
      </c>
      <c r="P3245" s="16" t="str">
        <f t="shared" si="485"/>
        <v/>
      </c>
      <c r="Q3245" s="16" t="str">
        <f t="shared" si="485"/>
        <v/>
      </c>
      <c r="R3245" s="5" t="str">
        <f t="shared" si="484"/>
        <v/>
      </c>
      <c r="S3245" s="5" t="str">
        <f t="shared" si="488"/>
        <v/>
      </c>
      <c r="T3245" s="5" t="str">
        <f t="shared" si="492"/>
        <v/>
      </c>
      <c r="U3245" s="5" t="str">
        <f t="shared" si="492"/>
        <v/>
      </c>
    </row>
    <row r="3246" spans="7:21" x14ac:dyDescent="0.2">
      <c r="G3246" s="8"/>
      <c r="H3246" s="5"/>
      <c r="J3246" s="10" t="str">
        <f t="shared" si="486"/>
        <v/>
      </c>
      <c r="K3246" s="10" t="str">
        <f t="shared" si="487"/>
        <v/>
      </c>
      <c r="L3246" s="11" t="str">
        <f t="shared" si="489"/>
        <v/>
      </c>
      <c r="M3246" s="9" t="str">
        <f>IF(G3246&lt;&gt;"",J3246/MAX(J$3:J3246)-1,"")</f>
        <v/>
      </c>
      <c r="N3246" s="9" t="str">
        <f>IF(G3246&lt;&gt;"",K3246/MAX(K$3:K3246)-1,"")</f>
        <v/>
      </c>
      <c r="O3246" s="16" t="str">
        <f t="shared" si="485"/>
        <v/>
      </c>
      <c r="P3246" s="16" t="str">
        <f t="shared" si="485"/>
        <v/>
      </c>
      <c r="Q3246" s="16" t="str">
        <f t="shared" si="485"/>
        <v/>
      </c>
      <c r="R3246" s="5" t="str">
        <f t="shared" si="484"/>
        <v/>
      </c>
      <c r="S3246" s="5" t="str">
        <f t="shared" si="488"/>
        <v/>
      </c>
      <c r="T3246" s="5" t="str">
        <f t="shared" si="492"/>
        <v/>
      </c>
      <c r="U3246" s="5" t="str">
        <f t="shared" si="492"/>
        <v/>
      </c>
    </row>
    <row r="3247" spans="7:21" x14ac:dyDescent="0.2">
      <c r="G3247" s="8"/>
      <c r="H3247" s="5"/>
      <c r="J3247" s="10" t="str">
        <f t="shared" si="486"/>
        <v/>
      </c>
      <c r="K3247" s="10" t="str">
        <f t="shared" si="487"/>
        <v/>
      </c>
      <c r="L3247" s="11" t="str">
        <f t="shared" si="489"/>
        <v/>
      </c>
      <c r="M3247" s="9" t="str">
        <f>IF(G3247&lt;&gt;"",J3247/MAX(J$3:J3247)-1,"")</f>
        <v/>
      </c>
      <c r="N3247" s="9" t="str">
        <f>IF(G3247&lt;&gt;"",K3247/MAX(K$3:K3247)-1,"")</f>
        <v/>
      </c>
      <c r="O3247" s="16" t="str">
        <f t="shared" si="485"/>
        <v/>
      </c>
      <c r="P3247" s="16" t="str">
        <f t="shared" si="485"/>
        <v/>
      </c>
      <c r="Q3247" s="16" t="str">
        <f t="shared" si="485"/>
        <v/>
      </c>
      <c r="R3247" s="5" t="str">
        <f t="shared" si="484"/>
        <v/>
      </c>
      <c r="S3247" s="5" t="str">
        <f t="shared" si="488"/>
        <v/>
      </c>
      <c r="T3247" s="5" t="str">
        <f t="shared" si="492"/>
        <v/>
      </c>
      <c r="U3247" s="5" t="str">
        <f t="shared" si="492"/>
        <v/>
      </c>
    </row>
    <row r="3248" spans="7:21" x14ac:dyDescent="0.2">
      <c r="G3248" s="8"/>
      <c r="H3248" s="5"/>
      <c r="J3248" s="10" t="str">
        <f t="shared" si="486"/>
        <v/>
      </c>
      <c r="K3248" s="10" t="str">
        <f t="shared" si="487"/>
        <v/>
      </c>
      <c r="L3248" s="11" t="str">
        <f t="shared" si="489"/>
        <v/>
      </c>
      <c r="M3248" s="9" t="str">
        <f>IF(G3248&lt;&gt;"",J3248/MAX(J$3:J3248)-1,"")</f>
        <v/>
      </c>
      <c r="N3248" s="9" t="str">
        <f>IF(G3248&lt;&gt;"",K3248/MAX(K$3:K3248)-1,"")</f>
        <v/>
      </c>
      <c r="O3248" s="16" t="str">
        <f t="shared" si="485"/>
        <v/>
      </c>
      <c r="P3248" s="16" t="str">
        <f t="shared" si="485"/>
        <v/>
      </c>
      <c r="Q3248" s="16" t="str">
        <f t="shared" si="485"/>
        <v/>
      </c>
      <c r="R3248" s="5" t="str">
        <f t="shared" si="484"/>
        <v/>
      </c>
      <c r="S3248" s="5" t="str">
        <f t="shared" si="488"/>
        <v/>
      </c>
      <c r="T3248" s="5" t="str">
        <f t="shared" si="492"/>
        <v/>
      </c>
      <c r="U3248" s="5" t="str">
        <f t="shared" si="492"/>
        <v/>
      </c>
    </row>
    <row r="3249" spans="7:21" x14ac:dyDescent="0.2">
      <c r="G3249" s="8"/>
      <c r="H3249" s="5"/>
      <c r="J3249" s="10" t="str">
        <f t="shared" si="486"/>
        <v/>
      </c>
      <c r="K3249" s="10" t="str">
        <f t="shared" si="487"/>
        <v/>
      </c>
      <c r="L3249" s="11" t="str">
        <f t="shared" si="489"/>
        <v/>
      </c>
      <c r="M3249" s="9" t="str">
        <f>IF(G3249&lt;&gt;"",J3249/MAX(J$3:J3249)-1,"")</f>
        <v/>
      </c>
      <c r="N3249" s="9" t="str">
        <f>IF(G3249&lt;&gt;"",K3249/MAX(K$3:K3249)-1,"")</f>
        <v/>
      </c>
      <c r="O3249" s="16" t="str">
        <f t="shared" si="485"/>
        <v/>
      </c>
      <c r="P3249" s="16" t="str">
        <f t="shared" si="485"/>
        <v/>
      </c>
      <c r="Q3249" s="16" t="str">
        <f t="shared" si="485"/>
        <v/>
      </c>
      <c r="R3249" s="5" t="str">
        <f t="shared" si="484"/>
        <v/>
      </c>
      <c r="S3249" s="5" t="str">
        <f t="shared" si="488"/>
        <v/>
      </c>
      <c r="T3249" s="5" t="str">
        <f t="shared" si="492"/>
        <v/>
      </c>
      <c r="U3249" s="5" t="str">
        <f t="shared" si="492"/>
        <v/>
      </c>
    </row>
    <row r="3250" spans="7:21" x14ac:dyDescent="0.2">
      <c r="G3250" s="8"/>
      <c r="H3250" s="5"/>
      <c r="J3250" s="10" t="str">
        <f t="shared" si="486"/>
        <v/>
      </c>
      <c r="K3250" s="10" t="str">
        <f t="shared" si="487"/>
        <v/>
      </c>
      <c r="L3250" s="11" t="str">
        <f t="shared" si="489"/>
        <v/>
      </c>
      <c r="M3250" s="9" t="str">
        <f>IF(G3250&lt;&gt;"",J3250/MAX(J$3:J3250)-1,"")</f>
        <v/>
      </c>
      <c r="N3250" s="9" t="str">
        <f>IF(G3250&lt;&gt;"",K3250/MAX(K$3:K3250)-1,"")</f>
        <v/>
      </c>
      <c r="O3250" s="16" t="str">
        <f t="shared" si="485"/>
        <v/>
      </c>
      <c r="P3250" s="16" t="str">
        <f t="shared" si="485"/>
        <v/>
      </c>
      <c r="Q3250" s="16" t="str">
        <f t="shared" si="485"/>
        <v/>
      </c>
      <c r="R3250" s="5" t="str">
        <f t="shared" si="484"/>
        <v/>
      </c>
      <c r="S3250" s="5" t="str">
        <f t="shared" si="488"/>
        <v/>
      </c>
      <c r="T3250" s="5" t="str">
        <f t="shared" si="492"/>
        <v/>
      </c>
      <c r="U3250" s="5" t="str">
        <f t="shared" si="492"/>
        <v/>
      </c>
    </row>
    <row r="3251" spans="7:21" x14ac:dyDescent="0.2">
      <c r="G3251" s="8"/>
      <c r="H3251" s="5"/>
      <c r="J3251" s="10" t="str">
        <f t="shared" si="486"/>
        <v/>
      </c>
      <c r="K3251" s="10" t="str">
        <f t="shared" si="487"/>
        <v/>
      </c>
      <c r="L3251" s="11" t="str">
        <f t="shared" si="489"/>
        <v/>
      </c>
      <c r="M3251" s="9" t="str">
        <f>IF(G3251&lt;&gt;"",J3251/MAX(J$3:J3251)-1,"")</f>
        <v/>
      </c>
      <c r="N3251" s="9" t="str">
        <f>IF(G3251&lt;&gt;"",K3251/MAX(K$3:K3251)-1,"")</f>
        <v/>
      </c>
      <c r="O3251" s="16" t="str">
        <f t="shared" si="485"/>
        <v/>
      </c>
      <c r="P3251" s="16" t="str">
        <f t="shared" si="485"/>
        <v/>
      </c>
      <c r="Q3251" s="16" t="str">
        <f t="shared" si="485"/>
        <v/>
      </c>
      <c r="R3251" s="5" t="str">
        <f t="shared" si="484"/>
        <v/>
      </c>
      <c r="S3251" s="5" t="str">
        <f t="shared" si="488"/>
        <v/>
      </c>
      <c r="T3251" s="5" t="str">
        <f t="shared" si="492"/>
        <v/>
      </c>
      <c r="U3251" s="5" t="str">
        <f t="shared" si="492"/>
        <v/>
      </c>
    </row>
    <row r="3252" spans="7:21" x14ac:dyDescent="0.2">
      <c r="G3252" s="8"/>
      <c r="H3252" s="5"/>
      <c r="J3252" s="10" t="str">
        <f t="shared" si="486"/>
        <v/>
      </c>
      <c r="K3252" s="10" t="str">
        <f t="shared" si="487"/>
        <v/>
      </c>
      <c r="L3252" s="11" t="str">
        <f t="shared" si="489"/>
        <v/>
      </c>
      <c r="M3252" s="9" t="str">
        <f>IF(G3252&lt;&gt;"",J3252/MAX(J$3:J3252)-1,"")</f>
        <v/>
      </c>
      <c r="N3252" s="9" t="str">
        <f>IF(G3252&lt;&gt;"",K3252/MAX(K$3:K3252)-1,"")</f>
        <v/>
      </c>
      <c r="O3252" s="16" t="str">
        <f t="shared" si="485"/>
        <v/>
      </c>
      <c r="P3252" s="16" t="str">
        <f t="shared" si="485"/>
        <v/>
      </c>
      <c r="Q3252" s="16" t="str">
        <f t="shared" si="485"/>
        <v/>
      </c>
      <c r="R3252" s="5" t="str">
        <f t="shared" si="484"/>
        <v/>
      </c>
      <c r="S3252" s="5" t="str">
        <f t="shared" si="488"/>
        <v/>
      </c>
      <c r="T3252" s="5" t="str">
        <f t="shared" si="492"/>
        <v/>
      </c>
      <c r="U3252" s="5" t="str">
        <f t="shared" si="492"/>
        <v/>
      </c>
    </row>
    <row r="3253" spans="7:21" x14ac:dyDescent="0.2">
      <c r="G3253" s="8"/>
      <c r="H3253" s="5"/>
      <c r="J3253" s="10" t="str">
        <f t="shared" si="486"/>
        <v/>
      </c>
      <c r="K3253" s="10" t="str">
        <f t="shared" si="487"/>
        <v/>
      </c>
      <c r="L3253" s="11" t="str">
        <f t="shared" si="489"/>
        <v/>
      </c>
      <c r="M3253" s="9" t="str">
        <f>IF(G3253&lt;&gt;"",J3253/MAX(J$3:J3253)-1,"")</f>
        <v/>
      </c>
      <c r="N3253" s="9" t="str">
        <f>IF(G3253&lt;&gt;"",K3253/MAX(K$3:K3253)-1,"")</f>
        <v/>
      </c>
      <c r="O3253" s="16" t="str">
        <f t="shared" si="485"/>
        <v/>
      </c>
      <c r="P3253" s="16" t="str">
        <f t="shared" si="485"/>
        <v/>
      </c>
      <c r="Q3253" s="16" t="str">
        <f t="shared" si="485"/>
        <v/>
      </c>
      <c r="R3253" s="5" t="str">
        <f t="shared" si="484"/>
        <v/>
      </c>
      <c r="S3253" s="5" t="str">
        <f t="shared" si="488"/>
        <v/>
      </c>
      <c r="T3253" s="5" t="str">
        <f t="shared" si="492"/>
        <v/>
      </c>
      <c r="U3253" s="5" t="str">
        <f t="shared" si="492"/>
        <v/>
      </c>
    </row>
    <row r="3254" spans="7:21" x14ac:dyDescent="0.2">
      <c r="G3254" s="8"/>
      <c r="H3254" s="5"/>
      <c r="J3254" s="10" t="str">
        <f t="shared" si="486"/>
        <v/>
      </c>
      <c r="K3254" s="10" t="str">
        <f t="shared" si="487"/>
        <v/>
      </c>
      <c r="L3254" s="11" t="str">
        <f t="shared" si="489"/>
        <v/>
      </c>
      <c r="M3254" s="9" t="str">
        <f>IF(G3254&lt;&gt;"",J3254/MAX(J$3:J3254)-1,"")</f>
        <v/>
      </c>
      <c r="N3254" s="9" t="str">
        <f>IF(G3254&lt;&gt;"",K3254/MAX(K$3:K3254)-1,"")</f>
        <v/>
      </c>
      <c r="O3254" s="16" t="str">
        <f t="shared" si="485"/>
        <v/>
      </c>
      <c r="P3254" s="16" t="str">
        <f t="shared" si="485"/>
        <v/>
      </c>
      <c r="Q3254" s="16" t="str">
        <f t="shared" si="485"/>
        <v/>
      </c>
      <c r="R3254" s="5" t="str">
        <f t="shared" si="484"/>
        <v/>
      </c>
      <c r="S3254" s="5" t="str">
        <f t="shared" si="488"/>
        <v/>
      </c>
      <c r="T3254" s="5" t="str">
        <f t="shared" si="492"/>
        <v/>
      </c>
      <c r="U3254" s="5" t="str">
        <f t="shared" si="492"/>
        <v/>
      </c>
    </row>
    <row r="3255" spans="7:21" x14ac:dyDescent="0.2">
      <c r="G3255" s="8"/>
      <c r="H3255" s="5"/>
      <c r="J3255" s="10" t="str">
        <f t="shared" si="486"/>
        <v/>
      </c>
      <c r="K3255" s="10" t="str">
        <f t="shared" si="487"/>
        <v/>
      </c>
      <c r="L3255" s="11" t="str">
        <f t="shared" si="489"/>
        <v/>
      </c>
      <c r="M3255" s="9" t="str">
        <f>IF(G3255&lt;&gt;"",J3255/MAX(J$3:J3255)-1,"")</f>
        <v/>
      </c>
      <c r="N3255" s="9" t="str">
        <f>IF(G3255&lt;&gt;"",K3255/MAX(K$3:K3255)-1,"")</f>
        <v/>
      </c>
      <c r="O3255" s="16" t="str">
        <f t="shared" si="485"/>
        <v/>
      </c>
      <c r="P3255" s="16" t="str">
        <f t="shared" si="485"/>
        <v/>
      </c>
      <c r="Q3255" s="16" t="str">
        <f t="shared" si="485"/>
        <v/>
      </c>
      <c r="R3255" s="5" t="str">
        <f t="shared" si="484"/>
        <v/>
      </c>
      <c r="S3255" s="5" t="str">
        <f t="shared" si="488"/>
        <v/>
      </c>
      <c r="T3255" s="5" t="str">
        <f t="shared" si="492"/>
        <v/>
      </c>
      <c r="U3255" s="5" t="str">
        <f t="shared" si="492"/>
        <v/>
      </c>
    </row>
    <row r="3256" spans="7:21" x14ac:dyDescent="0.2">
      <c r="G3256" s="8"/>
      <c r="H3256" s="5"/>
      <c r="J3256" s="10" t="str">
        <f t="shared" si="486"/>
        <v/>
      </c>
      <c r="K3256" s="10" t="str">
        <f t="shared" si="487"/>
        <v/>
      </c>
      <c r="L3256" s="11" t="str">
        <f t="shared" si="489"/>
        <v/>
      </c>
      <c r="M3256" s="9" t="str">
        <f>IF(G3256&lt;&gt;"",J3256/MAX(J$3:J3256)-1,"")</f>
        <v/>
      </c>
      <c r="N3256" s="9" t="str">
        <f>IF(G3256&lt;&gt;"",K3256/MAX(K$3:K3256)-1,"")</f>
        <v/>
      </c>
      <c r="O3256" s="16" t="str">
        <f t="shared" si="485"/>
        <v/>
      </c>
      <c r="P3256" s="16" t="str">
        <f t="shared" si="485"/>
        <v/>
      </c>
      <c r="Q3256" s="16" t="str">
        <f t="shared" si="485"/>
        <v/>
      </c>
      <c r="R3256" s="5" t="str">
        <f t="shared" si="484"/>
        <v/>
      </c>
      <c r="S3256" s="5" t="str">
        <f t="shared" si="488"/>
        <v/>
      </c>
      <c r="T3256" s="5" t="str">
        <f t="shared" ref="T3256:U3271" si="493">IF($G3256&lt;&gt;"",_xlfn.STDEV.S(O3012:O3256),"")</f>
        <v/>
      </c>
      <c r="U3256" s="5" t="str">
        <f t="shared" si="493"/>
        <v/>
      </c>
    </row>
    <row r="3257" spans="7:21" x14ac:dyDescent="0.2">
      <c r="G3257" s="8"/>
      <c r="H3257" s="5"/>
      <c r="J3257" s="10" t="str">
        <f t="shared" si="486"/>
        <v/>
      </c>
      <c r="K3257" s="10" t="str">
        <f t="shared" si="487"/>
        <v/>
      </c>
      <c r="L3257" s="11" t="str">
        <f t="shared" si="489"/>
        <v/>
      </c>
      <c r="M3257" s="9" t="str">
        <f>IF(G3257&lt;&gt;"",J3257/MAX(J$3:J3257)-1,"")</f>
        <v/>
      </c>
      <c r="N3257" s="9" t="str">
        <f>IF(G3257&lt;&gt;"",K3257/MAX(K$3:K3257)-1,"")</f>
        <v/>
      </c>
      <c r="O3257" s="16" t="str">
        <f t="shared" si="485"/>
        <v/>
      </c>
      <c r="P3257" s="16" t="str">
        <f t="shared" si="485"/>
        <v/>
      </c>
      <c r="Q3257" s="16" t="str">
        <f t="shared" si="485"/>
        <v/>
      </c>
      <c r="R3257" s="5" t="str">
        <f t="shared" si="484"/>
        <v/>
      </c>
      <c r="S3257" s="5" t="str">
        <f t="shared" si="488"/>
        <v/>
      </c>
      <c r="T3257" s="5" t="str">
        <f t="shared" si="493"/>
        <v/>
      </c>
      <c r="U3257" s="5" t="str">
        <f t="shared" si="493"/>
        <v/>
      </c>
    </row>
    <row r="3258" spans="7:21" x14ac:dyDescent="0.2">
      <c r="G3258" s="8"/>
      <c r="H3258" s="5"/>
      <c r="J3258" s="10" t="str">
        <f t="shared" si="486"/>
        <v/>
      </c>
      <c r="K3258" s="10" t="str">
        <f t="shared" si="487"/>
        <v/>
      </c>
      <c r="L3258" s="11" t="str">
        <f t="shared" si="489"/>
        <v/>
      </c>
      <c r="M3258" s="9" t="str">
        <f>IF(G3258&lt;&gt;"",J3258/MAX(J$3:J3258)-1,"")</f>
        <v/>
      </c>
      <c r="N3258" s="9" t="str">
        <f>IF(G3258&lt;&gt;"",K3258/MAX(K$3:K3258)-1,"")</f>
        <v/>
      </c>
      <c r="O3258" s="16" t="str">
        <f t="shared" si="485"/>
        <v/>
      </c>
      <c r="P3258" s="16" t="str">
        <f t="shared" si="485"/>
        <v/>
      </c>
      <c r="Q3258" s="16" t="str">
        <f t="shared" si="485"/>
        <v/>
      </c>
      <c r="R3258" s="5" t="str">
        <f t="shared" si="484"/>
        <v/>
      </c>
      <c r="S3258" s="5" t="str">
        <f t="shared" si="488"/>
        <v/>
      </c>
      <c r="T3258" s="5" t="str">
        <f t="shared" si="493"/>
        <v/>
      </c>
      <c r="U3258" s="5" t="str">
        <f t="shared" si="493"/>
        <v/>
      </c>
    </row>
    <row r="3259" spans="7:21" x14ac:dyDescent="0.2">
      <c r="G3259" s="8"/>
      <c r="H3259" s="5"/>
      <c r="J3259" s="10" t="str">
        <f t="shared" si="486"/>
        <v/>
      </c>
      <c r="K3259" s="10" t="str">
        <f t="shared" si="487"/>
        <v/>
      </c>
      <c r="L3259" s="11" t="str">
        <f t="shared" si="489"/>
        <v/>
      </c>
      <c r="M3259" s="9" t="str">
        <f>IF(G3259&lt;&gt;"",J3259/MAX(J$3:J3259)-1,"")</f>
        <v/>
      </c>
      <c r="N3259" s="9" t="str">
        <f>IF(G3259&lt;&gt;"",K3259/MAX(K$3:K3259)-1,"")</f>
        <v/>
      </c>
      <c r="O3259" s="16" t="str">
        <f t="shared" si="485"/>
        <v/>
      </c>
      <c r="P3259" s="16" t="str">
        <f t="shared" si="485"/>
        <v/>
      </c>
      <c r="Q3259" s="16" t="str">
        <f t="shared" si="485"/>
        <v/>
      </c>
      <c r="R3259" s="5" t="str">
        <f t="shared" si="484"/>
        <v/>
      </c>
      <c r="S3259" s="5" t="str">
        <f t="shared" si="488"/>
        <v/>
      </c>
      <c r="T3259" s="5" t="str">
        <f t="shared" si="493"/>
        <v/>
      </c>
      <c r="U3259" s="5" t="str">
        <f t="shared" si="493"/>
        <v/>
      </c>
    </row>
    <row r="3260" spans="7:21" x14ac:dyDescent="0.2">
      <c r="G3260" s="8"/>
      <c r="H3260" s="5"/>
      <c r="J3260" s="10" t="str">
        <f t="shared" si="486"/>
        <v/>
      </c>
      <c r="K3260" s="10" t="str">
        <f t="shared" si="487"/>
        <v/>
      </c>
      <c r="L3260" s="11" t="str">
        <f t="shared" si="489"/>
        <v/>
      </c>
      <c r="M3260" s="9" t="str">
        <f>IF(G3260&lt;&gt;"",J3260/MAX(J$3:J3260)-1,"")</f>
        <v/>
      </c>
      <c r="N3260" s="9" t="str">
        <f>IF(G3260&lt;&gt;"",K3260/MAX(K$3:K3260)-1,"")</f>
        <v/>
      </c>
      <c r="O3260" s="16" t="str">
        <f t="shared" si="485"/>
        <v/>
      </c>
      <c r="P3260" s="16" t="str">
        <f t="shared" si="485"/>
        <v/>
      </c>
      <c r="Q3260" s="16" t="str">
        <f t="shared" si="485"/>
        <v/>
      </c>
      <c r="R3260" s="5" t="str">
        <f t="shared" si="484"/>
        <v/>
      </c>
      <c r="S3260" s="5" t="str">
        <f t="shared" si="488"/>
        <v/>
      </c>
      <c r="T3260" s="5" t="str">
        <f t="shared" si="493"/>
        <v/>
      </c>
      <c r="U3260" s="5" t="str">
        <f t="shared" si="493"/>
        <v/>
      </c>
    </row>
    <row r="3261" spans="7:21" x14ac:dyDescent="0.2">
      <c r="G3261" s="8"/>
      <c r="H3261" s="5"/>
      <c r="J3261" s="10" t="str">
        <f t="shared" si="486"/>
        <v/>
      </c>
      <c r="K3261" s="10" t="str">
        <f t="shared" si="487"/>
        <v/>
      </c>
      <c r="L3261" s="11" t="str">
        <f t="shared" si="489"/>
        <v/>
      </c>
      <c r="M3261" s="9" t="str">
        <f>IF(G3261&lt;&gt;"",J3261/MAX(J$3:J3261)-1,"")</f>
        <v/>
      </c>
      <c r="N3261" s="9" t="str">
        <f>IF(G3261&lt;&gt;"",K3261/MAX(K$3:K3261)-1,"")</f>
        <v/>
      </c>
      <c r="O3261" s="16" t="str">
        <f t="shared" si="485"/>
        <v/>
      </c>
      <c r="P3261" s="16" t="str">
        <f t="shared" si="485"/>
        <v/>
      </c>
      <c r="Q3261" s="16" t="str">
        <f t="shared" si="485"/>
        <v/>
      </c>
      <c r="R3261" s="5" t="str">
        <f t="shared" ref="R3261:R3324" si="494">IF(G3261&lt;&gt;"",_xlfn.STDEV.S(Q3140:Q3261)*SQRT($B$5),"")</f>
        <v/>
      </c>
      <c r="S3261" s="5" t="str">
        <f t="shared" si="488"/>
        <v/>
      </c>
      <c r="T3261" s="5" t="str">
        <f t="shared" si="493"/>
        <v/>
      </c>
      <c r="U3261" s="5" t="str">
        <f t="shared" si="493"/>
        <v/>
      </c>
    </row>
    <row r="3262" spans="7:21" x14ac:dyDescent="0.2">
      <c r="G3262" s="8"/>
      <c r="H3262" s="5"/>
      <c r="J3262" s="10" t="str">
        <f t="shared" si="486"/>
        <v/>
      </c>
      <c r="K3262" s="10" t="str">
        <f t="shared" si="487"/>
        <v/>
      </c>
      <c r="L3262" s="11" t="str">
        <f t="shared" si="489"/>
        <v/>
      </c>
      <c r="M3262" s="9" t="str">
        <f>IF(G3262&lt;&gt;"",J3262/MAX(J$3:J3262)-1,"")</f>
        <v/>
      </c>
      <c r="N3262" s="9" t="str">
        <f>IF(G3262&lt;&gt;"",K3262/MAX(K$3:K3262)-1,"")</f>
        <v/>
      </c>
      <c r="O3262" s="16" t="str">
        <f t="shared" si="485"/>
        <v/>
      </c>
      <c r="P3262" s="16" t="str">
        <f t="shared" si="485"/>
        <v/>
      </c>
      <c r="Q3262" s="16" t="str">
        <f t="shared" si="485"/>
        <v/>
      </c>
      <c r="R3262" s="5" t="str">
        <f t="shared" si="494"/>
        <v/>
      </c>
      <c r="S3262" s="5" t="str">
        <f t="shared" si="488"/>
        <v/>
      </c>
      <c r="T3262" s="5" t="str">
        <f t="shared" si="493"/>
        <v/>
      </c>
      <c r="U3262" s="5" t="str">
        <f t="shared" si="493"/>
        <v/>
      </c>
    </row>
    <row r="3263" spans="7:21" x14ac:dyDescent="0.2">
      <c r="G3263" s="8"/>
      <c r="H3263" s="5"/>
      <c r="J3263" s="10" t="str">
        <f t="shared" si="486"/>
        <v/>
      </c>
      <c r="K3263" s="10" t="str">
        <f t="shared" si="487"/>
        <v/>
      </c>
      <c r="L3263" s="11" t="str">
        <f t="shared" si="489"/>
        <v/>
      </c>
      <c r="M3263" s="9" t="str">
        <f>IF(G3263&lt;&gt;"",J3263/MAX(J$3:J3263)-1,"")</f>
        <v/>
      </c>
      <c r="N3263" s="9" t="str">
        <f>IF(G3263&lt;&gt;"",K3263/MAX(K$3:K3263)-1,"")</f>
        <v/>
      </c>
      <c r="O3263" s="16" t="str">
        <f t="shared" si="485"/>
        <v/>
      </c>
      <c r="P3263" s="16" t="str">
        <f t="shared" si="485"/>
        <v/>
      </c>
      <c r="Q3263" s="16" t="str">
        <f t="shared" si="485"/>
        <v/>
      </c>
      <c r="R3263" s="5" t="str">
        <f t="shared" si="494"/>
        <v/>
      </c>
      <c r="S3263" s="5" t="str">
        <f t="shared" si="488"/>
        <v/>
      </c>
      <c r="T3263" s="5" t="str">
        <f t="shared" si="493"/>
        <v/>
      </c>
      <c r="U3263" s="5" t="str">
        <f t="shared" si="493"/>
        <v/>
      </c>
    </row>
    <row r="3264" spans="7:21" x14ac:dyDescent="0.2">
      <c r="G3264" s="8"/>
      <c r="H3264" s="5"/>
      <c r="J3264" s="10" t="str">
        <f t="shared" si="486"/>
        <v/>
      </c>
      <c r="K3264" s="10" t="str">
        <f t="shared" si="487"/>
        <v/>
      </c>
      <c r="L3264" s="11" t="str">
        <f t="shared" si="489"/>
        <v/>
      </c>
      <c r="M3264" s="9" t="str">
        <f>IF(G3264&lt;&gt;"",J3264/MAX(J$3:J3264)-1,"")</f>
        <v/>
      </c>
      <c r="N3264" s="9" t="str">
        <f>IF(G3264&lt;&gt;"",K3264/MAX(K$3:K3264)-1,"")</f>
        <v/>
      </c>
      <c r="O3264" s="16" t="str">
        <f t="shared" si="485"/>
        <v/>
      </c>
      <c r="P3264" s="16" t="str">
        <f t="shared" si="485"/>
        <v/>
      </c>
      <c r="Q3264" s="16" t="str">
        <f t="shared" si="485"/>
        <v/>
      </c>
      <c r="R3264" s="5" t="str">
        <f t="shared" si="494"/>
        <v/>
      </c>
      <c r="S3264" s="5" t="str">
        <f t="shared" si="488"/>
        <v/>
      </c>
      <c r="T3264" s="5" t="str">
        <f t="shared" si="493"/>
        <v/>
      </c>
      <c r="U3264" s="5" t="str">
        <f t="shared" si="493"/>
        <v/>
      </c>
    </row>
    <row r="3265" spans="7:21" x14ac:dyDescent="0.2">
      <c r="G3265" s="8"/>
      <c r="H3265" s="5"/>
      <c r="J3265" s="10" t="str">
        <f t="shared" si="486"/>
        <v/>
      </c>
      <c r="K3265" s="10" t="str">
        <f t="shared" si="487"/>
        <v/>
      </c>
      <c r="L3265" s="11" t="str">
        <f t="shared" si="489"/>
        <v/>
      </c>
      <c r="M3265" s="9" t="str">
        <f>IF(G3265&lt;&gt;"",J3265/MAX(J$3:J3265)-1,"")</f>
        <v/>
      </c>
      <c r="N3265" s="9" t="str">
        <f>IF(G3265&lt;&gt;"",K3265/MAX(K$3:K3265)-1,"")</f>
        <v/>
      </c>
      <c r="O3265" s="16" t="str">
        <f t="shared" si="485"/>
        <v/>
      </c>
      <c r="P3265" s="16" t="str">
        <f t="shared" si="485"/>
        <v/>
      </c>
      <c r="Q3265" s="16" t="str">
        <f t="shared" si="485"/>
        <v/>
      </c>
      <c r="R3265" s="5" t="str">
        <f t="shared" si="494"/>
        <v/>
      </c>
      <c r="S3265" s="5" t="str">
        <f t="shared" si="488"/>
        <v/>
      </c>
      <c r="T3265" s="5" t="str">
        <f t="shared" si="493"/>
        <v/>
      </c>
      <c r="U3265" s="5" t="str">
        <f t="shared" si="493"/>
        <v/>
      </c>
    </row>
    <row r="3266" spans="7:21" x14ac:dyDescent="0.2">
      <c r="G3266" s="8"/>
      <c r="H3266" s="5"/>
      <c r="J3266" s="10" t="str">
        <f t="shared" si="486"/>
        <v/>
      </c>
      <c r="K3266" s="10" t="str">
        <f t="shared" si="487"/>
        <v/>
      </c>
      <c r="L3266" s="11" t="str">
        <f t="shared" si="489"/>
        <v/>
      </c>
      <c r="M3266" s="9" t="str">
        <f>IF(G3266&lt;&gt;"",J3266/MAX(J$3:J3266)-1,"")</f>
        <v/>
      </c>
      <c r="N3266" s="9" t="str">
        <f>IF(G3266&lt;&gt;"",K3266/MAX(K$3:K3266)-1,"")</f>
        <v/>
      </c>
      <c r="O3266" s="16" t="str">
        <f t="shared" ref="O3266:Q3329" si="495">IF($G3266&lt;&gt;"",J3266/J3265-1,"")</f>
        <v/>
      </c>
      <c r="P3266" s="16" t="str">
        <f t="shared" si="495"/>
        <v/>
      </c>
      <c r="Q3266" s="16" t="str">
        <f t="shared" si="495"/>
        <v/>
      </c>
      <c r="R3266" s="5" t="str">
        <f t="shared" si="494"/>
        <v/>
      </c>
      <c r="S3266" s="5" t="str">
        <f t="shared" si="488"/>
        <v/>
      </c>
      <c r="T3266" s="5" t="str">
        <f t="shared" si="493"/>
        <v/>
      </c>
      <c r="U3266" s="5" t="str">
        <f t="shared" si="493"/>
        <v/>
      </c>
    </row>
    <row r="3267" spans="7:21" x14ac:dyDescent="0.2">
      <c r="G3267" s="8"/>
      <c r="H3267" s="5"/>
      <c r="J3267" s="10" t="str">
        <f t="shared" si="486"/>
        <v/>
      </c>
      <c r="K3267" s="10" t="str">
        <f t="shared" si="487"/>
        <v/>
      </c>
      <c r="L3267" s="11" t="str">
        <f t="shared" si="489"/>
        <v/>
      </c>
      <c r="M3267" s="9" t="str">
        <f>IF(G3267&lt;&gt;"",J3267/MAX(J$3:J3267)-1,"")</f>
        <v/>
      </c>
      <c r="N3267" s="9" t="str">
        <f>IF(G3267&lt;&gt;"",K3267/MAX(K$3:K3267)-1,"")</f>
        <v/>
      </c>
      <c r="O3267" s="16" t="str">
        <f t="shared" si="495"/>
        <v/>
      </c>
      <c r="P3267" s="16" t="str">
        <f t="shared" si="495"/>
        <v/>
      </c>
      <c r="Q3267" s="16" t="str">
        <f t="shared" si="495"/>
        <v/>
      </c>
      <c r="R3267" s="5" t="str">
        <f t="shared" si="494"/>
        <v/>
      </c>
      <c r="S3267" s="5" t="str">
        <f t="shared" si="488"/>
        <v/>
      </c>
      <c r="T3267" s="5" t="str">
        <f t="shared" si="493"/>
        <v/>
      </c>
      <c r="U3267" s="5" t="str">
        <f t="shared" si="493"/>
        <v/>
      </c>
    </row>
    <row r="3268" spans="7:21" x14ac:dyDescent="0.2">
      <c r="G3268" s="8"/>
      <c r="H3268" s="5"/>
      <c r="J3268" s="10" t="str">
        <f t="shared" ref="J3268:J3331" si="496">IF(G3268&lt;&gt;"",1+H3268,"")</f>
        <v/>
      </c>
      <c r="K3268" s="10" t="str">
        <f t="shared" ref="K3268:K3331" si="497">IF(G3268&lt;&gt;"",1+I3268,"")</f>
        <v/>
      </c>
      <c r="L3268" s="11" t="str">
        <f t="shared" si="489"/>
        <v/>
      </c>
      <c r="M3268" s="9" t="str">
        <f>IF(G3268&lt;&gt;"",J3268/MAX(J$3:J3268)-1,"")</f>
        <v/>
      </c>
      <c r="N3268" s="9" t="str">
        <f>IF(G3268&lt;&gt;"",K3268/MAX(K$3:K3268)-1,"")</f>
        <v/>
      </c>
      <c r="O3268" s="16" t="str">
        <f t="shared" si="495"/>
        <v/>
      </c>
      <c r="P3268" s="16" t="str">
        <f t="shared" si="495"/>
        <v/>
      </c>
      <c r="Q3268" s="16" t="str">
        <f t="shared" si="495"/>
        <v/>
      </c>
      <c r="R3268" s="5" t="str">
        <f t="shared" si="494"/>
        <v/>
      </c>
      <c r="S3268" s="5" t="str">
        <f t="shared" ref="S3268:S3331" si="498">IF(R3268&lt;&gt;"",B$12,"")</f>
        <v/>
      </c>
      <c r="T3268" s="5" t="str">
        <f t="shared" si="493"/>
        <v/>
      </c>
      <c r="U3268" s="5" t="str">
        <f t="shared" si="493"/>
        <v/>
      </c>
    </row>
    <row r="3269" spans="7:21" x14ac:dyDescent="0.2">
      <c r="G3269" s="8"/>
      <c r="H3269" s="5"/>
      <c r="J3269" s="10" t="str">
        <f t="shared" si="496"/>
        <v/>
      </c>
      <c r="K3269" s="10" t="str">
        <f t="shared" si="497"/>
        <v/>
      </c>
      <c r="L3269" s="11" t="str">
        <f t="shared" ref="L3269:L3332" si="499">IF(G3269&lt;&gt;"",J3269/K3269,"")</f>
        <v/>
      </c>
      <c r="M3269" s="9" t="str">
        <f>IF(G3269&lt;&gt;"",J3269/MAX(J$3:J3269)-1,"")</f>
        <v/>
      </c>
      <c r="N3269" s="9" t="str">
        <f>IF(G3269&lt;&gt;"",K3269/MAX(K$3:K3269)-1,"")</f>
        <v/>
      </c>
      <c r="O3269" s="16" t="str">
        <f t="shared" si="495"/>
        <v/>
      </c>
      <c r="P3269" s="16" t="str">
        <f t="shared" si="495"/>
        <v/>
      </c>
      <c r="Q3269" s="16" t="str">
        <f t="shared" si="495"/>
        <v/>
      </c>
      <c r="R3269" s="5" t="str">
        <f t="shared" si="494"/>
        <v/>
      </c>
      <c r="S3269" s="5" t="str">
        <f t="shared" si="498"/>
        <v/>
      </c>
      <c r="T3269" s="5" t="str">
        <f t="shared" si="493"/>
        <v/>
      </c>
      <c r="U3269" s="5" t="str">
        <f t="shared" si="493"/>
        <v/>
      </c>
    </row>
    <row r="3270" spans="7:21" x14ac:dyDescent="0.2">
      <c r="G3270" s="8"/>
      <c r="H3270" s="5"/>
      <c r="J3270" s="10" t="str">
        <f t="shared" si="496"/>
        <v/>
      </c>
      <c r="K3270" s="10" t="str">
        <f t="shared" si="497"/>
        <v/>
      </c>
      <c r="L3270" s="11" t="str">
        <f t="shared" si="499"/>
        <v/>
      </c>
      <c r="M3270" s="9" t="str">
        <f>IF(G3270&lt;&gt;"",J3270/MAX(J$3:J3270)-1,"")</f>
        <v/>
      </c>
      <c r="N3270" s="9" t="str">
        <f>IF(G3270&lt;&gt;"",K3270/MAX(K$3:K3270)-1,"")</f>
        <v/>
      </c>
      <c r="O3270" s="16" t="str">
        <f t="shared" si="495"/>
        <v/>
      </c>
      <c r="P3270" s="16" t="str">
        <f t="shared" si="495"/>
        <v/>
      </c>
      <c r="Q3270" s="16" t="str">
        <f t="shared" si="495"/>
        <v/>
      </c>
      <c r="R3270" s="5" t="str">
        <f t="shared" si="494"/>
        <v/>
      </c>
      <c r="S3270" s="5" t="str">
        <f t="shared" si="498"/>
        <v/>
      </c>
      <c r="T3270" s="5" t="str">
        <f t="shared" si="493"/>
        <v/>
      </c>
      <c r="U3270" s="5" t="str">
        <f t="shared" si="493"/>
        <v/>
      </c>
    </row>
    <row r="3271" spans="7:21" x14ac:dyDescent="0.2">
      <c r="G3271" s="8"/>
      <c r="H3271" s="5"/>
      <c r="J3271" s="10" t="str">
        <f t="shared" si="496"/>
        <v/>
      </c>
      <c r="K3271" s="10" t="str">
        <f t="shared" si="497"/>
        <v/>
      </c>
      <c r="L3271" s="11" t="str">
        <f t="shared" si="499"/>
        <v/>
      </c>
      <c r="M3271" s="9" t="str">
        <f>IF(G3271&lt;&gt;"",J3271/MAX(J$3:J3271)-1,"")</f>
        <v/>
      </c>
      <c r="N3271" s="9" t="str">
        <f>IF(G3271&lt;&gt;"",K3271/MAX(K$3:K3271)-1,"")</f>
        <v/>
      </c>
      <c r="O3271" s="16" t="str">
        <f t="shared" si="495"/>
        <v/>
      </c>
      <c r="P3271" s="16" t="str">
        <f t="shared" si="495"/>
        <v/>
      </c>
      <c r="Q3271" s="16" t="str">
        <f t="shared" si="495"/>
        <v/>
      </c>
      <c r="R3271" s="5" t="str">
        <f t="shared" si="494"/>
        <v/>
      </c>
      <c r="S3271" s="5" t="str">
        <f t="shared" si="498"/>
        <v/>
      </c>
      <c r="T3271" s="5" t="str">
        <f t="shared" si="493"/>
        <v/>
      </c>
      <c r="U3271" s="5" t="str">
        <f t="shared" si="493"/>
        <v/>
      </c>
    </row>
    <row r="3272" spans="7:21" x14ac:dyDescent="0.2">
      <c r="G3272" s="8"/>
      <c r="H3272" s="5"/>
      <c r="J3272" s="10" t="str">
        <f t="shared" si="496"/>
        <v/>
      </c>
      <c r="K3272" s="10" t="str">
        <f t="shared" si="497"/>
        <v/>
      </c>
      <c r="L3272" s="11" t="str">
        <f t="shared" si="499"/>
        <v/>
      </c>
      <c r="M3272" s="9" t="str">
        <f>IF(G3272&lt;&gt;"",J3272/MAX(J$3:J3272)-1,"")</f>
        <v/>
      </c>
      <c r="N3272" s="9" t="str">
        <f>IF(G3272&lt;&gt;"",K3272/MAX(K$3:K3272)-1,"")</f>
        <v/>
      </c>
      <c r="O3272" s="16" t="str">
        <f t="shared" si="495"/>
        <v/>
      </c>
      <c r="P3272" s="16" t="str">
        <f t="shared" si="495"/>
        <v/>
      </c>
      <c r="Q3272" s="16" t="str">
        <f t="shared" si="495"/>
        <v/>
      </c>
      <c r="R3272" s="5" t="str">
        <f t="shared" si="494"/>
        <v/>
      </c>
      <c r="S3272" s="5" t="str">
        <f t="shared" si="498"/>
        <v/>
      </c>
      <c r="T3272" s="5" t="str">
        <f t="shared" ref="T3272:U3287" si="500">IF($G3272&lt;&gt;"",_xlfn.STDEV.S(O3028:O3272),"")</f>
        <v/>
      </c>
      <c r="U3272" s="5" t="str">
        <f t="shared" si="500"/>
        <v/>
      </c>
    </row>
    <row r="3273" spans="7:21" x14ac:dyDescent="0.2">
      <c r="G3273" s="8"/>
      <c r="H3273" s="5"/>
      <c r="J3273" s="10" t="str">
        <f t="shared" si="496"/>
        <v/>
      </c>
      <c r="K3273" s="10" t="str">
        <f t="shared" si="497"/>
        <v/>
      </c>
      <c r="L3273" s="11" t="str">
        <f t="shared" si="499"/>
        <v/>
      </c>
      <c r="M3273" s="9" t="str">
        <f>IF(G3273&lt;&gt;"",J3273/MAX(J$3:J3273)-1,"")</f>
        <v/>
      </c>
      <c r="N3273" s="9" t="str">
        <f>IF(G3273&lt;&gt;"",K3273/MAX(K$3:K3273)-1,"")</f>
        <v/>
      </c>
      <c r="O3273" s="16" t="str">
        <f t="shared" si="495"/>
        <v/>
      </c>
      <c r="P3273" s="16" t="str">
        <f t="shared" si="495"/>
        <v/>
      </c>
      <c r="Q3273" s="16" t="str">
        <f t="shared" si="495"/>
        <v/>
      </c>
      <c r="R3273" s="5" t="str">
        <f t="shared" si="494"/>
        <v/>
      </c>
      <c r="S3273" s="5" t="str">
        <f t="shared" si="498"/>
        <v/>
      </c>
      <c r="T3273" s="5" t="str">
        <f t="shared" si="500"/>
        <v/>
      </c>
      <c r="U3273" s="5" t="str">
        <f t="shared" si="500"/>
        <v/>
      </c>
    </row>
    <row r="3274" spans="7:21" x14ac:dyDescent="0.2">
      <c r="G3274" s="8"/>
      <c r="H3274" s="5"/>
      <c r="J3274" s="10" t="str">
        <f t="shared" si="496"/>
        <v/>
      </c>
      <c r="K3274" s="10" t="str">
        <f t="shared" si="497"/>
        <v/>
      </c>
      <c r="L3274" s="11" t="str">
        <f t="shared" si="499"/>
        <v/>
      </c>
      <c r="M3274" s="9" t="str">
        <f>IF(G3274&lt;&gt;"",J3274/MAX(J$3:J3274)-1,"")</f>
        <v/>
      </c>
      <c r="N3274" s="9" t="str">
        <f>IF(G3274&lt;&gt;"",K3274/MAX(K$3:K3274)-1,"")</f>
        <v/>
      </c>
      <c r="O3274" s="16" t="str">
        <f t="shared" si="495"/>
        <v/>
      </c>
      <c r="P3274" s="16" t="str">
        <f t="shared" si="495"/>
        <v/>
      </c>
      <c r="Q3274" s="16" t="str">
        <f t="shared" si="495"/>
        <v/>
      </c>
      <c r="R3274" s="5" t="str">
        <f t="shared" si="494"/>
        <v/>
      </c>
      <c r="S3274" s="5" t="str">
        <f t="shared" si="498"/>
        <v/>
      </c>
      <c r="T3274" s="5" t="str">
        <f t="shared" si="500"/>
        <v/>
      </c>
      <c r="U3274" s="5" t="str">
        <f t="shared" si="500"/>
        <v/>
      </c>
    </row>
    <row r="3275" spans="7:21" x14ac:dyDescent="0.2">
      <c r="G3275" s="8"/>
      <c r="H3275" s="5"/>
      <c r="J3275" s="10" t="str">
        <f t="shared" si="496"/>
        <v/>
      </c>
      <c r="K3275" s="10" t="str">
        <f t="shared" si="497"/>
        <v/>
      </c>
      <c r="L3275" s="11" t="str">
        <f t="shared" si="499"/>
        <v/>
      </c>
      <c r="M3275" s="9" t="str">
        <f>IF(G3275&lt;&gt;"",J3275/MAX(J$3:J3275)-1,"")</f>
        <v/>
      </c>
      <c r="N3275" s="9" t="str">
        <f>IF(G3275&lt;&gt;"",K3275/MAX(K$3:K3275)-1,"")</f>
        <v/>
      </c>
      <c r="O3275" s="16" t="str">
        <f t="shared" si="495"/>
        <v/>
      </c>
      <c r="P3275" s="16" t="str">
        <f t="shared" si="495"/>
        <v/>
      </c>
      <c r="Q3275" s="16" t="str">
        <f t="shared" si="495"/>
        <v/>
      </c>
      <c r="R3275" s="5" t="str">
        <f t="shared" si="494"/>
        <v/>
      </c>
      <c r="S3275" s="5" t="str">
        <f t="shared" si="498"/>
        <v/>
      </c>
      <c r="T3275" s="5" t="str">
        <f t="shared" si="500"/>
        <v/>
      </c>
      <c r="U3275" s="5" t="str">
        <f t="shared" si="500"/>
        <v/>
      </c>
    </row>
    <row r="3276" spans="7:21" x14ac:dyDescent="0.2">
      <c r="G3276" s="8"/>
      <c r="H3276" s="5"/>
      <c r="J3276" s="10" t="str">
        <f t="shared" si="496"/>
        <v/>
      </c>
      <c r="K3276" s="10" t="str">
        <f t="shared" si="497"/>
        <v/>
      </c>
      <c r="L3276" s="11" t="str">
        <f t="shared" si="499"/>
        <v/>
      </c>
      <c r="M3276" s="9" t="str">
        <f>IF(G3276&lt;&gt;"",J3276/MAX(J$3:J3276)-1,"")</f>
        <v/>
      </c>
      <c r="N3276" s="9" t="str">
        <f>IF(G3276&lt;&gt;"",K3276/MAX(K$3:K3276)-1,"")</f>
        <v/>
      </c>
      <c r="O3276" s="16" t="str">
        <f t="shared" si="495"/>
        <v/>
      </c>
      <c r="P3276" s="16" t="str">
        <f t="shared" si="495"/>
        <v/>
      </c>
      <c r="Q3276" s="16" t="str">
        <f t="shared" si="495"/>
        <v/>
      </c>
      <c r="R3276" s="5" t="str">
        <f t="shared" si="494"/>
        <v/>
      </c>
      <c r="S3276" s="5" t="str">
        <f t="shared" si="498"/>
        <v/>
      </c>
      <c r="T3276" s="5" t="str">
        <f t="shared" si="500"/>
        <v/>
      </c>
      <c r="U3276" s="5" t="str">
        <f t="shared" si="500"/>
        <v/>
      </c>
    </row>
    <row r="3277" spans="7:21" x14ac:dyDescent="0.2">
      <c r="G3277" s="8"/>
      <c r="H3277" s="5"/>
      <c r="J3277" s="10" t="str">
        <f t="shared" si="496"/>
        <v/>
      </c>
      <c r="K3277" s="10" t="str">
        <f t="shared" si="497"/>
        <v/>
      </c>
      <c r="L3277" s="11" t="str">
        <f t="shared" si="499"/>
        <v/>
      </c>
      <c r="M3277" s="9" t="str">
        <f>IF(G3277&lt;&gt;"",J3277/MAX(J$3:J3277)-1,"")</f>
        <v/>
      </c>
      <c r="N3277" s="9" t="str">
        <f>IF(G3277&lt;&gt;"",K3277/MAX(K$3:K3277)-1,"")</f>
        <v/>
      </c>
      <c r="O3277" s="16" t="str">
        <f t="shared" si="495"/>
        <v/>
      </c>
      <c r="P3277" s="16" t="str">
        <f t="shared" si="495"/>
        <v/>
      </c>
      <c r="Q3277" s="16" t="str">
        <f t="shared" si="495"/>
        <v/>
      </c>
      <c r="R3277" s="5" t="str">
        <f t="shared" si="494"/>
        <v/>
      </c>
      <c r="S3277" s="5" t="str">
        <f t="shared" si="498"/>
        <v/>
      </c>
      <c r="T3277" s="5" t="str">
        <f t="shared" si="500"/>
        <v/>
      </c>
      <c r="U3277" s="5" t="str">
        <f t="shared" si="500"/>
        <v/>
      </c>
    </row>
    <row r="3278" spans="7:21" x14ac:dyDescent="0.2">
      <c r="G3278" s="8"/>
      <c r="H3278" s="5"/>
      <c r="J3278" s="10" t="str">
        <f t="shared" si="496"/>
        <v/>
      </c>
      <c r="K3278" s="10" t="str">
        <f t="shared" si="497"/>
        <v/>
      </c>
      <c r="L3278" s="11" t="str">
        <f t="shared" si="499"/>
        <v/>
      </c>
      <c r="M3278" s="9" t="str">
        <f>IF(G3278&lt;&gt;"",J3278/MAX(J$3:J3278)-1,"")</f>
        <v/>
      </c>
      <c r="N3278" s="9" t="str">
        <f>IF(G3278&lt;&gt;"",K3278/MAX(K$3:K3278)-1,"")</f>
        <v/>
      </c>
      <c r="O3278" s="16" t="str">
        <f t="shared" si="495"/>
        <v/>
      </c>
      <c r="P3278" s="16" t="str">
        <f t="shared" si="495"/>
        <v/>
      </c>
      <c r="Q3278" s="16" t="str">
        <f t="shared" si="495"/>
        <v/>
      </c>
      <c r="R3278" s="5" t="str">
        <f t="shared" si="494"/>
        <v/>
      </c>
      <c r="S3278" s="5" t="str">
        <f t="shared" si="498"/>
        <v/>
      </c>
      <c r="T3278" s="5" t="str">
        <f t="shared" si="500"/>
        <v/>
      </c>
      <c r="U3278" s="5" t="str">
        <f t="shared" si="500"/>
        <v/>
      </c>
    </row>
    <row r="3279" spans="7:21" x14ac:dyDescent="0.2">
      <c r="G3279" s="8"/>
      <c r="H3279" s="5"/>
      <c r="J3279" s="10" t="str">
        <f t="shared" si="496"/>
        <v/>
      </c>
      <c r="K3279" s="10" t="str">
        <f t="shared" si="497"/>
        <v/>
      </c>
      <c r="L3279" s="11" t="str">
        <f t="shared" si="499"/>
        <v/>
      </c>
      <c r="M3279" s="9" t="str">
        <f>IF(G3279&lt;&gt;"",J3279/MAX(J$3:J3279)-1,"")</f>
        <v/>
      </c>
      <c r="N3279" s="9" t="str">
        <f>IF(G3279&lt;&gt;"",K3279/MAX(K$3:K3279)-1,"")</f>
        <v/>
      </c>
      <c r="O3279" s="16" t="str">
        <f t="shared" si="495"/>
        <v/>
      </c>
      <c r="P3279" s="16" t="str">
        <f t="shared" si="495"/>
        <v/>
      </c>
      <c r="Q3279" s="16" t="str">
        <f t="shared" si="495"/>
        <v/>
      </c>
      <c r="R3279" s="5" t="str">
        <f t="shared" si="494"/>
        <v/>
      </c>
      <c r="S3279" s="5" t="str">
        <f t="shared" si="498"/>
        <v/>
      </c>
      <c r="T3279" s="5" t="str">
        <f t="shared" si="500"/>
        <v/>
      </c>
      <c r="U3279" s="5" t="str">
        <f t="shared" si="500"/>
        <v/>
      </c>
    </row>
    <row r="3280" spans="7:21" x14ac:dyDescent="0.2">
      <c r="G3280" s="8"/>
      <c r="H3280" s="5"/>
      <c r="J3280" s="10" t="str">
        <f t="shared" si="496"/>
        <v/>
      </c>
      <c r="K3280" s="10" t="str">
        <f t="shared" si="497"/>
        <v/>
      </c>
      <c r="L3280" s="11" t="str">
        <f t="shared" si="499"/>
        <v/>
      </c>
      <c r="M3280" s="9" t="str">
        <f>IF(G3280&lt;&gt;"",J3280/MAX(J$3:J3280)-1,"")</f>
        <v/>
      </c>
      <c r="N3280" s="9" t="str">
        <f>IF(G3280&lt;&gt;"",K3280/MAX(K$3:K3280)-1,"")</f>
        <v/>
      </c>
      <c r="O3280" s="16" t="str">
        <f t="shared" si="495"/>
        <v/>
      </c>
      <c r="P3280" s="16" t="str">
        <f t="shared" si="495"/>
        <v/>
      </c>
      <c r="Q3280" s="16" t="str">
        <f t="shared" si="495"/>
        <v/>
      </c>
      <c r="R3280" s="5" t="str">
        <f t="shared" si="494"/>
        <v/>
      </c>
      <c r="S3280" s="5" t="str">
        <f t="shared" si="498"/>
        <v/>
      </c>
      <c r="T3280" s="5" t="str">
        <f t="shared" si="500"/>
        <v/>
      </c>
      <c r="U3280" s="5" t="str">
        <f t="shared" si="500"/>
        <v/>
      </c>
    </row>
    <row r="3281" spans="7:21" x14ac:dyDescent="0.2">
      <c r="G3281" s="8"/>
      <c r="H3281" s="5"/>
      <c r="J3281" s="10" t="str">
        <f t="shared" si="496"/>
        <v/>
      </c>
      <c r="K3281" s="10" t="str">
        <f t="shared" si="497"/>
        <v/>
      </c>
      <c r="L3281" s="11" t="str">
        <f t="shared" si="499"/>
        <v/>
      </c>
      <c r="M3281" s="9" t="str">
        <f>IF(G3281&lt;&gt;"",J3281/MAX(J$3:J3281)-1,"")</f>
        <v/>
      </c>
      <c r="N3281" s="9" t="str">
        <f>IF(G3281&lt;&gt;"",K3281/MAX(K$3:K3281)-1,"")</f>
        <v/>
      </c>
      <c r="O3281" s="16" t="str">
        <f t="shared" si="495"/>
        <v/>
      </c>
      <c r="P3281" s="16" t="str">
        <f t="shared" si="495"/>
        <v/>
      </c>
      <c r="Q3281" s="16" t="str">
        <f t="shared" si="495"/>
        <v/>
      </c>
      <c r="R3281" s="5" t="str">
        <f t="shared" si="494"/>
        <v/>
      </c>
      <c r="S3281" s="5" t="str">
        <f t="shared" si="498"/>
        <v/>
      </c>
      <c r="T3281" s="5" t="str">
        <f t="shared" si="500"/>
        <v/>
      </c>
      <c r="U3281" s="5" t="str">
        <f t="shared" si="500"/>
        <v/>
      </c>
    </row>
    <row r="3282" spans="7:21" x14ac:dyDescent="0.2">
      <c r="G3282" s="8"/>
      <c r="H3282" s="5"/>
      <c r="J3282" s="10" t="str">
        <f t="shared" si="496"/>
        <v/>
      </c>
      <c r="K3282" s="10" t="str">
        <f t="shared" si="497"/>
        <v/>
      </c>
      <c r="L3282" s="11" t="str">
        <f t="shared" si="499"/>
        <v/>
      </c>
      <c r="M3282" s="9" t="str">
        <f>IF(G3282&lt;&gt;"",J3282/MAX(J$3:J3282)-1,"")</f>
        <v/>
      </c>
      <c r="N3282" s="9" t="str">
        <f>IF(G3282&lt;&gt;"",K3282/MAX(K$3:K3282)-1,"")</f>
        <v/>
      </c>
      <c r="O3282" s="16" t="str">
        <f t="shared" si="495"/>
        <v/>
      </c>
      <c r="P3282" s="16" t="str">
        <f t="shared" si="495"/>
        <v/>
      </c>
      <c r="Q3282" s="16" t="str">
        <f t="shared" si="495"/>
        <v/>
      </c>
      <c r="R3282" s="5" t="str">
        <f t="shared" si="494"/>
        <v/>
      </c>
      <c r="S3282" s="5" t="str">
        <f t="shared" si="498"/>
        <v/>
      </c>
      <c r="T3282" s="5" t="str">
        <f t="shared" si="500"/>
        <v/>
      </c>
      <c r="U3282" s="5" t="str">
        <f t="shared" si="500"/>
        <v/>
      </c>
    </row>
    <row r="3283" spans="7:21" x14ac:dyDescent="0.2">
      <c r="G3283" s="8"/>
      <c r="H3283" s="5"/>
      <c r="J3283" s="10" t="str">
        <f t="shared" si="496"/>
        <v/>
      </c>
      <c r="K3283" s="10" t="str">
        <f t="shared" si="497"/>
        <v/>
      </c>
      <c r="L3283" s="11" t="str">
        <f t="shared" si="499"/>
        <v/>
      </c>
      <c r="M3283" s="9" t="str">
        <f>IF(G3283&lt;&gt;"",J3283/MAX(J$3:J3283)-1,"")</f>
        <v/>
      </c>
      <c r="N3283" s="9" t="str">
        <f>IF(G3283&lt;&gt;"",K3283/MAX(K$3:K3283)-1,"")</f>
        <v/>
      </c>
      <c r="O3283" s="16" t="str">
        <f t="shared" si="495"/>
        <v/>
      </c>
      <c r="P3283" s="16" t="str">
        <f t="shared" si="495"/>
        <v/>
      </c>
      <c r="Q3283" s="16" t="str">
        <f t="shared" si="495"/>
        <v/>
      </c>
      <c r="R3283" s="5" t="str">
        <f t="shared" si="494"/>
        <v/>
      </c>
      <c r="S3283" s="5" t="str">
        <f t="shared" si="498"/>
        <v/>
      </c>
      <c r="T3283" s="5" t="str">
        <f t="shared" si="500"/>
        <v/>
      </c>
      <c r="U3283" s="5" t="str">
        <f t="shared" si="500"/>
        <v/>
      </c>
    </row>
    <row r="3284" spans="7:21" x14ac:dyDescent="0.2">
      <c r="G3284" s="8"/>
      <c r="H3284" s="5"/>
      <c r="J3284" s="10" t="str">
        <f t="shared" si="496"/>
        <v/>
      </c>
      <c r="K3284" s="10" t="str">
        <f t="shared" si="497"/>
        <v/>
      </c>
      <c r="L3284" s="11" t="str">
        <f t="shared" si="499"/>
        <v/>
      </c>
      <c r="M3284" s="9" t="str">
        <f>IF(G3284&lt;&gt;"",J3284/MAX(J$3:J3284)-1,"")</f>
        <v/>
      </c>
      <c r="N3284" s="9" t="str">
        <f>IF(G3284&lt;&gt;"",K3284/MAX(K$3:K3284)-1,"")</f>
        <v/>
      </c>
      <c r="O3284" s="16" t="str">
        <f t="shared" si="495"/>
        <v/>
      </c>
      <c r="P3284" s="16" t="str">
        <f t="shared" si="495"/>
        <v/>
      </c>
      <c r="Q3284" s="16" t="str">
        <f t="shared" si="495"/>
        <v/>
      </c>
      <c r="R3284" s="5" t="str">
        <f t="shared" si="494"/>
        <v/>
      </c>
      <c r="S3284" s="5" t="str">
        <f t="shared" si="498"/>
        <v/>
      </c>
      <c r="T3284" s="5" t="str">
        <f t="shared" si="500"/>
        <v/>
      </c>
      <c r="U3284" s="5" t="str">
        <f t="shared" si="500"/>
        <v/>
      </c>
    </row>
    <row r="3285" spans="7:21" x14ac:dyDescent="0.2">
      <c r="G3285" s="8"/>
      <c r="H3285" s="5"/>
      <c r="J3285" s="10" t="str">
        <f t="shared" si="496"/>
        <v/>
      </c>
      <c r="K3285" s="10" t="str">
        <f t="shared" si="497"/>
        <v/>
      </c>
      <c r="L3285" s="11" t="str">
        <f t="shared" si="499"/>
        <v/>
      </c>
      <c r="M3285" s="9" t="str">
        <f>IF(G3285&lt;&gt;"",J3285/MAX(J$3:J3285)-1,"")</f>
        <v/>
      </c>
      <c r="N3285" s="9" t="str">
        <f>IF(G3285&lt;&gt;"",K3285/MAX(K$3:K3285)-1,"")</f>
        <v/>
      </c>
      <c r="O3285" s="16" t="str">
        <f t="shared" si="495"/>
        <v/>
      </c>
      <c r="P3285" s="16" t="str">
        <f t="shared" si="495"/>
        <v/>
      </c>
      <c r="Q3285" s="16" t="str">
        <f t="shared" si="495"/>
        <v/>
      </c>
      <c r="R3285" s="5" t="str">
        <f t="shared" si="494"/>
        <v/>
      </c>
      <c r="S3285" s="5" t="str">
        <f t="shared" si="498"/>
        <v/>
      </c>
      <c r="T3285" s="5" t="str">
        <f t="shared" si="500"/>
        <v/>
      </c>
      <c r="U3285" s="5" t="str">
        <f t="shared" si="500"/>
        <v/>
      </c>
    </row>
    <row r="3286" spans="7:21" x14ac:dyDescent="0.2">
      <c r="G3286" s="8"/>
      <c r="H3286" s="5"/>
      <c r="J3286" s="10" t="str">
        <f t="shared" si="496"/>
        <v/>
      </c>
      <c r="K3286" s="10" t="str">
        <f t="shared" si="497"/>
        <v/>
      </c>
      <c r="L3286" s="11" t="str">
        <f t="shared" si="499"/>
        <v/>
      </c>
      <c r="M3286" s="9" t="str">
        <f>IF(G3286&lt;&gt;"",J3286/MAX(J$3:J3286)-1,"")</f>
        <v/>
      </c>
      <c r="N3286" s="9" t="str">
        <f>IF(G3286&lt;&gt;"",K3286/MAX(K$3:K3286)-1,"")</f>
        <v/>
      </c>
      <c r="O3286" s="16" t="str">
        <f t="shared" si="495"/>
        <v/>
      </c>
      <c r="P3286" s="16" t="str">
        <f t="shared" si="495"/>
        <v/>
      </c>
      <c r="Q3286" s="16" t="str">
        <f t="shared" si="495"/>
        <v/>
      </c>
      <c r="R3286" s="5" t="str">
        <f t="shared" si="494"/>
        <v/>
      </c>
      <c r="S3286" s="5" t="str">
        <f t="shared" si="498"/>
        <v/>
      </c>
      <c r="T3286" s="5" t="str">
        <f t="shared" si="500"/>
        <v/>
      </c>
      <c r="U3286" s="5" t="str">
        <f t="shared" si="500"/>
        <v/>
      </c>
    </row>
    <row r="3287" spans="7:21" x14ac:dyDescent="0.2">
      <c r="G3287" s="8"/>
      <c r="H3287" s="5"/>
      <c r="J3287" s="10" t="str">
        <f t="shared" si="496"/>
        <v/>
      </c>
      <c r="K3287" s="10" t="str">
        <f t="shared" si="497"/>
        <v/>
      </c>
      <c r="L3287" s="11" t="str">
        <f t="shared" si="499"/>
        <v/>
      </c>
      <c r="M3287" s="9" t="str">
        <f>IF(G3287&lt;&gt;"",J3287/MAX(J$3:J3287)-1,"")</f>
        <v/>
      </c>
      <c r="N3287" s="9" t="str">
        <f>IF(G3287&lt;&gt;"",K3287/MAX(K$3:K3287)-1,"")</f>
        <v/>
      </c>
      <c r="O3287" s="16" t="str">
        <f t="shared" si="495"/>
        <v/>
      </c>
      <c r="P3287" s="16" t="str">
        <f t="shared" si="495"/>
        <v/>
      </c>
      <c r="Q3287" s="16" t="str">
        <f t="shared" si="495"/>
        <v/>
      </c>
      <c r="R3287" s="5" t="str">
        <f t="shared" si="494"/>
        <v/>
      </c>
      <c r="S3287" s="5" t="str">
        <f t="shared" si="498"/>
        <v/>
      </c>
      <c r="T3287" s="5" t="str">
        <f t="shared" si="500"/>
        <v/>
      </c>
      <c r="U3287" s="5" t="str">
        <f t="shared" si="500"/>
        <v/>
      </c>
    </row>
    <row r="3288" spans="7:21" x14ac:dyDescent="0.2">
      <c r="G3288" s="8"/>
      <c r="H3288" s="5"/>
      <c r="J3288" s="10" t="str">
        <f t="shared" si="496"/>
        <v/>
      </c>
      <c r="K3288" s="10" t="str">
        <f t="shared" si="497"/>
        <v/>
      </c>
      <c r="L3288" s="11" t="str">
        <f t="shared" si="499"/>
        <v/>
      </c>
      <c r="M3288" s="9" t="str">
        <f>IF(G3288&lt;&gt;"",J3288/MAX(J$3:J3288)-1,"")</f>
        <v/>
      </c>
      <c r="N3288" s="9" t="str">
        <f>IF(G3288&lt;&gt;"",K3288/MAX(K$3:K3288)-1,"")</f>
        <v/>
      </c>
      <c r="O3288" s="16" t="str">
        <f t="shared" si="495"/>
        <v/>
      </c>
      <c r="P3288" s="16" t="str">
        <f t="shared" si="495"/>
        <v/>
      </c>
      <c r="Q3288" s="16" t="str">
        <f t="shared" si="495"/>
        <v/>
      </c>
      <c r="R3288" s="5" t="str">
        <f t="shared" si="494"/>
        <v/>
      </c>
      <c r="S3288" s="5" t="str">
        <f t="shared" si="498"/>
        <v/>
      </c>
      <c r="T3288" s="5" t="str">
        <f t="shared" ref="T3288:U3303" si="501">IF($G3288&lt;&gt;"",_xlfn.STDEV.S(O3044:O3288),"")</f>
        <v/>
      </c>
      <c r="U3288" s="5" t="str">
        <f t="shared" si="501"/>
        <v/>
      </c>
    </row>
    <row r="3289" spans="7:21" x14ac:dyDescent="0.2">
      <c r="G3289" s="8"/>
      <c r="H3289" s="5"/>
      <c r="J3289" s="10" t="str">
        <f t="shared" si="496"/>
        <v/>
      </c>
      <c r="K3289" s="10" t="str">
        <f t="shared" si="497"/>
        <v/>
      </c>
      <c r="L3289" s="11" t="str">
        <f t="shared" si="499"/>
        <v/>
      </c>
      <c r="M3289" s="9" t="str">
        <f>IF(G3289&lt;&gt;"",J3289/MAX(J$3:J3289)-1,"")</f>
        <v/>
      </c>
      <c r="N3289" s="9" t="str">
        <f>IF(G3289&lt;&gt;"",K3289/MAX(K$3:K3289)-1,"")</f>
        <v/>
      </c>
      <c r="O3289" s="16" t="str">
        <f t="shared" si="495"/>
        <v/>
      </c>
      <c r="P3289" s="16" t="str">
        <f t="shared" si="495"/>
        <v/>
      </c>
      <c r="Q3289" s="16" t="str">
        <f t="shared" si="495"/>
        <v/>
      </c>
      <c r="R3289" s="5" t="str">
        <f t="shared" si="494"/>
        <v/>
      </c>
      <c r="S3289" s="5" t="str">
        <f t="shared" si="498"/>
        <v/>
      </c>
      <c r="T3289" s="5" t="str">
        <f t="shared" si="501"/>
        <v/>
      </c>
      <c r="U3289" s="5" t="str">
        <f t="shared" si="501"/>
        <v/>
      </c>
    </row>
    <row r="3290" spans="7:21" x14ac:dyDescent="0.2">
      <c r="G3290" s="8"/>
      <c r="H3290" s="5"/>
      <c r="J3290" s="10" t="str">
        <f t="shared" si="496"/>
        <v/>
      </c>
      <c r="K3290" s="10" t="str">
        <f t="shared" si="497"/>
        <v/>
      </c>
      <c r="L3290" s="11" t="str">
        <f t="shared" si="499"/>
        <v/>
      </c>
      <c r="M3290" s="9" t="str">
        <f>IF(G3290&lt;&gt;"",J3290/MAX(J$3:J3290)-1,"")</f>
        <v/>
      </c>
      <c r="N3290" s="9" t="str">
        <f>IF(G3290&lt;&gt;"",K3290/MAX(K$3:K3290)-1,"")</f>
        <v/>
      </c>
      <c r="O3290" s="16" t="str">
        <f t="shared" si="495"/>
        <v/>
      </c>
      <c r="P3290" s="16" t="str">
        <f t="shared" si="495"/>
        <v/>
      </c>
      <c r="Q3290" s="16" t="str">
        <f t="shared" si="495"/>
        <v/>
      </c>
      <c r="R3290" s="5" t="str">
        <f t="shared" si="494"/>
        <v/>
      </c>
      <c r="S3290" s="5" t="str">
        <f t="shared" si="498"/>
        <v/>
      </c>
      <c r="T3290" s="5" t="str">
        <f t="shared" si="501"/>
        <v/>
      </c>
      <c r="U3290" s="5" t="str">
        <f t="shared" si="501"/>
        <v/>
      </c>
    </row>
    <row r="3291" spans="7:21" x14ac:dyDescent="0.2">
      <c r="G3291" s="8"/>
      <c r="H3291" s="5"/>
      <c r="J3291" s="10" t="str">
        <f t="shared" si="496"/>
        <v/>
      </c>
      <c r="K3291" s="10" t="str">
        <f t="shared" si="497"/>
        <v/>
      </c>
      <c r="L3291" s="11" t="str">
        <f t="shared" si="499"/>
        <v/>
      </c>
      <c r="M3291" s="9" t="str">
        <f>IF(G3291&lt;&gt;"",J3291/MAX(J$3:J3291)-1,"")</f>
        <v/>
      </c>
      <c r="N3291" s="9" t="str">
        <f>IF(G3291&lt;&gt;"",K3291/MAX(K$3:K3291)-1,"")</f>
        <v/>
      </c>
      <c r="O3291" s="16" t="str">
        <f t="shared" si="495"/>
        <v/>
      </c>
      <c r="P3291" s="16" t="str">
        <f t="shared" si="495"/>
        <v/>
      </c>
      <c r="Q3291" s="16" t="str">
        <f t="shared" si="495"/>
        <v/>
      </c>
      <c r="R3291" s="5" t="str">
        <f t="shared" si="494"/>
        <v/>
      </c>
      <c r="S3291" s="5" t="str">
        <f t="shared" si="498"/>
        <v/>
      </c>
      <c r="T3291" s="5" t="str">
        <f t="shared" si="501"/>
        <v/>
      </c>
      <c r="U3291" s="5" t="str">
        <f t="shared" si="501"/>
        <v/>
      </c>
    </row>
    <row r="3292" spans="7:21" x14ac:dyDescent="0.2">
      <c r="G3292" s="8"/>
      <c r="H3292" s="5"/>
      <c r="J3292" s="10" t="str">
        <f t="shared" si="496"/>
        <v/>
      </c>
      <c r="K3292" s="10" t="str">
        <f t="shared" si="497"/>
        <v/>
      </c>
      <c r="L3292" s="11" t="str">
        <f t="shared" si="499"/>
        <v/>
      </c>
      <c r="M3292" s="9" t="str">
        <f>IF(G3292&lt;&gt;"",J3292/MAX(J$3:J3292)-1,"")</f>
        <v/>
      </c>
      <c r="N3292" s="9" t="str">
        <f>IF(G3292&lt;&gt;"",K3292/MAX(K$3:K3292)-1,"")</f>
        <v/>
      </c>
      <c r="O3292" s="16" t="str">
        <f t="shared" si="495"/>
        <v/>
      </c>
      <c r="P3292" s="16" t="str">
        <f t="shared" si="495"/>
        <v/>
      </c>
      <c r="Q3292" s="16" t="str">
        <f t="shared" si="495"/>
        <v/>
      </c>
      <c r="R3292" s="5" t="str">
        <f t="shared" si="494"/>
        <v/>
      </c>
      <c r="S3292" s="5" t="str">
        <f t="shared" si="498"/>
        <v/>
      </c>
      <c r="T3292" s="5" t="str">
        <f t="shared" si="501"/>
        <v/>
      </c>
      <c r="U3292" s="5" t="str">
        <f t="shared" si="501"/>
        <v/>
      </c>
    </row>
    <row r="3293" spans="7:21" x14ac:dyDescent="0.2">
      <c r="G3293" s="8"/>
      <c r="H3293" s="5"/>
      <c r="J3293" s="10" t="str">
        <f t="shared" si="496"/>
        <v/>
      </c>
      <c r="K3293" s="10" t="str">
        <f t="shared" si="497"/>
        <v/>
      </c>
      <c r="L3293" s="11" t="str">
        <f t="shared" si="499"/>
        <v/>
      </c>
      <c r="M3293" s="9" t="str">
        <f>IF(G3293&lt;&gt;"",J3293/MAX(J$3:J3293)-1,"")</f>
        <v/>
      </c>
      <c r="N3293" s="9" t="str">
        <f>IF(G3293&lt;&gt;"",K3293/MAX(K$3:K3293)-1,"")</f>
        <v/>
      </c>
      <c r="O3293" s="16" t="str">
        <f t="shared" si="495"/>
        <v/>
      </c>
      <c r="P3293" s="16" t="str">
        <f t="shared" si="495"/>
        <v/>
      </c>
      <c r="Q3293" s="16" t="str">
        <f t="shared" si="495"/>
        <v/>
      </c>
      <c r="R3293" s="5" t="str">
        <f t="shared" si="494"/>
        <v/>
      </c>
      <c r="S3293" s="5" t="str">
        <f t="shared" si="498"/>
        <v/>
      </c>
      <c r="T3293" s="5" t="str">
        <f t="shared" si="501"/>
        <v/>
      </c>
      <c r="U3293" s="5" t="str">
        <f t="shared" si="501"/>
        <v/>
      </c>
    </row>
    <row r="3294" spans="7:21" x14ac:dyDescent="0.2">
      <c r="G3294" s="8"/>
      <c r="H3294" s="5"/>
      <c r="J3294" s="10" t="str">
        <f t="shared" si="496"/>
        <v/>
      </c>
      <c r="K3294" s="10" t="str">
        <f t="shared" si="497"/>
        <v/>
      </c>
      <c r="L3294" s="11" t="str">
        <f t="shared" si="499"/>
        <v/>
      </c>
      <c r="M3294" s="9" t="str">
        <f>IF(G3294&lt;&gt;"",J3294/MAX(J$3:J3294)-1,"")</f>
        <v/>
      </c>
      <c r="N3294" s="9" t="str">
        <f>IF(G3294&lt;&gt;"",K3294/MAX(K$3:K3294)-1,"")</f>
        <v/>
      </c>
      <c r="O3294" s="16" t="str">
        <f t="shared" si="495"/>
        <v/>
      </c>
      <c r="P3294" s="16" t="str">
        <f t="shared" si="495"/>
        <v/>
      </c>
      <c r="Q3294" s="16" t="str">
        <f t="shared" si="495"/>
        <v/>
      </c>
      <c r="R3294" s="5" t="str">
        <f t="shared" si="494"/>
        <v/>
      </c>
      <c r="S3294" s="5" t="str">
        <f t="shared" si="498"/>
        <v/>
      </c>
      <c r="T3294" s="5" t="str">
        <f t="shared" si="501"/>
        <v/>
      </c>
      <c r="U3294" s="5" t="str">
        <f t="shared" si="501"/>
        <v/>
      </c>
    </row>
    <row r="3295" spans="7:21" x14ac:dyDescent="0.2">
      <c r="G3295" s="8"/>
      <c r="H3295" s="5"/>
      <c r="J3295" s="10" t="str">
        <f t="shared" si="496"/>
        <v/>
      </c>
      <c r="K3295" s="10" t="str">
        <f t="shared" si="497"/>
        <v/>
      </c>
      <c r="L3295" s="11" t="str">
        <f t="shared" si="499"/>
        <v/>
      </c>
      <c r="M3295" s="9" t="str">
        <f>IF(G3295&lt;&gt;"",J3295/MAX(J$3:J3295)-1,"")</f>
        <v/>
      </c>
      <c r="N3295" s="9" t="str">
        <f>IF(G3295&lt;&gt;"",K3295/MAX(K$3:K3295)-1,"")</f>
        <v/>
      </c>
      <c r="O3295" s="16" t="str">
        <f t="shared" si="495"/>
        <v/>
      </c>
      <c r="P3295" s="16" t="str">
        <f t="shared" si="495"/>
        <v/>
      </c>
      <c r="Q3295" s="16" t="str">
        <f t="shared" si="495"/>
        <v/>
      </c>
      <c r="R3295" s="5" t="str">
        <f t="shared" si="494"/>
        <v/>
      </c>
      <c r="S3295" s="5" t="str">
        <f t="shared" si="498"/>
        <v/>
      </c>
      <c r="T3295" s="5" t="str">
        <f t="shared" si="501"/>
        <v/>
      </c>
      <c r="U3295" s="5" t="str">
        <f t="shared" si="501"/>
        <v/>
      </c>
    </row>
    <row r="3296" spans="7:21" x14ac:dyDescent="0.2">
      <c r="G3296" s="8"/>
      <c r="H3296" s="5"/>
      <c r="J3296" s="10" t="str">
        <f t="shared" si="496"/>
        <v/>
      </c>
      <c r="K3296" s="10" t="str">
        <f t="shared" si="497"/>
        <v/>
      </c>
      <c r="L3296" s="11" t="str">
        <f t="shared" si="499"/>
        <v/>
      </c>
      <c r="M3296" s="9" t="str">
        <f>IF(G3296&lt;&gt;"",J3296/MAX(J$3:J3296)-1,"")</f>
        <v/>
      </c>
      <c r="N3296" s="9" t="str">
        <f>IF(G3296&lt;&gt;"",K3296/MAX(K$3:K3296)-1,"")</f>
        <v/>
      </c>
      <c r="O3296" s="16" t="str">
        <f t="shared" si="495"/>
        <v/>
      </c>
      <c r="P3296" s="16" t="str">
        <f t="shared" si="495"/>
        <v/>
      </c>
      <c r="Q3296" s="16" t="str">
        <f t="shared" si="495"/>
        <v/>
      </c>
      <c r="R3296" s="5" t="str">
        <f t="shared" si="494"/>
        <v/>
      </c>
      <c r="S3296" s="5" t="str">
        <f t="shared" si="498"/>
        <v/>
      </c>
      <c r="T3296" s="5" t="str">
        <f t="shared" si="501"/>
        <v/>
      </c>
      <c r="U3296" s="5" t="str">
        <f t="shared" si="501"/>
        <v/>
      </c>
    </row>
    <row r="3297" spans="7:21" x14ac:dyDescent="0.2">
      <c r="G3297" s="8"/>
      <c r="H3297" s="5"/>
      <c r="J3297" s="10" t="str">
        <f t="shared" si="496"/>
        <v/>
      </c>
      <c r="K3297" s="10" t="str">
        <f t="shared" si="497"/>
        <v/>
      </c>
      <c r="L3297" s="11" t="str">
        <f t="shared" si="499"/>
        <v/>
      </c>
      <c r="M3297" s="9" t="str">
        <f>IF(G3297&lt;&gt;"",J3297/MAX(J$3:J3297)-1,"")</f>
        <v/>
      </c>
      <c r="N3297" s="9" t="str">
        <f>IF(G3297&lt;&gt;"",K3297/MAX(K$3:K3297)-1,"")</f>
        <v/>
      </c>
      <c r="O3297" s="16" t="str">
        <f t="shared" si="495"/>
        <v/>
      </c>
      <c r="P3297" s="16" t="str">
        <f t="shared" si="495"/>
        <v/>
      </c>
      <c r="Q3297" s="16" t="str">
        <f t="shared" si="495"/>
        <v/>
      </c>
      <c r="R3297" s="5" t="str">
        <f t="shared" si="494"/>
        <v/>
      </c>
      <c r="S3297" s="5" t="str">
        <f t="shared" si="498"/>
        <v/>
      </c>
      <c r="T3297" s="5" t="str">
        <f t="shared" si="501"/>
        <v/>
      </c>
      <c r="U3297" s="5" t="str">
        <f t="shared" si="501"/>
        <v/>
      </c>
    </row>
    <row r="3298" spans="7:21" x14ac:dyDescent="0.2">
      <c r="G3298" s="8"/>
      <c r="H3298" s="5"/>
      <c r="J3298" s="10" t="str">
        <f t="shared" si="496"/>
        <v/>
      </c>
      <c r="K3298" s="10" t="str">
        <f t="shared" si="497"/>
        <v/>
      </c>
      <c r="L3298" s="11" t="str">
        <f t="shared" si="499"/>
        <v/>
      </c>
      <c r="M3298" s="9" t="str">
        <f>IF(G3298&lt;&gt;"",J3298/MAX(J$3:J3298)-1,"")</f>
        <v/>
      </c>
      <c r="N3298" s="9" t="str">
        <f>IF(G3298&lt;&gt;"",K3298/MAX(K$3:K3298)-1,"")</f>
        <v/>
      </c>
      <c r="O3298" s="16" t="str">
        <f t="shared" si="495"/>
        <v/>
      </c>
      <c r="P3298" s="16" t="str">
        <f t="shared" si="495"/>
        <v/>
      </c>
      <c r="Q3298" s="16" t="str">
        <f t="shared" si="495"/>
        <v/>
      </c>
      <c r="R3298" s="5" t="str">
        <f t="shared" si="494"/>
        <v/>
      </c>
      <c r="S3298" s="5" t="str">
        <f t="shared" si="498"/>
        <v/>
      </c>
      <c r="T3298" s="5" t="str">
        <f t="shared" si="501"/>
        <v/>
      </c>
      <c r="U3298" s="5" t="str">
        <f t="shared" si="501"/>
        <v/>
      </c>
    </row>
    <row r="3299" spans="7:21" x14ac:dyDescent="0.2">
      <c r="G3299" s="8"/>
      <c r="H3299" s="5"/>
      <c r="J3299" s="10" t="str">
        <f t="shared" si="496"/>
        <v/>
      </c>
      <c r="K3299" s="10" t="str">
        <f t="shared" si="497"/>
        <v/>
      </c>
      <c r="L3299" s="11" t="str">
        <f t="shared" si="499"/>
        <v/>
      </c>
      <c r="M3299" s="9" t="str">
        <f>IF(G3299&lt;&gt;"",J3299/MAX(J$3:J3299)-1,"")</f>
        <v/>
      </c>
      <c r="N3299" s="9" t="str">
        <f>IF(G3299&lt;&gt;"",K3299/MAX(K$3:K3299)-1,"")</f>
        <v/>
      </c>
      <c r="O3299" s="16" t="str">
        <f t="shared" si="495"/>
        <v/>
      </c>
      <c r="P3299" s="16" t="str">
        <f t="shared" si="495"/>
        <v/>
      </c>
      <c r="Q3299" s="16" t="str">
        <f t="shared" si="495"/>
        <v/>
      </c>
      <c r="R3299" s="5" t="str">
        <f t="shared" si="494"/>
        <v/>
      </c>
      <c r="S3299" s="5" t="str">
        <f t="shared" si="498"/>
        <v/>
      </c>
      <c r="T3299" s="5" t="str">
        <f t="shared" si="501"/>
        <v/>
      </c>
      <c r="U3299" s="5" t="str">
        <f t="shared" si="501"/>
        <v/>
      </c>
    </row>
    <row r="3300" spans="7:21" x14ac:dyDescent="0.2">
      <c r="G3300" s="8"/>
      <c r="H3300" s="5"/>
      <c r="J3300" s="10" t="str">
        <f t="shared" si="496"/>
        <v/>
      </c>
      <c r="K3300" s="10" t="str">
        <f t="shared" si="497"/>
        <v/>
      </c>
      <c r="L3300" s="11" t="str">
        <f t="shared" si="499"/>
        <v/>
      </c>
      <c r="M3300" s="9" t="str">
        <f>IF(G3300&lt;&gt;"",J3300/MAX(J$3:J3300)-1,"")</f>
        <v/>
      </c>
      <c r="N3300" s="9" t="str">
        <f>IF(G3300&lt;&gt;"",K3300/MAX(K$3:K3300)-1,"")</f>
        <v/>
      </c>
      <c r="O3300" s="16" t="str">
        <f t="shared" si="495"/>
        <v/>
      </c>
      <c r="P3300" s="16" t="str">
        <f t="shared" si="495"/>
        <v/>
      </c>
      <c r="Q3300" s="16" t="str">
        <f t="shared" si="495"/>
        <v/>
      </c>
      <c r="R3300" s="5" t="str">
        <f t="shared" si="494"/>
        <v/>
      </c>
      <c r="S3300" s="5" t="str">
        <f t="shared" si="498"/>
        <v/>
      </c>
      <c r="T3300" s="5" t="str">
        <f t="shared" si="501"/>
        <v/>
      </c>
      <c r="U3300" s="5" t="str">
        <f t="shared" si="501"/>
        <v/>
      </c>
    </row>
    <row r="3301" spans="7:21" x14ac:dyDescent="0.2">
      <c r="G3301" s="8"/>
      <c r="H3301" s="5"/>
      <c r="J3301" s="10" t="str">
        <f t="shared" si="496"/>
        <v/>
      </c>
      <c r="K3301" s="10" t="str">
        <f t="shared" si="497"/>
        <v/>
      </c>
      <c r="L3301" s="11" t="str">
        <f t="shared" si="499"/>
        <v/>
      </c>
      <c r="M3301" s="9" t="str">
        <f>IF(G3301&lt;&gt;"",J3301/MAX(J$3:J3301)-1,"")</f>
        <v/>
      </c>
      <c r="N3301" s="9" t="str">
        <f>IF(G3301&lt;&gt;"",K3301/MAX(K$3:K3301)-1,"")</f>
        <v/>
      </c>
      <c r="O3301" s="16" t="str">
        <f t="shared" si="495"/>
        <v/>
      </c>
      <c r="P3301" s="16" t="str">
        <f t="shared" si="495"/>
        <v/>
      </c>
      <c r="Q3301" s="16" t="str">
        <f t="shared" si="495"/>
        <v/>
      </c>
      <c r="R3301" s="5" t="str">
        <f t="shared" si="494"/>
        <v/>
      </c>
      <c r="S3301" s="5" t="str">
        <f t="shared" si="498"/>
        <v/>
      </c>
      <c r="T3301" s="5" t="str">
        <f t="shared" si="501"/>
        <v/>
      </c>
      <c r="U3301" s="5" t="str">
        <f t="shared" si="501"/>
        <v/>
      </c>
    </row>
    <row r="3302" spans="7:21" x14ac:dyDescent="0.2">
      <c r="G3302" s="8"/>
      <c r="H3302" s="5"/>
      <c r="J3302" s="10" t="str">
        <f t="shared" si="496"/>
        <v/>
      </c>
      <c r="K3302" s="10" t="str">
        <f t="shared" si="497"/>
        <v/>
      </c>
      <c r="L3302" s="11" t="str">
        <f t="shared" si="499"/>
        <v/>
      </c>
      <c r="M3302" s="9" t="str">
        <f>IF(G3302&lt;&gt;"",J3302/MAX(J$3:J3302)-1,"")</f>
        <v/>
      </c>
      <c r="N3302" s="9" t="str">
        <f>IF(G3302&lt;&gt;"",K3302/MAX(K$3:K3302)-1,"")</f>
        <v/>
      </c>
      <c r="O3302" s="16" t="str">
        <f t="shared" si="495"/>
        <v/>
      </c>
      <c r="P3302" s="16" t="str">
        <f t="shared" si="495"/>
        <v/>
      </c>
      <c r="Q3302" s="16" t="str">
        <f t="shared" si="495"/>
        <v/>
      </c>
      <c r="R3302" s="5" t="str">
        <f t="shared" si="494"/>
        <v/>
      </c>
      <c r="S3302" s="5" t="str">
        <f t="shared" si="498"/>
        <v/>
      </c>
      <c r="T3302" s="5" t="str">
        <f t="shared" si="501"/>
        <v/>
      </c>
      <c r="U3302" s="5" t="str">
        <f t="shared" si="501"/>
        <v/>
      </c>
    </row>
    <row r="3303" spans="7:21" x14ac:dyDescent="0.2">
      <c r="G3303" s="8"/>
      <c r="H3303" s="5"/>
      <c r="J3303" s="10" t="str">
        <f t="shared" si="496"/>
        <v/>
      </c>
      <c r="K3303" s="10" t="str">
        <f t="shared" si="497"/>
        <v/>
      </c>
      <c r="L3303" s="11" t="str">
        <f t="shared" si="499"/>
        <v/>
      </c>
      <c r="M3303" s="9" t="str">
        <f>IF(G3303&lt;&gt;"",J3303/MAX(J$3:J3303)-1,"")</f>
        <v/>
      </c>
      <c r="N3303" s="9" t="str">
        <f>IF(G3303&lt;&gt;"",K3303/MAX(K$3:K3303)-1,"")</f>
        <v/>
      </c>
      <c r="O3303" s="16" t="str">
        <f t="shared" si="495"/>
        <v/>
      </c>
      <c r="P3303" s="16" t="str">
        <f t="shared" si="495"/>
        <v/>
      </c>
      <c r="Q3303" s="16" t="str">
        <f t="shared" si="495"/>
        <v/>
      </c>
      <c r="R3303" s="5" t="str">
        <f t="shared" si="494"/>
        <v/>
      </c>
      <c r="S3303" s="5" t="str">
        <f t="shared" si="498"/>
        <v/>
      </c>
      <c r="T3303" s="5" t="str">
        <f t="shared" si="501"/>
        <v/>
      </c>
      <c r="U3303" s="5" t="str">
        <f t="shared" si="501"/>
        <v/>
      </c>
    </row>
    <row r="3304" spans="7:21" x14ac:dyDescent="0.2">
      <c r="G3304" s="8"/>
      <c r="H3304" s="5"/>
      <c r="J3304" s="10" t="str">
        <f t="shared" si="496"/>
        <v/>
      </c>
      <c r="K3304" s="10" t="str">
        <f t="shared" si="497"/>
        <v/>
      </c>
      <c r="L3304" s="11" t="str">
        <f t="shared" si="499"/>
        <v/>
      </c>
      <c r="M3304" s="9" t="str">
        <f>IF(G3304&lt;&gt;"",J3304/MAX(J$3:J3304)-1,"")</f>
        <v/>
      </c>
      <c r="N3304" s="9" t="str">
        <f>IF(G3304&lt;&gt;"",K3304/MAX(K$3:K3304)-1,"")</f>
        <v/>
      </c>
      <c r="O3304" s="16" t="str">
        <f t="shared" si="495"/>
        <v/>
      </c>
      <c r="P3304" s="16" t="str">
        <f t="shared" si="495"/>
        <v/>
      </c>
      <c r="Q3304" s="16" t="str">
        <f t="shared" si="495"/>
        <v/>
      </c>
      <c r="R3304" s="5" t="str">
        <f t="shared" si="494"/>
        <v/>
      </c>
      <c r="S3304" s="5" t="str">
        <f t="shared" si="498"/>
        <v/>
      </c>
      <c r="T3304" s="5" t="str">
        <f t="shared" ref="T3304:U3319" si="502">IF($G3304&lt;&gt;"",_xlfn.STDEV.S(O3060:O3304),"")</f>
        <v/>
      </c>
      <c r="U3304" s="5" t="str">
        <f t="shared" si="502"/>
        <v/>
      </c>
    </row>
    <row r="3305" spans="7:21" x14ac:dyDescent="0.2">
      <c r="G3305" s="8"/>
      <c r="H3305" s="5"/>
      <c r="J3305" s="10" t="str">
        <f t="shared" si="496"/>
        <v/>
      </c>
      <c r="K3305" s="10" t="str">
        <f t="shared" si="497"/>
        <v/>
      </c>
      <c r="L3305" s="11" t="str">
        <f t="shared" si="499"/>
        <v/>
      </c>
      <c r="M3305" s="9" t="str">
        <f>IF(G3305&lt;&gt;"",J3305/MAX(J$3:J3305)-1,"")</f>
        <v/>
      </c>
      <c r="N3305" s="9" t="str">
        <f>IF(G3305&lt;&gt;"",K3305/MAX(K$3:K3305)-1,"")</f>
        <v/>
      </c>
      <c r="O3305" s="16" t="str">
        <f t="shared" si="495"/>
        <v/>
      </c>
      <c r="P3305" s="16" t="str">
        <f t="shared" si="495"/>
        <v/>
      </c>
      <c r="Q3305" s="16" t="str">
        <f t="shared" si="495"/>
        <v/>
      </c>
      <c r="R3305" s="5" t="str">
        <f t="shared" si="494"/>
        <v/>
      </c>
      <c r="S3305" s="5" t="str">
        <f t="shared" si="498"/>
        <v/>
      </c>
      <c r="T3305" s="5" t="str">
        <f t="shared" si="502"/>
        <v/>
      </c>
      <c r="U3305" s="5" t="str">
        <f t="shared" si="502"/>
        <v/>
      </c>
    </row>
    <row r="3306" spans="7:21" x14ac:dyDescent="0.2">
      <c r="G3306" s="8"/>
      <c r="H3306" s="5"/>
      <c r="J3306" s="10" t="str">
        <f t="shared" si="496"/>
        <v/>
      </c>
      <c r="K3306" s="10" t="str">
        <f t="shared" si="497"/>
        <v/>
      </c>
      <c r="L3306" s="11" t="str">
        <f t="shared" si="499"/>
        <v/>
      </c>
      <c r="M3306" s="9" t="str">
        <f>IF(G3306&lt;&gt;"",J3306/MAX(J$3:J3306)-1,"")</f>
        <v/>
      </c>
      <c r="N3306" s="9" t="str">
        <f>IF(G3306&lt;&gt;"",K3306/MAX(K$3:K3306)-1,"")</f>
        <v/>
      </c>
      <c r="O3306" s="16" t="str">
        <f t="shared" si="495"/>
        <v/>
      </c>
      <c r="P3306" s="16" t="str">
        <f t="shared" si="495"/>
        <v/>
      </c>
      <c r="Q3306" s="16" t="str">
        <f t="shared" si="495"/>
        <v/>
      </c>
      <c r="R3306" s="5" t="str">
        <f t="shared" si="494"/>
        <v/>
      </c>
      <c r="S3306" s="5" t="str">
        <f t="shared" si="498"/>
        <v/>
      </c>
      <c r="T3306" s="5" t="str">
        <f t="shared" si="502"/>
        <v/>
      </c>
      <c r="U3306" s="5" t="str">
        <f t="shared" si="502"/>
        <v/>
      </c>
    </row>
    <row r="3307" spans="7:21" x14ac:dyDescent="0.2">
      <c r="G3307" s="8"/>
      <c r="H3307" s="5"/>
      <c r="J3307" s="10" t="str">
        <f t="shared" si="496"/>
        <v/>
      </c>
      <c r="K3307" s="10" t="str">
        <f t="shared" si="497"/>
        <v/>
      </c>
      <c r="L3307" s="11" t="str">
        <f t="shared" si="499"/>
        <v/>
      </c>
      <c r="M3307" s="9" t="str">
        <f>IF(G3307&lt;&gt;"",J3307/MAX(J$3:J3307)-1,"")</f>
        <v/>
      </c>
      <c r="N3307" s="9" t="str">
        <f>IF(G3307&lt;&gt;"",K3307/MAX(K$3:K3307)-1,"")</f>
        <v/>
      </c>
      <c r="O3307" s="16" t="str">
        <f t="shared" si="495"/>
        <v/>
      </c>
      <c r="P3307" s="16" t="str">
        <f t="shared" si="495"/>
        <v/>
      </c>
      <c r="Q3307" s="16" t="str">
        <f t="shared" si="495"/>
        <v/>
      </c>
      <c r="R3307" s="5" t="str">
        <f t="shared" si="494"/>
        <v/>
      </c>
      <c r="S3307" s="5" t="str">
        <f t="shared" si="498"/>
        <v/>
      </c>
      <c r="T3307" s="5" t="str">
        <f t="shared" si="502"/>
        <v/>
      </c>
      <c r="U3307" s="5" t="str">
        <f t="shared" si="502"/>
        <v/>
      </c>
    </row>
    <row r="3308" spans="7:21" x14ac:dyDescent="0.2">
      <c r="G3308" s="8"/>
      <c r="H3308" s="5"/>
      <c r="J3308" s="10" t="str">
        <f t="shared" si="496"/>
        <v/>
      </c>
      <c r="K3308" s="10" t="str">
        <f t="shared" si="497"/>
        <v/>
      </c>
      <c r="L3308" s="11" t="str">
        <f t="shared" si="499"/>
        <v/>
      </c>
      <c r="M3308" s="9" t="str">
        <f>IF(G3308&lt;&gt;"",J3308/MAX(J$3:J3308)-1,"")</f>
        <v/>
      </c>
      <c r="N3308" s="9" t="str">
        <f>IF(G3308&lt;&gt;"",K3308/MAX(K$3:K3308)-1,"")</f>
        <v/>
      </c>
      <c r="O3308" s="16" t="str">
        <f t="shared" si="495"/>
        <v/>
      </c>
      <c r="P3308" s="16" t="str">
        <f t="shared" si="495"/>
        <v/>
      </c>
      <c r="Q3308" s="16" t="str">
        <f t="shared" si="495"/>
        <v/>
      </c>
      <c r="R3308" s="5" t="str">
        <f t="shared" si="494"/>
        <v/>
      </c>
      <c r="S3308" s="5" t="str">
        <f t="shared" si="498"/>
        <v/>
      </c>
      <c r="T3308" s="5" t="str">
        <f t="shared" si="502"/>
        <v/>
      </c>
      <c r="U3308" s="5" t="str">
        <f t="shared" si="502"/>
        <v/>
      </c>
    </row>
    <row r="3309" spans="7:21" x14ac:dyDescent="0.2">
      <c r="G3309" s="8"/>
      <c r="H3309" s="5"/>
      <c r="J3309" s="10" t="str">
        <f t="shared" si="496"/>
        <v/>
      </c>
      <c r="K3309" s="10" t="str">
        <f t="shared" si="497"/>
        <v/>
      </c>
      <c r="L3309" s="11" t="str">
        <f t="shared" si="499"/>
        <v/>
      </c>
      <c r="M3309" s="9" t="str">
        <f>IF(G3309&lt;&gt;"",J3309/MAX(J$3:J3309)-1,"")</f>
        <v/>
      </c>
      <c r="N3309" s="9" t="str">
        <f>IF(G3309&lt;&gt;"",K3309/MAX(K$3:K3309)-1,"")</f>
        <v/>
      </c>
      <c r="O3309" s="16" t="str">
        <f t="shared" si="495"/>
        <v/>
      </c>
      <c r="P3309" s="16" t="str">
        <f t="shared" si="495"/>
        <v/>
      </c>
      <c r="Q3309" s="16" t="str">
        <f t="shared" si="495"/>
        <v/>
      </c>
      <c r="R3309" s="5" t="str">
        <f t="shared" si="494"/>
        <v/>
      </c>
      <c r="S3309" s="5" t="str">
        <f t="shared" si="498"/>
        <v/>
      </c>
      <c r="T3309" s="5" t="str">
        <f t="shared" si="502"/>
        <v/>
      </c>
      <c r="U3309" s="5" t="str">
        <f t="shared" si="502"/>
        <v/>
      </c>
    </row>
    <row r="3310" spans="7:21" x14ac:dyDescent="0.2">
      <c r="G3310" s="8"/>
      <c r="H3310" s="5"/>
      <c r="J3310" s="10" t="str">
        <f t="shared" si="496"/>
        <v/>
      </c>
      <c r="K3310" s="10" t="str">
        <f t="shared" si="497"/>
        <v/>
      </c>
      <c r="L3310" s="11" t="str">
        <f t="shared" si="499"/>
        <v/>
      </c>
      <c r="M3310" s="9" t="str">
        <f>IF(G3310&lt;&gt;"",J3310/MAX(J$3:J3310)-1,"")</f>
        <v/>
      </c>
      <c r="N3310" s="9" t="str">
        <f>IF(G3310&lt;&gt;"",K3310/MAX(K$3:K3310)-1,"")</f>
        <v/>
      </c>
      <c r="O3310" s="16" t="str">
        <f t="shared" si="495"/>
        <v/>
      </c>
      <c r="P3310" s="16" t="str">
        <f t="shared" si="495"/>
        <v/>
      </c>
      <c r="Q3310" s="16" t="str">
        <f t="shared" si="495"/>
        <v/>
      </c>
      <c r="R3310" s="5" t="str">
        <f t="shared" si="494"/>
        <v/>
      </c>
      <c r="S3310" s="5" t="str">
        <f t="shared" si="498"/>
        <v/>
      </c>
      <c r="T3310" s="5" t="str">
        <f t="shared" si="502"/>
        <v/>
      </c>
      <c r="U3310" s="5" t="str">
        <f t="shared" si="502"/>
        <v/>
      </c>
    </row>
    <row r="3311" spans="7:21" x14ac:dyDescent="0.2">
      <c r="G3311" s="8"/>
      <c r="H3311" s="5"/>
      <c r="J3311" s="10" t="str">
        <f t="shared" si="496"/>
        <v/>
      </c>
      <c r="K3311" s="10" t="str">
        <f t="shared" si="497"/>
        <v/>
      </c>
      <c r="L3311" s="11" t="str">
        <f t="shared" si="499"/>
        <v/>
      </c>
      <c r="M3311" s="9" t="str">
        <f>IF(G3311&lt;&gt;"",J3311/MAX(J$3:J3311)-1,"")</f>
        <v/>
      </c>
      <c r="N3311" s="9" t="str">
        <f>IF(G3311&lt;&gt;"",K3311/MAX(K$3:K3311)-1,"")</f>
        <v/>
      </c>
      <c r="O3311" s="16" t="str">
        <f t="shared" si="495"/>
        <v/>
      </c>
      <c r="P3311" s="16" t="str">
        <f t="shared" si="495"/>
        <v/>
      </c>
      <c r="Q3311" s="16" t="str">
        <f t="shared" si="495"/>
        <v/>
      </c>
      <c r="R3311" s="5" t="str">
        <f t="shared" si="494"/>
        <v/>
      </c>
      <c r="S3311" s="5" t="str">
        <f t="shared" si="498"/>
        <v/>
      </c>
      <c r="T3311" s="5" t="str">
        <f t="shared" si="502"/>
        <v/>
      </c>
      <c r="U3311" s="5" t="str">
        <f t="shared" si="502"/>
        <v/>
      </c>
    </row>
    <row r="3312" spans="7:21" x14ac:dyDescent="0.2">
      <c r="G3312" s="8"/>
      <c r="H3312" s="5"/>
      <c r="J3312" s="10" t="str">
        <f t="shared" si="496"/>
        <v/>
      </c>
      <c r="K3312" s="10" t="str">
        <f t="shared" si="497"/>
        <v/>
      </c>
      <c r="L3312" s="11" t="str">
        <f t="shared" si="499"/>
        <v/>
      </c>
      <c r="M3312" s="9" t="str">
        <f>IF(G3312&lt;&gt;"",J3312/MAX(J$3:J3312)-1,"")</f>
        <v/>
      </c>
      <c r="N3312" s="9" t="str">
        <f>IF(G3312&lt;&gt;"",K3312/MAX(K$3:K3312)-1,"")</f>
        <v/>
      </c>
      <c r="O3312" s="16" t="str">
        <f t="shared" si="495"/>
        <v/>
      </c>
      <c r="P3312" s="16" t="str">
        <f t="shared" si="495"/>
        <v/>
      </c>
      <c r="Q3312" s="16" t="str">
        <f t="shared" si="495"/>
        <v/>
      </c>
      <c r="R3312" s="5" t="str">
        <f t="shared" si="494"/>
        <v/>
      </c>
      <c r="S3312" s="5" t="str">
        <f t="shared" si="498"/>
        <v/>
      </c>
      <c r="T3312" s="5" t="str">
        <f t="shared" si="502"/>
        <v/>
      </c>
      <c r="U3312" s="5" t="str">
        <f t="shared" si="502"/>
        <v/>
      </c>
    </row>
    <row r="3313" spans="7:21" x14ac:dyDescent="0.2">
      <c r="G3313" s="8"/>
      <c r="H3313" s="5"/>
      <c r="J3313" s="10" t="str">
        <f t="shared" si="496"/>
        <v/>
      </c>
      <c r="K3313" s="10" t="str">
        <f t="shared" si="497"/>
        <v/>
      </c>
      <c r="L3313" s="11" t="str">
        <f t="shared" si="499"/>
        <v/>
      </c>
      <c r="M3313" s="9" t="str">
        <f>IF(G3313&lt;&gt;"",J3313/MAX(J$3:J3313)-1,"")</f>
        <v/>
      </c>
      <c r="N3313" s="9" t="str">
        <f>IF(G3313&lt;&gt;"",K3313/MAX(K$3:K3313)-1,"")</f>
        <v/>
      </c>
      <c r="O3313" s="16" t="str">
        <f t="shared" si="495"/>
        <v/>
      </c>
      <c r="P3313" s="16" t="str">
        <f t="shared" si="495"/>
        <v/>
      </c>
      <c r="Q3313" s="16" t="str">
        <f t="shared" si="495"/>
        <v/>
      </c>
      <c r="R3313" s="5" t="str">
        <f t="shared" si="494"/>
        <v/>
      </c>
      <c r="S3313" s="5" t="str">
        <f t="shared" si="498"/>
        <v/>
      </c>
      <c r="T3313" s="5" t="str">
        <f t="shared" si="502"/>
        <v/>
      </c>
      <c r="U3313" s="5" t="str">
        <f t="shared" si="502"/>
        <v/>
      </c>
    </row>
    <row r="3314" spans="7:21" x14ac:dyDescent="0.2">
      <c r="G3314" s="8"/>
      <c r="H3314" s="5"/>
      <c r="J3314" s="10" t="str">
        <f t="shared" si="496"/>
        <v/>
      </c>
      <c r="K3314" s="10" t="str">
        <f t="shared" si="497"/>
        <v/>
      </c>
      <c r="L3314" s="11" t="str">
        <f t="shared" si="499"/>
        <v/>
      </c>
      <c r="M3314" s="9" t="str">
        <f>IF(G3314&lt;&gt;"",J3314/MAX(J$3:J3314)-1,"")</f>
        <v/>
      </c>
      <c r="N3314" s="9" t="str">
        <f>IF(G3314&lt;&gt;"",K3314/MAX(K$3:K3314)-1,"")</f>
        <v/>
      </c>
      <c r="O3314" s="16" t="str">
        <f t="shared" si="495"/>
        <v/>
      </c>
      <c r="P3314" s="16" t="str">
        <f t="shared" si="495"/>
        <v/>
      </c>
      <c r="Q3314" s="16" t="str">
        <f t="shared" si="495"/>
        <v/>
      </c>
      <c r="R3314" s="5" t="str">
        <f t="shared" si="494"/>
        <v/>
      </c>
      <c r="S3314" s="5" t="str">
        <f t="shared" si="498"/>
        <v/>
      </c>
      <c r="T3314" s="5" t="str">
        <f t="shared" si="502"/>
        <v/>
      </c>
      <c r="U3314" s="5" t="str">
        <f t="shared" si="502"/>
        <v/>
      </c>
    </row>
    <row r="3315" spans="7:21" x14ac:dyDescent="0.2">
      <c r="G3315" s="8"/>
      <c r="H3315" s="5"/>
      <c r="J3315" s="10" t="str">
        <f t="shared" si="496"/>
        <v/>
      </c>
      <c r="K3315" s="10" t="str">
        <f t="shared" si="497"/>
        <v/>
      </c>
      <c r="L3315" s="11" t="str">
        <f t="shared" si="499"/>
        <v/>
      </c>
      <c r="M3315" s="9" t="str">
        <f>IF(G3315&lt;&gt;"",J3315/MAX(J$3:J3315)-1,"")</f>
        <v/>
      </c>
      <c r="N3315" s="9" t="str">
        <f>IF(G3315&lt;&gt;"",K3315/MAX(K$3:K3315)-1,"")</f>
        <v/>
      </c>
      <c r="O3315" s="16" t="str">
        <f t="shared" si="495"/>
        <v/>
      </c>
      <c r="P3315" s="16" t="str">
        <f t="shared" si="495"/>
        <v/>
      </c>
      <c r="Q3315" s="16" t="str">
        <f t="shared" si="495"/>
        <v/>
      </c>
      <c r="R3315" s="5" t="str">
        <f t="shared" si="494"/>
        <v/>
      </c>
      <c r="S3315" s="5" t="str">
        <f t="shared" si="498"/>
        <v/>
      </c>
      <c r="T3315" s="5" t="str">
        <f t="shared" si="502"/>
        <v/>
      </c>
      <c r="U3315" s="5" t="str">
        <f t="shared" si="502"/>
        <v/>
      </c>
    </row>
    <row r="3316" spans="7:21" x14ac:dyDescent="0.2">
      <c r="G3316" s="8"/>
      <c r="H3316" s="5"/>
      <c r="J3316" s="10" t="str">
        <f t="shared" si="496"/>
        <v/>
      </c>
      <c r="K3316" s="10" t="str">
        <f t="shared" si="497"/>
        <v/>
      </c>
      <c r="L3316" s="11" t="str">
        <f t="shared" si="499"/>
        <v/>
      </c>
      <c r="M3316" s="9" t="str">
        <f>IF(G3316&lt;&gt;"",J3316/MAX(J$3:J3316)-1,"")</f>
        <v/>
      </c>
      <c r="N3316" s="9" t="str">
        <f>IF(G3316&lt;&gt;"",K3316/MAX(K$3:K3316)-1,"")</f>
        <v/>
      </c>
      <c r="O3316" s="16" t="str">
        <f t="shared" si="495"/>
        <v/>
      </c>
      <c r="P3316" s="16" t="str">
        <f t="shared" si="495"/>
        <v/>
      </c>
      <c r="Q3316" s="16" t="str">
        <f t="shared" si="495"/>
        <v/>
      </c>
      <c r="R3316" s="5" t="str">
        <f t="shared" si="494"/>
        <v/>
      </c>
      <c r="S3316" s="5" t="str">
        <f t="shared" si="498"/>
        <v/>
      </c>
      <c r="T3316" s="5" t="str">
        <f t="shared" si="502"/>
        <v/>
      </c>
      <c r="U3316" s="5" t="str">
        <f t="shared" si="502"/>
        <v/>
      </c>
    </row>
    <row r="3317" spans="7:21" x14ac:dyDescent="0.2">
      <c r="G3317" s="8"/>
      <c r="H3317" s="5"/>
      <c r="J3317" s="10" t="str">
        <f t="shared" si="496"/>
        <v/>
      </c>
      <c r="K3317" s="10" t="str">
        <f t="shared" si="497"/>
        <v/>
      </c>
      <c r="L3317" s="11" t="str">
        <f t="shared" si="499"/>
        <v/>
      </c>
      <c r="M3317" s="9" t="str">
        <f>IF(G3317&lt;&gt;"",J3317/MAX(J$3:J3317)-1,"")</f>
        <v/>
      </c>
      <c r="N3317" s="9" t="str">
        <f>IF(G3317&lt;&gt;"",K3317/MAX(K$3:K3317)-1,"")</f>
        <v/>
      </c>
      <c r="O3317" s="16" t="str">
        <f t="shared" si="495"/>
        <v/>
      </c>
      <c r="P3317" s="16" t="str">
        <f t="shared" si="495"/>
        <v/>
      </c>
      <c r="Q3317" s="16" t="str">
        <f t="shared" si="495"/>
        <v/>
      </c>
      <c r="R3317" s="5" t="str">
        <f t="shared" si="494"/>
        <v/>
      </c>
      <c r="S3317" s="5" t="str">
        <f t="shared" si="498"/>
        <v/>
      </c>
      <c r="T3317" s="5" t="str">
        <f t="shared" si="502"/>
        <v/>
      </c>
      <c r="U3317" s="5" t="str">
        <f t="shared" si="502"/>
        <v/>
      </c>
    </row>
    <row r="3318" spans="7:21" x14ac:dyDescent="0.2">
      <c r="G3318" s="8"/>
      <c r="H3318" s="5"/>
      <c r="J3318" s="10" t="str">
        <f t="shared" si="496"/>
        <v/>
      </c>
      <c r="K3318" s="10" t="str">
        <f t="shared" si="497"/>
        <v/>
      </c>
      <c r="L3318" s="11" t="str">
        <f t="shared" si="499"/>
        <v/>
      </c>
      <c r="M3318" s="9" t="str">
        <f>IF(G3318&lt;&gt;"",J3318/MAX(J$3:J3318)-1,"")</f>
        <v/>
      </c>
      <c r="N3318" s="9" t="str">
        <f>IF(G3318&lt;&gt;"",K3318/MAX(K$3:K3318)-1,"")</f>
        <v/>
      </c>
      <c r="O3318" s="16" t="str">
        <f t="shared" si="495"/>
        <v/>
      </c>
      <c r="P3318" s="16" t="str">
        <f t="shared" si="495"/>
        <v/>
      </c>
      <c r="Q3318" s="16" t="str">
        <f t="shared" si="495"/>
        <v/>
      </c>
      <c r="R3318" s="5" t="str">
        <f t="shared" si="494"/>
        <v/>
      </c>
      <c r="S3318" s="5" t="str">
        <f t="shared" si="498"/>
        <v/>
      </c>
      <c r="T3318" s="5" t="str">
        <f t="shared" si="502"/>
        <v/>
      </c>
      <c r="U3318" s="5" t="str">
        <f t="shared" si="502"/>
        <v/>
      </c>
    </row>
    <row r="3319" spans="7:21" x14ac:dyDescent="0.2">
      <c r="G3319" s="8"/>
      <c r="H3319" s="5"/>
      <c r="J3319" s="10" t="str">
        <f t="shared" si="496"/>
        <v/>
      </c>
      <c r="K3319" s="10" t="str">
        <f t="shared" si="497"/>
        <v/>
      </c>
      <c r="L3319" s="11" t="str">
        <f t="shared" si="499"/>
        <v/>
      </c>
      <c r="M3319" s="9" t="str">
        <f>IF(G3319&lt;&gt;"",J3319/MAX(J$3:J3319)-1,"")</f>
        <v/>
      </c>
      <c r="N3319" s="9" t="str">
        <f>IF(G3319&lt;&gt;"",K3319/MAX(K$3:K3319)-1,"")</f>
        <v/>
      </c>
      <c r="O3319" s="16" t="str">
        <f t="shared" si="495"/>
        <v/>
      </c>
      <c r="P3319" s="16" t="str">
        <f t="shared" si="495"/>
        <v/>
      </c>
      <c r="Q3319" s="16" t="str">
        <f t="shared" si="495"/>
        <v/>
      </c>
      <c r="R3319" s="5" t="str">
        <f t="shared" si="494"/>
        <v/>
      </c>
      <c r="S3319" s="5" t="str">
        <f t="shared" si="498"/>
        <v/>
      </c>
      <c r="T3319" s="5" t="str">
        <f t="shared" si="502"/>
        <v/>
      </c>
      <c r="U3319" s="5" t="str">
        <f t="shared" si="502"/>
        <v/>
      </c>
    </row>
    <row r="3320" spans="7:21" x14ac:dyDescent="0.2">
      <c r="G3320" s="8"/>
      <c r="H3320" s="5"/>
      <c r="J3320" s="10" t="str">
        <f t="shared" si="496"/>
        <v/>
      </c>
      <c r="K3320" s="10" t="str">
        <f t="shared" si="497"/>
        <v/>
      </c>
      <c r="L3320" s="11" t="str">
        <f t="shared" si="499"/>
        <v/>
      </c>
      <c r="M3320" s="9" t="str">
        <f>IF(G3320&lt;&gt;"",J3320/MAX(J$3:J3320)-1,"")</f>
        <v/>
      </c>
      <c r="N3320" s="9" t="str">
        <f>IF(G3320&lt;&gt;"",K3320/MAX(K$3:K3320)-1,"")</f>
        <v/>
      </c>
      <c r="O3320" s="16" t="str">
        <f t="shared" si="495"/>
        <v/>
      </c>
      <c r="P3320" s="16" t="str">
        <f t="shared" si="495"/>
        <v/>
      </c>
      <c r="Q3320" s="16" t="str">
        <f t="shared" si="495"/>
        <v/>
      </c>
      <c r="R3320" s="5" t="str">
        <f t="shared" si="494"/>
        <v/>
      </c>
      <c r="S3320" s="5" t="str">
        <f t="shared" si="498"/>
        <v/>
      </c>
      <c r="T3320" s="5" t="str">
        <f t="shared" ref="T3320:U3335" si="503">IF($G3320&lt;&gt;"",_xlfn.STDEV.S(O3076:O3320),"")</f>
        <v/>
      </c>
      <c r="U3320" s="5" t="str">
        <f t="shared" si="503"/>
        <v/>
      </c>
    </row>
    <row r="3321" spans="7:21" x14ac:dyDescent="0.2">
      <c r="G3321" s="8"/>
      <c r="H3321" s="5"/>
      <c r="J3321" s="10" t="str">
        <f t="shared" si="496"/>
        <v/>
      </c>
      <c r="K3321" s="10" t="str">
        <f t="shared" si="497"/>
        <v/>
      </c>
      <c r="L3321" s="11" t="str">
        <f t="shared" si="499"/>
        <v/>
      </c>
      <c r="M3321" s="9" t="str">
        <f>IF(G3321&lt;&gt;"",J3321/MAX(J$3:J3321)-1,"")</f>
        <v/>
      </c>
      <c r="N3321" s="9" t="str">
        <f>IF(G3321&lt;&gt;"",K3321/MAX(K$3:K3321)-1,"")</f>
        <v/>
      </c>
      <c r="O3321" s="16" t="str">
        <f t="shared" si="495"/>
        <v/>
      </c>
      <c r="P3321" s="16" t="str">
        <f t="shared" si="495"/>
        <v/>
      </c>
      <c r="Q3321" s="16" t="str">
        <f t="shared" si="495"/>
        <v/>
      </c>
      <c r="R3321" s="5" t="str">
        <f t="shared" si="494"/>
        <v/>
      </c>
      <c r="S3321" s="5" t="str">
        <f t="shared" si="498"/>
        <v/>
      </c>
      <c r="T3321" s="5" t="str">
        <f t="shared" si="503"/>
        <v/>
      </c>
      <c r="U3321" s="5" t="str">
        <f t="shared" si="503"/>
        <v/>
      </c>
    </row>
    <row r="3322" spans="7:21" x14ac:dyDescent="0.2">
      <c r="G3322" s="8"/>
      <c r="H3322" s="5"/>
      <c r="J3322" s="10" t="str">
        <f t="shared" si="496"/>
        <v/>
      </c>
      <c r="K3322" s="10" t="str">
        <f t="shared" si="497"/>
        <v/>
      </c>
      <c r="L3322" s="11" t="str">
        <f t="shared" si="499"/>
        <v/>
      </c>
      <c r="M3322" s="9" t="str">
        <f>IF(G3322&lt;&gt;"",J3322/MAX(J$3:J3322)-1,"")</f>
        <v/>
      </c>
      <c r="N3322" s="9" t="str">
        <f>IF(G3322&lt;&gt;"",K3322/MAX(K$3:K3322)-1,"")</f>
        <v/>
      </c>
      <c r="O3322" s="16" t="str">
        <f t="shared" si="495"/>
        <v/>
      </c>
      <c r="P3322" s="16" t="str">
        <f t="shared" si="495"/>
        <v/>
      </c>
      <c r="Q3322" s="16" t="str">
        <f t="shared" si="495"/>
        <v/>
      </c>
      <c r="R3322" s="5" t="str">
        <f t="shared" si="494"/>
        <v/>
      </c>
      <c r="S3322" s="5" t="str">
        <f t="shared" si="498"/>
        <v/>
      </c>
      <c r="T3322" s="5" t="str">
        <f t="shared" si="503"/>
        <v/>
      </c>
      <c r="U3322" s="5" t="str">
        <f t="shared" si="503"/>
        <v/>
      </c>
    </row>
    <row r="3323" spans="7:21" x14ac:dyDescent="0.2">
      <c r="G3323" s="8"/>
      <c r="H3323" s="5"/>
      <c r="J3323" s="10" t="str">
        <f t="shared" si="496"/>
        <v/>
      </c>
      <c r="K3323" s="10" t="str">
        <f t="shared" si="497"/>
        <v/>
      </c>
      <c r="L3323" s="11" t="str">
        <f t="shared" si="499"/>
        <v/>
      </c>
      <c r="M3323" s="9" t="str">
        <f>IF(G3323&lt;&gt;"",J3323/MAX(J$3:J3323)-1,"")</f>
        <v/>
      </c>
      <c r="N3323" s="9" t="str">
        <f>IF(G3323&lt;&gt;"",K3323/MAX(K$3:K3323)-1,"")</f>
        <v/>
      </c>
      <c r="O3323" s="16" t="str">
        <f t="shared" si="495"/>
        <v/>
      </c>
      <c r="P3323" s="16" t="str">
        <f t="shared" si="495"/>
        <v/>
      </c>
      <c r="Q3323" s="16" t="str">
        <f t="shared" si="495"/>
        <v/>
      </c>
      <c r="R3323" s="5" t="str">
        <f t="shared" si="494"/>
        <v/>
      </c>
      <c r="S3323" s="5" t="str">
        <f t="shared" si="498"/>
        <v/>
      </c>
      <c r="T3323" s="5" t="str">
        <f t="shared" si="503"/>
        <v/>
      </c>
      <c r="U3323" s="5" t="str">
        <f t="shared" si="503"/>
        <v/>
      </c>
    </row>
    <row r="3324" spans="7:21" x14ac:dyDescent="0.2">
      <c r="G3324" s="8"/>
      <c r="H3324" s="5"/>
      <c r="J3324" s="10" t="str">
        <f t="shared" si="496"/>
        <v/>
      </c>
      <c r="K3324" s="10" t="str">
        <f t="shared" si="497"/>
        <v/>
      </c>
      <c r="L3324" s="11" t="str">
        <f t="shared" si="499"/>
        <v/>
      </c>
      <c r="M3324" s="9" t="str">
        <f>IF(G3324&lt;&gt;"",J3324/MAX(J$3:J3324)-1,"")</f>
        <v/>
      </c>
      <c r="N3324" s="9" t="str">
        <f>IF(G3324&lt;&gt;"",K3324/MAX(K$3:K3324)-1,"")</f>
        <v/>
      </c>
      <c r="O3324" s="16" t="str">
        <f t="shared" si="495"/>
        <v/>
      </c>
      <c r="P3324" s="16" t="str">
        <f t="shared" si="495"/>
        <v/>
      </c>
      <c r="Q3324" s="16" t="str">
        <f t="shared" si="495"/>
        <v/>
      </c>
      <c r="R3324" s="5" t="str">
        <f t="shared" si="494"/>
        <v/>
      </c>
      <c r="S3324" s="5" t="str">
        <f t="shared" si="498"/>
        <v/>
      </c>
      <c r="T3324" s="5" t="str">
        <f t="shared" si="503"/>
        <v/>
      </c>
      <c r="U3324" s="5" t="str">
        <f t="shared" si="503"/>
        <v/>
      </c>
    </row>
    <row r="3325" spans="7:21" x14ac:dyDescent="0.2">
      <c r="G3325" s="8"/>
      <c r="H3325" s="5"/>
      <c r="J3325" s="10" t="str">
        <f t="shared" si="496"/>
        <v/>
      </c>
      <c r="K3325" s="10" t="str">
        <f t="shared" si="497"/>
        <v/>
      </c>
      <c r="L3325" s="11" t="str">
        <f t="shared" si="499"/>
        <v/>
      </c>
      <c r="M3325" s="9" t="str">
        <f>IF(G3325&lt;&gt;"",J3325/MAX(J$3:J3325)-1,"")</f>
        <v/>
      </c>
      <c r="N3325" s="9" t="str">
        <f>IF(G3325&lt;&gt;"",K3325/MAX(K$3:K3325)-1,"")</f>
        <v/>
      </c>
      <c r="O3325" s="16" t="str">
        <f t="shared" si="495"/>
        <v/>
      </c>
      <c r="P3325" s="16" t="str">
        <f t="shared" si="495"/>
        <v/>
      </c>
      <c r="Q3325" s="16" t="str">
        <f t="shared" si="495"/>
        <v/>
      </c>
      <c r="R3325" s="5" t="str">
        <f t="shared" ref="R3325:R3388" si="504">IF(G3325&lt;&gt;"",_xlfn.STDEV.S(Q3204:Q3325)*SQRT($B$5),"")</f>
        <v/>
      </c>
      <c r="S3325" s="5" t="str">
        <f t="shared" si="498"/>
        <v/>
      </c>
      <c r="T3325" s="5" t="str">
        <f t="shared" si="503"/>
        <v/>
      </c>
      <c r="U3325" s="5" t="str">
        <f t="shared" si="503"/>
        <v/>
      </c>
    </row>
    <row r="3326" spans="7:21" x14ac:dyDescent="0.2">
      <c r="G3326" s="8"/>
      <c r="H3326" s="5"/>
      <c r="J3326" s="10" t="str">
        <f t="shared" si="496"/>
        <v/>
      </c>
      <c r="K3326" s="10" t="str">
        <f t="shared" si="497"/>
        <v/>
      </c>
      <c r="L3326" s="11" t="str">
        <f t="shared" si="499"/>
        <v/>
      </c>
      <c r="M3326" s="9" t="str">
        <f>IF(G3326&lt;&gt;"",J3326/MAX(J$3:J3326)-1,"")</f>
        <v/>
      </c>
      <c r="N3326" s="9" t="str">
        <f>IF(G3326&lt;&gt;"",K3326/MAX(K$3:K3326)-1,"")</f>
        <v/>
      </c>
      <c r="O3326" s="16" t="str">
        <f t="shared" si="495"/>
        <v/>
      </c>
      <c r="P3326" s="16" t="str">
        <f t="shared" si="495"/>
        <v/>
      </c>
      <c r="Q3326" s="16" t="str">
        <f t="shared" si="495"/>
        <v/>
      </c>
      <c r="R3326" s="5" t="str">
        <f t="shared" si="504"/>
        <v/>
      </c>
      <c r="S3326" s="5" t="str">
        <f t="shared" si="498"/>
        <v/>
      </c>
      <c r="T3326" s="5" t="str">
        <f t="shared" si="503"/>
        <v/>
      </c>
      <c r="U3326" s="5" t="str">
        <f t="shared" si="503"/>
        <v/>
      </c>
    </row>
    <row r="3327" spans="7:21" x14ac:dyDescent="0.2">
      <c r="G3327" s="8"/>
      <c r="H3327" s="5"/>
      <c r="J3327" s="10" t="str">
        <f t="shared" si="496"/>
        <v/>
      </c>
      <c r="K3327" s="10" t="str">
        <f t="shared" si="497"/>
        <v/>
      </c>
      <c r="L3327" s="11" t="str">
        <f t="shared" si="499"/>
        <v/>
      </c>
      <c r="M3327" s="9" t="str">
        <f>IF(G3327&lt;&gt;"",J3327/MAX(J$3:J3327)-1,"")</f>
        <v/>
      </c>
      <c r="N3327" s="9" t="str">
        <f>IF(G3327&lt;&gt;"",K3327/MAX(K$3:K3327)-1,"")</f>
        <v/>
      </c>
      <c r="O3327" s="16" t="str">
        <f t="shared" si="495"/>
        <v/>
      </c>
      <c r="P3327" s="16" t="str">
        <f t="shared" si="495"/>
        <v/>
      </c>
      <c r="Q3327" s="16" t="str">
        <f t="shared" si="495"/>
        <v/>
      </c>
      <c r="R3327" s="5" t="str">
        <f t="shared" si="504"/>
        <v/>
      </c>
      <c r="S3327" s="5" t="str">
        <f t="shared" si="498"/>
        <v/>
      </c>
      <c r="T3327" s="5" t="str">
        <f t="shared" si="503"/>
        <v/>
      </c>
      <c r="U3327" s="5" t="str">
        <f t="shared" si="503"/>
        <v/>
      </c>
    </row>
    <row r="3328" spans="7:21" x14ac:dyDescent="0.2">
      <c r="G3328" s="8"/>
      <c r="H3328" s="5"/>
      <c r="J3328" s="10" t="str">
        <f t="shared" si="496"/>
        <v/>
      </c>
      <c r="K3328" s="10" t="str">
        <f t="shared" si="497"/>
        <v/>
      </c>
      <c r="L3328" s="11" t="str">
        <f t="shared" si="499"/>
        <v/>
      </c>
      <c r="M3328" s="9" t="str">
        <f>IF(G3328&lt;&gt;"",J3328/MAX(J$3:J3328)-1,"")</f>
        <v/>
      </c>
      <c r="N3328" s="9" t="str">
        <f>IF(G3328&lt;&gt;"",K3328/MAX(K$3:K3328)-1,"")</f>
        <v/>
      </c>
      <c r="O3328" s="16" t="str">
        <f t="shared" si="495"/>
        <v/>
      </c>
      <c r="P3328" s="16" t="str">
        <f t="shared" si="495"/>
        <v/>
      </c>
      <c r="Q3328" s="16" t="str">
        <f t="shared" si="495"/>
        <v/>
      </c>
      <c r="R3328" s="5" t="str">
        <f t="shared" si="504"/>
        <v/>
      </c>
      <c r="S3328" s="5" t="str">
        <f t="shared" si="498"/>
        <v/>
      </c>
      <c r="T3328" s="5" t="str">
        <f t="shared" si="503"/>
        <v/>
      </c>
      <c r="U3328" s="5" t="str">
        <f t="shared" si="503"/>
        <v/>
      </c>
    </row>
    <row r="3329" spans="7:21" x14ac:dyDescent="0.2">
      <c r="G3329" s="8"/>
      <c r="H3329" s="5"/>
      <c r="J3329" s="10" t="str">
        <f t="shared" si="496"/>
        <v/>
      </c>
      <c r="K3329" s="10" t="str">
        <f t="shared" si="497"/>
        <v/>
      </c>
      <c r="L3329" s="11" t="str">
        <f t="shared" si="499"/>
        <v/>
      </c>
      <c r="M3329" s="9" t="str">
        <f>IF(G3329&lt;&gt;"",J3329/MAX(J$3:J3329)-1,"")</f>
        <v/>
      </c>
      <c r="N3329" s="9" t="str">
        <f>IF(G3329&lt;&gt;"",K3329/MAX(K$3:K3329)-1,"")</f>
        <v/>
      </c>
      <c r="O3329" s="16" t="str">
        <f t="shared" si="495"/>
        <v/>
      </c>
      <c r="P3329" s="16" t="str">
        <f t="shared" si="495"/>
        <v/>
      </c>
      <c r="Q3329" s="16" t="str">
        <f t="shared" si="495"/>
        <v/>
      </c>
      <c r="R3329" s="5" t="str">
        <f t="shared" si="504"/>
        <v/>
      </c>
      <c r="S3329" s="5" t="str">
        <f t="shared" si="498"/>
        <v/>
      </c>
      <c r="T3329" s="5" t="str">
        <f t="shared" si="503"/>
        <v/>
      </c>
      <c r="U3329" s="5" t="str">
        <f t="shared" si="503"/>
        <v/>
      </c>
    </row>
    <row r="3330" spans="7:21" x14ac:dyDescent="0.2">
      <c r="G3330" s="8"/>
      <c r="H3330" s="5"/>
      <c r="J3330" s="10" t="str">
        <f t="shared" si="496"/>
        <v/>
      </c>
      <c r="K3330" s="10" t="str">
        <f t="shared" si="497"/>
        <v/>
      </c>
      <c r="L3330" s="11" t="str">
        <f t="shared" si="499"/>
        <v/>
      </c>
      <c r="M3330" s="9" t="str">
        <f>IF(G3330&lt;&gt;"",J3330/MAX(J$3:J3330)-1,"")</f>
        <v/>
      </c>
      <c r="N3330" s="9" t="str">
        <f>IF(G3330&lt;&gt;"",K3330/MAX(K$3:K3330)-1,"")</f>
        <v/>
      </c>
      <c r="O3330" s="16" t="str">
        <f t="shared" ref="O3330:Q3393" si="505">IF($G3330&lt;&gt;"",J3330/J3329-1,"")</f>
        <v/>
      </c>
      <c r="P3330" s="16" t="str">
        <f t="shared" si="505"/>
        <v/>
      </c>
      <c r="Q3330" s="16" t="str">
        <f t="shared" si="505"/>
        <v/>
      </c>
      <c r="R3330" s="5" t="str">
        <f t="shared" si="504"/>
        <v/>
      </c>
      <c r="S3330" s="5" t="str">
        <f t="shared" si="498"/>
        <v/>
      </c>
      <c r="T3330" s="5" t="str">
        <f t="shared" si="503"/>
        <v/>
      </c>
      <c r="U3330" s="5" t="str">
        <f t="shared" si="503"/>
        <v/>
      </c>
    </row>
    <row r="3331" spans="7:21" x14ac:dyDescent="0.2">
      <c r="G3331" s="8"/>
      <c r="H3331" s="5"/>
      <c r="J3331" s="10" t="str">
        <f t="shared" si="496"/>
        <v/>
      </c>
      <c r="K3331" s="10" t="str">
        <f t="shared" si="497"/>
        <v/>
      </c>
      <c r="L3331" s="11" t="str">
        <f t="shared" si="499"/>
        <v/>
      </c>
      <c r="M3331" s="9" t="str">
        <f>IF(G3331&lt;&gt;"",J3331/MAX(J$3:J3331)-1,"")</f>
        <v/>
      </c>
      <c r="N3331" s="9" t="str">
        <f>IF(G3331&lt;&gt;"",K3331/MAX(K$3:K3331)-1,"")</f>
        <v/>
      </c>
      <c r="O3331" s="16" t="str">
        <f t="shared" si="505"/>
        <v/>
      </c>
      <c r="P3331" s="16" t="str">
        <f t="shared" si="505"/>
        <v/>
      </c>
      <c r="Q3331" s="16" t="str">
        <f t="shared" si="505"/>
        <v/>
      </c>
      <c r="R3331" s="5" t="str">
        <f t="shared" si="504"/>
        <v/>
      </c>
      <c r="S3331" s="5" t="str">
        <f t="shared" si="498"/>
        <v/>
      </c>
      <c r="T3331" s="5" t="str">
        <f t="shared" si="503"/>
        <v/>
      </c>
      <c r="U3331" s="5" t="str">
        <f t="shared" si="503"/>
        <v/>
      </c>
    </row>
    <row r="3332" spans="7:21" x14ac:dyDescent="0.2">
      <c r="G3332" s="8"/>
      <c r="H3332" s="5"/>
      <c r="J3332" s="10" t="str">
        <f t="shared" ref="J3332:J3395" si="506">IF(G3332&lt;&gt;"",1+H3332,"")</f>
        <v/>
      </c>
      <c r="K3332" s="10" t="str">
        <f t="shared" ref="K3332:K3395" si="507">IF(G3332&lt;&gt;"",1+I3332,"")</f>
        <v/>
      </c>
      <c r="L3332" s="11" t="str">
        <f t="shared" si="499"/>
        <v/>
      </c>
      <c r="M3332" s="9" t="str">
        <f>IF(G3332&lt;&gt;"",J3332/MAX(J$3:J3332)-1,"")</f>
        <v/>
      </c>
      <c r="N3332" s="9" t="str">
        <f>IF(G3332&lt;&gt;"",K3332/MAX(K$3:K3332)-1,"")</f>
        <v/>
      </c>
      <c r="O3332" s="16" t="str">
        <f t="shared" si="505"/>
        <v/>
      </c>
      <c r="P3332" s="16" t="str">
        <f t="shared" si="505"/>
        <v/>
      </c>
      <c r="Q3332" s="16" t="str">
        <f t="shared" si="505"/>
        <v/>
      </c>
      <c r="R3332" s="5" t="str">
        <f t="shared" si="504"/>
        <v/>
      </c>
      <c r="S3332" s="5" t="str">
        <f t="shared" ref="S3332:S3395" si="508">IF(R3332&lt;&gt;"",B$12,"")</f>
        <v/>
      </c>
      <c r="T3332" s="5" t="str">
        <f t="shared" si="503"/>
        <v/>
      </c>
      <c r="U3332" s="5" t="str">
        <f t="shared" si="503"/>
        <v/>
      </c>
    </row>
    <row r="3333" spans="7:21" x14ac:dyDescent="0.2">
      <c r="G3333" s="8"/>
      <c r="H3333" s="5"/>
      <c r="J3333" s="10" t="str">
        <f t="shared" si="506"/>
        <v/>
      </c>
      <c r="K3333" s="10" t="str">
        <f t="shared" si="507"/>
        <v/>
      </c>
      <c r="L3333" s="11" t="str">
        <f t="shared" ref="L3333:L3396" si="509">IF(G3333&lt;&gt;"",J3333/K3333,"")</f>
        <v/>
      </c>
      <c r="M3333" s="9" t="str">
        <f>IF(G3333&lt;&gt;"",J3333/MAX(J$3:J3333)-1,"")</f>
        <v/>
      </c>
      <c r="N3333" s="9" t="str">
        <f>IF(G3333&lt;&gt;"",K3333/MAX(K$3:K3333)-1,"")</f>
        <v/>
      </c>
      <c r="O3333" s="16" t="str">
        <f t="shared" si="505"/>
        <v/>
      </c>
      <c r="P3333" s="16" t="str">
        <f t="shared" si="505"/>
        <v/>
      </c>
      <c r="Q3333" s="16" t="str">
        <f t="shared" si="505"/>
        <v/>
      </c>
      <c r="R3333" s="5" t="str">
        <f t="shared" si="504"/>
        <v/>
      </c>
      <c r="S3333" s="5" t="str">
        <f t="shared" si="508"/>
        <v/>
      </c>
      <c r="T3333" s="5" t="str">
        <f t="shared" si="503"/>
        <v/>
      </c>
      <c r="U3333" s="5" t="str">
        <f t="shared" si="503"/>
        <v/>
      </c>
    </row>
    <row r="3334" spans="7:21" x14ac:dyDescent="0.2">
      <c r="G3334" s="8"/>
      <c r="H3334" s="5"/>
      <c r="J3334" s="10" t="str">
        <f t="shared" si="506"/>
        <v/>
      </c>
      <c r="K3334" s="10" t="str">
        <f t="shared" si="507"/>
        <v/>
      </c>
      <c r="L3334" s="11" t="str">
        <f t="shared" si="509"/>
        <v/>
      </c>
      <c r="M3334" s="9" t="str">
        <f>IF(G3334&lt;&gt;"",J3334/MAX(J$3:J3334)-1,"")</f>
        <v/>
      </c>
      <c r="N3334" s="9" t="str">
        <f>IF(G3334&lt;&gt;"",K3334/MAX(K$3:K3334)-1,"")</f>
        <v/>
      </c>
      <c r="O3334" s="16" t="str">
        <f t="shared" si="505"/>
        <v/>
      </c>
      <c r="P3334" s="16" t="str">
        <f t="shared" si="505"/>
        <v/>
      </c>
      <c r="Q3334" s="16" t="str">
        <f t="shared" si="505"/>
        <v/>
      </c>
      <c r="R3334" s="5" t="str">
        <f t="shared" si="504"/>
        <v/>
      </c>
      <c r="S3334" s="5" t="str">
        <f t="shared" si="508"/>
        <v/>
      </c>
      <c r="T3334" s="5" t="str">
        <f t="shared" si="503"/>
        <v/>
      </c>
      <c r="U3334" s="5" t="str">
        <f t="shared" si="503"/>
        <v/>
      </c>
    </row>
    <row r="3335" spans="7:21" x14ac:dyDescent="0.2">
      <c r="G3335" s="8"/>
      <c r="H3335" s="5"/>
      <c r="J3335" s="10" t="str">
        <f t="shared" si="506"/>
        <v/>
      </c>
      <c r="K3335" s="10" t="str">
        <f t="shared" si="507"/>
        <v/>
      </c>
      <c r="L3335" s="11" t="str">
        <f t="shared" si="509"/>
        <v/>
      </c>
      <c r="M3335" s="9" t="str">
        <f>IF(G3335&lt;&gt;"",J3335/MAX(J$3:J3335)-1,"")</f>
        <v/>
      </c>
      <c r="N3335" s="9" t="str">
        <f>IF(G3335&lt;&gt;"",K3335/MAX(K$3:K3335)-1,"")</f>
        <v/>
      </c>
      <c r="O3335" s="16" t="str">
        <f t="shared" si="505"/>
        <v/>
      </c>
      <c r="P3335" s="16" t="str">
        <f t="shared" si="505"/>
        <v/>
      </c>
      <c r="Q3335" s="16" t="str">
        <f t="shared" si="505"/>
        <v/>
      </c>
      <c r="R3335" s="5" t="str">
        <f t="shared" si="504"/>
        <v/>
      </c>
      <c r="S3335" s="5" t="str">
        <f t="shared" si="508"/>
        <v/>
      </c>
      <c r="T3335" s="5" t="str">
        <f t="shared" si="503"/>
        <v/>
      </c>
      <c r="U3335" s="5" t="str">
        <f t="shared" si="503"/>
        <v/>
      </c>
    </row>
    <row r="3336" spans="7:21" x14ac:dyDescent="0.2">
      <c r="G3336" s="8"/>
      <c r="H3336" s="5"/>
      <c r="J3336" s="10" t="str">
        <f t="shared" si="506"/>
        <v/>
      </c>
      <c r="K3336" s="10" t="str">
        <f t="shared" si="507"/>
        <v/>
      </c>
      <c r="L3336" s="11" t="str">
        <f t="shared" si="509"/>
        <v/>
      </c>
      <c r="M3336" s="9" t="str">
        <f>IF(G3336&lt;&gt;"",J3336/MAX(J$3:J3336)-1,"")</f>
        <v/>
      </c>
      <c r="N3336" s="9" t="str">
        <f>IF(G3336&lt;&gt;"",K3336/MAX(K$3:K3336)-1,"")</f>
        <v/>
      </c>
      <c r="O3336" s="16" t="str">
        <f t="shared" si="505"/>
        <v/>
      </c>
      <c r="P3336" s="16" t="str">
        <f t="shared" si="505"/>
        <v/>
      </c>
      <c r="Q3336" s="16" t="str">
        <f t="shared" si="505"/>
        <v/>
      </c>
      <c r="R3336" s="5" t="str">
        <f t="shared" si="504"/>
        <v/>
      </c>
      <c r="S3336" s="5" t="str">
        <f t="shared" si="508"/>
        <v/>
      </c>
      <c r="T3336" s="5" t="str">
        <f t="shared" ref="T3336:U3351" si="510">IF($G3336&lt;&gt;"",_xlfn.STDEV.S(O3092:O3336),"")</f>
        <v/>
      </c>
      <c r="U3336" s="5" t="str">
        <f t="shared" si="510"/>
        <v/>
      </c>
    </row>
    <row r="3337" spans="7:21" x14ac:dyDescent="0.2">
      <c r="G3337" s="8"/>
      <c r="H3337" s="5"/>
      <c r="J3337" s="10" t="str">
        <f t="shared" si="506"/>
        <v/>
      </c>
      <c r="K3337" s="10" t="str">
        <f t="shared" si="507"/>
        <v/>
      </c>
      <c r="L3337" s="11" t="str">
        <f t="shared" si="509"/>
        <v/>
      </c>
      <c r="M3337" s="9" t="str">
        <f>IF(G3337&lt;&gt;"",J3337/MAX(J$3:J3337)-1,"")</f>
        <v/>
      </c>
      <c r="N3337" s="9" t="str">
        <f>IF(G3337&lt;&gt;"",K3337/MAX(K$3:K3337)-1,"")</f>
        <v/>
      </c>
      <c r="O3337" s="16" t="str">
        <f t="shared" si="505"/>
        <v/>
      </c>
      <c r="P3337" s="16" t="str">
        <f t="shared" si="505"/>
        <v/>
      </c>
      <c r="Q3337" s="16" t="str">
        <f t="shared" si="505"/>
        <v/>
      </c>
      <c r="R3337" s="5" t="str">
        <f t="shared" si="504"/>
        <v/>
      </c>
      <c r="S3337" s="5" t="str">
        <f t="shared" si="508"/>
        <v/>
      </c>
      <c r="T3337" s="5" t="str">
        <f t="shared" si="510"/>
        <v/>
      </c>
      <c r="U3337" s="5" t="str">
        <f t="shared" si="510"/>
        <v/>
      </c>
    </row>
    <row r="3338" spans="7:21" x14ac:dyDescent="0.2">
      <c r="G3338" s="8"/>
      <c r="H3338" s="5"/>
      <c r="J3338" s="10" t="str">
        <f t="shared" si="506"/>
        <v/>
      </c>
      <c r="K3338" s="10" t="str">
        <f t="shared" si="507"/>
        <v/>
      </c>
      <c r="L3338" s="11" t="str">
        <f t="shared" si="509"/>
        <v/>
      </c>
      <c r="M3338" s="9" t="str">
        <f>IF(G3338&lt;&gt;"",J3338/MAX(J$3:J3338)-1,"")</f>
        <v/>
      </c>
      <c r="N3338" s="9" t="str">
        <f>IF(G3338&lt;&gt;"",K3338/MAX(K$3:K3338)-1,"")</f>
        <v/>
      </c>
      <c r="O3338" s="16" t="str">
        <f t="shared" si="505"/>
        <v/>
      </c>
      <c r="P3338" s="16" t="str">
        <f t="shared" si="505"/>
        <v/>
      </c>
      <c r="Q3338" s="16" t="str">
        <f t="shared" si="505"/>
        <v/>
      </c>
      <c r="R3338" s="5" t="str">
        <f t="shared" si="504"/>
        <v/>
      </c>
      <c r="S3338" s="5" t="str">
        <f t="shared" si="508"/>
        <v/>
      </c>
      <c r="T3338" s="5" t="str">
        <f t="shared" si="510"/>
        <v/>
      </c>
      <c r="U3338" s="5" t="str">
        <f t="shared" si="510"/>
        <v/>
      </c>
    </row>
    <row r="3339" spans="7:21" x14ac:dyDescent="0.2">
      <c r="G3339" s="8"/>
      <c r="H3339" s="5"/>
      <c r="J3339" s="10" t="str">
        <f t="shared" si="506"/>
        <v/>
      </c>
      <c r="K3339" s="10" t="str">
        <f t="shared" si="507"/>
        <v/>
      </c>
      <c r="L3339" s="11" t="str">
        <f t="shared" si="509"/>
        <v/>
      </c>
      <c r="M3339" s="9" t="str">
        <f>IF(G3339&lt;&gt;"",J3339/MAX(J$3:J3339)-1,"")</f>
        <v/>
      </c>
      <c r="N3339" s="9" t="str">
        <f>IF(G3339&lt;&gt;"",K3339/MAX(K$3:K3339)-1,"")</f>
        <v/>
      </c>
      <c r="O3339" s="16" t="str">
        <f t="shared" si="505"/>
        <v/>
      </c>
      <c r="P3339" s="16" t="str">
        <f t="shared" si="505"/>
        <v/>
      </c>
      <c r="Q3339" s="16" t="str">
        <f t="shared" si="505"/>
        <v/>
      </c>
      <c r="R3339" s="5" t="str">
        <f t="shared" si="504"/>
        <v/>
      </c>
      <c r="S3339" s="5" t="str">
        <f t="shared" si="508"/>
        <v/>
      </c>
      <c r="T3339" s="5" t="str">
        <f t="shared" si="510"/>
        <v/>
      </c>
      <c r="U3339" s="5" t="str">
        <f t="shared" si="510"/>
        <v/>
      </c>
    </row>
    <row r="3340" spans="7:21" x14ac:dyDescent="0.2">
      <c r="G3340" s="8"/>
      <c r="H3340" s="5"/>
      <c r="J3340" s="10" t="str">
        <f t="shared" si="506"/>
        <v/>
      </c>
      <c r="K3340" s="10" t="str">
        <f t="shared" si="507"/>
        <v/>
      </c>
      <c r="L3340" s="11" t="str">
        <f t="shared" si="509"/>
        <v/>
      </c>
      <c r="M3340" s="9" t="str">
        <f>IF(G3340&lt;&gt;"",J3340/MAX(J$3:J3340)-1,"")</f>
        <v/>
      </c>
      <c r="N3340" s="9" t="str">
        <f>IF(G3340&lt;&gt;"",K3340/MAX(K$3:K3340)-1,"")</f>
        <v/>
      </c>
      <c r="O3340" s="16" t="str">
        <f t="shared" si="505"/>
        <v/>
      </c>
      <c r="P3340" s="16" t="str">
        <f t="shared" si="505"/>
        <v/>
      </c>
      <c r="Q3340" s="16" t="str">
        <f t="shared" si="505"/>
        <v/>
      </c>
      <c r="R3340" s="5" t="str">
        <f t="shared" si="504"/>
        <v/>
      </c>
      <c r="S3340" s="5" t="str">
        <f t="shared" si="508"/>
        <v/>
      </c>
      <c r="T3340" s="5" t="str">
        <f t="shared" si="510"/>
        <v/>
      </c>
      <c r="U3340" s="5" t="str">
        <f t="shared" si="510"/>
        <v/>
      </c>
    </row>
    <row r="3341" spans="7:21" x14ac:dyDescent="0.2">
      <c r="G3341" s="8"/>
      <c r="H3341" s="5"/>
      <c r="J3341" s="10" t="str">
        <f t="shared" si="506"/>
        <v/>
      </c>
      <c r="K3341" s="10" t="str">
        <f t="shared" si="507"/>
        <v/>
      </c>
      <c r="L3341" s="11" t="str">
        <f t="shared" si="509"/>
        <v/>
      </c>
      <c r="M3341" s="9" t="str">
        <f>IF(G3341&lt;&gt;"",J3341/MAX(J$3:J3341)-1,"")</f>
        <v/>
      </c>
      <c r="N3341" s="9" t="str">
        <f>IF(G3341&lt;&gt;"",K3341/MAX(K$3:K3341)-1,"")</f>
        <v/>
      </c>
      <c r="O3341" s="16" t="str">
        <f t="shared" si="505"/>
        <v/>
      </c>
      <c r="P3341" s="16" t="str">
        <f t="shared" si="505"/>
        <v/>
      </c>
      <c r="Q3341" s="16" t="str">
        <f t="shared" si="505"/>
        <v/>
      </c>
      <c r="R3341" s="5" t="str">
        <f t="shared" si="504"/>
        <v/>
      </c>
      <c r="S3341" s="5" t="str">
        <f t="shared" si="508"/>
        <v/>
      </c>
      <c r="T3341" s="5" t="str">
        <f t="shared" si="510"/>
        <v/>
      </c>
      <c r="U3341" s="5" t="str">
        <f t="shared" si="510"/>
        <v/>
      </c>
    </row>
    <row r="3342" spans="7:21" x14ac:dyDescent="0.2">
      <c r="G3342" s="8"/>
      <c r="H3342" s="5"/>
      <c r="J3342" s="10" t="str">
        <f t="shared" si="506"/>
        <v/>
      </c>
      <c r="K3342" s="10" t="str">
        <f t="shared" si="507"/>
        <v/>
      </c>
      <c r="L3342" s="11" t="str">
        <f t="shared" si="509"/>
        <v/>
      </c>
      <c r="M3342" s="9" t="str">
        <f>IF(G3342&lt;&gt;"",J3342/MAX(J$3:J3342)-1,"")</f>
        <v/>
      </c>
      <c r="N3342" s="9" t="str">
        <f>IF(G3342&lt;&gt;"",K3342/MAX(K$3:K3342)-1,"")</f>
        <v/>
      </c>
      <c r="O3342" s="16" t="str">
        <f t="shared" si="505"/>
        <v/>
      </c>
      <c r="P3342" s="16" t="str">
        <f t="shared" si="505"/>
        <v/>
      </c>
      <c r="Q3342" s="16" t="str">
        <f t="shared" si="505"/>
        <v/>
      </c>
      <c r="R3342" s="5" t="str">
        <f t="shared" si="504"/>
        <v/>
      </c>
      <c r="S3342" s="5" t="str">
        <f t="shared" si="508"/>
        <v/>
      </c>
      <c r="T3342" s="5" t="str">
        <f t="shared" si="510"/>
        <v/>
      </c>
      <c r="U3342" s="5" t="str">
        <f t="shared" si="510"/>
        <v/>
      </c>
    </row>
    <row r="3343" spans="7:21" x14ac:dyDescent="0.2">
      <c r="G3343" s="8"/>
      <c r="H3343" s="5"/>
      <c r="J3343" s="10" t="str">
        <f t="shared" si="506"/>
        <v/>
      </c>
      <c r="K3343" s="10" t="str">
        <f t="shared" si="507"/>
        <v/>
      </c>
      <c r="L3343" s="11" t="str">
        <f t="shared" si="509"/>
        <v/>
      </c>
      <c r="M3343" s="9" t="str">
        <f>IF(G3343&lt;&gt;"",J3343/MAX(J$3:J3343)-1,"")</f>
        <v/>
      </c>
      <c r="N3343" s="9" t="str">
        <f>IF(G3343&lt;&gt;"",K3343/MAX(K$3:K3343)-1,"")</f>
        <v/>
      </c>
      <c r="O3343" s="16" t="str">
        <f t="shared" si="505"/>
        <v/>
      </c>
      <c r="P3343" s="16" t="str">
        <f t="shared" si="505"/>
        <v/>
      </c>
      <c r="Q3343" s="16" t="str">
        <f t="shared" si="505"/>
        <v/>
      </c>
      <c r="R3343" s="5" t="str">
        <f t="shared" si="504"/>
        <v/>
      </c>
      <c r="S3343" s="5" t="str">
        <f t="shared" si="508"/>
        <v/>
      </c>
      <c r="T3343" s="5" t="str">
        <f t="shared" si="510"/>
        <v/>
      </c>
      <c r="U3343" s="5" t="str">
        <f t="shared" si="510"/>
        <v/>
      </c>
    </row>
    <row r="3344" spans="7:21" x14ac:dyDescent="0.2">
      <c r="G3344" s="8"/>
      <c r="H3344" s="5"/>
      <c r="J3344" s="10" t="str">
        <f t="shared" si="506"/>
        <v/>
      </c>
      <c r="K3344" s="10" t="str">
        <f t="shared" si="507"/>
        <v/>
      </c>
      <c r="L3344" s="11" t="str">
        <f t="shared" si="509"/>
        <v/>
      </c>
      <c r="M3344" s="9" t="str">
        <f>IF(G3344&lt;&gt;"",J3344/MAX(J$3:J3344)-1,"")</f>
        <v/>
      </c>
      <c r="N3344" s="9" t="str">
        <f>IF(G3344&lt;&gt;"",K3344/MAX(K$3:K3344)-1,"")</f>
        <v/>
      </c>
      <c r="O3344" s="16" t="str">
        <f t="shared" si="505"/>
        <v/>
      </c>
      <c r="P3344" s="16" t="str">
        <f t="shared" si="505"/>
        <v/>
      </c>
      <c r="Q3344" s="16" t="str">
        <f t="shared" si="505"/>
        <v/>
      </c>
      <c r="R3344" s="5" t="str">
        <f t="shared" si="504"/>
        <v/>
      </c>
      <c r="S3344" s="5" t="str">
        <f t="shared" si="508"/>
        <v/>
      </c>
      <c r="T3344" s="5" t="str">
        <f t="shared" si="510"/>
        <v/>
      </c>
      <c r="U3344" s="5" t="str">
        <f t="shared" si="510"/>
        <v/>
      </c>
    </row>
    <row r="3345" spans="7:21" x14ac:dyDescent="0.2">
      <c r="G3345" s="8"/>
      <c r="H3345" s="5"/>
      <c r="J3345" s="10" t="str">
        <f t="shared" si="506"/>
        <v/>
      </c>
      <c r="K3345" s="10" t="str">
        <f t="shared" si="507"/>
        <v/>
      </c>
      <c r="L3345" s="11" t="str">
        <f t="shared" si="509"/>
        <v/>
      </c>
      <c r="M3345" s="9" t="str">
        <f>IF(G3345&lt;&gt;"",J3345/MAX(J$3:J3345)-1,"")</f>
        <v/>
      </c>
      <c r="N3345" s="9" t="str">
        <f>IF(G3345&lt;&gt;"",K3345/MAX(K$3:K3345)-1,"")</f>
        <v/>
      </c>
      <c r="O3345" s="16" t="str">
        <f t="shared" si="505"/>
        <v/>
      </c>
      <c r="P3345" s="16" t="str">
        <f t="shared" si="505"/>
        <v/>
      </c>
      <c r="Q3345" s="16" t="str">
        <f t="shared" si="505"/>
        <v/>
      </c>
      <c r="R3345" s="5" t="str">
        <f t="shared" si="504"/>
        <v/>
      </c>
      <c r="S3345" s="5" t="str">
        <f t="shared" si="508"/>
        <v/>
      </c>
      <c r="T3345" s="5" t="str">
        <f t="shared" si="510"/>
        <v/>
      </c>
      <c r="U3345" s="5" t="str">
        <f t="shared" si="510"/>
        <v/>
      </c>
    </row>
    <row r="3346" spans="7:21" x14ac:dyDescent="0.2">
      <c r="G3346" s="8"/>
      <c r="H3346" s="5"/>
      <c r="J3346" s="10" t="str">
        <f t="shared" si="506"/>
        <v/>
      </c>
      <c r="K3346" s="10" t="str">
        <f t="shared" si="507"/>
        <v/>
      </c>
      <c r="L3346" s="11" t="str">
        <f t="shared" si="509"/>
        <v/>
      </c>
      <c r="M3346" s="9" t="str">
        <f>IF(G3346&lt;&gt;"",J3346/MAX(J$3:J3346)-1,"")</f>
        <v/>
      </c>
      <c r="N3346" s="9" t="str">
        <f>IF(G3346&lt;&gt;"",K3346/MAX(K$3:K3346)-1,"")</f>
        <v/>
      </c>
      <c r="O3346" s="16" t="str">
        <f t="shared" si="505"/>
        <v/>
      </c>
      <c r="P3346" s="16" t="str">
        <f t="shared" si="505"/>
        <v/>
      </c>
      <c r="Q3346" s="16" t="str">
        <f t="shared" si="505"/>
        <v/>
      </c>
      <c r="R3346" s="5" t="str">
        <f t="shared" si="504"/>
        <v/>
      </c>
      <c r="S3346" s="5" t="str">
        <f t="shared" si="508"/>
        <v/>
      </c>
      <c r="T3346" s="5" t="str">
        <f t="shared" si="510"/>
        <v/>
      </c>
      <c r="U3346" s="5" t="str">
        <f t="shared" si="510"/>
        <v/>
      </c>
    </row>
    <row r="3347" spans="7:21" x14ac:dyDescent="0.2">
      <c r="G3347" s="8"/>
      <c r="H3347" s="5"/>
      <c r="J3347" s="10" t="str">
        <f t="shared" si="506"/>
        <v/>
      </c>
      <c r="K3347" s="10" t="str">
        <f t="shared" si="507"/>
        <v/>
      </c>
      <c r="L3347" s="11" t="str">
        <f t="shared" si="509"/>
        <v/>
      </c>
      <c r="M3347" s="9" t="str">
        <f>IF(G3347&lt;&gt;"",J3347/MAX(J$3:J3347)-1,"")</f>
        <v/>
      </c>
      <c r="N3347" s="9" t="str">
        <f>IF(G3347&lt;&gt;"",K3347/MAX(K$3:K3347)-1,"")</f>
        <v/>
      </c>
      <c r="O3347" s="16" t="str">
        <f t="shared" si="505"/>
        <v/>
      </c>
      <c r="P3347" s="16" t="str">
        <f t="shared" si="505"/>
        <v/>
      </c>
      <c r="Q3347" s="16" t="str">
        <f t="shared" si="505"/>
        <v/>
      </c>
      <c r="R3347" s="5" t="str">
        <f t="shared" si="504"/>
        <v/>
      </c>
      <c r="S3347" s="5" t="str">
        <f t="shared" si="508"/>
        <v/>
      </c>
      <c r="T3347" s="5" t="str">
        <f t="shared" si="510"/>
        <v/>
      </c>
      <c r="U3347" s="5" t="str">
        <f t="shared" si="510"/>
        <v/>
      </c>
    </row>
    <row r="3348" spans="7:21" x14ac:dyDescent="0.2">
      <c r="G3348" s="8"/>
      <c r="H3348" s="5"/>
      <c r="J3348" s="10" t="str">
        <f t="shared" si="506"/>
        <v/>
      </c>
      <c r="K3348" s="10" t="str">
        <f t="shared" si="507"/>
        <v/>
      </c>
      <c r="L3348" s="11" t="str">
        <f t="shared" si="509"/>
        <v/>
      </c>
      <c r="M3348" s="9" t="str">
        <f>IF(G3348&lt;&gt;"",J3348/MAX(J$3:J3348)-1,"")</f>
        <v/>
      </c>
      <c r="N3348" s="9" t="str">
        <f>IF(G3348&lt;&gt;"",K3348/MAX(K$3:K3348)-1,"")</f>
        <v/>
      </c>
      <c r="O3348" s="16" t="str">
        <f t="shared" si="505"/>
        <v/>
      </c>
      <c r="P3348" s="16" t="str">
        <f t="shared" si="505"/>
        <v/>
      </c>
      <c r="Q3348" s="16" t="str">
        <f t="shared" si="505"/>
        <v/>
      </c>
      <c r="R3348" s="5" t="str">
        <f t="shared" si="504"/>
        <v/>
      </c>
      <c r="S3348" s="5" t="str">
        <f t="shared" si="508"/>
        <v/>
      </c>
      <c r="T3348" s="5" t="str">
        <f t="shared" si="510"/>
        <v/>
      </c>
      <c r="U3348" s="5" t="str">
        <f t="shared" si="510"/>
        <v/>
      </c>
    </row>
    <row r="3349" spans="7:21" x14ac:dyDescent="0.2">
      <c r="G3349" s="8"/>
      <c r="H3349" s="5"/>
      <c r="J3349" s="10" t="str">
        <f t="shared" si="506"/>
        <v/>
      </c>
      <c r="K3349" s="10" t="str">
        <f t="shared" si="507"/>
        <v/>
      </c>
      <c r="L3349" s="11" t="str">
        <f t="shared" si="509"/>
        <v/>
      </c>
      <c r="M3349" s="9" t="str">
        <f>IF(G3349&lt;&gt;"",J3349/MAX(J$3:J3349)-1,"")</f>
        <v/>
      </c>
      <c r="N3349" s="9" t="str">
        <f>IF(G3349&lt;&gt;"",K3349/MAX(K$3:K3349)-1,"")</f>
        <v/>
      </c>
      <c r="O3349" s="16" t="str">
        <f t="shared" si="505"/>
        <v/>
      </c>
      <c r="P3349" s="16" t="str">
        <f t="shared" si="505"/>
        <v/>
      </c>
      <c r="Q3349" s="16" t="str">
        <f t="shared" si="505"/>
        <v/>
      </c>
      <c r="R3349" s="5" t="str">
        <f t="shared" si="504"/>
        <v/>
      </c>
      <c r="S3349" s="5" t="str">
        <f t="shared" si="508"/>
        <v/>
      </c>
      <c r="T3349" s="5" t="str">
        <f t="shared" si="510"/>
        <v/>
      </c>
      <c r="U3349" s="5" t="str">
        <f t="shared" si="510"/>
        <v/>
      </c>
    </row>
    <row r="3350" spans="7:21" x14ac:dyDescent="0.2">
      <c r="G3350" s="8"/>
      <c r="H3350" s="5"/>
      <c r="J3350" s="10" t="str">
        <f t="shared" si="506"/>
        <v/>
      </c>
      <c r="K3350" s="10" t="str">
        <f t="shared" si="507"/>
        <v/>
      </c>
      <c r="L3350" s="11" t="str">
        <f t="shared" si="509"/>
        <v/>
      </c>
      <c r="M3350" s="9" t="str">
        <f>IF(G3350&lt;&gt;"",J3350/MAX(J$3:J3350)-1,"")</f>
        <v/>
      </c>
      <c r="N3350" s="9" t="str">
        <f>IF(G3350&lt;&gt;"",K3350/MAX(K$3:K3350)-1,"")</f>
        <v/>
      </c>
      <c r="O3350" s="16" t="str">
        <f t="shared" si="505"/>
        <v/>
      </c>
      <c r="P3350" s="16" t="str">
        <f t="shared" si="505"/>
        <v/>
      </c>
      <c r="Q3350" s="16" t="str">
        <f t="shared" si="505"/>
        <v/>
      </c>
      <c r="R3350" s="5" t="str">
        <f t="shared" si="504"/>
        <v/>
      </c>
      <c r="S3350" s="5" t="str">
        <f t="shared" si="508"/>
        <v/>
      </c>
      <c r="T3350" s="5" t="str">
        <f t="shared" si="510"/>
        <v/>
      </c>
      <c r="U3350" s="5" t="str">
        <f t="shared" si="510"/>
        <v/>
      </c>
    </row>
    <row r="3351" spans="7:21" x14ac:dyDescent="0.2">
      <c r="G3351" s="8"/>
      <c r="H3351" s="5"/>
      <c r="J3351" s="10" t="str">
        <f t="shared" si="506"/>
        <v/>
      </c>
      <c r="K3351" s="10" t="str">
        <f t="shared" si="507"/>
        <v/>
      </c>
      <c r="L3351" s="11" t="str">
        <f t="shared" si="509"/>
        <v/>
      </c>
      <c r="M3351" s="9" t="str">
        <f>IF(G3351&lt;&gt;"",J3351/MAX(J$3:J3351)-1,"")</f>
        <v/>
      </c>
      <c r="N3351" s="9" t="str">
        <f>IF(G3351&lt;&gt;"",K3351/MAX(K$3:K3351)-1,"")</f>
        <v/>
      </c>
      <c r="O3351" s="16" t="str">
        <f t="shared" si="505"/>
        <v/>
      </c>
      <c r="P3351" s="16" t="str">
        <f t="shared" si="505"/>
        <v/>
      </c>
      <c r="Q3351" s="16" t="str">
        <f t="shared" si="505"/>
        <v/>
      </c>
      <c r="R3351" s="5" t="str">
        <f t="shared" si="504"/>
        <v/>
      </c>
      <c r="S3351" s="5" t="str">
        <f t="shared" si="508"/>
        <v/>
      </c>
      <c r="T3351" s="5" t="str">
        <f t="shared" si="510"/>
        <v/>
      </c>
      <c r="U3351" s="5" t="str">
        <f t="shared" si="510"/>
        <v/>
      </c>
    </row>
    <row r="3352" spans="7:21" x14ac:dyDescent="0.2">
      <c r="G3352" s="8"/>
      <c r="H3352" s="5"/>
      <c r="J3352" s="10" t="str">
        <f t="shared" si="506"/>
        <v/>
      </c>
      <c r="K3352" s="10" t="str">
        <f t="shared" si="507"/>
        <v/>
      </c>
      <c r="L3352" s="11" t="str">
        <f t="shared" si="509"/>
        <v/>
      </c>
      <c r="M3352" s="9" t="str">
        <f>IF(G3352&lt;&gt;"",J3352/MAX(J$3:J3352)-1,"")</f>
        <v/>
      </c>
      <c r="N3352" s="9" t="str">
        <f>IF(G3352&lt;&gt;"",K3352/MAX(K$3:K3352)-1,"")</f>
        <v/>
      </c>
      <c r="O3352" s="16" t="str">
        <f t="shared" si="505"/>
        <v/>
      </c>
      <c r="P3352" s="16" t="str">
        <f t="shared" si="505"/>
        <v/>
      </c>
      <c r="Q3352" s="16" t="str">
        <f t="shared" si="505"/>
        <v/>
      </c>
      <c r="R3352" s="5" t="str">
        <f t="shared" si="504"/>
        <v/>
      </c>
      <c r="S3352" s="5" t="str">
        <f t="shared" si="508"/>
        <v/>
      </c>
      <c r="T3352" s="5" t="str">
        <f t="shared" ref="T3352:U3367" si="511">IF($G3352&lt;&gt;"",_xlfn.STDEV.S(O3108:O3352),"")</f>
        <v/>
      </c>
      <c r="U3352" s="5" t="str">
        <f t="shared" si="511"/>
        <v/>
      </c>
    </row>
    <row r="3353" spans="7:21" x14ac:dyDescent="0.2">
      <c r="G3353" s="8"/>
      <c r="H3353" s="5"/>
      <c r="J3353" s="10" t="str">
        <f t="shared" si="506"/>
        <v/>
      </c>
      <c r="K3353" s="10" t="str">
        <f t="shared" si="507"/>
        <v/>
      </c>
      <c r="L3353" s="11" t="str">
        <f t="shared" si="509"/>
        <v/>
      </c>
      <c r="M3353" s="9" t="str">
        <f>IF(G3353&lt;&gt;"",J3353/MAX(J$3:J3353)-1,"")</f>
        <v/>
      </c>
      <c r="N3353" s="9" t="str">
        <f>IF(G3353&lt;&gt;"",K3353/MAX(K$3:K3353)-1,"")</f>
        <v/>
      </c>
      <c r="O3353" s="16" t="str">
        <f t="shared" si="505"/>
        <v/>
      </c>
      <c r="P3353" s="16" t="str">
        <f t="shared" si="505"/>
        <v/>
      </c>
      <c r="Q3353" s="16" t="str">
        <f t="shared" si="505"/>
        <v/>
      </c>
      <c r="R3353" s="5" t="str">
        <f t="shared" si="504"/>
        <v/>
      </c>
      <c r="S3353" s="5" t="str">
        <f t="shared" si="508"/>
        <v/>
      </c>
      <c r="T3353" s="5" t="str">
        <f t="shared" si="511"/>
        <v/>
      </c>
      <c r="U3353" s="5" t="str">
        <f t="shared" si="511"/>
        <v/>
      </c>
    </row>
    <row r="3354" spans="7:21" x14ac:dyDescent="0.2">
      <c r="G3354" s="8"/>
      <c r="H3354" s="5"/>
      <c r="J3354" s="10" t="str">
        <f t="shared" si="506"/>
        <v/>
      </c>
      <c r="K3354" s="10" t="str">
        <f t="shared" si="507"/>
        <v/>
      </c>
      <c r="L3354" s="11" t="str">
        <f t="shared" si="509"/>
        <v/>
      </c>
      <c r="M3354" s="9" t="str">
        <f>IF(G3354&lt;&gt;"",J3354/MAX(J$3:J3354)-1,"")</f>
        <v/>
      </c>
      <c r="N3354" s="9" t="str">
        <f>IF(G3354&lt;&gt;"",K3354/MAX(K$3:K3354)-1,"")</f>
        <v/>
      </c>
      <c r="O3354" s="16" t="str">
        <f t="shared" si="505"/>
        <v/>
      </c>
      <c r="P3354" s="16" t="str">
        <f t="shared" si="505"/>
        <v/>
      </c>
      <c r="Q3354" s="16" t="str">
        <f t="shared" si="505"/>
        <v/>
      </c>
      <c r="R3354" s="5" t="str">
        <f t="shared" si="504"/>
        <v/>
      </c>
      <c r="S3354" s="5" t="str">
        <f t="shared" si="508"/>
        <v/>
      </c>
      <c r="T3354" s="5" t="str">
        <f t="shared" si="511"/>
        <v/>
      </c>
      <c r="U3354" s="5" t="str">
        <f t="shared" si="511"/>
        <v/>
      </c>
    </row>
    <row r="3355" spans="7:21" x14ac:dyDescent="0.2">
      <c r="G3355" s="8"/>
      <c r="H3355" s="5"/>
      <c r="J3355" s="10" t="str">
        <f t="shared" si="506"/>
        <v/>
      </c>
      <c r="K3355" s="10" t="str">
        <f t="shared" si="507"/>
        <v/>
      </c>
      <c r="L3355" s="11" t="str">
        <f t="shared" si="509"/>
        <v/>
      </c>
      <c r="M3355" s="9" t="str">
        <f>IF(G3355&lt;&gt;"",J3355/MAX(J$3:J3355)-1,"")</f>
        <v/>
      </c>
      <c r="N3355" s="9" t="str">
        <f>IF(G3355&lt;&gt;"",K3355/MAX(K$3:K3355)-1,"")</f>
        <v/>
      </c>
      <c r="O3355" s="16" t="str">
        <f t="shared" si="505"/>
        <v/>
      </c>
      <c r="P3355" s="16" t="str">
        <f t="shared" si="505"/>
        <v/>
      </c>
      <c r="Q3355" s="16" t="str">
        <f t="shared" si="505"/>
        <v/>
      </c>
      <c r="R3355" s="5" t="str">
        <f t="shared" si="504"/>
        <v/>
      </c>
      <c r="S3355" s="5" t="str">
        <f t="shared" si="508"/>
        <v/>
      </c>
      <c r="T3355" s="5" t="str">
        <f t="shared" si="511"/>
        <v/>
      </c>
      <c r="U3355" s="5" t="str">
        <f t="shared" si="511"/>
        <v/>
      </c>
    </row>
    <row r="3356" spans="7:21" x14ac:dyDescent="0.2">
      <c r="G3356" s="8"/>
      <c r="H3356" s="5"/>
      <c r="J3356" s="10" t="str">
        <f t="shared" si="506"/>
        <v/>
      </c>
      <c r="K3356" s="10" t="str">
        <f t="shared" si="507"/>
        <v/>
      </c>
      <c r="L3356" s="11" t="str">
        <f t="shared" si="509"/>
        <v/>
      </c>
      <c r="M3356" s="9" t="str">
        <f>IF(G3356&lt;&gt;"",J3356/MAX(J$3:J3356)-1,"")</f>
        <v/>
      </c>
      <c r="N3356" s="9" t="str">
        <f>IF(G3356&lt;&gt;"",K3356/MAX(K$3:K3356)-1,"")</f>
        <v/>
      </c>
      <c r="O3356" s="16" t="str">
        <f t="shared" si="505"/>
        <v/>
      </c>
      <c r="P3356" s="16" t="str">
        <f t="shared" si="505"/>
        <v/>
      </c>
      <c r="Q3356" s="16" t="str">
        <f t="shared" si="505"/>
        <v/>
      </c>
      <c r="R3356" s="5" t="str">
        <f t="shared" si="504"/>
        <v/>
      </c>
      <c r="S3356" s="5" t="str">
        <f t="shared" si="508"/>
        <v/>
      </c>
      <c r="T3356" s="5" t="str">
        <f t="shared" si="511"/>
        <v/>
      </c>
      <c r="U3356" s="5" t="str">
        <f t="shared" si="511"/>
        <v/>
      </c>
    </row>
    <row r="3357" spans="7:21" x14ac:dyDescent="0.2">
      <c r="G3357" s="8"/>
      <c r="H3357" s="5"/>
      <c r="J3357" s="10" t="str">
        <f t="shared" si="506"/>
        <v/>
      </c>
      <c r="K3357" s="10" t="str">
        <f t="shared" si="507"/>
        <v/>
      </c>
      <c r="L3357" s="11" t="str">
        <f t="shared" si="509"/>
        <v/>
      </c>
      <c r="M3357" s="9" t="str">
        <f>IF(G3357&lt;&gt;"",J3357/MAX(J$3:J3357)-1,"")</f>
        <v/>
      </c>
      <c r="N3357" s="9" t="str">
        <f>IF(G3357&lt;&gt;"",K3357/MAX(K$3:K3357)-1,"")</f>
        <v/>
      </c>
      <c r="O3357" s="16" t="str">
        <f t="shared" si="505"/>
        <v/>
      </c>
      <c r="P3357" s="16" t="str">
        <f t="shared" si="505"/>
        <v/>
      </c>
      <c r="Q3357" s="16" t="str">
        <f t="shared" si="505"/>
        <v/>
      </c>
      <c r="R3357" s="5" t="str">
        <f t="shared" si="504"/>
        <v/>
      </c>
      <c r="S3357" s="5" t="str">
        <f t="shared" si="508"/>
        <v/>
      </c>
      <c r="T3357" s="5" t="str">
        <f t="shared" si="511"/>
        <v/>
      </c>
      <c r="U3357" s="5" t="str">
        <f t="shared" si="511"/>
        <v/>
      </c>
    </row>
    <row r="3358" spans="7:21" x14ac:dyDescent="0.2">
      <c r="G3358" s="8"/>
      <c r="H3358" s="5"/>
      <c r="J3358" s="10" t="str">
        <f t="shared" si="506"/>
        <v/>
      </c>
      <c r="K3358" s="10" t="str">
        <f t="shared" si="507"/>
        <v/>
      </c>
      <c r="L3358" s="11" t="str">
        <f t="shared" si="509"/>
        <v/>
      </c>
      <c r="M3358" s="9" t="str">
        <f>IF(G3358&lt;&gt;"",J3358/MAX(J$3:J3358)-1,"")</f>
        <v/>
      </c>
      <c r="N3358" s="9" t="str">
        <f>IF(G3358&lt;&gt;"",K3358/MAX(K$3:K3358)-1,"")</f>
        <v/>
      </c>
      <c r="O3358" s="16" t="str">
        <f t="shared" si="505"/>
        <v/>
      </c>
      <c r="P3358" s="16" t="str">
        <f t="shared" si="505"/>
        <v/>
      </c>
      <c r="Q3358" s="16" t="str">
        <f t="shared" si="505"/>
        <v/>
      </c>
      <c r="R3358" s="5" t="str">
        <f t="shared" si="504"/>
        <v/>
      </c>
      <c r="S3358" s="5" t="str">
        <f t="shared" si="508"/>
        <v/>
      </c>
      <c r="T3358" s="5" t="str">
        <f t="shared" si="511"/>
        <v/>
      </c>
      <c r="U3358" s="5" t="str">
        <f t="shared" si="511"/>
        <v/>
      </c>
    </row>
    <row r="3359" spans="7:21" x14ac:dyDescent="0.2">
      <c r="G3359" s="8"/>
      <c r="H3359" s="5"/>
      <c r="J3359" s="10" t="str">
        <f t="shared" si="506"/>
        <v/>
      </c>
      <c r="K3359" s="10" t="str">
        <f t="shared" si="507"/>
        <v/>
      </c>
      <c r="L3359" s="11" t="str">
        <f t="shared" si="509"/>
        <v/>
      </c>
      <c r="M3359" s="9" t="str">
        <f>IF(G3359&lt;&gt;"",J3359/MAX(J$3:J3359)-1,"")</f>
        <v/>
      </c>
      <c r="N3359" s="9" t="str">
        <f>IF(G3359&lt;&gt;"",K3359/MAX(K$3:K3359)-1,"")</f>
        <v/>
      </c>
      <c r="O3359" s="16" t="str">
        <f t="shared" si="505"/>
        <v/>
      </c>
      <c r="P3359" s="16" t="str">
        <f t="shared" si="505"/>
        <v/>
      </c>
      <c r="Q3359" s="16" t="str">
        <f t="shared" si="505"/>
        <v/>
      </c>
      <c r="R3359" s="5" t="str">
        <f t="shared" si="504"/>
        <v/>
      </c>
      <c r="S3359" s="5" t="str">
        <f t="shared" si="508"/>
        <v/>
      </c>
      <c r="T3359" s="5" t="str">
        <f t="shared" si="511"/>
        <v/>
      </c>
      <c r="U3359" s="5" t="str">
        <f t="shared" si="511"/>
        <v/>
      </c>
    </row>
    <row r="3360" spans="7:21" x14ac:dyDescent="0.2">
      <c r="G3360" s="8"/>
      <c r="H3360" s="5"/>
      <c r="J3360" s="10" t="str">
        <f t="shared" si="506"/>
        <v/>
      </c>
      <c r="K3360" s="10" t="str">
        <f t="shared" si="507"/>
        <v/>
      </c>
      <c r="L3360" s="11" t="str">
        <f t="shared" si="509"/>
        <v/>
      </c>
      <c r="M3360" s="9" t="str">
        <f>IF(G3360&lt;&gt;"",J3360/MAX(J$3:J3360)-1,"")</f>
        <v/>
      </c>
      <c r="N3360" s="9" t="str">
        <f>IF(G3360&lt;&gt;"",K3360/MAX(K$3:K3360)-1,"")</f>
        <v/>
      </c>
      <c r="O3360" s="16" t="str">
        <f t="shared" si="505"/>
        <v/>
      </c>
      <c r="P3360" s="16" t="str">
        <f t="shared" si="505"/>
        <v/>
      </c>
      <c r="Q3360" s="16" t="str">
        <f t="shared" si="505"/>
        <v/>
      </c>
      <c r="R3360" s="5" t="str">
        <f t="shared" si="504"/>
        <v/>
      </c>
      <c r="S3360" s="5" t="str">
        <f t="shared" si="508"/>
        <v/>
      </c>
      <c r="T3360" s="5" t="str">
        <f t="shared" si="511"/>
        <v/>
      </c>
      <c r="U3360" s="5" t="str">
        <f t="shared" si="511"/>
        <v/>
      </c>
    </row>
    <row r="3361" spans="7:21" x14ac:dyDescent="0.2">
      <c r="G3361" s="8"/>
      <c r="H3361" s="5"/>
      <c r="J3361" s="10" t="str">
        <f t="shared" si="506"/>
        <v/>
      </c>
      <c r="K3361" s="10" t="str">
        <f t="shared" si="507"/>
        <v/>
      </c>
      <c r="L3361" s="11" t="str">
        <f t="shared" si="509"/>
        <v/>
      </c>
      <c r="M3361" s="9" t="str">
        <f>IF(G3361&lt;&gt;"",J3361/MAX(J$3:J3361)-1,"")</f>
        <v/>
      </c>
      <c r="N3361" s="9" t="str">
        <f>IF(G3361&lt;&gt;"",K3361/MAX(K$3:K3361)-1,"")</f>
        <v/>
      </c>
      <c r="O3361" s="16" t="str">
        <f t="shared" si="505"/>
        <v/>
      </c>
      <c r="P3361" s="16" t="str">
        <f t="shared" si="505"/>
        <v/>
      </c>
      <c r="Q3361" s="16" t="str">
        <f t="shared" si="505"/>
        <v/>
      </c>
      <c r="R3361" s="5" t="str">
        <f t="shared" si="504"/>
        <v/>
      </c>
      <c r="S3361" s="5" t="str">
        <f t="shared" si="508"/>
        <v/>
      </c>
      <c r="T3361" s="5" t="str">
        <f t="shared" si="511"/>
        <v/>
      </c>
      <c r="U3361" s="5" t="str">
        <f t="shared" si="511"/>
        <v/>
      </c>
    </row>
    <row r="3362" spans="7:21" x14ac:dyDescent="0.2">
      <c r="G3362" s="8"/>
      <c r="H3362" s="5"/>
      <c r="J3362" s="10" t="str">
        <f t="shared" si="506"/>
        <v/>
      </c>
      <c r="K3362" s="10" t="str">
        <f t="shared" si="507"/>
        <v/>
      </c>
      <c r="L3362" s="11" t="str">
        <f t="shared" si="509"/>
        <v/>
      </c>
      <c r="M3362" s="9" t="str">
        <f>IF(G3362&lt;&gt;"",J3362/MAX(J$3:J3362)-1,"")</f>
        <v/>
      </c>
      <c r="N3362" s="9" t="str">
        <f>IF(G3362&lt;&gt;"",K3362/MAX(K$3:K3362)-1,"")</f>
        <v/>
      </c>
      <c r="O3362" s="16" t="str">
        <f t="shared" si="505"/>
        <v/>
      </c>
      <c r="P3362" s="16" t="str">
        <f t="shared" si="505"/>
        <v/>
      </c>
      <c r="Q3362" s="16" t="str">
        <f t="shared" si="505"/>
        <v/>
      </c>
      <c r="R3362" s="5" t="str">
        <f t="shared" si="504"/>
        <v/>
      </c>
      <c r="S3362" s="5" t="str">
        <f t="shared" si="508"/>
        <v/>
      </c>
      <c r="T3362" s="5" t="str">
        <f t="shared" si="511"/>
        <v/>
      </c>
      <c r="U3362" s="5" t="str">
        <f t="shared" si="511"/>
        <v/>
      </c>
    </row>
    <row r="3363" spans="7:21" x14ac:dyDescent="0.2">
      <c r="G3363" s="8"/>
      <c r="H3363" s="5"/>
      <c r="J3363" s="10" t="str">
        <f t="shared" si="506"/>
        <v/>
      </c>
      <c r="K3363" s="10" t="str">
        <f t="shared" si="507"/>
        <v/>
      </c>
      <c r="L3363" s="11" t="str">
        <f t="shared" si="509"/>
        <v/>
      </c>
      <c r="M3363" s="9" t="str">
        <f>IF(G3363&lt;&gt;"",J3363/MAX(J$3:J3363)-1,"")</f>
        <v/>
      </c>
      <c r="N3363" s="9" t="str">
        <f>IF(G3363&lt;&gt;"",K3363/MAX(K$3:K3363)-1,"")</f>
        <v/>
      </c>
      <c r="O3363" s="16" t="str">
        <f t="shared" si="505"/>
        <v/>
      </c>
      <c r="P3363" s="16" t="str">
        <f t="shared" si="505"/>
        <v/>
      </c>
      <c r="Q3363" s="16" t="str">
        <f t="shared" si="505"/>
        <v/>
      </c>
      <c r="R3363" s="5" t="str">
        <f t="shared" si="504"/>
        <v/>
      </c>
      <c r="S3363" s="5" t="str">
        <f t="shared" si="508"/>
        <v/>
      </c>
      <c r="T3363" s="5" t="str">
        <f t="shared" si="511"/>
        <v/>
      </c>
      <c r="U3363" s="5" t="str">
        <f t="shared" si="511"/>
        <v/>
      </c>
    </row>
    <row r="3364" spans="7:21" x14ac:dyDescent="0.2">
      <c r="G3364" s="8"/>
      <c r="H3364" s="5"/>
      <c r="J3364" s="10" t="str">
        <f t="shared" si="506"/>
        <v/>
      </c>
      <c r="K3364" s="10" t="str">
        <f t="shared" si="507"/>
        <v/>
      </c>
      <c r="L3364" s="11" t="str">
        <f t="shared" si="509"/>
        <v/>
      </c>
      <c r="M3364" s="9" t="str">
        <f>IF(G3364&lt;&gt;"",J3364/MAX(J$3:J3364)-1,"")</f>
        <v/>
      </c>
      <c r="N3364" s="9" t="str">
        <f>IF(G3364&lt;&gt;"",K3364/MAX(K$3:K3364)-1,"")</f>
        <v/>
      </c>
      <c r="O3364" s="16" t="str">
        <f t="shared" si="505"/>
        <v/>
      </c>
      <c r="P3364" s="16" t="str">
        <f t="shared" si="505"/>
        <v/>
      </c>
      <c r="Q3364" s="16" t="str">
        <f t="shared" si="505"/>
        <v/>
      </c>
      <c r="R3364" s="5" t="str">
        <f t="shared" si="504"/>
        <v/>
      </c>
      <c r="S3364" s="5" t="str">
        <f t="shared" si="508"/>
        <v/>
      </c>
      <c r="T3364" s="5" t="str">
        <f t="shared" si="511"/>
        <v/>
      </c>
      <c r="U3364" s="5" t="str">
        <f t="shared" si="511"/>
        <v/>
      </c>
    </row>
    <row r="3365" spans="7:21" x14ac:dyDescent="0.2">
      <c r="G3365" s="8"/>
      <c r="H3365" s="5"/>
      <c r="J3365" s="10" t="str">
        <f t="shared" si="506"/>
        <v/>
      </c>
      <c r="K3365" s="10" t="str">
        <f t="shared" si="507"/>
        <v/>
      </c>
      <c r="L3365" s="11" t="str">
        <f t="shared" si="509"/>
        <v/>
      </c>
      <c r="M3365" s="9" t="str">
        <f>IF(G3365&lt;&gt;"",J3365/MAX(J$3:J3365)-1,"")</f>
        <v/>
      </c>
      <c r="N3365" s="9" t="str">
        <f>IF(G3365&lt;&gt;"",K3365/MAX(K$3:K3365)-1,"")</f>
        <v/>
      </c>
      <c r="O3365" s="16" t="str">
        <f t="shared" si="505"/>
        <v/>
      </c>
      <c r="P3365" s="16" t="str">
        <f t="shared" si="505"/>
        <v/>
      </c>
      <c r="Q3365" s="16" t="str">
        <f t="shared" si="505"/>
        <v/>
      </c>
      <c r="R3365" s="5" t="str">
        <f t="shared" si="504"/>
        <v/>
      </c>
      <c r="S3365" s="5" t="str">
        <f t="shared" si="508"/>
        <v/>
      </c>
      <c r="T3365" s="5" t="str">
        <f t="shared" si="511"/>
        <v/>
      </c>
      <c r="U3365" s="5" t="str">
        <f t="shared" si="511"/>
        <v/>
      </c>
    </row>
    <row r="3366" spans="7:21" x14ac:dyDescent="0.2">
      <c r="G3366" s="8"/>
      <c r="H3366" s="5"/>
      <c r="J3366" s="10" t="str">
        <f t="shared" si="506"/>
        <v/>
      </c>
      <c r="K3366" s="10" t="str">
        <f t="shared" si="507"/>
        <v/>
      </c>
      <c r="L3366" s="11" t="str">
        <f t="shared" si="509"/>
        <v/>
      </c>
      <c r="M3366" s="9" t="str">
        <f>IF(G3366&lt;&gt;"",J3366/MAX(J$3:J3366)-1,"")</f>
        <v/>
      </c>
      <c r="N3366" s="9" t="str">
        <f>IF(G3366&lt;&gt;"",K3366/MAX(K$3:K3366)-1,"")</f>
        <v/>
      </c>
      <c r="O3366" s="16" t="str">
        <f t="shared" si="505"/>
        <v/>
      </c>
      <c r="P3366" s="16" t="str">
        <f t="shared" si="505"/>
        <v/>
      </c>
      <c r="Q3366" s="16" t="str">
        <f t="shared" si="505"/>
        <v/>
      </c>
      <c r="R3366" s="5" t="str">
        <f t="shared" si="504"/>
        <v/>
      </c>
      <c r="S3366" s="5" t="str">
        <f t="shared" si="508"/>
        <v/>
      </c>
      <c r="T3366" s="5" t="str">
        <f t="shared" si="511"/>
        <v/>
      </c>
      <c r="U3366" s="5" t="str">
        <f t="shared" si="511"/>
        <v/>
      </c>
    </row>
    <row r="3367" spans="7:21" x14ac:dyDescent="0.2">
      <c r="G3367" s="8"/>
      <c r="H3367" s="5"/>
      <c r="J3367" s="10" t="str">
        <f t="shared" si="506"/>
        <v/>
      </c>
      <c r="K3367" s="10" t="str">
        <f t="shared" si="507"/>
        <v/>
      </c>
      <c r="L3367" s="11" t="str">
        <f t="shared" si="509"/>
        <v/>
      </c>
      <c r="M3367" s="9" t="str">
        <f>IF(G3367&lt;&gt;"",J3367/MAX(J$3:J3367)-1,"")</f>
        <v/>
      </c>
      <c r="N3367" s="9" t="str">
        <f>IF(G3367&lt;&gt;"",K3367/MAX(K$3:K3367)-1,"")</f>
        <v/>
      </c>
      <c r="O3367" s="16" t="str">
        <f t="shared" si="505"/>
        <v/>
      </c>
      <c r="P3367" s="16" t="str">
        <f t="shared" si="505"/>
        <v/>
      </c>
      <c r="Q3367" s="16" t="str">
        <f t="shared" si="505"/>
        <v/>
      </c>
      <c r="R3367" s="5" t="str">
        <f t="shared" si="504"/>
        <v/>
      </c>
      <c r="S3367" s="5" t="str">
        <f t="shared" si="508"/>
        <v/>
      </c>
      <c r="T3367" s="5" t="str">
        <f t="shared" si="511"/>
        <v/>
      </c>
      <c r="U3367" s="5" t="str">
        <f t="shared" si="511"/>
        <v/>
      </c>
    </row>
    <row r="3368" spans="7:21" x14ac:dyDescent="0.2">
      <c r="G3368" s="8"/>
      <c r="H3368" s="5"/>
      <c r="J3368" s="10" t="str">
        <f t="shared" si="506"/>
        <v/>
      </c>
      <c r="K3368" s="10" t="str">
        <f t="shared" si="507"/>
        <v/>
      </c>
      <c r="L3368" s="11" t="str">
        <f t="shared" si="509"/>
        <v/>
      </c>
      <c r="M3368" s="9" t="str">
        <f>IF(G3368&lt;&gt;"",J3368/MAX(J$3:J3368)-1,"")</f>
        <v/>
      </c>
      <c r="N3368" s="9" t="str">
        <f>IF(G3368&lt;&gt;"",K3368/MAX(K$3:K3368)-1,"")</f>
        <v/>
      </c>
      <c r="O3368" s="16" t="str">
        <f t="shared" si="505"/>
        <v/>
      </c>
      <c r="P3368" s="16" t="str">
        <f t="shared" si="505"/>
        <v/>
      </c>
      <c r="Q3368" s="16" t="str">
        <f t="shared" si="505"/>
        <v/>
      </c>
      <c r="R3368" s="5" t="str">
        <f t="shared" si="504"/>
        <v/>
      </c>
      <c r="S3368" s="5" t="str">
        <f t="shared" si="508"/>
        <v/>
      </c>
      <c r="T3368" s="5" t="str">
        <f t="shared" ref="T3368:U3383" si="512">IF($G3368&lt;&gt;"",_xlfn.STDEV.S(O3124:O3368),"")</f>
        <v/>
      </c>
      <c r="U3368" s="5" t="str">
        <f t="shared" si="512"/>
        <v/>
      </c>
    </row>
    <row r="3369" spans="7:21" x14ac:dyDescent="0.2">
      <c r="G3369" s="8"/>
      <c r="H3369" s="5"/>
      <c r="J3369" s="10" t="str">
        <f t="shared" si="506"/>
        <v/>
      </c>
      <c r="K3369" s="10" t="str">
        <f t="shared" si="507"/>
        <v/>
      </c>
      <c r="L3369" s="11" t="str">
        <f t="shared" si="509"/>
        <v/>
      </c>
      <c r="M3369" s="9" t="str">
        <f>IF(G3369&lt;&gt;"",J3369/MAX(J$3:J3369)-1,"")</f>
        <v/>
      </c>
      <c r="N3369" s="9" t="str">
        <f>IF(G3369&lt;&gt;"",K3369/MAX(K$3:K3369)-1,"")</f>
        <v/>
      </c>
      <c r="O3369" s="16" t="str">
        <f t="shared" si="505"/>
        <v/>
      </c>
      <c r="P3369" s="16" t="str">
        <f t="shared" si="505"/>
        <v/>
      </c>
      <c r="Q3369" s="16" t="str">
        <f t="shared" si="505"/>
        <v/>
      </c>
      <c r="R3369" s="5" t="str">
        <f t="shared" si="504"/>
        <v/>
      </c>
      <c r="S3369" s="5" t="str">
        <f t="shared" si="508"/>
        <v/>
      </c>
      <c r="T3369" s="5" t="str">
        <f t="shared" si="512"/>
        <v/>
      </c>
      <c r="U3369" s="5" t="str">
        <f t="shared" si="512"/>
        <v/>
      </c>
    </row>
    <row r="3370" spans="7:21" x14ac:dyDescent="0.2">
      <c r="G3370" s="8"/>
      <c r="H3370" s="5"/>
      <c r="J3370" s="10" t="str">
        <f t="shared" si="506"/>
        <v/>
      </c>
      <c r="K3370" s="10" t="str">
        <f t="shared" si="507"/>
        <v/>
      </c>
      <c r="L3370" s="11" t="str">
        <f t="shared" si="509"/>
        <v/>
      </c>
      <c r="M3370" s="9" t="str">
        <f>IF(G3370&lt;&gt;"",J3370/MAX(J$3:J3370)-1,"")</f>
        <v/>
      </c>
      <c r="N3370" s="9" t="str">
        <f>IF(G3370&lt;&gt;"",K3370/MAX(K$3:K3370)-1,"")</f>
        <v/>
      </c>
      <c r="O3370" s="16" t="str">
        <f t="shared" si="505"/>
        <v/>
      </c>
      <c r="P3370" s="16" t="str">
        <f t="shared" si="505"/>
        <v/>
      </c>
      <c r="Q3370" s="16" t="str">
        <f t="shared" si="505"/>
        <v/>
      </c>
      <c r="R3370" s="5" t="str">
        <f t="shared" si="504"/>
        <v/>
      </c>
      <c r="S3370" s="5" t="str">
        <f t="shared" si="508"/>
        <v/>
      </c>
      <c r="T3370" s="5" t="str">
        <f t="shared" si="512"/>
        <v/>
      </c>
      <c r="U3370" s="5" t="str">
        <f t="shared" si="512"/>
        <v/>
      </c>
    </row>
    <row r="3371" spans="7:21" x14ac:dyDescent="0.2">
      <c r="G3371" s="8"/>
      <c r="H3371" s="5"/>
      <c r="J3371" s="10" t="str">
        <f t="shared" si="506"/>
        <v/>
      </c>
      <c r="K3371" s="10" t="str">
        <f t="shared" si="507"/>
        <v/>
      </c>
      <c r="L3371" s="11" t="str">
        <f t="shared" si="509"/>
        <v/>
      </c>
      <c r="M3371" s="9" t="str">
        <f>IF(G3371&lt;&gt;"",J3371/MAX(J$3:J3371)-1,"")</f>
        <v/>
      </c>
      <c r="N3371" s="9" t="str">
        <f>IF(G3371&lt;&gt;"",K3371/MAX(K$3:K3371)-1,"")</f>
        <v/>
      </c>
      <c r="O3371" s="16" t="str">
        <f t="shared" si="505"/>
        <v/>
      </c>
      <c r="P3371" s="16" t="str">
        <f t="shared" si="505"/>
        <v/>
      </c>
      <c r="Q3371" s="16" t="str">
        <f t="shared" si="505"/>
        <v/>
      </c>
      <c r="R3371" s="5" t="str">
        <f t="shared" si="504"/>
        <v/>
      </c>
      <c r="S3371" s="5" t="str">
        <f t="shared" si="508"/>
        <v/>
      </c>
      <c r="T3371" s="5" t="str">
        <f t="shared" si="512"/>
        <v/>
      </c>
      <c r="U3371" s="5" t="str">
        <f t="shared" si="512"/>
        <v/>
      </c>
    </row>
    <row r="3372" spans="7:21" x14ac:dyDescent="0.2">
      <c r="G3372" s="8"/>
      <c r="H3372" s="5"/>
      <c r="J3372" s="10" t="str">
        <f t="shared" si="506"/>
        <v/>
      </c>
      <c r="K3372" s="10" t="str">
        <f t="shared" si="507"/>
        <v/>
      </c>
      <c r="L3372" s="11" t="str">
        <f t="shared" si="509"/>
        <v/>
      </c>
      <c r="M3372" s="9" t="str">
        <f>IF(G3372&lt;&gt;"",J3372/MAX(J$3:J3372)-1,"")</f>
        <v/>
      </c>
      <c r="N3372" s="9" t="str">
        <f>IF(G3372&lt;&gt;"",K3372/MAX(K$3:K3372)-1,"")</f>
        <v/>
      </c>
      <c r="O3372" s="16" t="str">
        <f t="shared" si="505"/>
        <v/>
      </c>
      <c r="P3372" s="16" t="str">
        <f t="shared" si="505"/>
        <v/>
      </c>
      <c r="Q3372" s="16" t="str">
        <f t="shared" si="505"/>
        <v/>
      </c>
      <c r="R3372" s="5" t="str">
        <f t="shared" si="504"/>
        <v/>
      </c>
      <c r="S3372" s="5" t="str">
        <f t="shared" si="508"/>
        <v/>
      </c>
      <c r="T3372" s="5" t="str">
        <f t="shared" si="512"/>
        <v/>
      </c>
      <c r="U3372" s="5" t="str">
        <f t="shared" si="512"/>
        <v/>
      </c>
    </row>
    <row r="3373" spans="7:21" x14ac:dyDescent="0.2">
      <c r="G3373" s="8"/>
      <c r="H3373" s="5"/>
      <c r="J3373" s="10" t="str">
        <f t="shared" si="506"/>
        <v/>
      </c>
      <c r="K3373" s="10" t="str">
        <f t="shared" si="507"/>
        <v/>
      </c>
      <c r="L3373" s="11" t="str">
        <f t="shared" si="509"/>
        <v/>
      </c>
      <c r="M3373" s="9" t="str">
        <f>IF(G3373&lt;&gt;"",J3373/MAX(J$3:J3373)-1,"")</f>
        <v/>
      </c>
      <c r="N3373" s="9" t="str">
        <f>IF(G3373&lt;&gt;"",K3373/MAX(K$3:K3373)-1,"")</f>
        <v/>
      </c>
      <c r="O3373" s="16" t="str">
        <f t="shared" si="505"/>
        <v/>
      </c>
      <c r="P3373" s="16" t="str">
        <f t="shared" si="505"/>
        <v/>
      </c>
      <c r="Q3373" s="16" t="str">
        <f t="shared" si="505"/>
        <v/>
      </c>
      <c r="R3373" s="5" t="str">
        <f t="shared" si="504"/>
        <v/>
      </c>
      <c r="S3373" s="5" t="str">
        <f t="shared" si="508"/>
        <v/>
      </c>
      <c r="T3373" s="5" t="str">
        <f t="shared" si="512"/>
        <v/>
      </c>
      <c r="U3373" s="5" t="str">
        <f t="shared" si="512"/>
        <v/>
      </c>
    </row>
    <row r="3374" spans="7:21" x14ac:dyDescent="0.2">
      <c r="G3374" s="8"/>
      <c r="H3374" s="5"/>
      <c r="J3374" s="10" t="str">
        <f t="shared" si="506"/>
        <v/>
      </c>
      <c r="K3374" s="10" t="str">
        <f t="shared" si="507"/>
        <v/>
      </c>
      <c r="L3374" s="11" t="str">
        <f t="shared" si="509"/>
        <v/>
      </c>
      <c r="M3374" s="9" t="str">
        <f>IF(G3374&lt;&gt;"",J3374/MAX(J$3:J3374)-1,"")</f>
        <v/>
      </c>
      <c r="N3374" s="9" t="str">
        <f>IF(G3374&lt;&gt;"",K3374/MAX(K$3:K3374)-1,"")</f>
        <v/>
      </c>
      <c r="O3374" s="16" t="str">
        <f t="shared" si="505"/>
        <v/>
      </c>
      <c r="P3374" s="16" t="str">
        <f t="shared" si="505"/>
        <v/>
      </c>
      <c r="Q3374" s="16" t="str">
        <f t="shared" si="505"/>
        <v/>
      </c>
      <c r="R3374" s="5" t="str">
        <f t="shared" si="504"/>
        <v/>
      </c>
      <c r="S3374" s="5" t="str">
        <f t="shared" si="508"/>
        <v/>
      </c>
      <c r="T3374" s="5" t="str">
        <f t="shared" si="512"/>
        <v/>
      </c>
      <c r="U3374" s="5" t="str">
        <f t="shared" si="512"/>
        <v/>
      </c>
    </row>
    <row r="3375" spans="7:21" x14ac:dyDescent="0.2">
      <c r="G3375" s="8"/>
      <c r="H3375" s="5"/>
      <c r="J3375" s="10" t="str">
        <f t="shared" si="506"/>
        <v/>
      </c>
      <c r="K3375" s="10" t="str">
        <f t="shared" si="507"/>
        <v/>
      </c>
      <c r="L3375" s="11" t="str">
        <f t="shared" si="509"/>
        <v/>
      </c>
      <c r="M3375" s="9" t="str">
        <f>IF(G3375&lt;&gt;"",J3375/MAX(J$3:J3375)-1,"")</f>
        <v/>
      </c>
      <c r="N3375" s="9" t="str">
        <f>IF(G3375&lt;&gt;"",K3375/MAX(K$3:K3375)-1,"")</f>
        <v/>
      </c>
      <c r="O3375" s="16" t="str">
        <f t="shared" si="505"/>
        <v/>
      </c>
      <c r="P3375" s="16" t="str">
        <f t="shared" si="505"/>
        <v/>
      </c>
      <c r="Q3375" s="16" t="str">
        <f t="shared" si="505"/>
        <v/>
      </c>
      <c r="R3375" s="5" t="str">
        <f t="shared" si="504"/>
        <v/>
      </c>
      <c r="S3375" s="5" t="str">
        <f t="shared" si="508"/>
        <v/>
      </c>
      <c r="T3375" s="5" t="str">
        <f t="shared" si="512"/>
        <v/>
      </c>
      <c r="U3375" s="5" t="str">
        <f t="shared" si="512"/>
        <v/>
      </c>
    </row>
    <row r="3376" spans="7:21" x14ac:dyDescent="0.2">
      <c r="G3376" s="8"/>
      <c r="H3376" s="5"/>
      <c r="J3376" s="10" t="str">
        <f t="shared" si="506"/>
        <v/>
      </c>
      <c r="K3376" s="10" t="str">
        <f t="shared" si="507"/>
        <v/>
      </c>
      <c r="L3376" s="11" t="str">
        <f t="shared" si="509"/>
        <v/>
      </c>
      <c r="M3376" s="9" t="str">
        <f>IF(G3376&lt;&gt;"",J3376/MAX(J$3:J3376)-1,"")</f>
        <v/>
      </c>
      <c r="N3376" s="9" t="str">
        <f>IF(G3376&lt;&gt;"",K3376/MAX(K$3:K3376)-1,"")</f>
        <v/>
      </c>
      <c r="O3376" s="16" t="str">
        <f t="shared" si="505"/>
        <v/>
      </c>
      <c r="P3376" s="16" t="str">
        <f t="shared" si="505"/>
        <v/>
      </c>
      <c r="Q3376" s="16" t="str">
        <f t="shared" si="505"/>
        <v/>
      </c>
      <c r="R3376" s="5" t="str">
        <f t="shared" si="504"/>
        <v/>
      </c>
      <c r="S3376" s="5" t="str">
        <f t="shared" si="508"/>
        <v/>
      </c>
      <c r="T3376" s="5" t="str">
        <f t="shared" si="512"/>
        <v/>
      </c>
      <c r="U3376" s="5" t="str">
        <f t="shared" si="512"/>
        <v/>
      </c>
    </row>
    <row r="3377" spans="7:21" x14ac:dyDescent="0.2">
      <c r="G3377" s="8"/>
      <c r="H3377" s="5"/>
      <c r="J3377" s="10" t="str">
        <f t="shared" si="506"/>
        <v/>
      </c>
      <c r="K3377" s="10" t="str">
        <f t="shared" si="507"/>
        <v/>
      </c>
      <c r="L3377" s="11" t="str">
        <f t="shared" si="509"/>
        <v/>
      </c>
      <c r="M3377" s="9" t="str">
        <f>IF(G3377&lt;&gt;"",J3377/MAX(J$3:J3377)-1,"")</f>
        <v/>
      </c>
      <c r="N3377" s="9" t="str">
        <f>IF(G3377&lt;&gt;"",K3377/MAX(K$3:K3377)-1,"")</f>
        <v/>
      </c>
      <c r="O3377" s="16" t="str">
        <f t="shared" si="505"/>
        <v/>
      </c>
      <c r="P3377" s="16" t="str">
        <f t="shared" si="505"/>
        <v/>
      </c>
      <c r="Q3377" s="16" t="str">
        <f t="shared" si="505"/>
        <v/>
      </c>
      <c r="R3377" s="5" t="str">
        <f t="shared" si="504"/>
        <v/>
      </c>
      <c r="S3377" s="5" t="str">
        <f t="shared" si="508"/>
        <v/>
      </c>
      <c r="T3377" s="5" t="str">
        <f t="shared" si="512"/>
        <v/>
      </c>
      <c r="U3377" s="5" t="str">
        <f t="shared" si="512"/>
        <v/>
      </c>
    </row>
    <row r="3378" spans="7:21" x14ac:dyDescent="0.2">
      <c r="G3378" s="8"/>
      <c r="H3378" s="5"/>
      <c r="J3378" s="10" t="str">
        <f t="shared" si="506"/>
        <v/>
      </c>
      <c r="K3378" s="10" t="str">
        <f t="shared" si="507"/>
        <v/>
      </c>
      <c r="L3378" s="11" t="str">
        <f t="shared" si="509"/>
        <v/>
      </c>
      <c r="M3378" s="9" t="str">
        <f>IF(G3378&lt;&gt;"",J3378/MAX(J$3:J3378)-1,"")</f>
        <v/>
      </c>
      <c r="N3378" s="9" t="str">
        <f>IF(G3378&lt;&gt;"",K3378/MAX(K$3:K3378)-1,"")</f>
        <v/>
      </c>
      <c r="O3378" s="16" t="str">
        <f t="shared" si="505"/>
        <v/>
      </c>
      <c r="P3378" s="16" t="str">
        <f t="shared" si="505"/>
        <v/>
      </c>
      <c r="Q3378" s="16" t="str">
        <f t="shared" si="505"/>
        <v/>
      </c>
      <c r="R3378" s="5" t="str">
        <f t="shared" si="504"/>
        <v/>
      </c>
      <c r="S3378" s="5" t="str">
        <f t="shared" si="508"/>
        <v/>
      </c>
      <c r="T3378" s="5" t="str">
        <f t="shared" si="512"/>
        <v/>
      </c>
      <c r="U3378" s="5" t="str">
        <f t="shared" si="512"/>
        <v/>
      </c>
    </row>
    <row r="3379" spans="7:21" x14ac:dyDescent="0.2">
      <c r="G3379" s="8"/>
      <c r="H3379" s="5"/>
      <c r="J3379" s="10" t="str">
        <f t="shared" si="506"/>
        <v/>
      </c>
      <c r="K3379" s="10" t="str">
        <f t="shared" si="507"/>
        <v/>
      </c>
      <c r="L3379" s="11" t="str">
        <f t="shared" si="509"/>
        <v/>
      </c>
      <c r="M3379" s="9" t="str">
        <f>IF(G3379&lt;&gt;"",J3379/MAX(J$3:J3379)-1,"")</f>
        <v/>
      </c>
      <c r="N3379" s="9" t="str">
        <f>IF(G3379&lt;&gt;"",K3379/MAX(K$3:K3379)-1,"")</f>
        <v/>
      </c>
      <c r="O3379" s="16" t="str">
        <f t="shared" si="505"/>
        <v/>
      </c>
      <c r="P3379" s="16" t="str">
        <f t="shared" si="505"/>
        <v/>
      </c>
      <c r="Q3379" s="16" t="str">
        <f t="shared" si="505"/>
        <v/>
      </c>
      <c r="R3379" s="5" t="str">
        <f t="shared" si="504"/>
        <v/>
      </c>
      <c r="S3379" s="5" t="str">
        <f t="shared" si="508"/>
        <v/>
      </c>
      <c r="T3379" s="5" t="str">
        <f t="shared" si="512"/>
        <v/>
      </c>
      <c r="U3379" s="5" t="str">
        <f t="shared" si="512"/>
        <v/>
      </c>
    </row>
    <row r="3380" spans="7:21" x14ac:dyDescent="0.2">
      <c r="G3380" s="8"/>
      <c r="H3380" s="5"/>
      <c r="J3380" s="10" t="str">
        <f t="shared" si="506"/>
        <v/>
      </c>
      <c r="K3380" s="10" t="str">
        <f t="shared" si="507"/>
        <v/>
      </c>
      <c r="L3380" s="11" t="str">
        <f t="shared" si="509"/>
        <v/>
      </c>
      <c r="M3380" s="9" t="str">
        <f>IF(G3380&lt;&gt;"",J3380/MAX(J$3:J3380)-1,"")</f>
        <v/>
      </c>
      <c r="N3380" s="9" t="str">
        <f>IF(G3380&lt;&gt;"",K3380/MAX(K$3:K3380)-1,"")</f>
        <v/>
      </c>
      <c r="O3380" s="16" t="str">
        <f t="shared" si="505"/>
        <v/>
      </c>
      <c r="P3380" s="16" t="str">
        <f t="shared" si="505"/>
        <v/>
      </c>
      <c r="Q3380" s="16" t="str">
        <f t="shared" si="505"/>
        <v/>
      </c>
      <c r="R3380" s="5" t="str">
        <f t="shared" si="504"/>
        <v/>
      </c>
      <c r="S3380" s="5" t="str">
        <f t="shared" si="508"/>
        <v/>
      </c>
      <c r="T3380" s="5" t="str">
        <f t="shared" si="512"/>
        <v/>
      </c>
      <c r="U3380" s="5" t="str">
        <f t="shared" si="512"/>
        <v/>
      </c>
    </row>
    <row r="3381" spans="7:21" x14ac:dyDescent="0.2">
      <c r="G3381" s="8"/>
      <c r="H3381" s="5"/>
      <c r="J3381" s="10" t="str">
        <f t="shared" si="506"/>
        <v/>
      </c>
      <c r="K3381" s="10" t="str">
        <f t="shared" si="507"/>
        <v/>
      </c>
      <c r="L3381" s="11" t="str">
        <f t="shared" si="509"/>
        <v/>
      </c>
      <c r="M3381" s="9" t="str">
        <f>IF(G3381&lt;&gt;"",J3381/MAX(J$3:J3381)-1,"")</f>
        <v/>
      </c>
      <c r="N3381" s="9" t="str">
        <f>IF(G3381&lt;&gt;"",K3381/MAX(K$3:K3381)-1,"")</f>
        <v/>
      </c>
      <c r="O3381" s="16" t="str">
        <f t="shared" si="505"/>
        <v/>
      </c>
      <c r="P3381" s="16" t="str">
        <f t="shared" si="505"/>
        <v/>
      </c>
      <c r="Q3381" s="16" t="str">
        <f t="shared" si="505"/>
        <v/>
      </c>
      <c r="R3381" s="5" t="str">
        <f t="shared" si="504"/>
        <v/>
      </c>
      <c r="S3381" s="5" t="str">
        <f t="shared" si="508"/>
        <v/>
      </c>
      <c r="T3381" s="5" t="str">
        <f t="shared" si="512"/>
        <v/>
      </c>
      <c r="U3381" s="5" t="str">
        <f t="shared" si="512"/>
        <v/>
      </c>
    </row>
    <row r="3382" spans="7:21" x14ac:dyDescent="0.2">
      <c r="G3382" s="8"/>
      <c r="H3382" s="5"/>
      <c r="J3382" s="10" t="str">
        <f t="shared" si="506"/>
        <v/>
      </c>
      <c r="K3382" s="10" t="str">
        <f t="shared" si="507"/>
        <v/>
      </c>
      <c r="L3382" s="11" t="str">
        <f t="shared" si="509"/>
        <v/>
      </c>
      <c r="M3382" s="9" t="str">
        <f>IF(G3382&lt;&gt;"",J3382/MAX(J$3:J3382)-1,"")</f>
        <v/>
      </c>
      <c r="N3382" s="9" t="str">
        <f>IF(G3382&lt;&gt;"",K3382/MAX(K$3:K3382)-1,"")</f>
        <v/>
      </c>
      <c r="O3382" s="16" t="str">
        <f t="shared" si="505"/>
        <v/>
      </c>
      <c r="P3382" s="16" t="str">
        <f t="shared" si="505"/>
        <v/>
      </c>
      <c r="Q3382" s="16" t="str">
        <f t="shared" si="505"/>
        <v/>
      </c>
      <c r="R3382" s="5" t="str">
        <f t="shared" si="504"/>
        <v/>
      </c>
      <c r="S3382" s="5" t="str">
        <f t="shared" si="508"/>
        <v/>
      </c>
      <c r="T3382" s="5" t="str">
        <f t="shared" si="512"/>
        <v/>
      </c>
      <c r="U3382" s="5" t="str">
        <f t="shared" si="512"/>
        <v/>
      </c>
    </row>
    <row r="3383" spans="7:21" x14ac:dyDescent="0.2">
      <c r="G3383" s="8"/>
      <c r="H3383" s="5"/>
      <c r="J3383" s="10" t="str">
        <f t="shared" si="506"/>
        <v/>
      </c>
      <c r="K3383" s="10" t="str">
        <f t="shared" si="507"/>
        <v/>
      </c>
      <c r="L3383" s="11" t="str">
        <f t="shared" si="509"/>
        <v/>
      </c>
      <c r="M3383" s="9" t="str">
        <f>IF(G3383&lt;&gt;"",J3383/MAX(J$3:J3383)-1,"")</f>
        <v/>
      </c>
      <c r="N3383" s="9" t="str">
        <f>IF(G3383&lt;&gt;"",K3383/MAX(K$3:K3383)-1,"")</f>
        <v/>
      </c>
      <c r="O3383" s="16" t="str">
        <f t="shared" si="505"/>
        <v/>
      </c>
      <c r="P3383" s="16" t="str">
        <f t="shared" si="505"/>
        <v/>
      </c>
      <c r="Q3383" s="16" t="str">
        <f t="shared" si="505"/>
        <v/>
      </c>
      <c r="R3383" s="5" t="str">
        <f t="shared" si="504"/>
        <v/>
      </c>
      <c r="S3383" s="5" t="str">
        <f t="shared" si="508"/>
        <v/>
      </c>
      <c r="T3383" s="5" t="str">
        <f t="shared" si="512"/>
        <v/>
      </c>
      <c r="U3383" s="5" t="str">
        <f t="shared" si="512"/>
        <v/>
      </c>
    </row>
    <row r="3384" spans="7:21" x14ac:dyDescent="0.2">
      <c r="G3384" s="8"/>
      <c r="H3384" s="5"/>
      <c r="J3384" s="10" t="str">
        <f t="shared" si="506"/>
        <v/>
      </c>
      <c r="K3384" s="10" t="str">
        <f t="shared" si="507"/>
        <v/>
      </c>
      <c r="L3384" s="11" t="str">
        <f t="shared" si="509"/>
        <v/>
      </c>
      <c r="M3384" s="9" t="str">
        <f>IF(G3384&lt;&gt;"",J3384/MAX(J$3:J3384)-1,"")</f>
        <v/>
      </c>
      <c r="N3384" s="9" t="str">
        <f>IF(G3384&lt;&gt;"",K3384/MAX(K$3:K3384)-1,"")</f>
        <v/>
      </c>
      <c r="O3384" s="16" t="str">
        <f t="shared" si="505"/>
        <v/>
      </c>
      <c r="P3384" s="16" t="str">
        <f t="shared" si="505"/>
        <v/>
      </c>
      <c r="Q3384" s="16" t="str">
        <f t="shared" si="505"/>
        <v/>
      </c>
      <c r="R3384" s="5" t="str">
        <f t="shared" si="504"/>
        <v/>
      </c>
      <c r="S3384" s="5" t="str">
        <f t="shared" si="508"/>
        <v/>
      </c>
      <c r="T3384" s="5" t="str">
        <f t="shared" ref="T3384:U3399" si="513">IF($G3384&lt;&gt;"",_xlfn.STDEV.S(O3140:O3384),"")</f>
        <v/>
      </c>
      <c r="U3384" s="5" t="str">
        <f t="shared" si="513"/>
        <v/>
      </c>
    </row>
    <row r="3385" spans="7:21" x14ac:dyDescent="0.2">
      <c r="G3385" s="8"/>
      <c r="H3385" s="5"/>
      <c r="J3385" s="10" t="str">
        <f t="shared" si="506"/>
        <v/>
      </c>
      <c r="K3385" s="10" t="str">
        <f t="shared" si="507"/>
        <v/>
      </c>
      <c r="L3385" s="11" t="str">
        <f t="shared" si="509"/>
        <v/>
      </c>
      <c r="M3385" s="9" t="str">
        <f>IF(G3385&lt;&gt;"",J3385/MAX(J$3:J3385)-1,"")</f>
        <v/>
      </c>
      <c r="N3385" s="9" t="str">
        <f>IF(G3385&lt;&gt;"",K3385/MAX(K$3:K3385)-1,"")</f>
        <v/>
      </c>
      <c r="O3385" s="16" t="str">
        <f t="shared" si="505"/>
        <v/>
      </c>
      <c r="P3385" s="16" t="str">
        <f t="shared" si="505"/>
        <v/>
      </c>
      <c r="Q3385" s="16" t="str">
        <f t="shared" si="505"/>
        <v/>
      </c>
      <c r="R3385" s="5" t="str">
        <f t="shared" si="504"/>
        <v/>
      </c>
      <c r="S3385" s="5" t="str">
        <f t="shared" si="508"/>
        <v/>
      </c>
      <c r="T3385" s="5" t="str">
        <f t="shared" si="513"/>
        <v/>
      </c>
      <c r="U3385" s="5" t="str">
        <f t="shared" si="513"/>
        <v/>
      </c>
    </row>
    <row r="3386" spans="7:21" x14ac:dyDescent="0.2">
      <c r="G3386" s="8"/>
      <c r="H3386" s="5"/>
      <c r="J3386" s="10" t="str">
        <f t="shared" si="506"/>
        <v/>
      </c>
      <c r="K3386" s="10" t="str">
        <f t="shared" si="507"/>
        <v/>
      </c>
      <c r="L3386" s="11" t="str">
        <f t="shared" si="509"/>
        <v/>
      </c>
      <c r="M3386" s="9" t="str">
        <f>IF(G3386&lt;&gt;"",J3386/MAX(J$3:J3386)-1,"")</f>
        <v/>
      </c>
      <c r="N3386" s="9" t="str">
        <f>IF(G3386&lt;&gt;"",K3386/MAX(K$3:K3386)-1,"")</f>
        <v/>
      </c>
      <c r="O3386" s="16" t="str">
        <f t="shared" si="505"/>
        <v/>
      </c>
      <c r="P3386" s="16" t="str">
        <f t="shared" si="505"/>
        <v/>
      </c>
      <c r="Q3386" s="16" t="str">
        <f t="shared" si="505"/>
        <v/>
      </c>
      <c r="R3386" s="5" t="str">
        <f t="shared" si="504"/>
        <v/>
      </c>
      <c r="S3386" s="5" t="str">
        <f t="shared" si="508"/>
        <v/>
      </c>
      <c r="T3386" s="5" t="str">
        <f t="shared" si="513"/>
        <v/>
      </c>
      <c r="U3386" s="5" t="str">
        <f t="shared" si="513"/>
        <v/>
      </c>
    </row>
    <row r="3387" spans="7:21" x14ac:dyDescent="0.2">
      <c r="G3387" s="8"/>
      <c r="H3387" s="5"/>
      <c r="J3387" s="10" t="str">
        <f t="shared" si="506"/>
        <v/>
      </c>
      <c r="K3387" s="10" t="str">
        <f t="shared" si="507"/>
        <v/>
      </c>
      <c r="L3387" s="11" t="str">
        <f t="shared" si="509"/>
        <v/>
      </c>
      <c r="M3387" s="9" t="str">
        <f>IF(G3387&lt;&gt;"",J3387/MAX(J$3:J3387)-1,"")</f>
        <v/>
      </c>
      <c r="N3387" s="9" t="str">
        <f>IF(G3387&lt;&gt;"",K3387/MAX(K$3:K3387)-1,"")</f>
        <v/>
      </c>
      <c r="O3387" s="16" t="str">
        <f t="shared" si="505"/>
        <v/>
      </c>
      <c r="P3387" s="16" t="str">
        <f t="shared" si="505"/>
        <v/>
      </c>
      <c r="Q3387" s="16" t="str">
        <f t="shared" si="505"/>
        <v/>
      </c>
      <c r="R3387" s="5" t="str">
        <f t="shared" si="504"/>
        <v/>
      </c>
      <c r="S3387" s="5" t="str">
        <f t="shared" si="508"/>
        <v/>
      </c>
      <c r="T3387" s="5" t="str">
        <f t="shared" si="513"/>
        <v/>
      </c>
      <c r="U3387" s="5" t="str">
        <f t="shared" si="513"/>
        <v/>
      </c>
    </row>
    <row r="3388" spans="7:21" x14ac:dyDescent="0.2">
      <c r="G3388" s="8"/>
      <c r="H3388" s="5"/>
      <c r="J3388" s="10" t="str">
        <f t="shared" si="506"/>
        <v/>
      </c>
      <c r="K3388" s="10" t="str">
        <f t="shared" si="507"/>
        <v/>
      </c>
      <c r="L3388" s="11" t="str">
        <f t="shared" si="509"/>
        <v/>
      </c>
      <c r="M3388" s="9" t="str">
        <f>IF(G3388&lt;&gt;"",J3388/MAX(J$3:J3388)-1,"")</f>
        <v/>
      </c>
      <c r="N3388" s="9" t="str">
        <f>IF(G3388&lt;&gt;"",K3388/MAX(K$3:K3388)-1,"")</f>
        <v/>
      </c>
      <c r="O3388" s="16" t="str">
        <f t="shared" si="505"/>
        <v/>
      </c>
      <c r="P3388" s="16" t="str">
        <f t="shared" si="505"/>
        <v/>
      </c>
      <c r="Q3388" s="16" t="str">
        <f t="shared" si="505"/>
        <v/>
      </c>
      <c r="R3388" s="5" t="str">
        <f t="shared" si="504"/>
        <v/>
      </c>
      <c r="S3388" s="5" t="str">
        <f t="shared" si="508"/>
        <v/>
      </c>
      <c r="T3388" s="5" t="str">
        <f t="shared" si="513"/>
        <v/>
      </c>
      <c r="U3388" s="5" t="str">
        <f t="shared" si="513"/>
        <v/>
      </c>
    </row>
    <row r="3389" spans="7:21" x14ac:dyDescent="0.2">
      <c r="G3389" s="8"/>
      <c r="H3389" s="5"/>
      <c r="J3389" s="10" t="str">
        <f t="shared" si="506"/>
        <v/>
      </c>
      <c r="K3389" s="10" t="str">
        <f t="shared" si="507"/>
        <v/>
      </c>
      <c r="L3389" s="11" t="str">
        <f t="shared" si="509"/>
        <v/>
      </c>
      <c r="M3389" s="9" t="str">
        <f>IF(G3389&lt;&gt;"",J3389/MAX(J$3:J3389)-1,"")</f>
        <v/>
      </c>
      <c r="N3389" s="9" t="str">
        <f>IF(G3389&lt;&gt;"",K3389/MAX(K$3:K3389)-1,"")</f>
        <v/>
      </c>
      <c r="O3389" s="16" t="str">
        <f t="shared" si="505"/>
        <v/>
      </c>
      <c r="P3389" s="16" t="str">
        <f t="shared" si="505"/>
        <v/>
      </c>
      <c r="Q3389" s="16" t="str">
        <f t="shared" si="505"/>
        <v/>
      </c>
      <c r="R3389" s="5" t="str">
        <f t="shared" ref="R3389:R3452" si="514">IF(G3389&lt;&gt;"",_xlfn.STDEV.S(Q3268:Q3389)*SQRT($B$5),"")</f>
        <v/>
      </c>
      <c r="S3389" s="5" t="str">
        <f t="shared" si="508"/>
        <v/>
      </c>
      <c r="T3389" s="5" t="str">
        <f t="shared" si="513"/>
        <v/>
      </c>
      <c r="U3389" s="5" t="str">
        <f t="shared" si="513"/>
        <v/>
      </c>
    </row>
    <row r="3390" spans="7:21" x14ac:dyDescent="0.2">
      <c r="G3390" s="8"/>
      <c r="H3390" s="5"/>
      <c r="J3390" s="10" t="str">
        <f t="shared" si="506"/>
        <v/>
      </c>
      <c r="K3390" s="10" t="str">
        <f t="shared" si="507"/>
        <v/>
      </c>
      <c r="L3390" s="11" t="str">
        <f t="shared" si="509"/>
        <v/>
      </c>
      <c r="M3390" s="9" t="str">
        <f>IF(G3390&lt;&gt;"",J3390/MAX(J$3:J3390)-1,"")</f>
        <v/>
      </c>
      <c r="N3390" s="9" t="str">
        <f>IF(G3390&lt;&gt;"",K3390/MAX(K$3:K3390)-1,"")</f>
        <v/>
      </c>
      <c r="O3390" s="16" t="str">
        <f t="shared" si="505"/>
        <v/>
      </c>
      <c r="P3390" s="16" t="str">
        <f t="shared" si="505"/>
        <v/>
      </c>
      <c r="Q3390" s="16" t="str">
        <f t="shared" si="505"/>
        <v/>
      </c>
      <c r="R3390" s="5" t="str">
        <f t="shared" si="514"/>
        <v/>
      </c>
      <c r="S3390" s="5" t="str">
        <f t="shared" si="508"/>
        <v/>
      </c>
      <c r="T3390" s="5" t="str">
        <f t="shared" si="513"/>
        <v/>
      </c>
      <c r="U3390" s="5" t="str">
        <f t="shared" si="513"/>
        <v/>
      </c>
    </row>
    <row r="3391" spans="7:21" x14ac:dyDescent="0.2">
      <c r="G3391" s="8"/>
      <c r="H3391" s="5"/>
      <c r="J3391" s="10" t="str">
        <f t="shared" si="506"/>
        <v/>
      </c>
      <c r="K3391" s="10" t="str">
        <f t="shared" si="507"/>
        <v/>
      </c>
      <c r="L3391" s="11" t="str">
        <f t="shared" si="509"/>
        <v/>
      </c>
      <c r="M3391" s="9" t="str">
        <f>IF(G3391&lt;&gt;"",J3391/MAX(J$3:J3391)-1,"")</f>
        <v/>
      </c>
      <c r="N3391" s="9" t="str">
        <f>IF(G3391&lt;&gt;"",K3391/MAX(K$3:K3391)-1,"")</f>
        <v/>
      </c>
      <c r="O3391" s="16" t="str">
        <f t="shared" si="505"/>
        <v/>
      </c>
      <c r="P3391" s="16" t="str">
        <f t="shared" si="505"/>
        <v/>
      </c>
      <c r="Q3391" s="16" t="str">
        <f t="shared" si="505"/>
        <v/>
      </c>
      <c r="R3391" s="5" t="str">
        <f t="shared" si="514"/>
        <v/>
      </c>
      <c r="S3391" s="5" t="str">
        <f t="shared" si="508"/>
        <v/>
      </c>
      <c r="T3391" s="5" t="str">
        <f t="shared" si="513"/>
        <v/>
      </c>
      <c r="U3391" s="5" t="str">
        <f t="shared" si="513"/>
        <v/>
      </c>
    </row>
    <row r="3392" spans="7:21" x14ac:dyDescent="0.2">
      <c r="G3392" s="8"/>
      <c r="H3392" s="5"/>
      <c r="J3392" s="10" t="str">
        <f t="shared" si="506"/>
        <v/>
      </c>
      <c r="K3392" s="10" t="str">
        <f t="shared" si="507"/>
        <v/>
      </c>
      <c r="L3392" s="11" t="str">
        <f t="shared" si="509"/>
        <v/>
      </c>
      <c r="M3392" s="9" t="str">
        <f>IF(G3392&lt;&gt;"",J3392/MAX(J$3:J3392)-1,"")</f>
        <v/>
      </c>
      <c r="N3392" s="9" t="str">
        <f>IF(G3392&lt;&gt;"",K3392/MAX(K$3:K3392)-1,"")</f>
        <v/>
      </c>
      <c r="O3392" s="16" t="str">
        <f t="shared" si="505"/>
        <v/>
      </c>
      <c r="P3392" s="16" t="str">
        <f t="shared" si="505"/>
        <v/>
      </c>
      <c r="Q3392" s="16" t="str">
        <f t="shared" si="505"/>
        <v/>
      </c>
      <c r="R3392" s="5" t="str">
        <f t="shared" si="514"/>
        <v/>
      </c>
      <c r="S3392" s="5" t="str">
        <f t="shared" si="508"/>
        <v/>
      </c>
      <c r="T3392" s="5" t="str">
        <f t="shared" si="513"/>
        <v/>
      </c>
      <c r="U3392" s="5" t="str">
        <f t="shared" si="513"/>
        <v/>
      </c>
    </row>
    <row r="3393" spans="7:21" x14ac:dyDescent="0.2">
      <c r="G3393" s="8"/>
      <c r="H3393" s="5"/>
      <c r="J3393" s="10" t="str">
        <f t="shared" si="506"/>
        <v/>
      </c>
      <c r="K3393" s="10" t="str">
        <f t="shared" si="507"/>
        <v/>
      </c>
      <c r="L3393" s="11" t="str">
        <f t="shared" si="509"/>
        <v/>
      </c>
      <c r="M3393" s="9" t="str">
        <f>IF(G3393&lt;&gt;"",J3393/MAX(J$3:J3393)-1,"")</f>
        <v/>
      </c>
      <c r="N3393" s="9" t="str">
        <f>IF(G3393&lt;&gt;"",K3393/MAX(K$3:K3393)-1,"")</f>
        <v/>
      </c>
      <c r="O3393" s="16" t="str">
        <f t="shared" si="505"/>
        <v/>
      </c>
      <c r="P3393" s="16" t="str">
        <f t="shared" si="505"/>
        <v/>
      </c>
      <c r="Q3393" s="16" t="str">
        <f t="shared" si="505"/>
        <v/>
      </c>
      <c r="R3393" s="5" t="str">
        <f t="shared" si="514"/>
        <v/>
      </c>
      <c r="S3393" s="5" t="str">
        <f t="shared" si="508"/>
        <v/>
      </c>
      <c r="T3393" s="5" t="str">
        <f t="shared" si="513"/>
        <v/>
      </c>
      <c r="U3393" s="5" t="str">
        <f t="shared" si="513"/>
        <v/>
      </c>
    </row>
    <row r="3394" spans="7:21" x14ac:dyDescent="0.2">
      <c r="G3394" s="8"/>
      <c r="H3394" s="5"/>
      <c r="J3394" s="10" t="str">
        <f t="shared" si="506"/>
        <v/>
      </c>
      <c r="K3394" s="10" t="str">
        <f t="shared" si="507"/>
        <v/>
      </c>
      <c r="L3394" s="11" t="str">
        <f t="shared" si="509"/>
        <v/>
      </c>
      <c r="M3394" s="9" t="str">
        <f>IF(G3394&lt;&gt;"",J3394/MAX(J$3:J3394)-1,"")</f>
        <v/>
      </c>
      <c r="N3394" s="9" t="str">
        <f>IF(G3394&lt;&gt;"",K3394/MAX(K$3:K3394)-1,"")</f>
        <v/>
      </c>
      <c r="O3394" s="16" t="str">
        <f t="shared" ref="O3394:Q3457" si="515">IF($G3394&lt;&gt;"",J3394/J3393-1,"")</f>
        <v/>
      </c>
      <c r="P3394" s="16" t="str">
        <f t="shared" si="515"/>
        <v/>
      </c>
      <c r="Q3394" s="16" t="str">
        <f t="shared" si="515"/>
        <v/>
      </c>
      <c r="R3394" s="5" t="str">
        <f t="shared" si="514"/>
        <v/>
      </c>
      <c r="S3394" s="5" t="str">
        <f t="shared" si="508"/>
        <v/>
      </c>
      <c r="T3394" s="5" t="str">
        <f t="shared" si="513"/>
        <v/>
      </c>
      <c r="U3394" s="5" t="str">
        <f t="shared" si="513"/>
        <v/>
      </c>
    </row>
    <row r="3395" spans="7:21" x14ac:dyDescent="0.2">
      <c r="G3395" s="8"/>
      <c r="H3395" s="5"/>
      <c r="J3395" s="10" t="str">
        <f t="shared" si="506"/>
        <v/>
      </c>
      <c r="K3395" s="10" t="str">
        <f t="shared" si="507"/>
        <v/>
      </c>
      <c r="L3395" s="11" t="str">
        <f t="shared" si="509"/>
        <v/>
      </c>
      <c r="M3395" s="9" t="str">
        <f>IF(G3395&lt;&gt;"",J3395/MAX(J$3:J3395)-1,"")</f>
        <v/>
      </c>
      <c r="N3395" s="9" t="str">
        <f>IF(G3395&lt;&gt;"",K3395/MAX(K$3:K3395)-1,"")</f>
        <v/>
      </c>
      <c r="O3395" s="16" t="str">
        <f t="shared" si="515"/>
        <v/>
      </c>
      <c r="P3395" s="16" t="str">
        <f t="shared" si="515"/>
        <v/>
      </c>
      <c r="Q3395" s="16" t="str">
        <f t="shared" si="515"/>
        <v/>
      </c>
      <c r="R3395" s="5" t="str">
        <f t="shared" si="514"/>
        <v/>
      </c>
      <c r="S3395" s="5" t="str">
        <f t="shared" si="508"/>
        <v/>
      </c>
      <c r="T3395" s="5" t="str">
        <f t="shared" si="513"/>
        <v/>
      </c>
      <c r="U3395" s="5" t="str">
        <f t="shared" si="513"/>
        <v/>
      </c>
    </row>
    <row r="3396" spans="7:21" x14ac:dyDescent="0.2">
      <c r="G3396" s="8"/>
      <c r="H3396" s="5"/>
      <c r="J3396" s="10" t="str">
        <f t="shared" ref="J3396:J3459" si="516">IF(G3396&lt;&gt;"",1+H3396,"")</f>
        <v/>
      </c>
      <c r="K3396" s="10" t="str">
        <f t="shared" ref="K3396:K3459" si="517">IF(G3396&lt;&gt;"",1+I3396,"")</f>
        <v/>
      </c>
      <c r="L3396" s="11" t="str">
        <f t="shared" si="509"/>
        <v/>
      </c>
      <c r="M3396" s="9" t="str">
        <f>IF(G3396&lt;&gt;"",J3396/MAX(J$3:J3396)-1,"")</f>
        <v/>
      </c>
      <c r="N3396" s="9" t="str">
        <f>IF(G3396&lt;&gt;"",K3396/MAX(K$3:K3396)-1,"")</f>
        <v/>
      </c>
      <c r="O3396" s="16" t="str">
        <f t="shared" si="515"/>
        <v/>
      </c>
      <c r="P3396" s="16" t="str">
        <f t="shared" si="515"/>
        <v/>
      </c>
      <c r="Q3396" s="16" t="str">
        <f t="shared" si="515"/>
        <v/>
      </c>
      <c r="R3396" s="5" t="str">
        <f t="shared" si="514"/>
        <v/>
      </c>
      <c r="S3396" s="5" t="str">
        <f t="shared" ref="S3396:S3459" si="518">IF(R3396&lt;&gt;"",B$12,"")</f>
        <v/>
      </c>
      <c r="T3396" s="5" t="str">
        <f t="shared" si="513"/>
        <v/>
      </c>
      <c r="U3396" s="5" t="str">
        <f t="shared" si="513"/>
        <v/>
      </c>
    </row>
    <row r="3397" spans="7:21" x14ac:dyDescent="0.2">
      <c r="G3397" s="8"/>
      <c r="H3397" s="5"/>
      <c r="J3397" s="10" t="str">
        <f t="shared" si="516"/>
        <v/>
      </c>
      <c r="K3397" s="10" t="str">
        <f t="shared" si="517"/>
        <v/>
      </c>
      <c r="L3397" s="11" t="str">
        <f t="shared" ref="L3397:L3460" si="519">IF(G3397&lt;&gt;"",J3397/K3397,"")</f>
        <v/>
      </c>
      <c r="M3397" s="9" t="str">
        <f>IF(G3397&lt;&gt;"",J3397/MAX(J$3:J3397)-1,"")</f>
        <v/>
      </c>
      <c r="N3397" s="9" t="str">
        <f>IF(G3397&lt;&gt;"",K3397/MAX(K$3:K3397)-1,"")</f>
        <v/>
      </c>
      <c r="O3397" s="16" t="str">
        <f t="shared" si="515"/>
        <v/>
      </c>
      <c r="P3397" s="16" t="str">
        <f t="shared" si="515"/>
        <v/>
      </c>
      <c r="Q3397" s="16" t="str">
        <f t="shared" si="515"/>
        <v/>
      </c>
      <c r="R3397" s="5" t="str">
        <f t="shared" si="514"/>
        <v/>
      </c>
      <c r="S3397" s="5" t="str">
        <f t="shared" si="518"/>
        <v/>
      </c>
      <c r="T3397" s="5" t="str">
        <f t="shared" si="513"/>
        <v/>
      </c>
      <c r="U3397" s="5" t="str">
        <f t="shared" si="513"/>
        <v/>
      </c>
    </row>
    <row r="3398" spans="7:21" x14ac:dyDescent="0.2">
      <c r="G3398" s="8"/>
      <c r="H3398" s="5"/>
      <c r="J3398" s="10" t="str">
        <f t="shared" si="516"/>
        <v/>
      </c>
      <c r="K3398" s="10" t="str">
        <f t="shared" si="517"/>
        <v/>
      </c>
      <c r="L3398" s="11" t="str">
        <f t="shared" si="519"/>
        <v/>
      </c>
      <c r="M3398" s="9" t="str">
        <f>IF(G3398&lt;&gt;"",J3398/MAX(J$3:J3398)-1,"")</f>
        <v/>
      </c>
      <c r="N3398" s="9" t="str">
        <f>IF(G3398&lt;&gt;"",K3398/MAX(K$3:K3398)-1,"")</f>
        <v/>
      </c>
      <c r="O3398" s="16" t="str">
        <f t="shared" si="515"/>
        <v/>
      </c>
      <c r="P3398" s="16" t="str">
        <f t="shared" si="515"/>
        <v/>
      </c>
      <c r="Q3398" s="16" t="str">
        <f t="shared" si="515"/>
        <v/>
      </c>
      <c r="R3398" s="5" t="str">
        <f t="shared" si="514"/>
        <v/>
      </c>
      <c r="S3398" s="5" t="str">
        <f t="shared" si="518"/>
        <v/>
      </c>
      <c r="T3398" s="5" t="str">
        <f t="shared" si="513"/>
        <v/>
      </c>
      <c r="U3398" s="5" t="str">
        <f t="shared" si="513"/>
        <v/>
      </c>
    </row>
    <row r="3399" spans="7:21" x14ac:dyDescent="0.2">
      <c r="G3399" s="8"/>
      <c r="H3399" s="5"/>
      <c r="J3399" s="10" t="str">
        <f t="shared" si="516"/>
        <v/>
      </c>
      <c r="K3399" s="10" t="str">
        <f t="shared" si="517"/>
        <v/>
      </c>
      <c r="L3399" s="11" t="str">
        <f t="shared" si="519"/>
        <v/>
      </c>
      <c r="M3399" s="9" t="str">
        <f>IF(G3399&lt;&gt;"",J3399/MAX(J$3:J3399)-1,"")</f>
        <v/>
      </c>
      <c r="N3399" s="9" t="str">
        <f>IF(G3399&lt;&gt;"",K3399/MAX(K$3:K3399)-1,"")</f>
        <v/>
      </c>
      <c r="O3399" s="16" t="str">
        <f t="shared" si="515"/>
        <v/>
      </c>
      <c r="P3399" s="16" t="str">
        <f t="shared" si="515"/>
        <v/>
      </c>
      <c r="Q3399" s="16" t="str">
        <f t="shared" si="515"/>
        <v/>
      </c>
      <c r="R3399" s="5" t="str">
        <f t="shared" si="514"/>
        <v/>
      </c>
      <c r="S3399" s="5" t="str">
        <f t="shared" si="518"/>
        <v/>
      </c>
      <c r="T3399" s="5" t="str">
        <f t="shared" si="513"/>
        <v/>
      </c>
      <c r="U3399" s="5" t="str">
        <f t="shared" si="513"/>
        <v/>
      </c>
    </row>
    <row r="3400" spans="7:21" x14ac:dyDescent="0.2">
      <c r="G3400" s="8"/>
      <c r="H3400" s="5"/>
      <c r="J3400" s="10" t="str">
        <f t="shared" si="516"/>
        <v/>
      </c>
      <c r="K3400" s="10" t="str">
        <f t="shared" si="517"/>
        <v/>
      </c>
      <c r="L3400" s="11" t="str">
        <f t="shared" si="519"/>
        <v/>
      </c>
      <c r="M3400" s="9" t="str">
        <f>IF(G3400&lt;&gt;"",J3400/MAX(J$3:J3400)-1,"")</f>
        <v/>
      </c>
      <c r="N3400" s="9" t="str">
        <f>IF(G3400&lt;&gt;"",K3400/MAX(K$3:K3400)-1,"")</f>
        <v/>
      </c>
      <c r="O3400" s="16" t="str">
        <f t="shared" si="515"/>
        <v/>
      </c>
      <c r="P3400" s="16" t="str">
        <f t="shared" si="515"/>
        <v/>
      </c>
      <c r="Q3400" s="16" t="str">
        <f t="shared" si="515"/>
        <v/>
      </c>
      <c r="R3400" s="5" t="str">
        <f t="shared" si="514"/>
        <v/>
      </c>
      <c r="S3400" s="5" t="str">
        <f t="shared" si="518"/>
        <v/>
      </c>
      <c r="T3400" s="5" t="str">
        <f t="shared" ref="T3400:U3415" si="520">IF($G3400&lt;&gt;"",_xlfn.STDEV.S(O3156:O3400),"")</f>
        <v/>
      </c>
      <c r="U3400" s="5" t="str">
        <f t="shared" si="520"/>
        <v/>
      </c>
    </row>
    <row r="3401" spans="7:21" x14ac:dyDescent="0.2">
      <c r="G3401" s="8"/>
      <c r="H3401" s="5"/>
      <c r="J3401" s="10" t="str">
        <f t="shared" si="516"/>
        <v/>
      </c>
      <c r="K3401" s="10" t="str">
        <f t="shared" si="517"/>
        <v/>
      </c>
      <c r="L3401" s="11" t="str">
        <f t="shared" si="519"/>
        <v/>
      </c>
      <c r="M3401" s="9" t="str">
        <f>IF(G3401&lt;&gt;"",J3401/MAX(J$3:J3401)-1,"")</f>
        <v/>
      </c>
      <c r="N3401" s="9" t="str">
        <f>IF(G3401&lt;&gt;"",K3401/MAX(K$3:K3401)-1,"")</f>
        <v/>
      </c>
      <c r="O3401" s="16" t="str">
        <f t="shared" si="515"/>
        <v/>
      </c>
      <c r="P3401" s="16" t="str">
        <f t="shared" si="515"/>
        <v/>
      </c>
      <c r="Q3401" s="16" t="str">
        <f t="shared" si="515"/>
        <v/>
      </c>
      <c r="R3401" s="5" t="str">
        <f t="shared" si="514"/>
        <v/>
      </c>
      <c r="S3401" s="5" t="str">
        <f t="shared" si="518"/>
        <v/>
      </c>
      <c r="T3401" s="5" t="str">
        <f t="shared" si="520"/>
        <v/>
      </c>
      <c r="U3401" s="5" t="str">
        <f t="shared" si="520"/>
        <v/>
      </c>
    </row>
    <row r="3402" spans="7:21" x14ac:dyDescent="0.2">
      <c r="G3402" s="8"/>
      <c r="H3402" s="5"/>
      <c r="J3402" s="10" t="str">
        <f t="shared" si="516"/>
        <v/>
      </c>
      <c r="K3402" s="10" t="str">
        <f t="shared" si="517"/>
        <v/>
      </c>
      <c r="L3402" s="11" t="str">
        <f t="shared" si="519"/>
        <v/>
      </c>
      <c r="M3402" s="9" t="str">
        <f>IF(G3402&lt;&gt;"",J3402/MAX(J$3:J3402)-1,"")</f>
        <v/>
      </c>
      <c r="N3402" s="9" t="str">
        <f>IF(G3402&lt;&gt;"",K3402/MAX(K$3:K3402)-1,"")</f>
        <v/>
      </c>
      <c r="O3402" s="16" t="str">
        <f t="shared" si="515"/>
        <v/>
      </c>
      <c r="P3402" s="16" t="str">
        <f t="shared" si="515"/>
        <v/>
      </c>
      <c r="Q3402" s="16" t="str">
        <f t="shared" si="515"/>
        <v/>
      </c>
      <c r="R3402" s="5" t="str">
        <f t="shared" si="514"/>
        <v/>
      </c>
      <c r="S3402" s="5" t="str">
        <f t="shared" si="518"/>
        <v/>
      </c>
      <c r="T3402" s="5" t="str">
        <f t="shared" si="520"/>
        <v/>
      </c>
      <c r="U3402" s="5" t="str">
        <f t="shared" si="520"/>
        <v/>
      </c>
    </row>
    <row r="3403" spans="7:21" x14ac:dyDescent="0.2">
      <c r="G3403" s="8"/>
      <c r="H3403" s="5"/>
      <c r="J3403" s="10" t="str">
        <f t="shared" si="516"/>
        <v/>
      </c>
      <c r="K3403" s="10" t="str">
        <f t="shared" si="517"/>
        <v/>
      </c>
      <c r="L3403" s="11" t="str">
        <f t="shared" si="519"/>
        <v/>
      </c>
      <c r="M3403" s="9" t="str">
        <f>IF(G3403&lt;&gt;"",J3403/MAX(J$3:J3403)-1,"")</f>
        <v/>
      </c>
      <c r="N3403" s="9" t="str">
        <f>IF(G3403&lt;&gt;"",K3403/MAX(K$3:K3403)-1,"")</f>
        <v/>
      </c>
      <c r="O3403" s="16" t="str">
        <f t="shared" si="515"/>
        <v/>
      </c>
      <c r="P3403" s="16" t="str">
        <f t="shared" si="515"/>
        <v/>
      </c>
      <c r="Q3403" s="16" t="str">
        <f t="shared" si="515"/>
        <v/>
      </c>
      <c r="R3403" s="5" t="str">
        <f t="shared" si="514"/>
        <v/>
      </c>
      <c r="S3403" s="5" t="str">
        <f t="shared" si="518"/>
        <v/>
      </c>
      <c r="T3403" s="5" t="str">
        <f t="shared" si="520"/>
        <v/>
      </c>
      <c r="U3403" s="5" t="str">
        <f t="shared" si="520"/>
        <v/>
      </c>
    </row>
    <row r="3404" spans="7:21" x14ac:dyDescent="0.2">
      <c r="G3404" s="8"/>
      <c r="H3404" s="5"/>
      <c r="J3404" s="10" t="str">
        <f t="shared" si="516"/>
        <v/>
      </c>
      <c r="K3404" s="10" t="str">
        <f t="shared" si="517"/>
        <v/>
      </c>
      <c r="L3404" s="11" t="str">
        <f t="shared" si="519"/>
        <v/>
      </c>
      <c r="M3404" s="9" t="str">
        <f>IF(G3404&lt;&gt;"",J3404/MAX(J$3:J3404)-1,"")</f>
        <v/>
      </c>
      <c r="N3404" s="9" t="str">
        <f>IF(G3404&lt;&gt;"",K3404/MAX(K$3:K3404)-1,"")</f>
        <v/>
      </c>
      <c r="O3404" s="16" t="str">
        <f t="shared" si="515"/>
        <v/>
      </c>
      <c r="P3404" s="16" t="str">
        <f t="shared" si="515"/>
        <v/>
      </c>
      <c r="Q3404" s="16" t="str">
        <f t="shared" si="515"/>
        <v/>
      </c>
      <c r="R3404" s="5" t="str">
        <f t="shared" si="514"/>
        <v/>
      </c>
      <c r="S3404" s="5" t="str">
        <f t="shared" si="518"/>
        <v/>
      </c>
      <c r="T3404" s="5" t="str">
        <f t="shared" si="520"/>
        <v/>
      </c>
      <c r="U3404" s="5" t="str">
        <f t="shared" si="520"/>
        <v/>
      </c>
    </row>
    <row r="3405" spans="7:21" x14ac:dyDescent="0.2">
      <c r="G3405" s="8"/>
      <c r="H3405" s="5"/>
      <c r="J3405" s="10" t="str">
        <f t="shared" si="516"/>
        <v/>
      </c>
      <c r="K3405" s="10" t="str">
        <f t="shared" si="517"/>
        <v/>
      </c>
      <c r="L3405" s="11" t="str">
        <f t="shared" si="519"/>
        <v/>
      </c>
      <c r="M3405" s="9" t="str">
        <f>IF(G3405&lt;&gt;"",J3405/MAX(J$3:J3405)-1,"")</f>
        <v/>
      </c>
      <c r="N3405" s="9" t="str">
        <f>IF(G3405&lt;&gt;"",K3405/MAX(K$3:K3405)-1,"")</f>
        <v/>
      </c>
      <c r="O3405" s="16" t="str">
        <f t="shared" si="515"/>
        <v/>
      </c>
      <c r="P3405" s="16" t="str">
        <f t="shared" si="515"/>
        <v/>
      </c>
      <c r="Q3405" s="16" t="str">
        <f t="shared" si="515"/>
        <v/>
      </c>
      <c r="R3405" s="5" t="str">
        <f t="shared" si="514"/>
        <v/>
      </c>
      <c r="S3405" s="5" t="str">
        <f t="shared" si="518"/>
        <v/>
      </c>
      <c r="T3405" s="5" t="str">
        <f t="shared" si="520"/>
        <v/>
      </c>
      <c r="U3405" s="5" t="str">
        <f t="shared" si="520"/>
        <v/>
      </c>
    </row>
    <row r="3406" spans="7:21" x14ac:dyDescent="0.2">
      <c r="G3406" s="8"/>
      <c r="H3406" s="5"/>
      <c r="J3406" s="10" t="str">
        <f t="shared" si="516"/>
        <v/>
      </c>
      <c r="K3406" s="10" t="str">
        <f t="shared" si="517"/>
        <v/>
      </c>
      <c r="L3406" s="11" t="str">
        <f t="shared" si="519"/>
        <v/>
      </c>
      <c r="M3406" s="9" t="str">
        <f>IF(G3406&lt;&gt;"",J3406/MAX(J$3:J3406)-1,"")</f>
        <v/>
      </c>
      <c r="N3406" s="9" t="str">
        <f>IF(G3406&lt;&gt;"",K3406/MAX(K$3:K3406)-1,"")</f>
        <v/>
      </c>
      <c r="O3406" s="16" t="str">
        <f t="shared" si="515"/>
        <v/>
      </c>
      <c r="P3406" s="16" t="str">
        <f t="shared" si="515"/>
        <v/>
      </c>
      <c r="Q3406" s="16" t="str">
        <f t="shared" si="515"/>
        <v/>
      </c>
      <c r="R3406" s="5" t="str">
        <f t="shared" si="514"/>
        <v/>
      </c>
      <c r="S3406" s="5" t="str">
        <f t="shared" si="518"/>
        <v/>
      </c>
      <c r="T3406" s="5" t="str">
        <f t="shared" si="520"/>
        <v/>
      </c>
      <c r="U3406" s="5" t="str">
        <f t="shared" si="520"/>
        <v/>
      </c>
    </row>
    <row r="3407" spans="7:21" x14ac:dyDescent="0.2">
      <c r="G3407" s="8"/>
      <c r="H3407" s="5"/>
      <c r="J3407" s="10" t="str">
        <f t="shared" si="516"/>
        <v/>
      </c>
      <c r="K3407" s="10" t="str">
        <f t="shared" si="517"/>
        <v/>
      </c>
      <c r="L3407" s="11" t="str">
        <f t="shared" si="519"/>
        <v/>
      </c>
      <c r="M3407" s="9" t="str">
        <f>IF(G3407&lt;&gt;"",J3407/MAX(J$3:J3407)-1,"")</f>
        <v/>
      </c>
      <c r="N3407" s="9" t="str">
        <f>IF(G3407&lt;&gt;"",K3407/MAX(K$3:K3407)-1,"")</f>
        <v/>
      </c>
      <c r="O3407" s="16" t="str">
        <f t="shared" si="515"/>
        <v/>
      </c>
      <c r="P3407" s="16" t="str">
        <f t="shared" si="515"/>
        <v/>
      </c>
      <c r="Q3407" s="16" t="str">
        <f t="shared" si="515"/>
        <v/>
      </c>
      <c r="R3407" s="5" t="str">
        <f t="shared" si="514"/>
        <v/>
      </c>
      <c r="S3407" s="5" t="str">
        <f t="shared" si="518"/>
        <v/>
      </c>
      <c r="T3407" s="5" t="str">
        <f t="shared" si="520"/>
        <v/>
      </c>
      <c r="U3407" s="5" t="str">
        <f t="shared" si="520"/>
        <v/>
      </c>
    </row>
    <row r="3408" spans="7:21" x14ac:dyDescent="0.2">
      <c r="G3408" s="8"/>
      <c r="H3408" s="5"/>
      <c r="J3408" s="10" t="str">
        <f t="shared" si="516"/>
        <v/>
      </c>
      <c r="K3408" s="10" t="str">
        <f t="shared" si="517"/>
        <v/>
      </c>
      <c r="L3408" s="11" t="str">
        <f t="shared" si="519"/>
        <v/>
      </c>
      <c r="M3408" s="9" t="str">
        <f>IF(G3408&lt;&gt;"",J3408/MAX(J$3:J3408)-1,"")</f>
        <v/>
      </c>
      <c r="N3408" s="9" t="str">
        <f>IF(G3408&lt;&gt;"",K3408/MAX(K$3:K3408)-1,"")</f>
        <v/>
      </c>
      <c r="O3408" s="16" t="str">
        <f t="shared" si="515"/>
        <v/>
      </c>
      <c r="P3408" s="16" t="str">
        <f t="shared" si="515"/>
        <v/>
      </c>
      <c r="Q3408" s="16" t="str">
        <f t="shared" si="515"/>
        <v/>
      </c>
      <c r="R3408" s="5" t="str">
        <f t="shared" si="514"/>
        <v/>
      </c>
      <c r="S3408" s="5" t="str">
        <f t="shared" si="518"/>
        <v/>
      </c>
      <c r="T3408" s="5" t="str">
        <f t="shared" si="520"/>
        <v/>
      </c>
      <c r="U3408" s="5" t="str">
        <f t="shared" si="520"/>
        <v/>
      </c>
    </row>
    <row r="3409" spans="7:21" x14ac:dyDescent="0.2">
      <c r="G3409" s="8"/>
      <c r="H3409" s="5"/>
      <c r="J3409" s="10" t="str">
        <f t="shared" si="516"/>
        <v/>
      </c>
      <c r="K3409" s="10" t="str">
        <f t="shared" si="517"/>
        <v/>
      </c>
      <c r="L3409" s="11" t="str">
        <f t="shared" si="519"/>
        <v/>
      </c>
      <c r="M3409" s="9" t="str">
        <f>IF(G3409&lt;&gt;"",J3409/MAX(J$3:J3409)-1,"")</f>
        <v/>
      </c>
      <c r="N3409" s="9" t="str">
        <f>IF(G3409&lt;&gt;"",K3409/MAX(K$3:K3409)-1,"")</f>
        <v/>
      </c>
      <c r="O3409" s="16" t="str">
        <f t="shared" si="515"/>
        <v/>
      </c>
      <c r="P3409" s="16" t="str">
        <f t="shared" si="515"/>
        <v/>
      </c>
      <c r="Q3409" s="16" t="str">
        <f t="shared" si="515"/>
        <v/>
      </c>
      <c r="R3409" s="5" t="str">
        <f t="shared" si="514"/>
        <v/>
      </c>
      <c r="S3409" s="5" t="str">
        <f t="shared" si="518"/>
        <v/>
      </c>
      <c r="T3409" s="5" t="str">
        <f t="shared" si="520"/>
        <v/>
      </c>
      <c r="U3409" s="5" t="str">
        <f t="shared" si="520"/>
        <v/>
      </c>
    </row>
    <row r="3410" spans="7:21" x14ac:dyDescent="0.2">
      <c r="G3410" s="8"/>
      <c r="H3410" s="5"/>
      <c r="J3410" s="10" t="str">
        <f t="shared" si="516"/>
        <v/>
      </c>
      <c r="K3410" s="10" t="str">
        <f t="shared" si="517"/>
        <v/>
      </c>
      <c r="L3410" s="11" t="str">
        <f t="shared" si="519"/>
        <v/>
      </c>
      <c r="M3410" s="9" t="str">
        <f>IF(G3410&lt;&gt;"",J3410/MAX(J$3:J3410)-1,"")</f>
        <v/>
      </c>
      <c r="N3410" s="9" t="str">
        <f>IF(G3410&lt;&gt;"",K3410/MAX(K$3:K3410)-1,"")</f>
        <v/>
      </c>
      <c r="O3410" s="16" t="str">
        <f t="shared" si="515"/>
        <v/>
      </c>
      <c r="P3410" s="16" t="str">
        <f t="shared" si="515"/>
        <v/>
      </c>
      <c r="Q3410" s="16" t="str">
        <f t="shared" si="515"/>
        <v/>
      </c>
      <c r="R3410" s="5" t="str">
        <f t="shared" si="514"/>
        <v/>
      </c>
      <c r="S3410" s="5" t="str">
        <f t="shared" si="518"/>
        <v/>
      </c>
      <c r="T3410" s="5" t="str">
        <f t="shared" si="520"/>
        <v/>
      </c>
      <c r="U3410" s="5" t="str">
        <f t="shared" si="520"/>
        <v/>
      </c>
    </row>
    <row r="3411" spans="7:21" x14ac:dyDescent="0.2">
      <c r="G3411" s="8"/>
      <c r="H3411" s="5"/>
      <c r="J3411" s="10" t="str">
        <f t="shared" si="516"/>
        <v/>
      </c>
      <c r="K3411" s="10" t="str">
        <f t="shared" si="517"/>
        <v/>
      </c>
      <c r="L3411" s="11" t="str">
        <f t="shared" si="519"/>
        <v/>
      </c>
      <c r="M3411" s="9" t="str">
        <f>IF(G3411&lt;&gt;"",J3411/MAX(J$3:J3411)-1,"")</f>
        <v/>
      </c>
      <c r="N3411" s="9" t="str">
        <f>IF(G3411&lt;&gt;"",K3411/MAX(K$3:K3411)-1,"")</f>
        <v/>
      </c>
      <c r="O3411" s="16" t="str">
        <f t="shared" si="515"/>
        <v/>
      </c>
      <c r="P3411" s="16" t="str">
        <f t="shared" si="515"/>
        <v/>
      </c>
      <c r="Q3411" s="16" t="str">
        <f t="shared" si="515"/>
        <v/>
      </c>
      <c r="R3411" s="5" t="str">
        <f t="shared" si="514"/>
        <v/>
      </c>
      <c r="S3411" s="5" t="str">
        <f t="shared" si="518"/>
        <v/>
      </c>
      <c r="T3411" s="5" t="str">
        <f t="shared" si="520"/>
        <v/>
      </c>
      <c r="U3411" s="5" t="str">
        <f t="shared" si="520"/>
        <v/>
      </c>
    </row>
    <row r="3412" spans="7:21" x14ac:dyDescent="0.2">
      <c r="G3412" s="8"/>
      <c r="H3412" s="5"/>
      <c r="J3412" s="10" t="str">
        <f t="shared" si="516"/>
        <v/>
      </c>
      <c r="K3412" s="10" t="str">
        <f t="shared" si="517"/>
        <v/>
      </c>
      <c r="L3412" s="11" t="str">
        <f t="shared" si="519"/>
        <v/>
      </c>
      <c r="M3412" s="9" t="str">
        <f>IF(G3412&lt;&gt;"",J3412/MAX(J$3:J3412)-1,"")</f>
        <v/>
      </c>
      <c r="N3412" s="9" t="str">
        <f>IF(G3412&lt;&gt;"",K3412/MAX(K$3:K3412)-1,"")</f>
        <v/>
      </c>
      <c r="O3412" s="16" t="str">
        <f t="shared" si="515"/>
        <v/>
      </c>
      <c r="P3412" s="16" t="str">
        <f t="shared" si="515"/>
        <v/>
      </c>
      <c r="Q3412" s="16" t="str">
        <f t="shared" si="515"/>
        <v/>
      </c>
      <c r="R3412" s="5" t="str">
        <f t="shared" si="514"/>
        <v/>
      </c>
      <c r="S3412" s="5" t="str">
        <f t="shared" si="518"/>
        <v/>
      </c>
      <c r="T3412" s="5" t="str">
        <f t="shared" si="520"/>
        <v/>
      </c>
      <c r="U3412" s="5" t="str">
        <f t="shared" si="520"/>
        <v/>
      </c>
    </row>
    <row r="3413" spans="7:21" x14ac:dyDescent="0.2">
      <c r="G3413" s="8"/>
      <c r="H3413" s="5"/>
      <c r="J3413" s="10" t="str">
        <f t="shared" si="516"/>
        <v/>
      </c>
      <c r="K3413" s="10" t="str">
        <f t="shared" si="517"/>
        <v/>
      </c>
      <c r="L3413" s="11" t="str">
        <f t="shared" si="519"/>
        <v/>
      </c>
      <c r="M3413" s="9" t="str">
        <f>IF(G3413&lt;&gt;"",J3413/MAX(J$3:J3413)-1,"")</f>
        <v/>
      </c>
      <c r="N3413" s="9" t="str">
        <f>IF(G3413&lt;&gt;"",K3413/MAX(K$3:K3413)-1,"")</f>
        <v/>
      </c>
      <c r="O3413" s="16" t="str">
        <f t="shared" si="515"/>
        <v/>
      </c>
      <c r="P3413" s="16" t="str">
        <f t="shared" si="515"/>
        <v/>
      </c>
      <c r="Q3413" s="16" t="str">
        <f t="shared" si="515"/>
        <v/>
      </c>
      <c r="R3413" s="5" t="str">
        <f t="shared" si="514"/>
        <v/>
      </c>
      <c r="S3413" s="5" t="str">
        <f t="shared" si="518"/>
        <v/>
      </c>
      <c r="T3413" s="5" t="str">
        <f t="shared" si="520"/>
        <v/>
      </c>
      <c r="U3413" s="5" t="str">
        <f t="shared" si="520"/>
        <v/>
      </c>
    </row>
    <row r="3414" spans="7:21" x14ac:dyDescent="0.2">
      <c r="G3414" s="8"/>
      <c r="H3414" s="5"/>
      <c r="J3414" s="10" t="str">
        <f t="shared" si="516"/>
        <v/>
      </c>
      <c r="K3414" s="10" t="str">
        <f t="shared" si="517"/>
        <v/>
      </c>
      <c r="L3414" s="11" t="str">
        <f t="shared" si="519"/>
        <v/>
      </c>
      <c r="M3414" s="9" t="str">
        <f>IF(G3414&lt;&gt;"",J3414/MAX(J$3:J3414)-1,"")</f>
        <v/>
      </c>
      <c r="N3414" s="9" t="str">
        <f>IF(G3414&lt;&gt;"",K3414/MAX(K$3:K3414)-1,"")</f>
        <v/>
      </c>
      <c r="O3414" s="16" t="str">
        <f t="shared" si="515"/>
        <v/>
      </c>
      <c r="P3414" s="16" t="str">
        <f t="shared" si="515"/>
        <v/>
      </c>
      <c r="Q3414" s="16" t="str">
        <f t="shared" si="515"/>
        <v/>
      </c>
      <c r="R3414" s="5" t="str">
        <f t="shared" si="514"/>
        <v/>
      </c>
      <c r="S3414" s="5" t="str">
        <f t="shared" si="518"/>
        <v/>
      </c>
      <c r="T3414" s="5" t="str">
        <f t="shared" si="520"/>
        <v/>
      </c>
      <c r="U3414" s="5" t="str">
        <f t="shared" si="520"/>
        <v/>
      </c>
    </row>
    <row r="3415" spans="7:21" x14ac:dyDescent="0.2">
      <c r="G3415" s="8"/>
      <c r="H3415" s="5"/>
      <c r="J3415" s="10" t="str">
        <f t="shared" si="516"/>
        <v/>
      </c>
      <c r="K3415" s="10" t="str">
        <f t="shared" si="517"/>
        <v/>
      </c>
      <c r="L3415" s="11" t="str">
        <f t="shared" si="519"/>
        <v/>
      </c>
      <c r="M3415" s="9" t="str">
        <f>IF(G3415&lt;&gt;"",J3415/MAX(J$3:J3415)-1,"")</f>
        <v/>
      </c>
      <c r="N3415" s="9" t="str">
        <f>IF(G3415&lt;&gt;"",K3415/MAX(K$3:K3415)-1,"")</f>
        <v/>
      </c>
      <c r="O3415" s="16" t="str">
        <f t="shared" si="515"/>
        <v/>
      </c>
      <c r="P3415" s="16" t="str">
        <f t="shared" si="515"/>
        <v/>
      </c>
      <c r="Q3415" s="16" t="str">
        <f t="shared" si="515"/>
        <v/>
      </c>
      <c r="R3415" s="5" t="str">
        <f t="shared" si="514"/>
        <v/>
      </c>
      <c r="S3415" s="5" t="str">
        <f t="shared" si="518"/>
        <v/>
      </c>
      <c r="T3415" s="5" t="str">
        <f t="shared" si="520"/>
        <v/>
      </c>
      <c r="U3415" s="5" t="str">
        <f t="shared" si="520"/>
        <v/>
      </c>
    </row>
    <row r="3416" spans="7:21" x14ac:dyDescent="0.2">
      <c r="G3416" s="8"/>
      <c r="H3416" s="5"/>
      <c r="J3416" s="10" t="str">
        <f t="shared" si="516"/>
        <v/>
      </c>
      <c r="K3416" s="10" t="str">
        <f t="shared" si="517"/>
        <v/>
      </c>
      <c r="L3416" s="11" t="str">
        <f t="shared" si="519"/>
        <v/>
      </c>
      <c r="M3416" s="9" t="str">
        <f>IF(G3416&lt;&gt;"",J3416/MAX(J$3:J3416)-1,"")</f>
        <v/>
      </c>
      <c r="N3416" s="9" t="str">
        <f>IF(G3416&lt;&gt;"",K3416/MAX(K$3:K3416)-1,"")</f>
        <v/>
      </c>
      <c r="O3416" s="16" t="str">
        <f t="shared" si="515"/>
        <v/>
      </c>
      <c r="P3416" s="16" t="str">
        <f t="shared" si="515"/>
        <v/>
      </c>
      <c r="Q3416" s="16" t="str">
        <f t="shared" si="515"/>
        <v/>
      </c>
      <c r="R3416" s="5" t="str">
        <f t="shared" si="514"/>
        <v/>
      </c>
      <c r="S3416" s="5" t="str">
        <f t="shared" si="518"/>
        <v/>
      </c>
      <c r="T3416" s="5" t="str">
        <f t="shared" ref="T3416:U3431" si="521">IF($G3416&lt;&gt;"",_xlfn.STDEV.S(O3172:O3416),"")</f>
        <v/>
      </c>
      <c r="U3416" s="5" t="str">
        <f t="shared" si="521"/>
        <v/>
      </c>
    </row>
    <row r="3417" spans="7:21" x14ac:dyDescent="0.2">
      <c r="G3417" s="8"/>
      <c r="H3417" s="5"/>
      <c r="J3417" s="10" t="str">
        <f t="shared" si="516"/>
        <v/>
      </c>
      <c r="K3417" s="10" t="str">
        <f t="shared" si="517"/>
        <v/>
      </c>
      <c r="L3417" s="11" t="str">
        <f t="shared" si="519"/>
        <v/>
      </c>
      <c r="M3417" s="9" t="str">
        <f>IF(G3417&lt;&gt;"",J3417/MAX(J$3:J3417)-1,"")</f>
        <v/>
      </c>
      <c r="N3417" s="9" t="str">
        <f>IF(G3417&lt;&gt;"",K3417/MAX(K$3:K3417)-1,"")</f>
        <v/>
      </c>
      <c r="O3417" s="16" t="str">
        <f t="shared" si="515"/>
        <v/>
      </c>
      <c r="P3417" s="16" t="str">
        <f t="shared" si="515"/>
        <v/>
      </c>
      <c r="Q3417" s="16" t="str">
        <f t="shared" si="515"/>
        <v/>
      </c>
      <c r="R3417" s="5" t="str">
        <f t="shared" si="514"/>
        <v/>
      </c>
      <c r="S3417" s="5" t="str">
        <f t="shared" si="518"/>
        <v/>
      </c>
      <c r="T3417" s="5" t="str">
        <f t="shared" si="521"/>
        <v/>
      </c>
      <c r="U3417" s="5" t="str">
        <f t="shared" si="521"/>
        <v/>
      </c>
    </row>
    <row r="3418" spans="7:21" x14ac:dyDescent="0.2">
      <c r="G3418" s="8"/>
      <c r="H3418" s="5"/>
      <c r="J3418" s="10" t="str">
        <f t="shared" si="516"/>
        <v/>
      </c>
      <c r="K3418" s="10" t="str">
        <f t="shared" si="517"/>
        <v/>
      </c>
      <c r="L3418" s="11" t="str">
        <f t="shared" si="519"/>
        <v/>
      </c>
      <c r="M3418" s="9" t="str">
        <f>IF(G3418&lt;&gt;"",J3418/MAX(J$3:J3418)-1,"")</f>
        <v/>
      </c>
      <c r="N3418" s="9" t="str">
        <f>IF(G3418&lt;&gt;"",K3418/MAX(K$3:K3418)-1,"")</f>
        <v/>
      </c>
      <c r="O3418" s="16" t="str">
        <f t="shared" si="515"/>
        <v/>
      </c>
      <c r="P3418" s="16" t="str">
        <f t="shared" si="515"/>
        <v/>
      </c>
      <c r="Q3418" s="16" t="str">
        <f t="shared" si="515"/>
        <v/>
      </c>
      <c r="R3418" s="5" t="str">
        <f t="shared" si="514"/>
        <v/>
      </c>
      <c r="S3418" s="5" t="str">
        <f t="shared" si="518"/>
        <v/>
      </c>
      <c r="T3418" s="5" t="str">
        <f t="shared" si="521"/>
        <v/>
      </c>
      <c r="U3418" s="5" t="str">
        <f t="shared" si="521"/>
        <v/>
      </c>
    </row>
    <row r="3419" spans="7:21" x14ac:dyDescent="0.2">
      <c r="G3419" s="8"/>
      <c r="H3419" s="5"/>
      <c r="J3419" s="10" t="str">
        <f t="shared" si="516"/>
        <v/>
      </c>
      <c r="K3419" s="10" t="str">
        <f t="shared" si="517"/>
        <v/>
      </c>
      <c r="L3419" s="11" t="str">
        <f t="shared" si="519"/>
        <v/>
      </c>
      <c r="M3419" s="9" t="str">
        <f>IF(G3419&lt;&gt;"",J3419/MAX(J$3:J3419)-1,"")</f>
        <v/>
      </c>
      <c r="N3419" s="9" t="str">
        <f>IF(G3419&lt;&gt;"",K3419/MAX(K$3:K3419)-1,"")</f>
        <v/>
      </c>
      <c r="O3419" s="16" t="str">
        <f t="shared" si="515"/>
        <v/>
      </c>
      <c r="P3419" s="16" t="str">
        <f t="shared" si="515"/>
        <v/>
      </c>
      <c r="Q3419" s="16" t="str">
        <f t="shared" si="515"/>
        <v/>
      </c>
      <c r="R3419" s="5" t="str">
        <f t="shared" si="514"/>
        <v/>
      </c>
      <c r="S3419" s="5" t="str">
        <f t="shared" si="518"/>
        <v/>
      </c>
      <c r="T3419" s="5" t="str">
        <f t="shared" si="521"/>
        <v/>
      </c>
      <c r="U3419" s="5" t="str">
        <f t="shared" si="521"/>
        <v/>
      </c>
    </row>
    <row r="3420" spans="7:21" x14ac:dyDescent="0.2">
      <c r="G3420" s="8"/>
      <c r="H3420" s="5"/>
      <c r="J3420" s="10" t="str">
        <f t="shared" si="516"/>
        <v/>
      </c>
      <c r="K3420" s="10" t="str">
        <f t="shared" si="517"/>
        <v/>
      </c>
      <c r="L3420" s="11" t="str">
        <f t="shared" si="519"/>
        <v/>
      </c>
      <c r="M3420" s="9" t="str">
        <f>IF(G3420&lt;&gt;"",J3420/MAX(J$3:J3420)-1,"")</f>
        <v/>
      </c>
      <c r="N3420" s="9" t="str">
        <f>IF(G3420&lt;&gt;"",K3420/MAX(K$3:K3420)-1,"")</f>
        <v/>
      </c>
      <c r="O3420" s="16" t="str">
        <f t="shared" si="515"/>
        <v/>
      </c>
      <c r="P3420" s="16" t="str">
        <f t="shared" si="515"/>
        <v/>
      </c>
      <c r="Q3420" s="16" t="str">
        <f t="shared" si="515"/>
        <v/>
      </c>
      <c r="R3420" s="5" t="str">
        <f t="shared" si="514"/>
        <v/>
      </c>
      <c r="S3420" s="5" t="str">
        <f t="shared" si="518"/>
        <v/>
      </c>
      <c r="T3420" s="5" t="str">
        <f t="shared" si="521"/>
        <v/>
      </c>
      <c r="U3420" s="5" t="str">
        <f t="shared" si="521"/>
        <v/>
      </c>
    </row>
    <row r="3421" spans="7:21" x14ac:dyDescent="0.2">
      <c r="G3421" s="8"/>
      <c r="H3421" s="5"/>
      <c r="J3421" s="10" t="str">
        <f t="shared" si="516"/>
        <v/>
      </c>
      <c r="K3421" s="10" t="str">
        <f t="shared" si="517"/>
        <v/>
      </c>
      <c r="L3421" s="11" t="str">
        <f t="shared" si="519"/>
        <v/>
      </c>
      <c r="M3421" s="9" t="str">
        <f>IF(G3421&lt;&gt;"",J3421/MAX(J$3:J3421)-1,"")</f>
        <v/>
      </c>
      <c r="N3421" s="9" t="str">
        <f>IF(G3421&lt;&gt;"",K3421/MAX(K$3:K3421)-1,"")</f>
        <v/>
      </c>
      <c r="O3421" s="16" t="str">
        <f t="shared" si="515"/>
        <v/>
      </c>
      <c r="P3421" s="16" t="str">
        <f t="shared" si="515"/>
        <v/>
      </c>
      <c r="Q3421" s="16" t="str">
        <f t="shared" si="515"/>
        <v/>
      </c>
      <c r="R3421" s="5" t="str">
        <f t="shared" si="514"/>
        <v/>
      </c>
      <c r="S3421" s="5" t="str">
        <f t="shared" si="518"/>
        <v/>
      </c>
      <c r="T3421" s="5" t="str">
        <f t="shared" si="521"/>
        <v/>
      </c>
      <c r="U3421" s="5" t="str">
        <f t="shared" si="521"/>
        <v/>
      </c>
    </row>
    <row r="3422" spans="7:21" x14ac:dyDescent="0.2">
      <c r="G3422" s="8"/>
      <c r="H3422" s="5"/>
      <c r="J3422" s="10" t="str">
        <f t="shared" si="516"/>
        <v/>
      </c>
      <c r="K3422" s="10" t="str">
        <f t="shared" si="517"/>
        <v/>
      </c>
      <c r="L3422" s="11" t="str">
        <f t="shared" si="519"/>
        <v/>
      </c>
      <c r="M3422" s="9" t="str">
        <f>IF(G3422&lt;&gt;"",J3422/MAX(J$3:J3422)-1,"")</f>
        <v/>
      </c>
      <c r="N3422" s="9" t="str">
        <f>IF(G3422&lt;&gt;"",K3422/MAX(K$3:K3422)-1,"")</f>
        <v/>
      </c>
      <c r="O3422" s="16" t="str">
        <f t="shared" si="515"/>
        <v/>
      </c>
      <c r="P3422" s="16" t="str">
        <f t="shared" si="515"/>
        <v/>
      </c>
      <c r="Q3422" s="16" t="str">
        <f t="shared" si="515"/>
        <v/>
      </c>
      <c r="R3422" s="5" t="str">
        <f t="shared" si="514"/>
        <v/>
      </c>
      <c r="S3422" s="5" t="str">
        <f t="shared" si="518"/>
        <v/>
      </c>
      <c r="T3422" s="5" t="str">
        <f t="shared" si="521"/>
        <v/>
      </c>
      <c r="U3422" s="5" t="str">
        <f t="shared" si="521"/>
        <v/>
      </c>
    </row>
    <row r="3423" spans="7:21" x14ac:dyDescent="0.2">
      <c r="G3423" s="8"/>
      <c r="H3423" s="5"/>
      <c r="J3423" s="10" t="str">
        <f t="shared" si="516"/>
        <v/>
      </c>
      <c r="K3423" s="10" t="str">
        <f t="shared" si="517"/>
        <v/>
      </c>
      <c r="L3423" s="11" t="str">
        <f t="shared" si="519"/>
        <v/>
      </c>
      <c r="M3423" s="9" t="str">
        <f>IF(G3423&lt;&gt;"",J3423/MAX(J$3:J3423)-1,"")</f>
        <v/>
      </c>
      <c r="N3423" s="9" t="str">
        <f>IF(G3423&lt;&gt;"",K3423/MAX(K$3:K3423)-1,"")</f>
        <v/>
      </c>
      <c r="O3423" s="16" t="str">
        <f t="shared" si="515"/>
        <v/>
      </c>
      <c r="P3423" s="16" t="str">
        <f t="shared" si="515"/>
        <v/>
      </c>
      <c r="Q3423" s="16" t="str">
        <f t="shared" si="515"/>
        <v/>
      </c>
      <c r="R3423" s="5" t="str">
        <f t="shared" si="514"/>
        <v/>
      </c>
      <c r="S3423" s="5" t="str">
        <f t="shared" si="518"/>
        <v/>
      </c>
      <c r="T3423" s="5" t="str">
        <f t="shared" si="521"/>
        <v/>
      </c>
      <c r="U3423" s="5" t="str">
        <f t="shared" si="521"/>
        <v/>
      </c>
    </row>
    <row r="3424" spans="7:21" x14ac:dyDescent="0.2">
      <c r="G3424" s="8"/>
      <c r="H3424" s="5"/>
      <c r="J3424" s="10" t="str">
        <f t="shared" si="516"/>
        <v/>
      </c>
      <c r="K3424" s="10" t="str">
        <f t="shared" si="517"/>
        <v/>
      </c>
      <c r="L3424" s="11" t="str">
        <f t="shared" si="519"/>
        <v/>
      </c>
      <c r="M3424" s="9" t="str">
        <f>IF(G3424&lt;&gt;"",J3424/MAX(J$3:J3424)-1,"")</f>
        <v/>
      </c>
      <c r="N3424" s="9" t="str">
        <f>IF(G3424&lt;&gt;"",K3424/MAX(K$3:K3424)-1,"")</f>
        <v/>
      </c>
      <c r="O3424" s="16" t="str">
        <f t="shared" si="515"/>
        <v/>
      </c>
      <c r="P3424" s="16" t="str">
        <f t="shared" si="515"/>
        <v/>
      </c>
      <c r="Q3424" s="16" t="str">
        <f t="shared" si="515"/>
        <v/>
      </c>
      <c r="R3424" s="5" t="str">
        <f t="shared" si="514"/>
        <v/>
      </c>
      <c r="S3424" s="5" t="str">
        <f t="shared" si="518"/>
        <v/>
      </c>
      <c r="T3424" s="5" t="str">
        <f t="shared" si="521"/>
        <v/>
      </c>
      <c r="U3424" s="5" t="str">
        <f t="shared" si="521"/>
        <v/>
      </c>
    </row>
    <row r="3425" spans="7:21" x14ac:dyDescent="0.2">
      <c r="G3425" s="8"/>
      <c r="H3425" s="5"/>
      <c r="J3425" s="10" t="str">
        <f t="shared" si="516"/>
        <v/>
      </c>
      <c r="K3425" s="10" t="str">
        <f t="shared" si="517"/>
        <v/>
      </c>
      <c r="L3425" s="11" t="str">
        <f t="shared" si="519"/>
        <v/>
      </c>
      <c r="M3425" s="9" t="str">
        <f>IF(G3425&lt;&gt;"",J3425/MAX(J$3:J3425)-1,"")</f>
        <v/>
      </c>
      <c r="N3425" s="9" t="str">
        <f>IF(G3425&lt;&gt;"",K3425/MAX(K$3:K3425)-1,"")</f>
        <v/>
      </c>
      <c r="O3425" s="16" t="str">
        <f t="shared" si="515"/>
        <v/>
      </c>
      <c r="P3425" s="16" t="str">
        <f t="shared" si="515"/>
        <v/>
      </c>
      <c r="Q3425" s="16" t="str">
        <f t="shared" si="515"/>
        <v/>
      </c>
      <c r="R3425" s="5" t="str">
        <f t="shared" si="514"/>
        <v/>
      </c>
      <c r="S3425" s="5" t="str">
        <f t="shared" si="518"/>
        <v/>
      </c>
      <c r="T3425" s="5" t="str">
        <f t="shared" si="521"/>
        <v/>
      </c>
      <c r="U3425" s="5" t="str">
        <f t="shared" si="521"/>
        <v/>
      </c>
    </row>
    <row r="3426" spans="7:21" x14ac:dyDescent="0.2">
      <c r="G3426" s="8"/>
      <c r="H3426" s="5"/>
      <c r="J3426" s="10" t="str">
        <f t="shared" si="516"/>
        <v/>
      </c>
      <c r="K3426" s="10" t="str">
        <f t="shared" si="517"/>
        <v/>
      </c>
      <c r="L3426" s="11" t="str">
        <f t="shared" si="519"/>
        <v/>
      </c>
      <c r="M3426" s="9" t="str">
        <f>IF(G3426&lt;&gt;"",J3426/MAX(J$3:J3426)-1,"")</f>
        <v/>
      </c>
      <c r="N3426" s="9" t="str">
        <f>IF(G3426&lt;&gt;"",K3426/MAX(K$3:K3426)-1,"")</f>
        <v/>
      </c>
      <c r="O3426" s="16" t="str">
        <f t="shared" si="515"/>
        <v/>
      </c>
      <c r="P3426" s="16" t="str">
        <f t="shared" si="515"/>
        <v/>
      </c>
      <c r="Q3426" s="16" t="str">
        <f t="shared" si="515"/>
        <v/>
      </c>
      <c r="R3426" s="5" t="str">
        <f t="shared" si="514"/>
        <v/>
      </c>
      <c r="S3426" s="5" t="str">
        <f t="shared" si="518"/>
        <v/>
      </c>
      <c r="T3426" s="5" t="str">
        <f t="shared" si="521"/>
        <v/>
      </c>
      <c r="U3426" s="5" t="str">
        <f t="shared" si="521"/>
        <v/>
      </c>
    </row>
    <row r="3427" spans="7:21" x14ac:dyDescent="0.2">
      <c r="G3427" s="8"/>
      <c r="H3427" s="5"/>
      <c r="J3427" s="10" t="str">
        <f t="shared" si="516"/>
        <v/>
      </c>
      <c r="K3427" s="10" t="str">
        <f t="shared" si="517"/>
        <v/>
      </c>
      <c r="L3427" s="11" t="str">
        <f t="shared" si="519"/>
        <v/>
      </c>
      <c r="M3427" s="9" t="str">
        <f>IF(G3427&lt;&gt;"",J3427/MAX(J$3:J3427)-1,"")</f>
        <v/>
      </c>
      <c r="N3427" s="9" t="str">
        <f>IF(G3427&lt;&gt;"",K3427/MAX(K$3:K3427)-1,"")</f>
        <v/>
      </c>
      <c r="O3427" s="16" t="str">
        <f t="shared" si="515"/>
        <v/>
      </c>
      <c r="P3427" s="16" t="str">
        <f t="shared" si="515"/>
        <v/>
      </c>
      <c r="Q3427" s="16" t="str">
        <f t="shared" si="515"/>
        <v/>
      </c>
      <c r="R3427" s="5" t="str">
        <f t="shared" si="514"/>
        <v/>
      </c>
      <c r="S3427" s="5" t="str">
        <f t="shared" si="518"/>
        <v/>
      </c>
      <c r="T3427" s="5" t="str">
        <f t="shared" si="521"/>
        <v/>
      </c>
      <c r="U3427" s="5" t="str">
        <f t="shared" si="521"/>
        <v/>
      </c>
    </row>
    <row r="3428" spans="7:21" x14ac:dyDescent="0.2">
      <c r="G3428" s="8"/>
      <c r="H3428" s="5"/>
      <c r="J3428" s="10" t="str">
        <f t="shared" si="516"/>
        <v/>
      </c>
      <c r="K3428" s="10" t="str">
        <f t="shared" si="517"/>
        <v/>
      </c>
      <c r="L3428" s="11" t="str">
        <f t="shared" si="519"/>
        <v/>
      </c>
      <c r="M3428" s="9" t="str">
        <f>IF(G3428&lt;&gt;"",J3428/MAX(J$3:J3428)-1,"")</f>
        <v/>
      </c>
      <c r="N3428" s="9" t="str">
        <f>IF(G3428&lt;&gt;"",K3428/MAX(K$3:K3428)-1,"")</f>
        <v/>
      </c>
      <c r="O3428" s="16" t="str">
        <f t="shared" si="515"/>
        <v/>
      </c>
      <c r="P3428" s="16" t="str">
        <f t="shared" si="515"/>
        <v/>
      </c>
      <c r="Q3428" s="16" t="str">
        <f t="shared" si="515"/>
        <v/>
      </c>
      <c r="R3428" s="5" t="str">
        <f t="shared" si="514"/>
        <v/>
      </c>
      <c r="S3428" s="5" t="str">
        <f t="shared" si="518"/>
        <v/>
      </c>
      <c r="T3428" s="5" t="str">
        <f t="shared" si="521"/>
        <v/>
      </c>
      <c r="U3428" s="5" t="str">
        <f t="shared" si="521"/>
        <v/>
      </c>
    </row>
    <row r="3429" spans="7:21" x14ac:dyDescent="0.2">
      <c r="G3429" s="8"/>
      <c r="H3429" s="5"/>
      <c r="J3429" s="10" t="str">
        <f t="shared" si="516"/>
        <v/>
      </c>
      <c r="K3429" s="10" t="str">
        <f t="shared" si="517"/>
        <v/>
      </c>
      <c r="L3429" s="11" t="str">
        <f t="shared" si="519"/>
        <v/>
      </c>
      <c r="M3429" s="9" t="str">
        <f>IF(G3429&lt;&gt;"",J3429/MAX(J$3:J3429)-1,"")</f>
        <v/>
      </c>
      <c r="N3429" s="9" t="str">
        <f>IF(G3429&lt;&gt;"",K3429/MAX(K$3:K3429)-1,"")</f>
        <v/>
      </c>
      <c r="O3429" s="16" t="str">
        <f t="shared" si="515"/>
        <v/>
      </c>
      <c r="P3429" s="16" t="str">
        <f t="shared" si="515"/>
        <v/>
      </c>
      <c r="Q3429" s="16" t="str">
        <f t="shared" si="515"/>
        <v/>
      </c>
      <c r="R3429" s="5" t="str">
        <f t="shared" si="514"/>
        <v/>
      </c>
      <c r="S3429" s="5" t="str">
        <f t="shared" si="518"/>
        <v/>
      </c>
      <c r="T3429" s="5" t="str">
        <f t="shared" si="521"/>
        <v/>
      </c>
      <c r="U3429" s="5" t="str">
        <f t="shared" si="521"/>
        <v/>
      </c>
    </row>
    <row r="3430" spans="7:21" x14ac:dyDescent="0.2">
      <c r="G3430" s="8"/>
      <c r="H3430" s="5"/>
      <c r="J3430" s="10" t="str">
        <f t="shared" si="516"/>
        <v/>
      </c>
      <c r="K3430" s="10" t="str">
        <f t="shared" si="517"/>
        <v/>
      </c>
      <c r="L3430" s="11" t="str">
        <f t="shared" si="519"/>
        <v/>
      </c>
      <c r="M3430" s="9" t="str">
        <f>IF(G3430&lt;&gt;"",J3430/MAX(J$3:J3430)-1,"")</f>
        <v/>
      </c>
      <c r="N3430" s="9" t="str">
        <f>IF(G3430&lt;&gt;"",K3430/MAX(K$3:K3430)-1,"")</f>
        <v/>
      </c>
      <c r="O3430" s="16" t="str">
        <f t="shared" si="515"/>
        <v/>
      </c>
      <c r="P3430" s="16" t="str">
        <f t="shared" si="515"/>
        <v/>
      </c>
      <c r="Q3430" s="16" t="str">
        <f t="shared" si="515"/>
        <v/>
      </c>
      <c r="R3430" s="5" t="str">
        <f t="shared" si="514"/>
        <v/>
      </c>
      <c r="S3430" s="5" t="str">
        <f t="shared" si="518"/>
        <v/>
      </c>
      <c r="T3430" s="5" t="str">
        <f t="shared" si="521"/>
        <v/>
      </c>
      <c r="U3430" s="5" t="str">
        <f t="shared" si="521"/>
        <v/>
      </c>
    </row>
    <row r="3431" spans="7:21" x14ac:dyDescent="0.2">
      <c r="G3431" s="8"/>
      <c r="H3431" s="5"/>
      <c r="J3431" s="10" t="str">
        <f t="shared" si="516"/>
        <v/>
      </c>
      <c r="K3431" s="10" t="str">
        <f t="shared" si="517"/>
        <v/>
      </c>
      <c r="L3431" s="11" t="str">
        <f t="shared" si="519"/>
        <v/>
      </c>
      <c r="M3431" s="9" t="str">
        <f>IF(G3431&lt;&gt;"",J3431/MAX(J$3:J3431)-1,"")</f>
        <v/>
      </c>
      <c r="N3431" s="9" t="str">
        <f>IF(G3431&lt;&gt;"",K3431/MAX(K$3:K3431)-1,"")</f>
        <v/>
      </c>
      <c r="O3431" s="16" t="str">
        <f t="shared" si="515"/>
        <v/>
      </c>
      <c r="P3431" s="16" t="str">
        <f t="shared" si="515"/>
        <v/>
      </c>
      <c r="Q3431" s="16" t="str">
        <f t="shared" si="515"/>
        <v/>
      </c>
      <c r="R3431" s="5" t="str">
        <f t="shared" si="514"/>
        <v/>
      </c>
      <c r="S3431" s="5" t="str">
        <f t="shared" si="518"/>
        <v/>
      </c>
      <c r="T3431" s="5" t="str">
        <f t="shared" si="521"/>
        <v/>
      </c>
      <c r="U3431" s="5" t="str">
        <f t="shared" si="521"/>
        <v/>
      </c>
    </row>
    <row r="3432" spans="7:21" x14ac:dyDescent="0.2">
      <c r="G3432" s="8"/>
      <c r="H3432" s="5"/>
      <c r="J3432" s="10" t="str">
        <f t="shared" si="516"/>
        <v/>
      </c>
      <c r="K3432" s="10" t="str">
        <f t="shared" si="517"/>
        <v/>
      </c>
      <c r="L3432" s="11" t="str">
        <f t="shared" si="519"/>
        <v/>
      </c>
      <c r="M3432" s="9" t="str">
        <f>IF(G3432&lt;&gt;"",J3432/MAX(J$3:J3432)-1,"")</f>
        <v/>
      </c>
      <c r="N3432" s="9" t="str">
        <f>IF(G3432&lt;&gt;"",K3432/MAX(K$3:K3432)-1,"")</f>
        <v/>
      </c>
      <c r="O3432" s="16" t="str">
        <f t="shared" si="515"/>
        <v/>
      </c>
      <c r="P3432" s="16" t="str">
        <f t="shared" si="515"/>
        <v/>
      </c>
      <c r="Q3432" s="16" t="str">
        <f t="shared" si="515"/>
        <v/>
      </c>
      <c r="R3432" s="5" t="str">
        <f t="shared" si="514"/>
        <v/>
      </c>
      <c r="S3432" s="5" t="str">
        <f t="shared" si="518"/>
        <v/>
      </c>
      <c r="T3432" s="5" t="str">
        <f t="shared" ref="T3432:U3447" si="522">IF($G3432&lt;&gt;"",_xlfn.STDEV.S(O3188:O3432),"")</f>
        <v/>
      </c>
      <c r="U3432" s="5" t="str">
        <f t="shared" si="522"/>
        <v/>
      </c>
    </row>
    <row r="3433" spans="7:21" x14ac:dyDescent="0.2">
      <c r="G3433" s="8"/>
      <c r="H3433" s="5"/>
      <c r="J3433" s="10" t="str">
        <f t="shared" si="516"/>
        <v/>
      </c>
      <c r="K3433" s="10" t="str">
        <f t="shared" si="517"/>
        <v/>
      </c>
      <c r="L3433" s="11" t="str">
        <f t="shared" si="519"/>
        <v/>
      </c>
      <c r="M3433" s="9" t="str">
        <f>IF(G3433&lt;&gt;"",J3433/MAX(J$3:J3433)-1,"")</f>
        <v/>
      </c>
      <c r="N3433" s="9" t="str">
        <f>IF(G3433&lt;&gt;"",K3433/MAX(K$3:K3433)-1,"")</f>
        <v/>
      </c>
      <c r="O3433" s="16" t="str">
        <f t="shared" si="515"/>
        <v/>
      </c>
      <c r="P3433" s="16" t="str">
        <f t="shared" si="515"/>
        <v/>
      </c>
      <c r="Q3433" s="16" t="str">
        <f t="shared" si="515"/>
        <v/>
      </c>
      <c r="R3433" s="5" t="str">
        <f t="shared" si="514"/>
        <v/>
      </c>
      <c r="S3433" s="5" t="str">
        <f t="shared" si="518"/>
        <v/>
      </c>
      <c r="T3433" s="5" t="str">
        <f t="shared" si="522"/>
        <v/>
      </c>
      <c r="U3433" s="5" t="str">
        <f t="shared" si="522"/>
        <v/>
      </c>
    </row>
    <row r="3434" spans="7:21" x14ac:dyDescent="0.2">
      <c r="G3434" s="8"/>
      <c r="H3434" s="5"/>
      <c r="J3434" s="10" t="str">
        <f t="shared" si="516"/>
        <v/>
      </c>
      <c r="K3434" s="10" t="str">
        <f t="shared" si="517"/>
        <v/>
      </c>
      <c r="L3434" s="11" t="str">
        <f t="shared" si="519"/>
        <v/>
      </c>
      <c r="M3434" s="9" t="str">
        <f>IF(G3434&lt;&gt;"",J3434/MAX(J$3:J3434)-1,"")</f>
        <v/>
      </c>
      <c r="N3434" s="9" t="str">
        <f>IF(G3434&lt;&gt;"",K3434/MAX(K$3:K3434)-1,"")</f>
        <v/>
      </c>
      <c r="O3434" s="16" t="str">
        <f t="shared" si="515"/>
        <v/>
      </c>
      <c r="P3434" s="16" t="str">
        <f t="shared" si="515"/>
        <v/>
      </c>
      <c r="Q3434" s="16" t="str">
        <f t="shared" si="515"/>
        <v/>
      </c>
      <c r="R3434" s="5" t="str">
        <f t="shared" si="514"/>
        <v/>
      </c>
      <c r="S3434" s="5" t="str">
        <f t="shared" si="518"/>
        <v/>
      </c>
      <c r="T3434" s="5" t="str">
        <f t="shared" si="522"/>
        <v/>
      </c>
      <c r="U3434" s="5" t="str">
        <f t="shared" si="522"/>
        <v/>
      </c>
    </row>
    <row r="3435" spans="7:21" x14ac:dyDescent="0.2">
      <c r="G3435" s="8"/>
      <c r="H3435" s="5"/>
      <c r="J3435" s="10" t="str">
        <f t="shared" si="516"/>
        <v/>
      </c>
      <c r="K3435" s="10" t="str">
        <f t="shared" si="517"/>
        <v/>
      </c>
      <c r="L3435" s="11" t="str">
        <f t="shared" si="519"/>
        <v/>
      </c>
      <c r="M3435" s="9" t="str">
        <f>IF(G3435&lt;&gt;"",J3435/MAX(J$3:J3435)-1,"")</f>
        <v/>
      </c>
      <c r="N3435" s="9" t="str">
        <f>IF(G3435&lt;&gt;"",K3435/MAX(K$3:K3435)-1,"")</f>
        <v/>
      </c>
      <c r="O3435" s="16" t="str">
        <f t="shared" si="515"/>
        <v/>
      </c>
      <c r="P3435" s="16" t="str">
        <f t="shared" si="515"/>
        <v/>
      </c>
      <c r="Q3435" s="16" t="str">
        <f t="shared" si="515"/>
        <v/>
      </c>
      <c r="R3435" s="5" t="str">
        <f t="shared" si="514"/>
        <v/>
      </c>
      <c r="S3435" s="5" t="str">
        <f t="shared" si="518"/>
        <v/>
      </c>
      <c r="T3435" s="5" t="str">
        <f t="shared" si="522"/>
        <v/>
      </c>
      <c r="U3435" s="5" t="str">
        <f t="shared" si="522"/>
        <v/>
      </c>
    </row>
    <row r="3436" spans="7:21" x14ac:dyDescent="0.2">
      <c r="G3436" s="8"/>
      <c r="H3436" s="5"/>
      <c r="J3436" s="10" t="str">
        <f t="shared" si="516"/>
        <v/>
      </c>
      <c r="K3436" s="10" t="str">
        <f t="shared" si="517"/>
        <v/>
      </c>
      <c r="L3436" s="11" t="str">
        <f t="shared" si="519"/>
        <v/>
      </c>
      <c r="M3436" s="9" t="str">
        <f>IF(G3436&lt;&gt;"",J3436/MAX(J$3:J3436)-1,"")</f>
        <v/>
      </c>
      <c r="N3436" s="9" t="str">
        <f>IF(G3436&lt;&gt;"",K3436/MAX(K$3:K3436)-1,"")</f>
        <v/>
      </c>
      <c r="O3436" s="16" t="str">
        <f t="shared" si="515"/>
        <v/>
      </c>
      <c r="P3436" s="16" t="str">
        <f t="shared" si="515"/>
        <v/>
      </c>
      <c r="Q3436" s="16" t="str">
        <f t="shared" si="515"/>
        <v/>
      </c>
      <c r="R3436" s="5" t="str">
        <f t="shared" si="514"/>
        <v/>
      </c>
      <c r="S3436" s="5" t="str">
        <f t="shared" si="518"/>
        <v/>
      </c>
      <c r="T3436" s="5" t="str">
        <f t="shared" si="522"/>
        <v/>
      </c>
      <c r="U3436" s="5" t="str">
        <f t="shared" si="522"/>
        <v/>
      </c>
    </row>
    <row r="3437" spans="7:21" x14ac:dyDescent="0.2">
      <c r="G3437" s="8"/>
      <c r="H3437" s="5"/>
      <c r="J3437" s="10" t="str">
        <f t="shared" si="516"/>
        <v/>
      </c>
      <c r="K3437" s="10" t="str">
        <f t="shared" si="517"/>
        <v/>
      </c>
      <c r="L3437" s="11" t="str">
        <f t="shared" si="519"/>
        <v/>
      </c>
      <c r="M3437" s="9" t="str">
        <f>IF(G3437&lt;&gt;"",J3437/MAX(J$3:J3437)-1,"")</f>
        <v/>
      </c>
      <c r="N3437" s="9" t="str">
        <f>IF(G3437&lt;&gt;"",K3437/MAX(K$3:K3437)-1,"")</f>
        <v/>
      </c>
      <c r="O3437" s="16" t="str">
        <f t="shared" si="515"/>
        <v/>
      </c>
      <c r="P3437" s="16" t="str">
        <f t="shared" si="515"/>
        <v/>
      </c>
      <c r="Q3437" s="16" t="str">
        <f t="shared" si="515"/>
        <v/>
      </c>
      <c r="R3437" s="5" t="str">
        <f t="shared" si="514"/>
        <v/>
      </c>
      <c r="S3437" s="5" t="str">
        <f t="shared" si="518"/>
        <v/>
      </c>
      <c r="T3437" s="5" t="str">
        <f t="shared" si="522"/>
        <v/>
      </c>
      <c r="U3437" s="5" t="str">
        <f t="shared" si="522"/>
        <v/>
      </c>
    </row>
    <row r="3438" spans="7:21" x14ac:dyDescent="0.2">
      <c r="G3438" s="8"/>
      <c r="H3438" s="5"/>
      <c r="J3438" s="10" t="str">
        <f t="shared" si="516"/>
        <v/>
      </c>
      <c r="K3438" s="10" t="str">
        <f t="shared" si="517"/>
        <v/>
      </c>
      <c r="L3438" s="11" t="str">
        <f t="shared" si="519"/>
        <v/>
      </c>
      <c r="M3438" s="9" t="str">
        <f>IF(G3438&lt;&gt;"",J3438/MAX(J$3:J3438)-1,"")</f>
        <v/>
      </c>
      <c r="N3438" s="9" t="str">
        <f>IF(G3438&lt;&gt;"",K3438/MAX(K$3:K3438)-1,"")</f>
        <v/>
      </c>
      <c r="O3438" s="16" t="str">
        <f t="shared" si="515"/>
        <v/>
      </c>
      <c r="P3438" s="16" t="str">
        <f t="shared" si="515"/>
        <v/>
      </c>
      <c r="Q3438" s="16" t="str">
        <f t="shared" si="515"/>
        <v/>
      </c>
      <c r="R3438" s="5" t="str">
        <f t="shared" si="514"/>
        <v/>
      </c>
      <c r="S3438" s="5" t="str">
        <f t="shared" si="518"/>
        <v/>
      </c>
      <c r="T3438" s="5" t="str">
        <f t="shared" si="522"/>
        <v/>
      </c>
      <c r="U3438" s="5" t="str">
        <f t="shared" si="522"/>
        <v/>
      </c>
    </row>
    <row r="3439" spans="7:21" x14ac:dyDescent="0.2">
      <c r="G3439" s="8"/>
      <c r="H3439" s="5"/>
      <c r="J3439" s="10" t="str">
        <f t="shared" si="516"/>
        <v/>
      </c>
      <c r="K3439" s="10" t="str">
        <f t="shared" si="517"/>
        <v/>
      </c>
      <c r="L3439" s="11" t="str">
        <f t="shared" si="519"/>
        <v/>
      </c>
      <c r="M3439" s="9" t="str">
        <f>IF(G3439&lt;&gt;"",J3439/MAX(J$3:J3439)-1,"")</f>
        <v/>
      </c>
      <c r="N3439" s="9" t="str">
        <f>IF(G3439&lt;&gt;"",K3439/MAX(K$3:K3439)-1,"")</f>
        <v/>
      </c>
      <c r="O3439" s="16" t="str">
        <f t="shared" si="515"/>
        <v/>
      </c>
      <c r="P3439" s="16" t="str">
        <f t="shared" si="515"/>
        <v/>
      </c>
      <c r="Q3439" s="16" t="str">
        <f t="shared" si="515"/>
        <v/>
      </c>
      <c r="R3439" s="5" t="str">
        <f t="shared" si="514"/>
        <v/>
      </c>
      <c r="S3439" s="5" t="str">
        <f t="shared" si="518"/>
        <v/>
      </c>
      <c r="T3439" s="5" t="str">
        <f t="shared" si="522"/>
        <v/>
      </c>
      <c r="U3439" s="5" t="str">
        <f t="shared" si="522"/>
        <v/>
      </c>
    </row>
    <row r="3440" spans="7:21" x14ac:dyDescent="0.2">
      <c r="G3440" s="8"/>
      <c r="H3440" s="5"/>
      <c r="J3440" s="10" t="str">
        <f t="shared" si="516"/>
        <v/>
      </c>
      <c r="K3440" s="10" t="str">
        <f t="shared" si="517"/>
        <v/>
      </c>
      <c r="L3440" s="11" t="str">
        <f t="shared" si="519"/>
        <v/>
      </c>
      <c r="M3440" s="9" t="str">
        <f>IF(G3440&lt;&gt;"",J3440/MAX(J$3:J3440)-1,"")</f>
        <v/>
      </c>
      <c r="N3440" s="9" t="str">
        <f>IF(G3440&lt;&gt;"",K3440/MAX(K$3:K3440)-1,"")</f>
        <v/>
      </c>
      <c r="O3440" s="16" t="str">
        <f t="shared" si="515"/>
        <v/>
      </c>
      <c r="P3440" s="16" t="str">
        <f t="shared" si="515"/>
        <v/>
      </c>
      <c r="Q3440" s="16" t="str">
        <f t="shared" si="515"/>
        <v/>
      </c>
      <c r="R3440" s="5" t="str">
        <f t="shared" si="514"/>
        <v/>
      </c>
      <c r="S3440" s="5" t="str">
        <f t="shared" si="518"/>
        <v/>
      </c>
      <c r="T3440" s="5" t="str">
        <f t="shared" si="522"/>
        <v/>
      </c>
      <c r="U3440" s="5" t="str">
        <f t="shared" si="522"/>
        <v/>
      </c>
    </row>
    <row r="3441" spans="7:21" x14ac:dyDescent="0.2">
      <c r="G3441" s="8"/>
      <c r="H3441" s="5"/>
      <c r="J3441" s="10" t="str">
        <f t="shared" si="516"/>
        <v/>
      </c>
      <c r="K3441" s="10" t="str">
        <f t="shared" si="517"/>
        <v/>
      </c>
      <c r="L3441" s="11" t="str">
        <f t="shared" si="519"/>
        <v/>
      </c>
      <c r="M3441" s="9" t="str">
        <f>IF(G3441&lt;&gt;"",J3441/MAX(J$3:J3441)-1,"")</f>
        <v/>
      </c>
      <c r="N3441" s="9" t="str">
        <f>IF(G3441&lt;&gt;"",K3441/MAX(K$3:K3441)-1,"")</f>
        <v/>
      </c>
      <c r="O3441" s="16" t="str">
        <f t="shared" si="515"/>
        <v/>
      </c>
      <c r="P3441" s="16" t="str">
        <f t="shared" si="515"/>
        <v/>
      </c>
      <c r="Q3441" s="16" t="str">
        <f t="shared" si="515"/>
        <v/>
      </c>
      <c r="R3441" s="5" t="str">
        <f t="shared" si="514"/>
        <v/>
      </c>
      <c r="S3441" s="5" t="str">
        <f t="shared" si="518"/>
        <v/>
      </c>
      <c r="T3441" s="5" t="str">
        <f t="shared" si="522"/>
        <v/>
      </c>
      <c r="U3441" s="5" t="str">
        <f t="shared" si="522"/>
        <v/>
      </c>
    </row>
    <row r="3442" spans="7:21" x14ac:dyDescent="0.2">
      <c r="G3442" s="8"/>
      <c r="H3442" s="5"/>
      <c r="J3442" s="10" t="str">
        <f t="shared" si="516"/>
        <v/>
      </c>
      <c r="K3442" s="10" t="str">
        <f t="shared" si="517"/>
        <v/>
      </c>
      <c r="L3442" s="11" t="str">
        <f t="shared" si="519"/>
        <v/>
      </c>
      <c r="M3442" s="9" t="str">
        <f>IF(G3442&lt;&gt;"",J3442/MAX(J$3:J3442)-1,"")</f>
        <v/>
      </c>
      <c r="N3442" s="9" t="str">
        <f>IF(G3442&lt;&gt;"",K3442/MAX(K$3:K3442)-1,"")</f>
        <v/>
      </c>
      <c r="O3442" s="16" t="str">
        <f t="shared" si="515"/>
        <v/>
      </c>
      <c r="P3442" s="16" t="str">
        <f t="shared" si="515"/>
        <v/>
      </c>
      <c r="Q3442" s="16" t="str">
        <f t="shared" si="515"/>
        <v/>
      </c>
      <c r="R3442" s="5" t="str">
        <f t="shared" si="514"/>
        <v/>
      </c>
      <c r="S3442" s="5" t="str">
        <f t="shared" si="518"/>
        <v/>
      </c>
      <c r="T3442" s="5" t="str">
        <f t="shared" si="522"/>
        <v/>
      </c>
      <c r="U3442" s="5" t="str">
        <f t="shared" si="522"/>
        <v/>
      </c>
    </row>
    <row r="3443" spans="7:21" x14ac:dyDescent="0.2">
      <c r="G3443" s="8"/>
      <c r="H3443" s="5"/>
      <c r="J3443" s="10" t="str">
        <f t="shared" si="516"/>
        <v/>
      </c>
      <c r="K3443" s="10" t="str">
        <f t="shared" si="517"/>
        <v/>
      </c>
      <c r="L3443" s="11" t="str">
        <f t="shared" si="519"/>
        <v/>
      </c>
      <c r="M3443" s="9" t="str">
        <f>IF(G3443&lt;&gt;"",J3443/MAX(J$3:J3443)-1,"")</f>
        <v/>
      </c>
      <c r="N3443" s="9" t="str">
        <f>IF(G3443&lt;&gt;"",K3443/MAX(K$3:K3443)-1,"")</f>
        <v/>
      </c>
      <c r="O3443" s="16" t="str">
        <f t="shared" si="515"/>
        <v/>
      </c>
      <c r="P3443" s="16" t="str">
        <f t="shared" si="515"/>
        <v/>
      </c>
      <c r="Q3443" s="16" t="str">
        <f t="shared" si="515"/>
        <v/>
      </c>
      <c r="R3443" s="5" t="str">
        <f t="shared" si="514"/>
        <v/>
      </c>
      <c r="S3443" s="5" t="str">
        <f t="shared" si="518"/>
        <v/>
      </c>
      <c r="T3443" s="5" t="str">
        <f t="shared" si="522"/>
        <v/>
      </c>
      <c r="U3443" s="5" t="str">
        <f t="shared" si="522"/>
        <v/>
      </c>
    </row>
    <row r="3444" spans="7:21" x14ac:dyDescent="0.2">
      <c r="G3444" s="8"/>
      <c r="H3444" s="5"/>
      <c r="J3444" s="10" t="str">
        <f t="shared" si="516"/>
        <v/>
      </c>
      <c r="K3444" s="10" t="str">
        <f t="shared" si="517"/>
        <v/>
      </c>
      <c r="L3444" s="11" t="str">
        <f t="shared" si="519"/>
        <v/>
      </c>
      <c r="M3444" s="9" t="str">
        <f>IF(G3444&lt;&gt;"",J3444/MAX(J$3:J3444)-1,"")</f>
        <v/>
      </c>
      <c r="N3444" s="9" t="str">
        <f>IF(G3444&lt;&gt;"",K3444/MAX(K$3:K3444)-1,"")</f>
        <v/>
      </c>
      <c r="O3444" s="16" t="str">
        <f t="shared" si="515"/>
        <v/>
      </c>
      <c r="P3444" s="16" t="str">
        <f t="shared" si="515"/>
        <v/>
      </c>
      <c r="Q3444" s="16" t="str">
        <f t="shared" si="515"/>
        <v/>
      </c>
      <c r="R3444" s="5" t="str">
        <f t="shared" si="514"/>
        <v/>
      </c>
      <c r="S3444" s="5" t="str">
        <f t="shared" si="518"/>
        <v/>
      </c>
      <c r="T3444" s="5" t="str">
        <f t="shared" si="522"/>
        <v/>
      </c>
      <c r="U3444" s="5" t="str">
        <f t="shared" si="522"/>
        <v/>
      </c>
    </row>
    <row r="3445" spans="7:21" x14ac:dyDescent="0.2">
      <c r="G3445" s="8"/>
      <c r="H3445" s="5"/>
      <c r="J3445" s="10" t="str">
        <f t="shared" si="516"/>
        <v/>
      </c>
      <c r="K3445" s="10" t="str">
        <f t="shared" si="517"/>
        <v/>
      </c>
      <c r="L3445" s="11" t="str">
        <f t="shared" si="519"/>
        <v/>
      </c>
      <c r="M3445" s="9" t="str">
        <f>IF(G3445&lt;&gt;"",J3445/MAX(J$3:J3445)-1,"")</f>
        <v/>
      </c>
      <c r="N3445" s="9" t="str">
        <f>IF(G3445&lt;&gt;"",K3445/MAX(K$3:K3445)-1,"")</f>
        <v/>
      </c>
      <c r="O3445" s="16" t="str">
        <f t="shared" si="515"/>
        <v/>
      </c>
      <c r="P3445" s="16" t="str">
        <f t="shared" si="515"/>
        <v/>
      </c>
      <c r="Q3445" s="16" t="str">
        <f t="shared" si="515"/>
        <v/>
      </c>
      <c r="R3445" s="5" t="str">
        <f t="shared" si="514"/>
        <v/>
      </c>
      <c r="S3445" s="5" t="str">
        <f t="shared" si="518"/>
        <v/>
      </c>
      <c r="T3445" s="5" t="str">
        <f t="shared" si="522"/>
        <v/>
      </c>
      <c r="U3445" s="5" t="str">
        <f t="shared" si="522"/>
        <v/>
      </c>
    </row>
    <row r="3446" spans="7:21" x14ac:dyDescent="0.2">
      <c r="G3446" s="8"/>
      <c r="H3446" s="5"/>
      <c r="J3446" s="10" t="str">
        <f t="shared" si="516"/>
        <v/>
      </c>
      <c r="K3446" s="10" t="str">
        <f t="shared" si="517"/>
        <v/>
      </c>
      <c r="L3446" s="11" t="str">
        <f t="shared" si="519"/>
        <v/>
      </c>
      <c r="M3446" s="9" t="str">
        <f>IF(G3446&lt;&gt;"",J3446/MAX(J$3:J3446)-1,"")</f>
        <v/>
      </c>
      <c r="N3446" s="9" t="str">
        <f>IF(G3446&lt;&gt;"",K3446/MAX(K$3:K3446)-1,"")</f>
        <v/>
      </c>
      <c r="O3446" s="16" t="str">
        <f t="shared" si="515"/>
        <v/>
      </c>
      <c r="P3446" s="16" t="str">
        <f t="shared" si="515"/>
        <v/>
      </c>
      <c r="Q3446" s="16" t="str">
        <f t="shared" si="515"/>
        <v/>
      </c>
      <c r="R3446" s="5" t="str">
        <f t="shared" si="514"/>
        <v/>
      </c>
      <c r="S3446" s="5" t="str">
        <f t="shared" si="518"/>
        <v/>
      </c>
      <c r="T3446" s="5" t="str">
        <f t="shared" si="522"/>
        <v/>
      </c>
      <c r="U3446" s="5" t="str">
        <f t="shared" si="522"/>
        <v/>
      </c>
    </row>
    <row r="3447" spans="7:21" x14ac:dyDescent="0.2">
      <c r="G3447" s="8"/>
      <c r="H3447" s="5"/>
      <c r="J3447" s="10" t="str">
        <f t="shared" si="516"/>
        <v/>
      </c>
      <c r="K3447" s="10" t="str">
        <f t="shared" si="517"/>
        <v/>
      </c>
      <c r="L3447" s="11" t="str">
        <f t="shared" si="519"/>
        <v/>
      </c>
      <c r="M3447" s="9" t="str">
        <f>IF(G3447&lt;&gt;"",J3447/MAX(J$3:J3447)-1,"")</f>
        <v/>
      </c>
      <c r="N3447" s="9" t="str">
        <f>IF(G3447&lt;&gt;"",K3447/MAX(K$3:K3447)-1,"")</f>
        <v/>
      </c>
      <c r="O3447" s="16" t="str">
        <f t="shared" si="515"/>
        <v/>
      </c>
      <c r="P3447" s="16" t="str">
        <f t="shared" si="515"/>
        <v/>
      </c>
      <c r="Q3447" s="16" t="str">
        <f t="shared" si="515"/>
        <v/>
      </c>
      <c r="R3447" s="5" t="str">
        <f t="shared" si="514"/>
        <v/>
      </c>
      <c r="S3447" s="5" t="str">
        <f t="shared" si="518"/>
        <v/>
      </c>
      <c r="T3447" s="5" t="str">
        <f t="shared" si="522"/>
        <v/>
      </c>
      <c r="U3447" s="5" t="str">
        <f t="shared" si="522"/>
        <v/>
      </c>
    </row>
    <row r="3448" spans="7:21" x14ac:dyDescent="0.2">
      <c r="G3448" s="8"/>
      <c r="H3448" s="5"/>
      <c r="J3448" s="10" t="str">
        <f t="shared" si="516"/>
        <v/>
      </c>
      <c r="K3448" s="10" t="str">
        <f t="shared" si="517"/>
        <v/>
      </c>
      <c r="L3448" s="11" t="str">
        <f t="shared" si="519"/>
        <v/>
      </c>
      <c r="M3448" s="9" t="str">
        <f>IF(G3448&lt;&gt;"",J3448/MAX(J$3:J3448)-1,"")</f>
        <v/>
      </c>
      <c r="N3448" s="9" t="str">
        <f>IF(G3448&lt;&gt;"",K3448/MAX(K$3:K3448)-1,"")</f>
        <v/>
      </c>
      <c r="O3448" s="16" t="str">
        <f t="shared" si="515"/>
        <v/>
      </c>
      <c r="P3448" s="16" t="str">
        <f t="shared" si="515"/>
        <v/>
      </c>
      <c r="Q3448" s="16" t="str">
        <f t="shared" si="515"/>
        <v/>
      </c>
      <c r="R3448" s="5" t="str">
        <f t="shared" si="514"/>
        <v/>
      </c>
      <c r="S3448" s="5" t="str">
        <f t="shared" si="518"/>
        <v/>
      </c>
      <c r="T3448" s="5" t="str">
        <f t="shared" ref="T3448:U3463" si="523">IF($G3448&lt;&gt;"",_xlfn.STDEV.S(O3204:O3448),"")</f>
        <v/>
      </c>
      <c r="U3448" s="5" t="str">
        <f t="shared" si="523"/>
        <v/>
      </c>
    </row>
    <row r="3449" spans="7:21" x14ac:dyDescent="0.2">
      <c r="G3449" s="8"/>
      <c r="H3449" s="5"/>
      <c r="J3449" s="10" t="str">
        <f t="shared" si="516"/>
        <v/>
      </c>
      <c r="K3449" s="10" t="str">
        <f t="shared" si="517"/>
        <v/>
      </c>
      <c r="L3449" s="11" t="str">
        <f t="shared" si="519"/>
        <v/>
      </c>
      <c r="M3449" s="9" t="str">
        <f>IF(G3449&lt;&gt;"",J3449/MAX(J$3:J3449)-1,"")</f>
        <v/>
      </c>
      <c r="N3449" s="9" t="str">
        <f>IF(G3449&lt;&gt;"",K3449/MAX(K$3:K3449)-1,"")</f>
        <v/>
      </c>
      <c r="O3449" s="16" t="str">
        <f t="shared" si="515"/>
        <v/>
      </c>
      <c r="P3449" s="16" t="str">
        <f t="shared" si="515"/>
        <v/>
      </c>
      <c r="Q3449" s="16" t="str">
        <f t="shared" si="515"/>
        <v/>
      </c>
      <c r="R3449" s="5" t="str">
        <f t="shared" si="514"/>
        <v/>
      </c>
      <c r="S3449" s="5" t="str">
        <f t="shared" si="518"/>
        <v/>
      </c>
      <c r="T3449" s="5" t="str">
        <f t="shared" si="523"/>
        <v/>
      </c>
      <c r="U3449" s="5" t="str">
        <f t="shared" si="523"/>
        <v/>
      </c>
    </row>
    <row r="3450" spans="7:21" x14ac:dyDescent="0.2">
      <c r="G3450" s="8"/>
      <c r="H3450" s="5"/>
      <c r="J3450" s="10" t="str">
        <f t="shared" si="516"/>
        <v/>
      </c>
      <c r="K3450" s="10" t="str">
        <f t="shared" si="517"/>
        <v/>
      </c>
      <c r="L3450" s="11" t="str">
        <f t="shared" si="519"/>
        <v/>
      </c>
      <c r="M3450" s="9" t="str">
        <f>IF(G3450&lt;&gt;"",J3450/MAX(J$3:J3450)-1,"")</f>
        <v/>
      </c>
      <c r="N3450" s="9" t="str">
        <f>IF(G3450&lt;&gt;"",K3450/MAX(K$3:K3450)-1,"")</f>
        <v/>
      </c>
      <c r="O3450" s="16" t="str">
        <f t="shared" si="515"/>
        <v/>
      </c>
      <c r="P3450" s="16" t="str">
        <f t="shared" si="515"/>
        <v/>
      </c>
      <c r="Q3450" s="16" t="str">
        <f t="shared" si="515"/>
        <v/>
      </c>
      <c r="R3450" s="5" t="str">
        <f t="shared" si="514"/>
        <v/>
      </c>
      <c r="S3450" s="5" t="str">
        <f t="shared" si="518"/>
        <v/>
      </c>
      <c r="T3450" s="5" t="str">
        <f t="shared" si="523"/>
        <v/>
      </c>
      <c r="U3450" s="5" t="str">
        <f t="shared" si="523"/>
        <v/>
      </c>
    </row>
    <row r="3451" spans="7:21" x14ac:dyDescent="0.2">
      <c r="G3451" s="8"/>
      <c r="H3451" s="5"/>
      <c r="J3451" s="10" t="str">
        <f t="shared" si="516"/>
        <v/>
      </c>
      <c r="K3451" s="10" t="str">
        <f t="shared" si="517"/>
        <v/>
      </c>
      <c r="L3451" s="11" t="str">
        <f t="shared" si="519"/>
        <v/>
      </c>
      <c r="M3451" s="9" t="str">
        <f>IF(G3451&lt;&gt;"",J3451/MAX(J$3:J3451)-1,"")</f>
        <v/>
      </c>
      <c r="N3451" s="9" t="str">
        <f>IF(G3451&lt;&gt;"",K3451/MAX(K$3:K3451)-1,"")</f>
        <v/>
      </c>
      <c r="O3451" s="16" t="str">
        <f t="shared" si="515"/>
        <v/>
      </c>
      <c r="P3451" s="16" t="str">
        <f t="shared" si="515"/>
        <v/>
      </c>
      <c r="Q3451" s="16" t="str">
        <f t="shared" si="515"/>
        <v/>
      </c>
      <c r="R3451" s="5" t="str">
        <f t="shared" si="514"/>
        <v/>
      </c>
      <c r="S3451" s="5" t="str">
        <f t="shared" si="518"/>
        <v/>
      </c>
      <c r="T3451" s="5" t="str">
        <f t="shared" si="523"/>
        <v/>
      </c>
      <c r="U3451" s="5" t="str">
        <f t="shared" si="523"/>
        <v/>
      </c>
    </row>
    <row r="3452" spans="7:21" x14ac:dyDescent="0.2">
      <c r="G3452" s="8"/>
      <c r="H3452" s="5"/>
      <c r="J3452" s="10" t="str">
        <f t="shared" si="516"/>
        <v/>
      </c>
      <c r="K3452" s="10" t="str">
        <f t="shared" si="517"/>
        <v/>
      </c>
      <c r="L3452" s="11" t="str">
        <f t="shared" si="519"/>
        <v/>
      </c>
      <c r="M3452" s="9" t="str">
        <f>IF(G3452&lt;&gt;"",J3452/MAX(J$3:J3452)-1,"")</f>
        <v/>
      </c>
      <c r="N3452" s="9" t="str">
        <f>IF(G3452&lt;&gt;"",K3452/MAX(K$3:K3452)-1,"")</f>
        <v/>
      </c>
      <c r="O3452" s="16" t="str">
        <f t="shared" si="515"/>
        <v/>
      </c>
      <c r="P3452" s="16" t="str">
        <f t="shared" si="515"/>
        <v/>
      </c>
      <c r="Q3452" s="16" t="str">
        <f t="shared" si="515"/>
        <v/>
      </c>
      <c r="R3452" s="5" t="str">
        <f t="shared" si="514"/>
        <v/>
      </c>
      <c r="S3452" s="5" t="str">
        <f t="shared" si="518"/>
        <v/>
      </c>
      <c r="T3452" s="5" t="str">
        <f t="shared" si="523"/>
        <v/>
      </c>
      <c r="U3452" s="5" t="str">
        <f t="shared" si="523"/>
        <v/>
      </c>
    </row>
    <row r="3453" spans="7:21" x14ac:dyDescent="0.2">
      <c r="G3453" s="8"/>
      <c r="H3453" s="5"/>
      <c r="J3453" s="10" t="str">
        <f t="shared" si="516"/>
        <v/>
      </c>
      <c r="K3453" s="10" t="str">
        <f t="shared" si="517"/>
        <v/>
      </c>
      <c r="L3453" s="11" t="str">
        <f t="shared" si="519"/>
        <v/>
      </c>
      <c r="M3453" s="9" t="str">
        <f>IF(G3453&lt;&gt;"",J3453/MAX(J$3:J3453)-1,"")</f>
        <v/>
      </c>
      <c r="N3453" s="9" t="str">
        <f>IF(G3453&lt;&gt;"",K3453/MAX(K$3:K3453)-1,"")</f>
        <v/>
      </c>
      <c r="O3453" s="16" t="str">
        <f t="shared" si="515"/>
        <v/>
      </c>
      <c r="P3453" s="16" t="str">
        <f t="shared" si="515"/>
        <v/>
      </c>
      <c r="Q3453" s="16" t="str">
        <f t="shared" si="515"/>
        <v/>
      </c>
      <c r="R3453" s="5" t="str">
        <f t="shared" ref="R3453:R3516" si="524">IF(G3453&lt;&gt;"",_xlfn.STDEV.S(Q3332:Q3453)*SQRT($B$5),"")</f>
        <v/>
      </c>
      <c r="S3453" s="5" t="str">
        <f t="shared" si="518"/>
        <v/>
      </c>
      <c r="T3453" s="5" t="str">
        <f t="shared" si="523"/>
        <v/>
      </c>
      <c r="U3453" s="5" t="str">
        <f t="shared" si="523"/>
        <v/>
      </c>
    </row>
    <row r="3454" spans="7:21" x14ac:dyDescent="0.2">
      <c r="G3454" s="8"/>
      <c r="H3454" s="5"/>
      <c r="J3454" s="10" t="str">
        <f t="shared" si="516"/>
        <v/>
      </c>
      <c r="K3454" s="10" t="str">
        <f t="shared" si="517"/>
        <v/>
      </c>
      <c r="L3454" s="11" t="str">
        <f t="shared" si="519"/>
        <v/>
      </c>
      <c r="M3454" s="9" t="str">
        <f>IF(G3454&lt;&gt;"",J3454/MAX(J$3:J3454)-1,"")</f>
        <v/>
      </c>
      <c r="N3454" s="9" t="str">
        <f>IF(G3454&lt;&gt;"",K3454/MAX(K$3:K3454)-1,"")</f>
        <v/>
      </c>
      <c r="O3454" s="16" t="str">
        <f t="shared" si="515"/>
        <v/>
      </c>
      <c r="P3454" s="16" t="str">
        <f t="shared" si="515"/>
        <v/>
      </c>
      <c r="Q3454" s="16" t="str">
        <f t="shared" si="515"/>
        <v/>
      </c>
      <c r="R3454" s="5" t="str">
        <f t="shared" si="524"/>
        <v/>
      </c>
      <c r="S3454" s="5" t="str">
        <f t="shared" si="518"/>
        <v/>
      </c>
      <c r="T3454" s="5" t="str">
        <f t="shared" si="523"/>
        <v/>
      </c>
      <c r="U3454" s="5" t="str">
        <f t="shared" si="523"/>
        <v/>
      </c>
    </row>
    <row r="3455" spans="7:21" x14ac:dyDescent="0.2">
      <c r="G3455" s="8"/>
      <c r="H3455" s="5"/>
      <c r="J3455" s="10" t="str">
        <f t="shared" si="516"/>
        <v/>
      </c>
      <c r="K3455" s="10" t="str">
        <f t="shared" si="517"/>
        <v/>
      </c>
      <c r="L3455" s="11" t="str">
        <f t="shared" si="519"/>
        <v/>
      </c>
      <c r="M3455" s="9" t="str">
        <f>IF(G3455&lt;&gt;"",J3455/MAX(J$3:J3455)-1,"")</f>
        <v/>
      </c>
      <c r="N3455" s="9" t="str">
        <f>IF(G3455&lt;&gt;"",K3455/MAX(K$3:K3455)-1,"")</f>
        <v/>
      </c>
      <c r="O3455" s="16" t="str">
        <f t="shared" si="515"/>
        <v/>
      </c>
      <c r="P3455" s="16" t="str">
        <f t="shared" si="515"/>
        <v/>
      </c>
      <c r="Q3455" s="16" t="str">
        <f t="shared" si="515"/>
        <v/>
      </c>
      <c r="R3455" s="5" t="str">
        <f t="shared" si="524"/>
        <v/>
      </c>
      <c r="S3455" s="5" t="str">
        <f t="shared" si="518"/>
        <v/>
      </c>
      <c r="T3455" s="5" t="str">
        <f t="shared" si="523"/>
        <v/>
      </c>
      <c r="U3455" s="5" t="str">
        <f t="shared" si="523"/>
        <v/>
      </c>
    </row>
    <row r="3456" spans="7:21" x14ac:dyDescent="0.2">
      <c r="G3456" s="8"/>
      <c r="H3456" s="5"/>
      <c r="J3456" s="10" t="str">
        <f t="shared" si="516"/>
        <v/>
      </c>
      <c r="K3456" s="10" t="str">
        <f t="shared" si="517"/>
        <v/>
      </c>
      <c r="L3456" s="11" t="str">
        <f t="shared" si="519"/>
        <v/>
      </c>
      <c r="M3456" s="9" t="str">
        <f>IF(G3456&lt;&gt;"",J3456/MAX(J$3:J3456)-1,"")</f>
        <v/>
      </c>
      <c r="N3456" s="9" t="str">
        <f>IF(G3456&lt;&gt;"",K3456/MAX(K$3:K3456)-1,"")</f>
        <v/>
      </c>
      <c r="O3456" s="16" t="str">
        <f t="shared" si="515"/>
        <v/>
      </c>
      <c r="P3456" s="16" t="str">
        <f t="shared" si="515"/>
        <v/>
      </c>
      <c r="Q3456" s="16" t="str">
        <f t="shared" si="515"/>
        <v/>
      </c>
      <c r="R3456" s="5" t="str">
        <f t="shared" si="524"/>
        <v/>
      </c>
      <c r="S3456" s="5" t="str">
        <f t="shared" si="518"/>
        <v/>
      </c>
      <c r="T3456" s="5" t="str">
        <f t="shared" si="523"/>
        <v/>
      </c>
      <c r="U3456" s="5" t="str">
        <f t="shared" si="523"/>
        <v/>
      </c>
    </row>
    <row r="3457" spans="7:21" x14ac:dyDescent="0.2">
      <c r="G3457" s="8"/>
      <c r="H3457" s="5"/>
      <c r="J3457" s="10" t="str">
        <f t="shared" si="516"/>
        <v/>
      </c>
      <c r="K3457" s="10" t="str">
        <f t="shared" si="517"/>
        <v/>
      </c>
      <c r="L3457" s="11" t="str">
        <f t="shared" si="519"/>
        <v/>
      </c>
      <c r="M3457" s="9" t="str">
        <f>IF(G3457&lt;&gt;"",J3457/MAX(J$3:J3457)-1,"")</f>
        <v/>
      </c>
      <c r="N3457" s="9" t="str">
        <f>IF(G3457&lt;&gt;"",K3457/MAX(K$3:K3457)-1,"")</f>
        <v/>
      </c>
      <c r="O3457" s="16" t="str">
        <f t="shared" si="515"/>
        <v/>
      </c>
      <c r="P3457" s="16" t="str">
        <f t="shared" si="515"/>
        <v/>
      </c>
      <c r="Q3457" s="16" t="str">
        <f t="shared" si="515"/>
        <v/>
      </c>
      <c r="R3457" s="5" t="str">
        <f t="shared" si="524"/>
        <v/>
      </c>
      <c r="S3457" s="5" t="str">
        <f t="shared" si="518"/>
        <v/>
      </c>
      <c r="T3457" s="5" t="str">
        <f t="shared" si="523"/>
        <v/>
      </c>
      <c r="U3457" s="5" t="str">
        <f t="shared" si="523"/>
        <v/>
      </c>
    </row>
    <row r="3458" spans="7:21" x14ac:dyDescent="0.2">
      <c r="G3458" s="8"/>
      <c r="H3458" s="5"/>
      <c r="J3458" s="10" t="str">
        <f t="shared" si="516"/>
        <v/>
      </c>
      <c r="K3458" s="10" t="str">
        <f t="shared" si="517"/>
        <v/>
      </c>
      <c r="L3458" s="11" t="str">
        <f t="shared" si="519"/>
        <v/>
      </c>
      <c r="M3458" s="9" t="str">
        <f>IF(G3458&lt;&gt;"",J3458/MAX(J$3:J3458)-1,"")</f>
        <v/>
      </c>
      <c r="N3458" s="9" t="str">
        <f>IF(G3458&lt;&gt;"",K3458/MAX(K$3:K3458)-1,"")</f>
        <v/>
      </c>
      <c r="O3458" s="16" t="str">
        <f t="shared" ref="O3458:Q3521" si="525">IF($G3458&lt;&gt;"",J3458/J3457-1,"")</f>
        <v/>
      </c>
      <c r="P3458" s="16" t="str">
        <f t="shared" si="525"/>
        <v/>
      </c>
      <c r="Q3458" s="16" t="str">
        <f t="shared" si="525"/>
        <v/>
      </c>
      <c r="R3458" s="5" t="str">
        <f t="shared" si="524"/>
        <v/>
      </c>
      <c r="S3458" s="5" t="str">
        <f t="shared" si="518"/>
        <v/>
      </c>
      <c r="T3458" s="5" t="str">
        <f t="shared" si="523"/>
        <v/>
      </c>
      <c r="U3458" s="5" t="str">
        <f t="shared" si="523"/>
        <v/>
      </c>
    </row>
    <row r="3459" spans="7:21" x14ac:dyDescent="0.2">
      <c r="G3459" s="8"/>
      <c r="H3459" s="5"/>
      <c r="J3459" s="10" t="str">
        <f t="shared" si="516"/>
        <v/>
      </c>
      <c r="K3459" s="10" t="str">
        <f t="shared" si="517"/>
        <v/>
      </c>
      <c r="L3459" s="11" t="str">
        <f t="shared" si="519"/>
        <v/>
      </c>
      <c r="M3459" s="9" t="str">
        <f>IF(G3459&lt;&gt;"",J3459/MAX(J$3:J3459)-1,"")</f>
        <v/>
      </c>
      <c r="N3459" s="9" t="str">
        <f>IF(G3459&lt;&gt;"",K3459/MAX(K$3:K3459)-1,"")</f>
        <v/>
      </c>
      <c r="O3459" s="16" t="str">
        <f t="shared" si="525"/>
        <v/>
      </c>
      <c r="P3459" s="16" t="str">
        <f t="shared" si="525"/>
        <v/>
      </c>
      <c r="Q3459" s="16" t="str">
        <f t="shared" si="525"/>
        <v/>
      </c>
      <c r="R3459" s="5" t="str">
        <f t="shared" si="524"/>
        <v/>
      </c>
      <c r="S3459" s="5" t="str">
        <f t="shared" si="518"/>
        <v/>
      </c>
      <c r="T3459" s="5" t="str">
        <f t="shared" si="523"/>
        <v/>
      </c>
      <c r="U3459" s="5" t="str">
        <f t="shared" si="523"/>
        <v/>
      </c>
    </row>
    <row r="3460" spans="7:21" x14ac:dyDescent="0.2">
      <c r="G3460" s="8"/>
      <c r="H3460" s="5"/>
      <c r="J3460" s="10" t="str">
        <f t="shared" ref="J3460:J3523" si="526">IF(G3460&lt;&gt;"",1+H3460,"")</f>
        <v/>
      </c>
      <c r="K3460" s="10" t="str">
        <f t="shared" ref="K3460:K3523" si="527">IF(G3460&lt;&gt;"",1+I3460,"")</f>
        <v/>
      </c>
      <c r="L3460" s="11" t="str">
        <f t="shared" si="519"/>
        <v/>
      </c>
      <c r="M3460" s="9" t="str">
        <f>IF(G3460&lt;&gt;"",J3460/MAX(J$3:J3460)-1,"")</f>
        <v/>
      </c>
      <c r="N3460" s="9" t="str">
        <f>IF(G3460&lt;&gt;"",K3460/MAX(K$3:K3460)-1,"")</f>
        <v/>
      </c>
      <c r="O3460" s="16" t="str">
        <f t="shared" si="525"/>
        <v/>
      </c>
      <c r="P3460" s="16" t="str">
        <f t="shared" si="525"/>
        <v/>
      </c>
      <c r="Q3460" s="16" t="str">
        <f t="shared" si="525"/>
        <v/>
      </c>
      <c r="R3460" s="5" t="str">
        <f t="shared" si="524"/>
        <v/>
      </c>
      <c r="S3460" s="5" t="str">
        <f t="shared" ref="S3460:S3523" si="528">IF(R3460&lt;&gt;"",B$12,"")</f>
        <v/>
      </c>
      <c r="T3460" s="5" t="str">
        <f t="shared" si="523"/>
        <v/>
      </c>
      <c r="U3460" s="5" t="str">
        <f t="shared" si="523"/>
        <v/>
      </c>
    </row>
    <row r="3461" spans="7:21" x14ac:dyDescent="0.2">
      <c r="G3461" s="8"/>
      <c r="H3461" s="5"/>
      <c r="J3461" s="10" t="str">
        <f t="shared" si="526"/>
        <v/>
      </c>
      <c r="K3461" s="10" t="str">
        <f t="shared" si="527"/>
        <v/>
      </c>
      <c r="L3461" s="11" t="str">
        <f t="shared" ref="L3461:L3524" si="529">IF(G3461&lt;&gt;"",J3461/K3461,"")</f>
        <v/>
      </c>
      <c r="M3461" s="9" t="str">
        <f>IF(G3461&lt;&gt;"",J3461/MAX(J$3:J3461)-1,"")</f>
        <v/>
      </c>
      <c r="N3461" s="9" t="str">
        <f>IF(G3461&lt;&gt;"",K3461/MAX(K$3:K3461)-1,"")</f>
        <v/>
      </c>
      <c r="O3461" s="16" t="str">
        <f t="shared" si="525"/>
        <v/>
      </c>
      <c r="P3461" s="16" t="str">
        <f t="shared" si="525"/>
        <v/>
      </c>
      <c r="Q3461" s="16" t="str">
        <f t="shared" si="525"/>
        <v/>
      </c>
      <c r="R3461" s="5" t="str">
        <f t="shared" si="524"/>
        <v/>
      </c>
      <c r="S3461" s="5" t="str">
        <f t="shared" si="528"/>
        <v/>
      </c>
      <c r="T3461" s="5" t="str">
        <f t="shared" si="523"/>
        <v/>
      </c>
      <c r="U3461" s="5" t="str">
        <f t="shared" si="523"/>
        <v/>
      </c>
    </row>
    <row r="3462" spans="7:21" x14ac:dyDescent="0.2">
      <c r="G3462" s="8"/>
      <c r="H3462" s="5"/>
      <c r="J3462" s="10" t="str">
        <f t="shared" si="526"/>
        <v/>
      </c>
      <c r="K3462" s="10" t="str">
        <f t="shared" si="527"/>
        <v/>
      </c>
      <c r="L3462" s="11" t="str">
        <f t="shared" si="529"/>
        <v/>
      </c>
      <c r="M3462" s="9" t="str">
        <f>IF(G3462&lt;&gt;"",J3462/MAX(J$3:J3462)-1,"")</f>
        <v/>
      </c>
      <c r="N3462" s="9" t="str">
        <f>IF(G3462&lt;&gt;"",K3462/MAX(K$3:K3462)-1,"")</f>
        <v/>
      </c>
      <c r="O3462" s="16" t="str">
        <f t="shared" si="525"/>
        <v/>
      </c>
      <c r="P3462" s="16" t="str">
        <f t="shared" si="525"/>
        <v/>
      </c>
      <c r="Q3462" s="16" t="str">
        <f t="shared" si="525"/>
        <v/>
      </c>
      <c r="R3462" s="5" t="str">
        <f t="shared" si="524"/>
        <v/>
      </c>
      <c r="S3462" s="5" t="str">
        <f t="shared" si="528"/>
        <v/>
      </c>
      <c r="T3462" s="5" t="str">
        <f t="shared" si="523"/>
        <v/>
      </c>
      <c r="U3462" s="5" t="str">
        <f t="shared" si="523"/>
        <v/>
      </c>
    </row>
    <row r="3463" spans="7:21" x14ac:dyDescent="0.2">
      <c r="G3463" s="8"/>
      <c r="H3463" s="5"/>
      <c r="J3463" s="10" t="str">
        <f t="shared" si="526"/>
        <v/>
      </c>
      <c r="K3463" s="10" t="str">
        <f t="shared" si="527"/>
        <v/>
      </c>
      <c r="L3463" s="11" t="str">
        <f t="shared" si="529"/>
        <v/>
      </c>
      <c r="M3463" s="9" t="str">
        <f>IF(G3463&lt;&gt;"",J3463/MAX(J$3:J3463)-1,"")</f>
        <v/>
      </c>
      <c r="N3463" s="9" t="str">
        <f>IF(G3463&lt;&gt;"",K3463/MAX(K$3:K3463)-1,"")</f>
        <v/>
      </c>
      <c r="O3463" s="16" t="str">
        <f t="shared" si="525"/>
        <v/>
      </c>
      <c r="P3463" s="16" t="str">
        <f t="shared" si="525"/>
        <v/>
      </c>
      <c r="Q3463" s="16" t="str">
        <f t="shared" si="525"/>
        <v/>
      </c>
      <c r="R3463" s="5" t="str">
        <f t="shared" si="524"/>
        <v/>
      </c>
      <c r="S3463" s="5" t="str">
        <f t="shared" si="528"/>
        <v/>
      </c>
      <c r="T3463" s="5" t="str">
        <f t="shared" si="523"/>
        <v/>
      </c>
      <c r="U3463" s="5" t="str">
        <f t="shared" si="523"/>
        <v/>
      </c>
    </row>
    <row r="3464" spans="7:21" x14ac:dyDescent="0.2">
      <c r="G3464" s="8"/>
      <c r="H3464" s="5"/>
      <c r="J3464" s="10" t="str">
        <f t="shared" si="526"/>
        <v/>
      </c>
      <c r="K3464" s="10" t="str">
        <f t="shared" si="527"/>
        <v/>
      </c>
      <c r="L3464" s="11" t="str">
        <f t="shared" si="529"/>
        <v/>
      </c>
      <c r="M3464" s="9" t="str">
        <f>IF(G3464&lt;&gt;"",J3464/MAX(J$3:J3464)-1,"")</f>
        <v/>
      </c>
      <c r="N3464" s="9" t="str">
        <f>IF(G3464&lt;&gt;"",K3464/MAX(K$3:K3464)-1,"")</f>
        <v/>
      </c>
      <c r="O3464" s="16" t="str">
        <f t="shared" si="525"/>
        <v/>
      </c>
      <c r="P3464" s="16" t="str">
        <f t="shared" si="525"/>
        <v/>
      </c>
      <c r="Q3464" s="16" t="str">
        <f t="shared" si="525"/>
        <v/>
      </c>
      <c r="R3464" s="5" t="str">
        <f t="shared" si="524"/>
        <v/>
      </c>
      <c r="S3464" s="5" t="str">
        <f t="shared" si="528"/>
        <v/>
      </c>
      <c r="T3464" s="5" t="str">
        <f t="shared" ref="T3464:U3479" si="530">IF($G3464&lt;&gt;"",_xlfn.STDEV.S(O3220:O3464),"")</f>
        <v/>
      </c>
      <c r="U3464" s="5" t="str">
        <f t="shared" si="530"/>
        <v/>
      </c>
    </row>
    <row r="3465" spans="7:21" x14ac:dyDescent="0.2">
      <c r="G3465" s="8"/>
      <c r="H3465" s="5"/>
      <c r="J3465" s="10" t="str">
        <f t="shared" si="526"/>
        <v/>
      </c>
      <c r="K3465" s="10" t="str">
        <f t="shared" si="527"/>
        <v/>
      </c>
      <c r="L3465" s="11" t="str">
        <f t="shared" si="529"/>
        <v/>
      </c>
      <c r="M3465" s="9" t="str">
        <f>IF(G3465&lt;&gt;"",J3465/MAX(J$3:J3465)-1,"")</f>
        <v/>
      </c>
      <c r="N3465" s="9" t="str">
        <f>IF(G3465&lt;&gt;"",K3465/MAX(K$3:K3465)-1,"")</f>
        <v/>
      </c>
      <c r="O3465" s="16" t="str">
        <f t="shared" si="525"/>
        <v/>
      </c>
      <c r="P3465" s="16" t="str">
        <f t="shared" si="525"/>
        <v/>
      </c>
      <c r="Q3465" s="16" t="str">
        <f t="shared" si="525"/>
        <v/>
      </c>
      <c r="R3465" s="5" t="str">
        <f t="shared" si="524"/>
        <v/>
      </c>
      <c r="S3465" s="5" t="str">
        <f t="shared" si="528"/>
        <v/>
      </c>
      <c r="T3465" s="5" t="str">
        <f t="shared" si="530"/>
        <v/>
      </c>
      <c r="U3465" s="5" t="str">
        <f t="shared" si="530"/>
        <v/>
      </c>
    </row>
    <row r="3466" spans="7:21" x14ac:dyDescent="0.2">
      <c r="G3466" s="8"/>
      <c r="H3466" s="5"/>
      <c r="J3466" s="10" t="str">
        <f t="shared" si="526"/>
        <v/>
      </c>
      <c r="K3466" s="10" t="str">
        <f t="shared" si="527"/>
        <v/>
      </c>
      <c r="L3466" s="11" t="str">
        <f t="shared" si="529"/>
        <v/>
      </c>
      <c r="M3466" s="9" t="str">
        <f>IF(G3466&lt;&gt;"",J3466/MAX(J$3:J3466)-1,"")</f>
        <v/>
      </c>
      <c r="N3466" s="9" t="str">
        <f>IF(G3466&lt;&gt;"",K3466/MAX(K$3:K3466)-1,"")</f>
        <v/>
      </c>
      <c r="O3466" s="16" t="str">
        <f t="shared" si="525"/>
        <v/>
      </c>
      <c r="P3466" s="16" t="str">
        <f t="shared" si="525"/>
        <v/>
      </c>
      <c r="Q3466" s="16" t="str">
        <f t="shared" si="525"/>
        <v/>
      </c>
      <c r="R3466" s="5" t="str">
        <f t="shared" si="524"/>
        <v/>
      </c>
      <c r="S3466" s="5" t="str">
        <f t="shared" si="528"/>
        <v/>
      </c>
      <c r="T3466" s="5" t="str">
        <f t="shared" si="530"/>
        <v/>
      </c>
      <c r="U3466" s="5" t="str">
        <f t="shared" si="530"/>
        <v/>
      </c>
    </row>
    <row r="3467" spans="7:21" x14ac:dyDescent="0.2">
      <c r="G3467" s="8"/>
      <c r="H3467" s="5"/>
      <c r="J3467" s="10" t="str">
        <f t="shared" si="526"/>
        <v/>
      </c>
      <c r="K3467" s="10" t="str">
        <f t="shared" si="527"/>
        <v/>
      </c>
      <c r="L3467" s="11" t="str">
        <f t="shared" si="529"/>
        <v/>
      </c>
      <c r="M3467" s="9" t="str">
        <f>IF(G3467&lt;&gt;"",J3467/MAX(J$3:J3467)-1,"")</f>
        <v/>
      </c>
      <c r="N3467" s="9" t="str">
        <f>IF(G3467&lt;&gt;"",K3467/MAX(K$3:K3467)-1,"")</f>
        <v/>
      </c>
      <c r="O3467" s="16" t="str">
        <f t="shared" si="525"/>
        <v/>
      </c>
      <c r="P3467" s="16" t="str">
        <f t="shared" si="525"/>
        <v/>
      </c>
      <c r="Q3467" s="16" t="str">
        <f t="shared" si="525"/>
        <v/>
      </c>
      <c r="R3467" s="5" t="str">
        <f t="shared" si="524"/>
        <v/>
      </c>
      <c r="S3467" s="5" t="str">
        <f t="shared" si="528"/>
        <v/>
      </c>
      <c r="T3467" s="5" t="str">
        <f t="shared" si="530"/>
        <v/>
      </c>
      <c r="U3467" s="5" t="str">
        <f t="shared" si="530"/>
        <v/>
      </c>
    </row>
    <row r="3468" spans="7:21" x14ac:dyDescent="0.2">
      <c r="G3468" s="8"/>
      <c r="H3468" s="5"/>
      <c r="J3468" s="10" t="str">
        <f t="shared" si="526"/>
        <v/>
      </c>
      <c r="K3468" s="10" t="str">
        <f t="shared" si="527"/>
        <v/>
      </c>
      <c r="L3468" s="11" t="str">
        <f t="shared" si="529"/>
        <v/>
      </c>
      <c r="M3468" s="9" t="str">
        <f>IF(G3468&lt;&gt;"",J3468/MAX(J$3:J3468)-1,"")</f>
        <v/>
      </c>
      <c r="N3468" s="9" t="str">
        <f>IF(G3468&lt;&gt;"",K3468/MAX(K$3:K3468)-1,"")</f>
        <v/>
      </c>
      <c r="O3468" s="16" t="str">
        <f t="shared" si="525"/>
        <v/>
      </c>
      <c r="P3468" s="16" t="str">
        <f t="shared" si="525"/>
        <v/>
      </c>
      <c r="Q3468" s="16" t="str">
        <f t="shared" si="525"/>
        <v/>
      </c>
      <c r="R3468" s="5" t="str">
        <f t="shared" si="524"/>
        <v/>
      </c>
      <c r="S3468" s="5" t="str">
        <f t="shared" si="528"/>
        <v/>
      </c>
      <c r="T3468" s="5" t="str">
        <f t="shared" si="530"/>
        <v/>
      </c>
      <c r="U3468" s="5" t="str">
        <f t="shared" si="530"/>
        <v/>
      </c>
    </row>
    <row r="3469" spans="7:21" x14ac:dyDescent="0.2">
      <c r="G3469" s="8"/>
      <c r="H3469" s="5"/>
      <c r="J3469" s="10" t="str">
        <f t="shared" si="526"/>
        <v/>
      </c>
      <c r="K3469" s="10" t="str">
        <f t="shared" si="527"/>
        <v/>
      </c>
      <c r="L3469" s="11" t="str">
        <f t="shared" si="529"/>
        <v/>
      </c>
      <c r="M3469" s="9" t="str">
        <f>IF(G3469&lt;&gt;"",J3469/MAX(J$3:J3469)-1,"")</f>
        <v/>
      </c>
      <c r="N3469" s="9" t="str">
        <f>IF(G3469&lt;&gt;"",K3469/MAX(K$3:K3469)-1,"")</f>
        <v/>
      </c>
      <c r="O3469" s="16" t="str">
        <f t="shared" si="525"/>
        <v/>
      </c>
      <c r="P3469" s="16" t="str">
        <f t="shared" si="525"/>
        <v/>
      </c>
      <c r="Q3469" s="16" t="str">
        <f t="shared" si="525"/>
        <v/>
      </c>
      <c r="R3469" s="5" t="str">
        <f t="shared" si="524"/>
        <v/>
      </c>
      <c r="S3469" s="5" t="str">
        <f t="shared" si="528"/>
        <v/>
      </c>
      <c r="T3469" s="5" t="str">
        <f t="shared" si="530"/>
        <v/>
      </c>
      <c r="U3469" s="5" t="str">
        <f t="shared" si="530"/>
        <v/>
      </c>
    </row>
    <row r="3470" spans="7:21" x14ac:dyDescent="0.2">
      <c r="G3470" s="8"/>
      <c r="H3470" s="5"/>
      <c r="J3470" s="10" t="str">
        <f t="shared" si="526"/>
        <v/>
      </c>
      <c r="K3470" s="10" t="str">
        <f t="shared" si="527"/>
        <v/>
      </c>
      <c r="L3470" s="11" t="str">
        <f t="shared" si="529"/>
        <v/>
      </c>
      <c r="M3470" s="9" t="str">
        <f>IF(G3470&lt;&gt;"",J3470/MAX(J$3:J3470)-1,"")</f>
        <v/>
      </c>
      <c r="N3470" s="9" t="str">
        <f>IF(G3470&lt;&gt;"",K3470/MAX(K$3:K3470)-1,"")</f>
        <v/>
      </c>
      <c r="O3470" s="16" t="str">
        <f t="shared" si="525"/>
        <v/>
      </c>
      <c r="P3470" s="16" t="str">
        <f t="shared" si="525"/>
        <v/>
      </c>
      <c r="Q3470" s="16" t="str">
        <f t="shared" si="525"/>
        <v/>
      </c>
      <c r="R3470" s="5" t="str">
        <f t="shared" si="524"/>
        <v/>
      </c>
      <c r="S3470" s="5" t="str">
        <f t="shared" si="528"/>
        <v/>
      </c>
      <c r="T3470" s="5" t="str">
        <f t="shared" si="530"/>
        <v/>
      </c>
      <c r="U3470" s="5" t="str">
        <f t="shared" si="530"/>
        <v/>
      </c>
    </row>
    <row r="3471" spans="7:21" x14ac:dyDescent="0.2">
      <c r="G3471" s="8"/>
      <c r="H3471" s="5"/>
      <c r="J3471" s="10" t="str">
        <f t="shared" si="526"/>
        <v/>
      </c>
      <c r="K3471" s="10" t="str">
        <f t="shared" si="527"/>
        <v/>
      </c>
      <c r="L3471" s="11" t="str">
        <f t="shared" si="529"/>
        <v/>
      </c>
      <c r="M3471" s="9" t="str">
        <f>IF(G3471&lt;&gt;"",J3471/MAX(J$3:J3471)-1,"")</f>
        <v/>
      </c>
      <c r="N3471" s="9" t="str">
        <f>IF(G3471&lt;&gt;"",K3471/MAX(K$3:K3471)-1,"")</f>
        <v/>
      </c>
      <c r="O3471" s="16" t="str">
        <f t="shared" si="525"/>
        <v/>
      </c>
      <c r="P3471" s="16" t="str">
        <f t="shared" si="525"/>
        <v/>
      </c>
      <c r="Q3471" s="16" t="str">
        <f t="shared" si="525"/>
        <v/>
      </c>
      <c r="R3471" s="5" t="str">
        <f t="shared" si="524"/>
        <v/>
      </c>
      <c r="S3471" s="5" t="str">
        <f t="shared" si="528"/>
        <v/>
      </c>
      <c r="T3471" s="5" t="str">
        <f t="shared" si="530"/>
        <v/>
      </c>
      <c r="U3471" s="5" t="str">
        <f t="shared" si="530"/>
        <v/>
      </c>
    </row>
    <row r="3472" spans="7:21" x14ac:dyDescent="0.2">
      <c r="G3472" s="8"/>
      <c r="H3472" s="5"/>
      <c r="J3472" s="10" t="str">
        <f t="shared" si="526"/>
        <v/>
      </c>
      <c r="K3472" s="10" t="str">
        <f t="shared" si="527"/>
        <v/>
      </c>
      <c r="L3472" s="11" t="str">
        <f t="shared" si="529"/>
        <v/>
      </c>
      <c r="M3472" s="9" t="str">
        <f>IF(G3472&lt;&gt;"",J3472/MAX(J$3:J3472)-1,"")</f>
        <v/>
      </c>
      <c r="N3472" s="9" t="str">
        <f>IF(G3472&lt;&gt;"",K3472/MAX(K$3:K3472)-1,"")</f>
        <v/>
      </c>
      <c r="O3472" s="16" t="str">
        <f t="shared" si="525"/>
        <v/>
      </c>
      <c r="P3472" s="16" t="str">
        <f t="shared" si="525"/>
        <v/>
      </c>
      <c r="Q3472" s="16" t="str">
        <f t="shared" si="525"/>
        <v/>
      </c>
      <c r="R3472" s="5" t="str">
        <f t="shared" si="524"/>
        <v/>
      </c>
      <c r="S3472" s="5" t="str">
        <f t="shared" si="528"/>
        <v/>
      </c>
      <c r="T3472" s="5" t="str">
        <f t="shared" si="530"/>
        <v/>
      </c>
      <c r="U3472" s="5" t="str">
        <f t="shared" si="530"/>
        <v/>
      </c>
    </row>
    <row r="3473" spans="7:21" x14ac:dyDescent="0.2">
      <c r="G3473" s="8"/>
      <c r="H3473" s="5"/>
      <c r="J3473" s="10" t="str">
        <f t="shared" si="526"/>
        <v/>
      </c>
      <c r="K3473" s="10" t="str">
        <f t="shared" si="527"/>
        <v/>
      </c>
      <c r="L3473" s="11" t="str">
        <f t="shared" si="529"/>
        <v/>
      </c>
      <c r="M3473" s="9" t="str">
        <f>IF(G3473&lt;&gt;"",J3473/MAX(J$3:J3473)-1,"")</f>
        <v/>
      </c>
      <c r="N3473" s="9" t="str">
        <f>IF(G3473&lt;&gt;"",K3473/MAX(K$3:K3473)-1,"")</f>
        <v/>
      </c>
      <c r="O3473" s="16" t="str">
        <f t="shared" si="525"/>
        <v/>
      </c>
      <c r="P3473" s="16" t="str">
        <f t="shared" si="525"/>
        <v/>
      </c>
      <c r="Q3473" s="16" t="str">
        <f t="shared" si="525"/>
        <v/>
      </c>
      <c r="R3473" s="5" t="str">
        <f t="shared" si="524"/>
        <v/>
      </c>
      <c r="S3473" s="5" t="str">
        <f t="shared" si="528"/>
        <v/>
      </c>
      <c r="T3473" s="5" t="str">
        <f t="shared" si="530"/>
        <v/>
      </c>
      <c r="U3473" s="5" t="str">
        <f t="shared" si="530"/>
        <v/>
      </c>
    </row>
    <row r="3474" spans="7:21" x14ac:dyDescent="0.2">
      <c r="G3474" s="8"/>
      <c r="H3474" s="5"/>
      <c r="J3474" s="10" t="str">
        <f t="shared" si="526"/>
        <v/>
      </c>
      <c r="K3474" s="10" t="str">
        <f t="shared" si="527"/>
        <v/>
      </c>
      <c r="L3474" s="11" t="str">
        <f t="shared" si="529"/>
        <v/>
      </c>
      <c r="M3474" s="9" t="str">
        <f>IF(G3474&lt;&gt;"",J3474/MAX(J$3:J3474)-1,"")</f>
        <v/>
      </c>
      <c r="N3474" s="9" t="str">
        <f>IF(G3474&lt;&gt;"",K3474/MAX(K$3:K3474)-1,"")</f>
        <v/>
      </c>
      <c r="O3474" s="16" t="str">
        <f t="shared" si="525"/>
        <v/>
      </c>
      <c r="P3474" s="16" t="str">
        <f t="shared" si="525"/>
        <v/>
      </c>
      <c r="Q3474" s="16" t="str">
        <f t="shared" si="525"/>
        <v/>
      </c>
      <c r="R3474" s="5" t="str">
        <f t="shared" si="524"/>
        <v/>
      </c>
      <c r="S3474" s="5" t="str">
        <f t="shared" si="528"/>
        <v/>
      </c>
      <c r="T3474" s="5" t="str">
        <f t="shared" si="530"/>
        <v/>
      </c>
      <c r="U3474" s="5" t="str">
        <f t="shared" si="530"/>
        <v/>
      </c>
    </row>
    <row r="3475" spans="7:21" x14ac:dyDescent="0.2">
      <c r="G3475" s="8"/>
      <c r="H3475" s="5"/>
      <c r="J3475" s="10" t="str">
        <f t="shared" si="526"/>
        <v/>
      </c>
      <c r="K3475" s="10" t="str">
        <f t="shared" si="527"/>
        <v/>
      </c>
      <c r="L3475" s="11" t="str">
        <f t="shared" si="529"/>
        <v/>
      </c>
      <c r="M3475" s="9" t="str">
        <f>IF(G3475&lt;&gt;"",J3475/MAX(J$3:J3475)-1,"")</f>
        <v/>
      </c>
      <c r="N3475" s="9" t="str">
        <f>IF(G3475&lt;&gt;"",K3475/MAX(K$3:K3475)-1,"")</f>
        <v/>
      </c>
      <c r="O3475" s="16" t="str">
        <f t="shared" si="525"/>
        <v/>
      </c>
      <c r="P3475" s="16" t="str">
        <f t="shared" si="525"/>
        <v/>
      </c>
      <c r="Q3475" s="16" t="str">
        <f t="shared" si="525"/>
        <v/>
      </c>
      <c r="R3475" s="5" t="str">
        <f t="shared" si="524"/>
        <v/>
      </c>
      <c r="S3475" s="5" t="str">
        <f t="shared" si="528"/>
        <v/>
      </c>
      <c r="T3475" s="5" t="str">
        <f t="shared" si="530"/>
        <v/>
      </c>
      <c r="U3475" s="5" t="str">
        <f t="shared" si="530"/>
        <v/>
      </c>
    </row>
    <row r="3476" spans="7:21" x14ac:dyDescent="0.2">
      <c r="G3476" s="8"/>
      <c r="H3476" s="5"/>
      <c r="J3476" s="10" t="str">
        <f t="shared" si="526"/>
        <v/>
      </c>
      <c r="K3476" s="10" t="str">
        <f t="shared" si="527"/>
        <v/>
      </c>
      <c r="L3476" s="11" t="str">
        <f t="shared" si="529"/>
        <v/>
      </c>
      <c r="M3476" s="9" t="str">
        <f>IF(G3476&lt;&gt;"",J3476/MAX(J$3:J3476)-1,"")</f>
        <v/>
      </c>
      <c r="N3476" s="9" t="str">
        <f>IF(G3476&lt;&gt;"",K3476/MAX(K$3:K3476)-1,"")</f>
        <v/>
      </c>
      <c r="O3476" s="16" t="str">
        <f t="shared" si="525"/>
        <v/>
      </c>
      <c r="P3476" s="16" t="str">
        <f t="shared" si="525"/>
        <v/>
      </c>
      <c r="Q3476" s="16" t="str">
        <f t="shared" si="525"/>
        <v/>
      </c>
      <c r="R3476" s="5" t="str">
        <f t="shared" si="524"/>
        <v/>
      </c>
      <c r="S3476" s="5" t="str">
        <f t="shared" si="528"/>
        <v/>
      </c>
      <c r="T3476" s="5" t="str">
        <f t="shared" si="530"/>
        <v/>
      </c>
      <c r="U3476" s="5" t="str">
        <f t="shared" si="530"/>
        <v/>
      </c>
    </row>
    <row r="3477" spans="7:21" x14ac:dyDescent="0.2">
      <c r="G3477" s="8"/>
      <c r="H3477" s="5"/>
      <c r="J3477" s="10" t="str">
        <f t="shared" si="526"/>
        <v/>
      </c>
      <c r="K3477" s="10" t="str">
        <f t="shared" si="527"/>
        <v/>
      </c>
      <c r="L3477" s="11" t="str">
        <f t="shared" si="529"/>
        <v/>
      </c>
      <c r="M3477" s="9" t="str">
        <f>IF(G3477&lt;&gt;"",J3477/MAX(J$3:J3477)-1,"")</f>
        <v/>
      </c>
      <c r="N3477" s="9" t="str">
        <f>IF(G3477&lt;&gt;"",K3477/MAX(K$3:K3477)-1,"")</f>
        <v/>
      </c>
      <c r="O3477" s="16" t="str">
        <f t="shared" si="525"/>
        <v/>
      </c>
      <c r="P3477" s="16" t="str">
        <f t="shared" si="525"/>
        <v/>
      </c>
      <c r="Q3477" s="16" t="str">
        <f t="shared" si="525"/>
        <v/>
      </c>
      <c r="R3477" s="5" t="str">
        <f t="shared" si="524"/>
        <v/>
      </c>
      <c r="S3477" s="5" t="str">
        <f t="shared" si="528"/>
        <v/>
      </c>
      <c r="T3477" s="5" t="str">
        <f t="shared" si="530"/>
        <v/>
      </c>
      <c r="U3477" s="5" t="str">
        <f t="shared" si="530"/>
        <v/>
      </c>
    </row>
    <row r="3478" spans="7:21" x14ac:dyDescent="0.2">
      <c r="G3478" s="8"/>
      <c r="H3478" s="5"/>
      <c r="J3478" s="10" t="str">
        <f t="shared" si="526"/>
        <v/>
      </c>
      <c r="K3478" s="10" t="str">
        <f t="shared" si="527"/>
        <v/>
      </c>
      <c r="L3478" s="11" t="str">
        <f t="shared" si="529"/>
        <v/>
      </c>
      <c r="M3478" s="9" t="str">
        <f>IF(G3478&lt;&gt;"",J3478/MAX(J$3:J3478)-1,"")</f>
        <v/>
      </c>
      <c r="N3478" s="9" t="str">
        <f>IF(G3478&lt;&gt;"",K3478/MAX(K$3:K3478)-1,"")</f>
        <v/>
      </c>
      <c r="O3478" s="16" t="str">
        <f t="shared" si="525"/>
        <v/>
      </c>
      <c r="P3478" s="16" t="str">
        <f t="shared" si="525"/>
        <v/>
      </c>
      <c r="Q3478" s="16" t="str">
        <f t="shared" si="525"/>
        <v/>
      </c>
      <c r="R3478" s="5" t="str">
        <f t="shared" si="524"/>
        <v/>
      </c>
      <c r="S3478" s="5" t="str">
        <f t="shared" si="528"/>
        <v/>
      </c>
      <c r="T3478" s="5" t="str">
        <f t="shared" si="530"/>
        <v/>
      </c>
      <c r="U3478" s="5" t="str">
        <f t="shared" si="530"/>
        <v/>
      </c>
    </row>
    <row r="3479" spans="7:21" x14ac:dyDescent="0.2">
      <c r="G3479" s="8"/>
      <c r="H3479" s="5"/>
      <c r="J3479" s="10" t="str">
        <f t="shared" si="526"/>
        <v/>
      </c>
      <c r="K3479" s="10" t="str">
        <f t="shared" si="527"/>
        <v/>
      </c>
      <c r="L3479" s="11" t="str">
        <f t="shared" si="529"/>
        <v/>
      </c>
      <c r="M3479" s="9" t="str">
        <f>IF(G3479&lt;&gt;"",J3479/MAX(J$3:J3479)-1,"")</f>
        <v/>
      </c>
      <c r="N3479" s="9" t="str">
        <f>IF(G3479&lt;&gt;"",K3479/MAX(K$3:K3479)-1,"")</f>
        <v/>
      </c>
      <c r="O3479" s="16" t="str">
        <f t="shared" si="525"/>
        <v/>
      </c>
      <c r="P3479" s="16" t="str">
        <f t="shared" si="525"/>
        <v/>
      </c>
      <c r="Q3479" s="16" t="str">
        <f t="shared" si="525"/>
        <v/>
      </c>
      <c r="R3479" s="5" t="str">
        <f t="shared" si="524"/>
        <v/>
      </c>
      <c r="S3479" s="5" t="str">
        <f t="shared" si="528"/>
        <v/>
      </c>
      <c r="T3479" s="5" t="str">
        <f t="shared" si="530"/>
        <v/>
      </c>
      <c r="U3479" s="5" t="str">
        <f t="shared" si="530"/>
        <v/>
      </c>
    </row>
    <row r="3480" spans="7:21" x14ac:dyDescent="0.2">
      <c r="G3480" s="8"/>
      <c r="H3480" s="5"/>
      <c r="J3480" s="10" t="str">
        <f t="shared" si="526"/>
        <v/>
      </c>
      <c r="K3480" s="10" t="str">
        <f t="shared" si="527"/>
        <v/>
      </c>
      <c r="L3480" s="11" t="str">
        <f t="shared" si="529"/>
        <v/>
      </c>
      <c r="M3480" s="9" t="str">
        <f>IF(G3480&lt;&gt;"",J3480/MAX(J$3:J3480)-1,"")</f>
        <v/>
      </c>
      <c r="N3480" s="9" t="str">
        <f>IF(G3480&lt;&gt;"",K3480/MAX(K$3:K3480)-1,"")</f>
        <v/>
      </c>
      <c r="O3480" s="16" t="str">
        <f t="shared" si="525"/>
        <v/>
      </c>
      <c r="P3480" s="16" t="str">
        <f t="shared" si="525"/>
        <v/>
      </c>
      <c r="Q3480" s="16" t="str">
        <f t="shared" si="525"/>
        <v/>
      </c>
      <c r="R3480" s="5" t="str">
        <f t="shared" si="524"/>
        <v/>
      </c>
      <c r="S3480" s="5" t="str">
        <f t="shared" si="528"/>
        <v/>
      </c>
      <c r="T3480" s="5" t="str">
        <f t="shared" ref="T3480:U3495" si="531">IF($G3480&lt;&gt;"",_xlfn.STDEV.S(O3236:O3480),"")</f>
        <v/>
      </c>
      <c r="U3480" s="5" t="str">
        <f t="shared" si="531"/>
        <v/>
      </c>
    </row>
    <row r="3481" spans="7:21" x14ac:dyDescent="0.2">
      <c r="G3481" s="8"/>
      <c r="H3481" s="5"/>
      <c r="J3481" s="10" t="str">
        <f t="shared" si="526"/>
        <v/>
      </c>
      <c r="K3481" s="10" t="str">
        <f t="shared" si="527"/>
        <v/>
      </c>
      <c r="L3481" s="11" t="str">
        <f t="shared" si="529"/>
        <v/>
      </c>
      <c r="M3481" s="9" t="str">
        <f>IF(G3481&lt;&gt;"",J3481/MAX(J$3:J3481)-1,"")</f>
        <v/>
      </c>
      <c r="N3481" s="9" t="str">
        <f>IF(G3481&lt;&gt;"",K3481/MAX(K$3:K3481)-1,"")</f>
        <v/>
      </c>
      <c r="O3481" s="16" t="str">
        <f t="shared" si="525"/>
        <v/>
      </c>
      <c r="P3481" s="16" t="str">
        <f t="shared" si="525"/>
        <v/>
      </c>
      <c r="Q3481" s="16" t="str">
        <f t="shared" si="525"/>
        <v/>
      </c>
      <c r="R3481" s="5" t="str">
        <f t="shared" si="524"/>
        <v/>
      </c>
      <c r="S3481" s="5" t="str">
        <f t="shared" si="528"/>
        <v/>
      </c>
      <c r="T3481" s="5" t="str">
        <f t="shared" si="531"/>
        <v/>
      </c>
      <c r="U3481" s="5" t="str">
        <f t="shared" si="531"/>
        <v/>
      </c>
    </row>
    <row r="3482" spans="7:21" x14ac:dyDescent="0.2">
      <c r="G3482" s="8"/>
      <c r="H3482" s="5"/>
      <c r="J3482" s="10" t="str">
        <f t="shared" si="526"/>
        <v/>
      </c>
      <c r="K3482" s="10" t="str">
        <f t="shared" si="527"/>
        <v/>
      </c>
      <c r="L3482" s="11" t="str">
        <f t="shared" si="529"/>
        <v/>
      </c>
      <c r="M3482" s="9" t="str">
        <f>IF(G3482&lt;&gt;"",J3482/MAX(J$3:J3482)-1,"")</f>
        <v/>
      </c>
      <c r="N3482" s="9" t="str">
        <f>IF(G3482&lt;&gt;"",K3482/MAX(K$3:K3482)-1,"")</f>
        <v/>
      </c>
      <c r="O3482" s="16" t="str">
        <f t="shared" si="525"/>
        <v/>
      </c>
      <c r="P3482" s="16" t="str">
        <f t="shared" si="525"/>
        <v/>
      </c>
      <c r="Q3482" s="16" t="str">
        <f t="shared" si="525"/>
        <v/>
      </c>
      <c r="R3482" s="5" t="str">
        <f t="shared" si="524"/>
        <v/>
      </c>
      <c r="S3482" s="5" t="str">
        <f t="shared" si="528"/>
        <v/>
      </c>
      <c r="T3482" s="5" t="str">
        <f t="shared" si="531"/>
        <v/>
      </c>
      <c r="U3482" s="5" t="str">
        <f t="shared" si="531"/>
        <v/>
      </c>
    </row>
    <row r="3483" spans="7:21" x14ac:dyDescent="0.2">
      <c r="G3483" s="8"/>
      <c r="H3483" s="5"/>
      <c r="J3483" s="10" t="str">
        <f t="shared" si="526"/>
        <v/>
      </c>
      <c r="K3483" s="10" t="str">
        <f t="shared" si="527"/>
        <v/>
      </c>
      <c r="L3483" s="11" t="str">
        <f t="shared" si="529"/>
        <v/>
      </c>
      <c r="M3483" s="9" t="str">
        <f>IF(G3483&lt;&gt;"",J3483/MAX(J$3:J3483)-1,"")</f>
        <v/>
      </c>
      <c r="N3483" s="9" t="str">
        <f>IF(G3483&lt;&gt;"",K3483/MAX(K$3:K3483)-1,"")</f>
        <v/>
      </c>
      <c r="O3483" s="16" t="str">
        <f t="shared" si="525"/>
        <v/>
      </c>
      <c r="P3483" s="16" t="str">
        <f t="shared" si="525"/>
        <v/>
      </c>
      <c r="Q3483" s="16" t="str">
        <f t="shared" si="525"/>
        <v/>
      </c>
      <c r="R3483" s="5" t="str">
        <f t="shared" si="524"/>
        <v/>
      </c>
      <c r="S3483" s="5" t="str">
        <f t="shared" si="528"/>
        <v/>
      </c>
      <c r="T3483" s="5" t="str">
        <f t="shared" si="531"/>
        <v/>
      </c>
      <c r="U3483" s="5" t="str">
        <f t="shared" si="531"/>
        <v/>
      </c>
    </row>
    <row r="3484" spans="7:21" x14ac:dyDescent="0.2">
      <c r="G3484" s="8"/>
      <c r="H3484" s="5"/>
      <c r="J3484" s="10" t="str">
        <f t="shared" si="526"/>
        <v/>
      </c>
      <c r="K3484" s="10" t="str">
        <f t="shared" si="527"/>
        <v/>
      </c>
      <c r="L3484" s="11" t="str">
        <f t="shared" si="529"/>
        <v/>
      </c>
      <c r="M3484" s="9" t="str">
        <f>IF(G3484&lt;&gt;"",J3484/MAX(J$3:J3484)-1,"")</f>
        <v/>
      </c>
      <c r="N3484" s="9" t="str">
        <f>IF(G3484&lt;&gt;"",K3484/MAX(K$3:K3484)-1,"")</f>
        <v/>
      </c>
      <c r="O3484" s="16" t="str">
        <f t="shared" si="525"/>
        <v/>
      </c>
      <c r="P3484" s="16" t="str">
        <f t="shared" si="525"/>
        <v/>
      </c>
      <c r="Q3484" s="16" t="str">
        <f t="shared" si="525"/>
        <v/>
      </c>
      <c r="R3484" s="5" t="str">
        <f t="shared" si="524"/>
        <v/>
      </c>
      <c r="S3484" s="5" t="str">
        <f t="shared" si="528"/>
        <v/>
      </c>
      <c r="T3484" s="5" t="str">
        <f t="shared" si="531"/>
        <v/>
      </c>
      <c r="U3484" s="5" t="str">
        <f t="shared" si="531"/>
        <v/>
      </c>
    </row>
    <row r="3485" spans="7:21" x14ac:dyDescent="0.2">
      <c r="G3485" s="8"/>
      <c r="H3485" s="5"/>
      <c r="J3485" s="10" t="str">
        <f t="shared" si="526"/>
        <v/>
      </c>
      <c r="K3485" s="10" t="str">
        <f t="shared" si="527"/>
        <v/>
      </c>
      <c r="L3485" s="11" t="str">
        <f t="shared" si="529"/>
        <v/>
      </c>
      <c r="M3485" s="9" t="str">
        <f>IF(G3485&lt;&gt;"",J3485/MAX(J$3:J3485)-1,"")</f>
        <v/>
      </c>
      <c r="N3485" s="9" t="str">
        <f>IF(G3485&lt;&gt;"",K3485/MAX(K$3:K3485)-1,"")</f>
        <v/>
      </c>
      <c r="O3485" s="16" t="str">
        <f t="shared" si="525"/>
        <v/>
      </c>
      <c r="P3485" s="16" t="str">
        <f t="shared" si="525"/>
        <v/>
      </c>
      <c r="Q3485" s="16" t="str">
        <f t="shared" si="525"/>
        <v/>
      </c>
      <c r="R3485" s="5" t="str">
        <f t="shared" si="524"/>
        <v/>
      </c>
      <c r="S3485" s="5" t="str">
        <f t="shared" si="528"/>
        <v/>
      </c>
      <c r="T3485" s="5" t="str">
        <f t="shared" si="531"/>
        <v/>
      </c>
      <c r="U3485" s="5" t="str">
        <f t="shared" si="531"/>
        <v/>
      </c>
    </row>
    <row r="3486" spans="7:21" x14ac:dyDescent="0.2">
      <c r="G3486" s="8"/>
      <c r="H3486" s="5"/>
      <c r="J3486" s="10" t="str">
        <f t="shared" si="526"/>
        <v/>
      </c>
      <c r="K3486" s="10" t="str">
        <f t="shared" si="527"/>
        <v/>
      </c>
      <c r="L3486" s="11" t="str">
        <f t="shared" si="529"/>
        <v/>
      </c>
      <c r="M3486" s="9" t="str">
        <f>IF(G3486&lt;&gt;"",J3486/MAX(J$3:J3486)-1,"")</f>
        <v/>
      </c>
      <c r="N3486" s="9" t="str">
        <f>IF(G3486&lt;&gt;"",K3486/MAX(K$3:K3486)-1,"")</f>
        <v/>
      </c>
      <c r="O3486" s="16" t="str">
        <f t="shared" si="525"/>
        <v/>
      </c>
      <c r="P3486" s="16" t="str">
        <f t="shared" si="525"/>
        <v/>
      </c>
      <c r="Q3486" s="16" t="str">
        <f t="shared" si="525"/>
        <v/>
      </c>
      <c r="R3486" s="5" t="str">
        <f t="shared" si="524"/>
        <v/>
      </c>
      <c r="S3486" s="5" t="str">
        <f t="shared" si="528"/>
        <v/>
      </c>
      <c r="T3486" s="5" t="str">
        <f t="shared" si="531"/>
        <v/>
      </c>
      <c r="U3486" s="5" t="str">
        <f t="shared" si="531"/>
        <v/>
      </c>
    </row>
    <row r="3487" spans="7:21" x14ac:dyDescent="0.2">
      <c r="G3487" s="8"/>
      <c r="H3487" s="5"/>
      <c r="J3487" s="10" t="str">
        <f t="shared" si="526"/>
        <v/>
      </c>
      <c r="K3487" s="10" t="str">
        <f t="shared" si="527"/>
        <v/>
      </c>
      <c r="L3487" s="11" t="str">
        <f t="shared" si="529"/>
        <v/>
      </c>
      <c r="M3487" s="9" t="str">
        <f>IF(G3487&lt;&gt;"",J3487/MAX(J$3:J3487)-1,"")</f>
        <v/>
      </c>
      <c r="N3487" s="9" t="str">
        <f>IF(G3487&lt;&gt;"",K3487/MAX(K$3:K3487)-1,"")</f>
        <v/>
      </c>
      <c r="O3487" s="16" t="str">
        <f t="shared" si="525"/>
        <v/>
      </c>
      <c r="P3487" s="16" t="str">
        <f t="shared" si="525"/>
        <v/>
      </c>
      <c r="Q3487" s="16" t="str">
        <f t="shared" si="525"/>
        <v/>
      </c>
      <c r="R3487" s="5" t="str">
        <f t="shared" si="524"/>
        <v/>
      </c>
      <c r="S3487" s="5" t="str">
        <f t="shared" si="528"/>
        <v/>
      </c>
      <c r="T3487" s="5" t="str">
        <f t="shared" si="531"/>
        <v/>
      </c>
      <c r="U3487" s="5" t="str">
        <f t="shared" si="531"/>
        <v/>
      </c>
    </row>
    <row r="3488" spans="7:21" x14ac:dyDescent="0.2">
      <c r="G3488" s="8"/>
      <c r="H3488" s="5"/>
      <c r="J3488" s="10" t="str">
        <f t="shared" si="526"/>
        <v/>
      </c>
      <c r="K3488" s="10" t="str">
        <f t="shared" si="527"/>
        <v/>
      </c>
      <c r="L3488" s="11" t="str">
        <f t="shared" si="529"/>
        <v/>
      </c>
      <c r="M3488" s="9" t="str">
        <f>IF(G3488&lt;&gt;"",J3488/MAX(J$3:J3488)-1,"")</f>
        <v/>
      </c>
      <c r="N3488" s="9" t="str">
        <f>IF(G3488&lt;&gt;"",K3488/MAX(K$3:K3488)-1,"")</f>
        <v/>
      </c>
      <c r="O3488" s="16" t="str">
        <f t="shared" si="525"/>
        <v/>
      </c>
      <c r="P3488" s="16" t="str">
        <f t="shared" si="525"/>
        <v/>
      </c>
      <c r="Q3488" s="16" t="str">
        <f t="shared" si="525"/>
        <v/>
      </c>
      <c r="R3488" s="5" t="str">
        <f t="shared" si="524"/>
        <v/>
      </c>
      <c r="S3488" s="5" t="str">
        <f t="shared" si="528"/>
        <v/>
      </c>
      <c r="T3488" s="5" t="str">
        <f t="shared" si="531"/>
        <v/>
      </c>
      <c r="U3488" s="5" t="str">
        <f t="shared" si="531"/>
        <v/>
      </c>
    </row>
    <row r="3489" spans="7:21" x14ac:dyDescent="0.2">
      <c r="G3489" s="8"/>
      <c r="H3489" s="5"/>
      <c r="J3489" s="10" t="str">
        <f t="shared" si="526"/>
        <v/>
      </c>
      <c r="K3489" s="10" t="str">
        <f t="shared" si="527"/>
        <v/>
      </c>
      <c r="L3489" s="11" t="str">
        <f t="shared" si="529"/>
        <v/>
      </c>
      <c r="M3489" s="9" t="str">
        <f>IF(G3489&lt;&gt;"",J3489/MAX(J$3:J3489)-1,"")</f>
        <v/>
      </c>
      <c r="N3489" s="9" t="str">
        <f>IF(G3489&lt;&gt;"",K3489/MAX(K$3:K3489)-1,"")</f>
        <v/>
      </c>
      <c r="O3489" s="16" t="str">
        <f t="shared" si="525"/>
        <v/>
      </c>
      <c r="P3489" s="16" t="str">
        <f t="shared" si="525"/>
        <v/>
      </c>
      <c r="Q3489" s="16" t="str">
        <f t="shared" si="525"/>
        <v/>
      </c>
      <c r="R3489" s="5" t="str">
        <f t="shared" si="524"/>
        <v/>
      </c>
      <c r="S3489" s="5" t="str">
        <f t="shared" si="528"/>
        <v/>
      </c>
      <c r="T3489" s="5" t="str">
        <f t="shared" si="531"/>
        <v/>
      </c>
      <c r="U3489" s="5" t="str">
        <f t="shared" si="531"/>
        <v/>
      </c>
    </row>
    <row r="3490" spans="7:21" x14ac:dyDescent="0.2">
      <c r="G3490" s="8"/>
      <c r="H3490" s="5"/>
      <c r="J3490" s="10" t="str">
        <f t="shared" si="526"/>
        <v/>
      </c>
      <c r="K3490" s="10" t="str">
        <f t="shared" si="527"/>
        <v/>
      </c>
      <c r="L3490" s="11" t="str">
        <f t="shared" si="529"/>
        <v/>
      </c>
      <c r="M3490" s="9" t="str">
        <f>IF(G3490&lt;&gt;"",J3490/MAX(J$3:J3490)-1,"")</f>
        <v/>
      </c>
      <c r="N3490" s="9" t="str">
        <f>IF(G3490&lt;&gt;"",K3490/MAX(K$3:K3490)-1,"")</f>
        <v/>
      </c>
      <c r="O3490" s="16" t="str">
        <f t="shared" si="525"/>
        <v/>
      </c>
      <c r="P3490" s="16" t="str">
        <f t="shared" si="525"/>
        <v/>
      </c>
      <c r="Q3490" s="16" t="str">
        <f t="shared" si="525"/>
        <v/>
      </c>
      <c r="R3490" s="5" t="str">
        <f t="shared" si="524"/>
        <v/>
      </c>
      <c r="S3490" s="5" t="str">
        <f t="shared" si="528"/>
        <v/>
      </c>
      <c r="T3490" s="5" t="str">
        <f t="shared" si="531"/>
        <v/>
      </c>
      <c r="U3490" s="5" t="str">
        <f t="shared" si="531"/>
        <v/>
      </c>
    </row>
    <row r="3491" spans="7:21" x14ac:dyDescent="0.2">
      <c r="G3491" s="8"/>
      <c r="H3491" s="5"/>
      <c r="J3491" s="10" t="str">
        <f t="shared" si="526"/>
        <v/>
      </c>
      <c r="K3491" s="10" t="str">
        <f t="shared" si="527"/>
        <v/>
      </c>
      <c r="L3491" s="11" t="str">
        <f t="shared" si="529"/>
        <v/>
      </c>
      <c r="M3491" s="9" t="str">
        <f>IF(G3491&lt;&gt;"",J3491/MAX(J$3:J3491)-1,"")</f>
        <v/>
      </c>
      <c r="N3491" s="9" t="str">
        <f>IF(G3491&lt;&gt;"",K3491/MAX(K$3:K3491)-1,"")</f>
        <v/>
      </c>
      <c r="O3491" s="16" t="str">
        <f t="shared" si="525"/>
        <v/>
      </c>
      <c r="P3491" s="16" t="str">
        <f t="shared" si="525"/>
        <v/>
      </c>
      <c r="Q3491" s="16" t="str">
        <f t="shared" si="525"/>
        <v/>
      </c>
      <c r="R3491" s="5" t="str">
        <f t="shared" si="524"/>
        <v/>
      </c>
      <c r="S3491" s="5" t="str">
        <f t="shared" si="528"/>
        <v/>
      </c>
      <c r="T3491" s="5" t="str">
        <f t="shared" si="531"/>
        <v/>
      </c>
      <c r="U3491" s="5" t="str">
        <f t="shared" si="531"/>
        <v/>
      </c>
    </row>
    <row r="3492" spans="7:21" x14ac:dyDescent="0.2">
      <c r="G3492" s="8"/>
      <c r="H3492" s="5"/>
      <c r="J3492" s="10" t="str">
        <f t="shared" si="526"/>
        <v/>
      </c>
      <c r="K3492" s="10" t="str">
        <f t="shared" si="527"/>
        <v/>
      </c>
      <c r="L3492" s="11" t="str">
        <f t="shared" si="529"/>
        <v/>
      </c>
      <c r="M3492" s="9" t="str">
        <f>IF(G3492&lt;&gt;"",J3492/MAX(J$3:J3492)-1,"")</f>
        <v/>
      </c>
      <c r="N3492" s="9" t="str">
        <f>IF(G3492&lt;&gt;"",K3492/MAX(K$3:K3492)-1,"")</f>
        <v/>
      </c>
      <c r="O3492" s="16" t="str">
        <f t="shared" si="525"/>
        <v/>
      </c>
      <c r="P3492" s="16" t="str">
        <f t="shared" si="525"/>
        <v/>
      </c>
      <c r="Q3492" s="16" t="str">
        <f t="shared" si="525"/>
        <v/>
      </c>
      <c r="R3492" s="5" t="str">
        <f t="shared" si="524"/>
        <v/>
      </c>
      <c r="S3492" s="5" t="str">
        <f t="shared" si="528"/>
        <v/>
      </c>
      <c r="T3492" s="5" t="str">
        <f t="shared" si="531"/>
        <v/>
      </c>
      <c r="U3492" s="5" t="str">
        <f t="shared" si="531"/>
        <v/>
      </c>
    </row>
    <row r="3493" spans="7:21" x14ac:dyDescent="0.2">
      <c r="G3493" s="8"/>
      <c r="H3493" s="5"/>
      <c r="J3493" s="10" t="str">
        <f t="shared" si="526"/>
        <v/>
      </c>
      <c r="K3493" s="10" t="str">
        <f t="shared" si="527"/>
        <v/>
      </c>
      <c r="L3493" s="11" t="str">
        <f t="shared" si="529"/>
        <v/>
      </c>
      <c r="M3493" s="9" t="str">
        <f>IF(G3493&lt;&gt;"",J3493/MAX(J$3:J3493)-1,"")</f>
        <v/>
      </c>
      <c r="N3493" s="9" t="str">
        <f>IF(G3493&lt;&gt;"",K3493/MAX(K$3:K3493)-1,"")</f>
        <v/>
      </c>
      <c r="O3493" s="16" t="str">
        <f t="shared" si="525"/>
        <v/>
      </c>
      <c r="P3493" s="16" t="str">
        <f t="shared" si="525"/>
        <v/>
      </c>
      <c r="Q3493" s="16" t="str">
        <f t="shared" si="525"/>
        <v/>
      </c>
      <c r="R3493" s="5" t="str">
        <f t="shared" si="524"/>
        <v/>
      </c>
      <c r="S3493" s="5" t="str">
        <f t="shared" si="528"/>
        <v/>
      </c>
      <c r="T3493" s="5" t="str">
        <f t="shared" si="531"/>
        <v/>
      </c>
      <c r="U3493" s="5" t="str">
        <f t="shared" si="531"/>
        <v/>
      </c>
    </row>
    <row r="3494" spans="7:21" x14ac:dyDescent="0.2">
      <c r="G3494" s="8"/>
      <c r="H3494" s="5"/>
      <c r="J3494" s="10" t="str">
        <f t="shared" si="526"/>
        <v/>
      </c>
      <c r="K3494" s="10" t="str">
        <f t="shared" si="527"/>
        <v/>
      </c>
      <c r="L3494" s="11" t="str">
        <f t="shared" si="529"/>
        <v/>
      </c>
      <c r="M3494" s="9" t="str">
        <f>IF(G3494&lt;&gt;"",J3494/MAX(J$3:J3494)-1,"")</f>
        <v/>
      </c>
      <c r="N3494" s="9" t="str">
        <f>IF(G3494&lt;&gt;"",K3494/MAX(K$3:K3494)-1,"")</f>
        <v/>
      </c>
      <c r="O3494" s="16" t="str">
        <f t="shared" si="525"/>
        <v/>
      </c>
      <c r="P3494" s="16" t="str">
        <f t="shared" si="525"/>
        <v/>
      </c>
      <c r="Q3494" s="16" t="str">
        <f t="shared" si="525"/>
        <v/>
      </c>
      <c r="R3494" s="5" t="str">
        <f t="shared" si="524"/>
        <v/>
      </c>
      <c r="S3494" s="5" t="str">
        <f t="shared" si="528"/>
        <v/>
      </c>
      <c r="T3494" s="5" t="str">
        <f t="shared" si="531"/>
        <v/>
      </c>
      <c r="U3494" s="5" t="str">
        <f t="shared" si="531"/>
        <v/>
      </c>
    </row>
    <row r="3495" spans="7:21" x14ac:dyDescent="0.2">
      <c r="G3495" s="8"/>
      <c r="H3495" s="5"/>
      <c r="J3495" s="10" t="str">
        <f t="shared" si="526"/>
        <v/>
      </c>
      <c r="K3495" s="10" t="str">
        <f t="shared" si="527"/>
        <v/>
      </c>
      <c r="L3495" s="11" t="str">
        <f t="shared" si="529"/>
        <v/>
      </c>
      <c r="M3495" s="9" t="str">
        <f>IF(G3495&lt;&gt;"",J3495/MAX(J$3:J3495)-1,"")</f>
        <v/>
      </c>
      <c r="N3495" s="9" t="str">
        <f>IF(G3495&lt;&gt;"",K3495/MAX(K$3:K3495)-1,"")</f>
        <v/>
      </c>
      <c r="O3495" s="16" t="str">
        <f t="shared" si="525"/>
        <v/>
      </c>
      <c r="P3495" s="16" t="str">
        <f t="shared" si="525"/>
        <v/>
      </c>
      <c r="Q3495" s="16" t="str">
        <f t="shared" si="525"/>
        <v/>
      </c>
      <c r="R3495" s="5" t="str">
        <f t="shared" si="524"/>
        <v/>
      </c>
      <c r="S3495" s="5" t="str">
        <f t="shared" si="528"/>
        <v/>
      </c>
      <c r="T3495" s="5" t="str">
        <f t="shared" si="531"/>
        <v/>
      </c>
      <c r="U3495" s="5" t="str">
        <f t="shared" si="531"/>
        <v/>
      </c>
    </row>
    <row r="3496" spans="7:21" x14ac:dyDescent="0.2">
      <c r="G3496" s="8"/>
      <c r="H3496" s="5"/>
      <c r="J3496" s="10" t="str">
        <f t="shared" si="526"/>
        <v/>
      </c>
      <c r="K3496" s="10" t="str">
        <f t="shared" si="527"/>
        <v/>
      </c>
      <c r="L3496" s="11" t="str">
        <f t="shared" si="529"/>
        <v/>
      </c>
      <c r="M3496" s="9" t="str">
        <f>IF(G3496&lt;&gt;"",J3496/MAX(J$3:J3496)-1,"")</f>
        <v/>
      </c>
      <c r="N3496" s="9" t="str">
        <f>IF(G3496&lt;&gt;"",K3496/MAX(K$3:K3496)-1,"")</f>
        <v/>
      </c>
      <c r="O3496" s="16" t="str">
        <f t="shared" si="525"/>
        <v/>
      </c>
      <c r="P3496" s="16" t="str">
        <f t="shared" si="525"/>
        <v/>
      </c>
      <c r="Q3496" s="16" t="str">
        <f t="shared" si="525"/>
        <v/>
      </c>
      <c r="R3496" s="5" t="str">
        <f t="shared" si="524"/>
        <v/>
      </c>
      <c r="S3496" s="5" t="str">
        <f t="shared" si="528"/>
        <v/>
      </c>
      <c r="T3496" s="5" t="str">
        <f t="shared" ref="T3496:U3511" si="532">IF($G3496&lt;&gt;"",_xlfn.STDEV.S(O3252:O3496),"")</f>
        <v/>
      </c>
      <c r="U3496" s="5" t="str">
        <f t="shared" si="532"/>
        <v/>
      </c>
    </row>
    <row r="3497" spans="7:21" x14ac:dyDescent="0.2">
      <c r="G3497" s="8"/>
      <c r="H3497" s="5"/>
      <c r="J3497" s="10" t="str">
        <f t="shared" si="526"/>
        <v/>
      </c>
      <c r="K3497" s="10" t="str">
        <f t="shared" si="527"/>
        <v/>
      </c>
      <c r="L3497" s="11" t="str">
        <f t="shared" si="529"/>
        <v/>
      </c>
      <c r="M3497" s="9" t="str">
        <f>IF(G3497&lt;&gt;"",J3497/MAX(J$3:J3497)-1,"")</f>
        <v/>
      </c>
      <c r="N3497" s="9" t="str">
        <f>IF(G3497&lt;&gt;"",K3497/MAX(K$3:K3497)-1,"")</f>
        <v/>
      </c>
      <c r="O3497" s="16" t="str">
        <f t="shared" si="525"/>
        <v/>
      </c>
      <c r="P3497" s="16" t="str">
        <f t="shared" si="525"/>
        <v/>
      </c>
      <c r="Q3497" s="16" t="str">
        <f t="shared" si="525"/>
        <v/>
      </c>
      <c r="R3497" s="5" t="str">
        <f t="shared" si="524"/>
        <v/>
      </c>
      <c r="S3497" s="5" t="str">
        <f t="shared" si="528"/>
        <v/>
      </c>
      <c r="T3497" s="5" t="str">
        <f t="shared" si="532"/>
        <v/>
      </c>
      <c r="U3497" s="5" t="str">
        <f t="shared" si="532"/>
        <v/>
      </c>
    </row>
    <row r="3498" spans="7:21" x14ac:dyDescent="0.2">
      <c r="G3498" s="8"/>
      <c r="H3498" s="5"/>
      <c r="J3498" s="10" t="str">
        <f t="shared" si="526"/>
        <v/>
      </c>
      <c r="K3498" s="10" t="str">
        <f t="shared" si="527"/>
        <v/>
      </c>
      <c r="L3498" s="11" t="str">
        <f t="shared" si="529"/>
        <v/>
      </c>
      <c r="M3498" s="9" t="str">
        <f>IF(G3498&lt;&gt;"",J3498/MAX(J$3:J3498)-1,"")</f>
        <v/>
      </c>
      <c r="N3498" s="9" t="str">
        <f>IF(G3498&lt;&gt;"",K3498/MAX(K$3:K3498)-1,"")</f>
        <v/>
      </c>
      <c r="O3498" s="16" t="str">
        <f t="shared" si="525"/>
        <v/>
      </c>
      <c r="P3498" s="16" t="str">
        <f t="shared" si="525"/>
        <v/>
      </c>
      <c r="Q3498" s="16" t="str">
        <f t="shared" si="525"/>
        <v/>
      </c>
      <c r="R3498" s="5" t="str">
        <f t="shared" si="524"/>
        <v/>
      </c>
      <c r="S3498" s="5" t="str">
        <f t="shared" si="528"/>
        <v/>
      </c>
      <c r="T3498" s="5" t="str">
        <f t="shared" si="532"/>
        <v/>
      </c>
      <c r="U3498" s="5" t="str">
        <f t="shared" si="532"/>
        <v/>
      </c>
    </row>
    <row r="3499" spans="7:21" x14ac:dyDescent="0.2">
      <c r="G3499" s="8"/>
      <c r="H3499" s="5"/>
      <c r="J3499" s="10" t="str">
        <f t="shared" si="526"/>
        <v/>
      </c>
      <c r="K3499" s="10" t="str">
        <f t="shared" si="527"/>
        <v/>
      </c>
      <c r="L3499" s="11" t="str">
        <f t="shared" si="529"/>
        <v/>
      </c>
      <c r="M3499" s="9" t="str">
        <f>IF(G3499&lt;&gt;"",J3499/MAX(J$3:J3499)-1,"")</f>
        <v/>
      </c>
      <c r="N3499" s="9" t="str">
        <f>IF(G3499&lt;&gt;"",K3499/MAX(K$3:K3499)-1,"")</f>
        <v/>
      </c>
      <c r="O3499" s="16" t="str">
        <f t="shared" si="525"/>
        <v/>
      </c>
      <c r="P3499" s="16" t="str">
        <f t="shared" si="525"/>
        <v/>
      </c>
      <c r="Q3499" s="16" t="str">
        <f t="shared" si="525"/>
        <v/>
      </c>
      <c r="R3499" s="5" t="str">
        <f t="shared" si="524"/>
        <v/>
      </c>
      <c r="S3499" s="5" t="str">
        <f t="shared" si="528"/>
        <v/>
      </c>
      <c r="T3499" s="5" t="str">
        <f t="shared" si="532"/>
        <v/>
      </c>
      <c r="U3499" s="5" t="str">
        <f t="shared" si="532"/>
        <v/>
      </c>
    </row>
    <row r="3500" spans="7:21" x14ac:dyDescent="0.2">
      <c r="G3500" s="8"/>
      <c r="H3500" s="5"/>
      <c r="J3500" s="10" t="str">
        <f t="shared" si="526"/>
        <v/>
      </c>
      <c r="K3500" s="10" t="str">
        <f t="shared" si="527"/>
        <v/>
      </c>
      <c r="L3500" s="11" t="str">
        <f t="shared" si="529"/>
        <v/>
      </c>
      <c r="M3500" s="9" t="str">
        <f>IF(G3500&lt;&gt;"",J3500/MAX(J$3:J3500)-1,"")</f>
        <v/>
      </c>
      <c r="N3500" s="9" t="str">
        <f>IF(G3500&lt;&gt;"",K3500/MAX(K$3:K3500)-1,"")</f>
        <v/>
      </c>
      <c r="O3500" s="16" t="str">
        <f t="shared" si="525"/>
        <v/>
      </c>
      <c r="P3500" s="16" t="str">
        <f t="shared" si="525"/>
        <v/>
      </c>
      <c r="Q3500" s="16" t="str">
        <f t="shared" si="525"/>
        <v/>
      </c>
      <c r="R3500" s="5" t="str">
        <f t="shared" si="524"/>
        <v/>
      </c>
      <c r="S3500" s="5" t="str">
        <f t="shared" si="528"/>
        <v/>
      </c>
      <c r="T3500" s="5" t="str">
        <f t="shared" si="532"/>
        <v/>
      </c>
      <c r="U3500" s="5" t="str">
        <f t="shared" si="532"/>
        <v/>
      </c>
    </row>
    <row r="3501" spans="7:21" x14ac:dyDescent="0.2">
      <c r="G3501" s="8"/>
      <c r="H3501" s="5"/>
      <c r="J3501" s="10" t="str">
        <f t="shared" si="526"/>
        <v/>
      </c>
      <c r="K3501" s="10" t="str">
        <f t="shared" si="527"/>
        <v/>
      </c>
      <c r="L3501" s="11" t="str">
        <f t="shared" si="529"/>
        <v/>
      </c>
      <c r="M3501" s="9" t="str">
        <f>IF(G3501&lt;&gt;"",J3501/MAX(J$3:J3501)-1,"")</f>
        <v/>
      </c>
      <c r="N3501" s="9" t="str">
        <f>IF(G3501&lt;&gt;"",K3501/MAX(K$3:K3501)-1,"")</f>
        <v/>
      </c>
      <c r="O3501" s="16" t="str">
        <f t="shared" si="525"/>
        <v/>
      </c>
      <c r="P3501" s="16" t="str">
        <f t="shared" si="525"/>
        <v/>
      </c>
      <c r="Q3501" s="16" t="str">
        <f t="shared" si="525"/>
        <v/>
      </c>
      <c r="R3501" s="5" t="str">
        <f t="shared" si="524"/>
        <v/>
      </c>
      <c r="S3501" s="5" t="str">
        <f t="shared" si="528"/>
        <v/>
      </c>
      <c r="T3501" s="5" t="str">
        <f t="shared" si="532"/>
        <v/>
      </c>
      <c r="U3501" s="5" t="str">
        <f t="shared" si="532"/>
        <v/>
      </c>
    </row>
    <row r="3502" spans="7:21" x14ac:dyDescent="0.2">
      <c r="G3502" s="8"/>
      <c r="H3502" s="5"/>
      <c r="J3502" s="10" t="str">
        <f t="shared" si="526"/>
        <v/>
      </c>
      <c r="K3502" s="10" t="str">
        <f t="shared" si="527"/>
        <v/>
      </c>
      <c r="L3502" s="11" t="str">
        <f t="shared" si="529"/>
        <v/>
      </c>
      <c r="M3502" s="9" t="str">
        <f>IF(G3502&lt;&gt;"",J3502/MAX(J$3:J3502)-1,"")</f>
        <v/>
      </c>
      <c r="N3502" s="9" t="str">
        <f>IF(G3502&lt;&gt;"",K3502/MAX(K$3:K3502)-1,"")</f>
        <v/>
      </c>
      <c r="O3502" s="16" t="str">
        <f t="shared" si="525"/>
        <v/>
      </c>
      <c r="P3502" s="16" t="str">
        <f t="shared" si="525"/>
        <v/>
      </c>
      <c r="Q3502" s="16" t="str">
        <f t="shared" si="525"/>
        <v/>
      </c>
      <c r="R3502" s="5" t="str">
        <f t="shared" si="524"/>
        <v/>
      </c>
      <c r="S3502" s="5" t="str">
        <f t="shared" si="528"/>
        <v/>
      </c>
      <c r="T3502" s="5" t="str">
        <f t="shared" si="532"/>
        <v/>
      </c>
      <c r="U3502" s="5" t="str">
        <f t="shared" si="532"/>
        <v/>
      </c>
    </row>
    <row r="3503" spans="7:21" x14ac:dyDescent="0.2">
      <c r="G3503" s="8"/>
      <c r="H3503" s="5"/>
      <c r="J3503" s="10" t="str">
        <f t="shared" si="526"/>
        <v/>
      </c>
      <c r="K3503" s="10" t="str">
        <f t="shared" si="527"/>
        <v/>
      </c>
      <c r="L3503" s="11" t="str">
        <f t="shared" si="529"/>
        <v/>
      </c>
      <c r="M3503" s="9" t="str">
        <f>IF(G3503&lt;&gt;"",J3503/MAX(J$3:J3503)-1,"")</f>
        <v/>
      </c>
      <c r="N3503" s="9" t="str">
        <f>IF(G3503&lt;&gt;"",K3503/MAX(K$3:K3503)-1,"")</f>
        <v/>
      </c>
      <c r="O3503" s="16" t="str">
        <f t="shared" si="525"/>
        <v/>
      </c>
      <c r="P3503" s="16" t="str">
        <f t="shared" si="525"/>
        <v/>
      </c>
      <c r="Q3503" s="16" t="str">
        <f t="shared" si="525"/>
        <v/>
      </c>
      <c r="R3503" s="5" t="str">
        <f t="shared" si="524"/>
        <v/>
      </c>
      <c r="S3503" s="5" t="str">
        <f t="shared" si="528"/>
        <v/>
      </c>
      <c r="T3503" s="5" t="str">
        <f t="shared" si="532"/>
        <v/>
      </c>
      <c r="U3503" s="5" t="str">
        <f t="shared" si="532"/>
        <v/>
      </c>
    </row>
    <row r="3504" spans="7:21" x14ac:dyDescent="0.2">
      <c r="G3504" s="8"/>
      <c r="H3504" s="5"/>
      <c r="J3504" s="10" t="str">
        <f t="shared" si="526"/>
        <v/>
      </c>
      <c r="K3504" s="10" t="str">
        <f t="shared" si="527"/>
        <v/>
      </c>
      <c r="L3504" s="11" t="str">
        <f t="shared" si="529"/>
        <v/>
      </c>
      <c r="M3504" s="9" t="str">
        <f>IF(G3504&lt;&gt;"",J3504/MAX(J$3:J3504)-1,"")</f>
        <v/>
      </c>
      <c r="N3504" s="9" t="str">
        <f>IF(G3504&lt;&gt;"",K3504/MAX(K$3:K3504)-1,"")</f>
        <v/>
      </c>
      <c r="O3504" s="16" t="str">
        <f t="shared" si="525"/>
        <v/>
      </c>
      <c r="P3504" s="16" t="str">
        <f t="shared" si="525"/>
        <v/>
      </c>
      <c r="Q3504" s="16" t="str">
        <f t="shared" si="525"/>
        <v/>
      </c>
      <c r="R3504" s="5" t="str">
        <f t="shared" si="524"/>
        <v/>
      </c>
      <c r="S3504" s="5" t="str">
        <f t="shared" si="528"/>
        <v/>
      </c>
      <c r="T3504" s="5" t="str">
        <f t="shared" si="532"/>
        <v/>
      </c>
      <c r="U3504" s="5" t="str">
        <f t="shared" si="532"/>
        <v/>
      </c>
    </row>
    <row r="3505" spans="7:21" x14ac:dyDescent="0.2">
      <c r="G3505" s="8"/>
      <c r="H3505" s="5"/>
      <c r="J3505" s="10" t="str">
        <f t="shared" si="526"/>
        <v/>
      </c>
      <c r="K3505" s="10" t="str">
        <f t="shared" si="527"/>
        <v/>
      </c>
      <c r="L3505" s="11" t="str">
        <f t="shared" si="529"/>
        <v/>
      </c>
      <c r="M3505" s="9" t="str">
        <f>IF(G3505&lt;&gt;"",J3505/MAX(J$3:J3505)-1,"")</f>
        <v/>
      </c>
      <c r="N3505" s="9" t="str">
        <f>IF(G3505&lt;&gt;"",K3505/MAX(K$3:K3505)-1,"")</f>
        <v/>
      </c>
      <c r="O3505" s="16" t="str">
        <f t="shared" si="525"/>
        <v/>
      </c>
      <c r="P3505" s="16" t="str">
        <f t="shared" si="525"/>
        <v/>
      </c>
      <c r="Q3505" s="16" t="str">
        <f t="shared" si="525"/>
        <v/>
      </c>
      <c r="R3505" s="5" t="str">
        <f t="shared" si="524"/>
        <v/>
      </c>
      <c r="S3505" s="5" t="str">
        <f t="shared" si="528"/>
        <v/>
      </c>
      <c r="T3505" s="5" t="str">
        <f t="shared" si="532"/>
        <v/>
      </c>
      <c r="U3505" s="5" t="str">
        <f t="shared" si="532"/>
        <v/>
      </c>
    </row>
    <row r="3506" spans="7:21" x14ac:dyDescent="0.2">
      <c r="G3506" s="8"/>
      <c r="H3506" s="5"/>
      <c r="J3506" s="10" t="str">
        <f t="shared" si="526"/>
        <v/>
      </c>
      <c r="K3506" s="10" t="str">
        <f t="shared" si="527"/>
        <v/>
      </c>
      <c r="L3506" s="11" t="str">
        <f t="shared" si="529"/>
        <v/>
      </c>
      <c r="M3506" s="9" t="str">
        <f>IF(G3506&lt;&gt;"",J3506/MAX(J$3:J3506)-1,"")</f>
        <v/>
      </c>
      <c r="N3506" s="9" t="str">
        <f>IF(G3506&lt;&gt;"",K3506/MAX(K$3:K3506)-1,"")</f>
        <v/>
      </c>
      <c r="O3506" s="16" t="str">
        <f t="shared" si="525"/>
        <v/>
      </c>
      <c r="P3506" s="16" t="str">
        <f t="shared" si="525"/>
        <v/>
      </c>
      <c r="Q3506" s="16" t="str">
        <f t="shared" si="525"/>
        <v/>
      </c>
      <c r="R3506" s="5" t="str">
        <f t="shared" si="524"/>
        <v/>
      </c>
      <c r="S3506" s="5" t="str">
        <f t="shared" si="528"/>
        <v/>
      </c>
      <c r="T3506" s="5" t="str">
        <f t="shared" si="532"/>
        <v/>
      </c>
      <c r="U3506" s="5" t="str">
        <f t="shared" si="532"/>
        <v/>
      </c>
    </row>
    <row r="3507" spans="7:21" x14ac:dyDescent="0.2">
      <c r="G3507" s="8"/>
      <c r="H3507" s="5"/>
      <c r="J3507" s="10" t="str">
        <f t="shared" si="526"/>
        <v/>
      </c>
      <c r="K3507" s="10" t="str">
        <f t="shared" si="527"/>
        <v/>
      </c>
      <c r="L3507" s="11" t="str">
        <f t="shared" si="529"/>
        <v/>
      </c>
      <c r="M3507" s="9" t="str">
        <f>IF(G3507&lt;&gt;"",J3507/MAX(J$3:J3507)-1,"")</f>
        <v/>
      </c>
      <c r="N3507" s="9" t="str">
        <f>IF(G3507&lt;&gt;"",K3507/MAX(K$3:K3507)-1,"")</f>
        <v/>
      </c>
      <c r="O3507" s="16" t="str">
        <f t="shared" si="525"/>
        <v/>
      </c>
      <c r="P3507" s="16" t="str">
        <f t="shared" si="525"/>
        <v/>
      </c>
      <c r="Q3507" s="16" t="str">
        <f t="shared" si="525"/>
        <v/>
      </c>
      <c r="R3507" s="5" t="str">
        <f t="shared" si="524"/>
        <v/>
      </c>
      <c r="S3507" s="5" t="str">
        <f t="shared" si="528"/>
        <v/>
      </c>
      <c r="T3507" s="5" t="str">
        <f t="shared" si="532"/>
        <v/>
      </c>
      <c r="U3507" s="5" t="str">
        <f t="shared" si="532"/>
        <v/>
      </c>
    </row>
    <row r="3508" spans="7:21" x14ac:dyDescent="0.2">
      <c r="G3508" s="8"/>
      <c r="H3508" s="5"/>
      <c r="J3508" s="10" t="str">
        <f t="shared" si="526"/>
        <v/>
      </c>
      <c r="K3508" s="10" t="str">
        <f t="shared" si="527"/>
        <v/>
      </c>
      <c r="L3508" s="11" t="str">
        <f t="shared" si="529"/>
        <v/>
      </c>
      <c r="M3508" s="9" t="str">
        <f>IF(G3508&lt;&gt;"",J3508/MAX(J$3:J3508)-1,"")</f>
        <v/>
      </c>
      <c r="N3508" s="9" t="str">
        <f>IF(G3508&lt;&gt;"",K3508/MAX(K$3:K3508)-1,"")</f>
        <v/>
      </c>
      <c r="O3508" s="16" t="str">
        <f t="shared" si="525"/>
        <v/>
      </c>
      <c r="P3508" s="16" t="str">
        <f t="shared" si="525"/>
        <v/>
      </c>
      <c r="Q3508" s="16" t="str">
        <f t="shared" si="525"/>
        <v/>
      </c>
      <c r="R3508" s="5" t="str">
        <f t="shared" si="524"/>
        <v/>
      </c>
      <c r="S3508" s="5" t="str">
        <f t="shared" si="528"/>
        <v/>
      </c>
      <c r="T3508" s="5" t="str">
        <f t="shared" si="532"/>
        <v/>
      </c>
      <c r="U3508" s="5" t="str">
        <f t="shared" si="532"/>
        <v/>
      </c>
    </row>
    <row r="3509" spans="7:21" x14ac:dyDescent="0.2">
      <c r="G3509" s="8"/>
      <c r="H3509" s="5"/>
      <c r="J3509" s="10" t="str">
        <f t="shared" si="526"/>
        <v/>
      </c>
      <c r="K3509" s="10" t="str">
        <f t="shared" si="527"/>
        <v/>
      </c>
      <c r="L3509" s="11" t="str">
        <f t="shared" si="529"/>
        <v/>
      </c>
      <c r="M3509" s="9" t="str">
        <f>IF(G3509&lt;&gt;"",J3509/MAX(J$3:J3509)-1,"")</f>
        <v/>
      </c>
      <c r="N3509" s="9" t="str">
        <f>IF(G3509&lt;&gt;"",K3509/MAX(K$3:K3509)-1,"")</f>
        <v/>
      </c>
      <c r="O3509" s="16" t="str">
        <f t="shared" si="525"/>
        <v/>
      </c>
      <c r="P3509" s="16" t="str">
        <f t="shared" si="525"/>
        <v/>
      </c>
      <c r="Q3509" s="16" t="str">
        <f t="shared" si="525"/>
        <v/>
      </c>
      <c r="R3509" s="5" t="str">
        <f t="shared" si="524"/>
        <v/>
      </c>
      <c r="S3509" s="5" t="str">
        <f t="shared" si="528"/>
        <v/>
      </c>
      <c r="T3509" s="5" t="str">
        <f t="shared" si="532"/>
        <v/>
      </c>
      <c r="U3509" s="5" t="str">
        <f t="shared" si="532"/>
        <v/>
      </c>
    </row>
    <row r="3510" spans="7:21" x14ac:dyDescent="0.2">
      <c r="G3510" s="8"/>
      <c r="H3510" s="5"/>
      <c r="J3510" s="10" t="str">
        <f t="shared" si="526"/>
        <v/>
      </c>
      <c r="K3510" s="10" t="str">
        <f t="shared" si="527"/>
        <v/>
      </c>
      <c r="L3510" s="11" t="str">
        <f t="shared" si="529"/>
        <v/>
      </c>
      <c r="M3510" s="9" t="str">
        <f>IF(G3510&lt;&gt;"",J3510/MAX(J$3:J3510)-1,"")</f>
        <v/>
      </c>
      <c r="N3510" s="9" t="str">
        <f>IF(G3510&lt;&gt;"",K3510/MAX(K$3:K3510)-1,"")</f>
        <v/>
      </c>
      <c r="O3510" s="16" t="str">
        <f t="shared" si="525"/>
        <v/>
      </c>
      <c r="P3510" s="16" t="str">
        <f t="shared" si="525"/>
        <v/>
      </c>
      <c r="Q3510" s="16" t="str">
        <f t="shared" si="525"/>
        <v/>
      </c>
      <c r="R3510" s="5" t="str">
        <f t="shared" si="524"/>
        <v/>
      </c>
      <c r="S3510" s="5" t="str">
        <f t="shared" si="528"/>
        <v/>
      </c>
      <c r="T3510" s="5" t="str">
        <f t="shared" si="532"/>
        <v/>
      </c>
      <c r="U3510" s="5" t="str">
        <f t="shared" si="532"/>
        <v/>
      </c>
    </row>
    <row r="3511" spans="7:21" x14ac:dyDescent="0.2">
      <c r="G3511" s="8"/>
      <c r="H3511" s="5"/>
      <c r="J3511" s="10" t="str">
        <f t="shared" si="526"/>
        <v/>
      </c>
      <c r="K3511" s="10" t="str">
        <f t="shared" si="527"/>
        <v/>
      </c>
      <c r="L3511" s="11" t="str">
        <f t="shared" si="529"/>
        <v/>
      </c>
      <c r="M3511" s="9" t="str">
        <f>IF(G3511&lt;&gt;"",J3511/MAX(J$3:J3511)-1,"")</f>
        <v/>
      </c>
      <c r="N3511" s="9" t="str">
        <f>IF(G3511&lt;&gt;"",K3511/MAX(K$3:K3511)-1,"")</f>
        <v/>
      </c>
      <c r="O3511" s="16" t="str">
        <f t="shared" si="525"/>
        <v/>
      </c>
      <c r="P3511" s="16" t="str">
        <f t="shared" si="525"/>
        <v/>
      </c>
      <c r="Q3511" s="16" t="str">
        <f t="shared" si="525"/>
        <v/>
      </c>
      <c r="R3511" s="5" t="str">
        <f t="shared" si="524"/>
        <v/>
      </c>
      <c r="S3511" s="5" t="str">
        <f t="shared" si="528"/>
        <v/>
      </c>
      <c r="T3511" s="5" t="str">
        <f t="shared" si="532"/>
        <v/>
      </c>
      <c r="U3511" s="5" t="str">
        <f t="shared" si="532"/>
        <v/>
      </c>
    </row>
    <row r="3512" spans="7:21" x14ac:dyDescent="0.2">
      <c r="G3512" s="8"/>
      <c r="H3512" s="5"/>
      <c r="J3512" s="10" t="str">
        <f t="shared" si="526"/>
        <v/>
      </c>
      <c r="K3512" s="10" t="str">
        <f t="shared" si="527"/>
        <v/>
      </c>
      <c r="L3512" s="11" t="str">
        <f t="shared" si="529"/>
        <v/>
      </c>
      <c r="M3512" s="9" t="str">
        <f>IF(G3512&lt;&gt;"",J3512/MAX(J$3:J3512)-1,"")</f>
        <v/>
      </c>
      <c r="N3512" s="9" t="str">
        <f>IF(G3512&lt;&gt;"",K3512/MAX(K$3:K3512)-1,"")</f>
        <v/>
      </c>
      <c r="O3512" s="16" t="str">
        <f t="shared" si="525"/>
        <v/>
      </c>
      <c r="P3512" s="16" t="str">
        <f t="shared" si="525"/>
        <v/>
      </c>
      <c r="Q3512" s="16" t="str">
        <f t="shared" si="525"/>
        <v/>
      </c>
      <c r="R3512" s="5" t="str">
        <f t="shared" si="524"/>
        <v/>
      </c>
      <c r="S3512" s="5" t="str">
        <f t="shared" si="528"/>
        <v/>
      </c>
      <c r="T3512" s="5" t="str">
        <f t="shared" ref="T3512:U3527" si="533">IF($G3512&lt;&gt;"",_xlfn.STDEV.S(O3268:O3512),"")</f>
        <v/>
      </c>
      <c r="U3512" s="5" t="str">
        <f t="shared" si="533"/>
        <v/>
      </c>
    </row>
    <row r="3513" spans="7:21" x14ac:dyDescent="0.2">
      <c r="G3513" s="8"/>
      <c r="H3513" s="5"/>
      <c r="J3513" s="10" t="str">
        <f t="shared" si="526"/>
        <v/>
      </c>
      <c r="K3513" s="10" t="str">
        <f t="shared" si="527"/>
        <v/>
      </c>
      <c r="L3513" s="11" t="str">
        <f t="shared" si="529"/>
        <v/>
      </c>
      <c r="M3513" s="9" t="str">
        <f>IF(G3513&lt;&gt;"",J3513/MAX(J$3:J3513)-1,"")</f>
        <v/>
      </c>
      <c r="N3513" s="9" t="str">
        <f>IF(G3513&lt;&gt;"",K3513/MAX(K$3:K3513)-1,"")</f>
        <v/>
      </c>
      <c r="O3513" s="16" t="str">
        <f t="shared" si="525"/>
        <v/>
      </c>
      <c r="P3513" s="16" t="str">
        <f t="shared" si="525"/>
        <v/>
      </c>
      <c r="Q3513" s="16" t="str">
        <f t="shared" si="525"/>
        <v/>
      </c>
      <c r="R3513" s="5" t="str">
        <f t="shared" si="524"/>
        <v/>
      </c>
      <c r="S3513" s="5" t="str">
        <f t="shared" si="528"/>
        <v/>
      </c>
      <c r="T3513" s="5" t="str">
        <f t="shared" si="533"/>
        <v/>
      </c>
      <c r="U3513" s="5" t="str">
        <f t="shared" si="533"/>
        <v/>
      </c>
    </row>
    <row r="3514" spans="7:21" x14ac:dyDescent="0.2">
      <c r="G3514" s="8"/>
      <c r="H3514" s="5"/>
      <c r="J3514" s="10" t="str">
        <f t="shared" si="526"/>
        <v/>
      </c>
      <c r="K3514" s="10" t="str">
        <f t="shared" si="527"/>
        <v/>
      </c>
      <c r="L3514" s="11" t="str">
        <f t="shared" si="529"/>
        <v/>
      </c>
      <c r="M3514" s="9" t="str">
        <f>IF(G3514&lt;&gt;"",J3514/MAX(J$3:J3514)-1,"")</f>
        <v/>
      </c>
      <c r="N3514" s="9" t="str">
        <f>IF(G3514&lt;&gt;"",K3514/MAX(K$3:K3514)-1,"")</f>
        <v/>
      </c>
      <c r="O3514" s="16" t="str">
        <f t="shared" si="525"/>
        <v/>
      </c>
      <c r="P3514" s="16" t="str">
        <f t="shared" si="525"/>
        <v/>
      </c>
      <c r="Q3514" s="16" t="str">
        <f t="shared" si="525"/>
        <v/>
      </c>
      <c r="R3514" s="5" t="str">
        <f t="shared" si="524"/>
        <v/>
      </c>
      <c r="S3514" s="5" t="str">
        <f t="shared" si="528"/>
        <v/>
      </c>
      <c r="T3514" s="5" t="str">
        <f t="shared" si="533"/>
        <v/>
      </c>
      <c r="U3514" s="5" t="str">
        <f t="shared" si="533"/>
        <v/>
      </c>
    </row>
    <row r="3515" spans="7:21" x14ac:dyDescent="0.2">
      <c r="G3515" s="8"/>
      <c r="H3515" s="5"/>
      <c r="J3515" s="10" t="str">
        <f t="shared" si="526"/>
        <v/>
      </c>
      <c r="K3515" s="10" t="str">
        <f t="shared" si="527"/>
        <v/>
      </c>
      <c r="L3515" s="11" t="str">
        <f t="shared" si="529"/>
        <v/>
      </c>
      <c r="M3515" s="9" t="str">
        <f>IF(G3515&lt;&gt;"",J3515/MAX(J$3:J3515)-1,"")</f>
        <v/>
      </c>
      <c r="N3515" s="9" t="str">
        <f>IF(G3515&lt;&gt;"",K3515/MAX(K$3:K3515)-1,"")</f>
        <v/>
      </c>
      <c r="O3515" s="16" t="str">
        <f t="shared" si="525"/>
        <v/>
      </c>
      <c r="P3515" s="16" t="str">
        <f t="shared" si="525"/>
        <v/>
      </c>
      <c r="Q3515" s="16" t="str">
        <f t="shared" si="525"/>
        <v/>
      </c>
      <c r="R3515" s="5" t="str">
        <f t="shared" si="524"/>
        <v/>
      </c>
      <c r="S3515" s="5" t="str">
        <f t="shared" si="528"/>
        <v/>
      </c>
      <c r="T3515" s="5" t="str">
        <f t="shared" si="533"/>
        <v/>
      </c>
      <c r="U3515" s="5" t="str">
        <f t="shared" si="533"/>
        <v/>
      </c>
    </row>
    <row r="3516" spans="7:21" x14ac:dyDescent="0.2">
      <c r="G3516" s="8"/>
      <c r="H3516" s="5"/>
      <c r="J3516" s="10" t="str">
        <f t="shared" si="526"/>
        <v/>
      </c>
      <c r="K3516" s="10" t="str">
        <f t="shared" si="527"/>
        <v/>
      </c>
      <c r="L3516" s="11" t="str">
        <f t="shared" si="529"/>
        <v/>
      </c>
      <c r="M3516" s="9" t="str">
        <f>IF(G3516&lt;&gt;"",J3516/MAX(J$3:J3516)-1,"")</f>
        <v/>
      </c>
      <c r="N3516" s="9" t="str">
        <f>IF(G3516&lt;&gt;"",K3516/MAX(K$3:K3516)-1,"")</f>
        <v/>
      </c>
      <c r="O3516" s="16" t="str">
        <f t="shared" si="525"/>
        <v/>
      </c>
      <c r="P3516" s="16" t="str">
        <f t="shared" si="525"/>
        <v/>
      </c>
      <c r="Q3516" s="16" t="str">
        <f t="shared" si="525"/>
        <v/>
      </c>
      <c r="R3516" s="5" t="str">
        <f t="shared" si="524"/>
        <v/>
      </c>
      <c r="S3516" s="5" t="str">
        <f t="shared" si="528"/>
        <v/>
      </c>
      <c r="T3516" s="5" t="str">
        <f t="shared" si="533"/>
        <v/>
      </c>
      <c r="U3516" s="5" t="str">
        <f t="shared" si="533"/>
        <v/>
      </c>
    </row>
    <row r="3517" spans="7:21" x14ac:dyDescent="0.2">
      <c r="G3517" s="8"/>
      <c r="H3517" s="5"/>
      <c r="J3517" s="10" t="str">
        <f t="shared" si="526"/>
        <v/>
      </c>
      <c r="K3517" s="10" t="str">
        <f t="shared" si="527"/>
        <v/>
      </c>
      <c r="L3517" s="11" t="str">
        <f t="shared" si="529"/>
        <v/>
      </c>
      <c r="M3517" s="9" t="str">
        <f>IF(G3517&lt;&gt;"",J3517/MAX(J$3:J3517)-1,"")</f>
        <v/>
      </c>
      <c r="N3517" s="9" t="str">
        <f>IF(G3517&lt;&gt;"",K3517/MAX(K$3:K3517)-1,"")</f>
        <v/>
      </c>
      <c r="O3517" s="16" t="str">
        <f t="shared" si="525"/>
        <v/>
      </c>
      <c r="P3517" s="16" t="str">
        <f t="shared" si="525"/>
        <v/>
      </c>
      <c r="Q3517" s="16" t="str">
        <f t="shared" si="525"/>
        <v/>
      </c>
      <c r="R3517" s="5" t="str">
        <f t="shared" ref="R3517:R3580" si="534">IF(G3517&lt;&gt;"",_xlfn.STDEV.S(Q3396:Q3517)*SQRT($B$5),"")</f>
        <v/>
      </c>
      <c r="S3517" s="5" t="str">
        <f t="shared" si="528"/>
        <v/>
      </c>
      <c r="T3517" s="5" t="str">
        <f t="shared" si="533"/>
        <v/>
      </c>
      <c r="U3517" s="5" t="str">
        <f t="shared" si="533"/>
        <v/>
      </c>
    </row>
    <row r="3518" spans="7:21" x14ac:dyDescent="0.2">
      <c r="G3518" s="8"/>
      <c r="H3518" s="5"/>
      <c r="J3518" s="10" t="str">
        <f t="shared" si="526"/>
        <v/>
      </c>
      <c r="K3518" s="10" t="str">
        <f t="shared" si="527"/>
        <v/>
      </c>
      <c r="L3518" s="11" t="str">
        <f t="shared" si="529"/>
        <v/>
      </c>
      <c r="M3518" s="9" t="str">
        <f>IF(G3518&lt;&gt;"",J3518/MAX(J$3:J3518)-1,"")</f>
        <v/>
      </c>
      <c r="N3518" s="9" t="str">
        <f>IF(G3518&lt;&gt;"",K3518/MAX(K$3:K3518)-1,"")</f>
        <v/>
      </c>
      <c r="O3518" s="16" t="str">
        <f t="shared" si="525"/>
        <v/>
      </c>
      <c r="P3518" s="16" t="str">
        <f t="shared" si="525"/>
        <v/>
      </c>
      <c r="Q3518" s="16" t="str">
        <f t="shared" si="525"/>
        <v/>
      </c>
      <c r="R3518" s="5" t="str">
        <f t="shared" si="534"/>
        <v/>
      </c>
      <c r="S3518" s="5" t="str">
        <f t="shared" si="528"/>
        <v/>
      </c>
      <c r="T3518" s="5" t="str">
        <f t="shared" si="533"/>
        <v/>
      </c>
      <c r="U3518" s="5" t="str">
        <f t="shared" si="533"/>
        <v/>
      </c>
    </row>
    <row r="3519" spans="7:21" x14ac:dyDescent="0.2">
      <c r="G3519" s="8"/>
      <c r="H3519" s="5"/>
      <c r="J3519" s="10" t="str">
        <f t="shared" si="526"/>
        <v/>
      </c>
      <c r="K3519" s="10" t="str">
        <f t="shared" si="527"/>
        <v/>
      </c>
      <c r="L3519" s="11" t="str">
        <f t="shared" si="529"/>
        <v/>
      </c>
      <c r="M3519" s="9" t="str">
        <f>IF(G3519&lt;&gt;"",J3519/MAX(J$3:J3519)-1,"")</f>
        <v/>
      </c>
      <c r="N3519" s="9" t="str">
        <f>IF(G3519&lt;&gt;"",K3519/MAX(K$3:K3519)-1,"")</f>
        <v/>
      </c>
      <c r="O3519" s="16" t="str">
        <f t="shared" si="525"/>
        <v/>
      </c>
      <c r="P3519" s="16" t="str">
        <f t="shared" si="525"/>
        <v/>
      </c>
      <c r="Q3519" s="16" t="str">
        <f t="shared" si="525"/>
        <v/>
      </c>
      <c r="R3519" s="5" t="str">
        <f t="shared" si="534"/>
        <v/>
      </c>
      <c r="S3519" s="5" t="str">
        <f t="shared" si="528"/>
        <v/>
      </c>
      <c r="T3519" s="5" t="str">
        <f t="shared" si="533"/>
        <v/>
      </c>
      <c r="U3519" s="5" t="str">
        <f t="shared" si="533"/>
        <v/>
      </c>
    </row>
    <row r="3520" spans="7:21" x14ac:dyDescent="0.2">
      <c r="G3520" s="8"/>
      <c r="H3520" s="5"/>
      <c r="J3520" s="10" t="str">
        <f t="shared" si="526"/>
        <v/>
      </c>
      <c r="K3520" s="10" t="str">
        <f t="shared" si="527"/>
        <v/>
      </c>
      <c r="L3520" s="11" t="str">
        <f t="shared" si="529"/>
        <v/>
      </c>
      <c r="M3520" s="9" t="str">
        <f>IF(G3520&lt;&gt;"",J3520/MAX(J$3:J3520)-1,"")</f>
        <v/>
      </c>
      <c r="N3520" s="9" t="str">
        <f>IF(G3520&lt;&gt;"",K3520/MAX(K$3:K3520)-1,"")</f>
        <v/>
      </c>
      <c r="O3520" s="16" t="str">
        <f t="shared" si="525"/>
        <v/>
      </c>
      <c r="P3520" s="16" t="str">
        <f t="shared" si="525"/>
        <v/>
      </c>
      <c r="Q3520" s="16" t="str">
        <f t="shared" si="525"/>
        <v/>
      </c>
      <c r="R3520" s="5" t="str">
        <f t="shared" si="534"/>
        <v/>
      </c>
      <c r="S3520" s="5" t="str">
        <f t="shared" si="528"/>
        <v/>
      </c>
      <c r="T3520" s="5" t="str">
        <f t="shared" si="533"/>
        <v/>
      </c>
      <c r="U3520" s="5" t="str">
        <f t="shared" si="533"/>
        <v/>
      </c>
    </row>
    <row r="3521" spans="7:21" x14ac:dyDescent="0.2">
      <c r="G3521" s="8"/>
      <c r="H3521" s="5"/>
      <c r="J3521" s="10" t="str">
        <f t="shared" si="526"/>
        <v/>
      </c>
      <c r="K3521" s="10" t="str">
        <f t="shared" si="527"/>
        <v/>
      </c>
      <c r="L3521" s="11" t="str">
        <f t="shared" si="529"/>
        <v/>
      </c>
      <c r="M3521" s="9" t="str">
        <f>IF(G3521&lt;&gt;"",J3521/MAX(J$3:J3521)-1,"")</f>
        <v/>
      </c>
      <c r="N3521" s="9" t="str">
        <f>IF(G3521&lt;&gt;"",K3521/MAX(K$3:K3521)-1,"")</f>
        <v/>
      </c>
      <c r="O3521" s="16" t="str">
        <f t="shared" si="525"/>
        <v/>
      </c>
      <c r="P3521" s="16" t="str">
        <f t="shared" si="525"/>
        <v/>
      </c>
      <c r="Q3521" s="16" t="str">
        <f t="shared" si="525"/>
        <v/>
      </c>
      <c r="R3521" s="5" t="str">
        <f t="shared" si="534"/>
        <v/>
      </c>
      <c r="S3521" s="5" t="str">
        <f t="shared" si="528"/>
        <v/>
      </c>
      <c r="T3521" s="5" t="str">
        <f t="shared" si="533"/>
        <v/>
      </c>
      <c r="U3521" s="5" t="str">
        <f t="shared" si="533"/>
        <v/>
      </c>
    </row>
    <row r="3522" spans="7:21" x14ac:dyDescent="0.2">
      <c r="G3522" s="8"/>
      <c r="H3522" s="5"/>
      <c r="J3522" s="10" t="str">
        <f t="shared" si="526"/>
        <v/>
      </c>
      <c r="K3522" s="10" t="str">
        <f t="shared" si="527"/>
        <v/>
      </c>
      <c r="L3522" s="11" t="str">
        <f t="shared" si="529"/>
        <v/>
      </c>
      <c r="M3522" s="9" t="str">
        <f>IF(G3522&lt;&gt;"",J3522/MAX(J$3:J3522)-1,"")</f>
        <v/>
      </c>
      <c r="N3522" s="9" t="str">
        <f>IF(G3522&lt;&gt;"",K3522/MAX(K$3:K3522)-1,"")</f>
        <v/>
      </c>
      <c r="O3522" s="16" t="str">
        <f t="shared" ref="O3522:Q3585" si="535">IF($G3522&lt;&gt;"",J3522/J3521-1,"")</f>
        <v/>
      </c>
      <c r="P3522" s="16" t="str">
        <f t="shared" si="535"/>
        <v/>
      </c>
      <c r="Q3522" s="16" t="str">
        <f t="shared" si="535"/>
        <v/>
      </c>
      <c r="R3522" s="5" t="str">
        <f t="shared" si="534"/>
        <v/>
      </c>
      <c r="S3522" s="5" t="str">
        <f t="shared" si="528"/>
        <v/>
      </c>
      <c r="T3522" s="5" t="str">
        <f t="shared" si="533"/>
        <v/>
      </c>
      <c r="U3522" s="5" t="str">
        <f t="shared" si="533"/>
        <v/>
      </c>
    </row>
    <row r="3523" spans="7:21" x14ac:dyDescent="0.2">
      <c r="G3523" s="8"/>
      <c r="H3523" s="5"/>
      <c r="J3523" s="10" t="str">
        <f t="shared" si="526"/>
        <v/>
      </c>
      <c r="K3523" s="10" t="str">
        <f t="shared" si="527"/>
        <v/>
      </c>
      <c r="L3523" s="11" t="str">
        <f t="shared" si="529"/>
        <v/>
      </c>
      <c r="M3523" s="9" t="str">
        <f>IF(G3523&lt;&gt;"",J3523/MAX(J$3:J3523)-1,"")</f>
        <v/>
      </c>
      <c r="N3523" s="9" t="str">
        <f>IF(G3523&lt;&gt;"",K3523/MAX(K$3:K3523)-1,"")</f>
        <v/>
      </c>
      <c r="O3523" s="16" t="str">
        <f t="shared" si="535"/>
        <v/>
      </c>
      <c r="P3523" s="16" t="str">
        <f t="shared" si="535"/>
        <v/>
      </c>
      <c r="Q3523" s="16" t="str">
        <f t="shared" si="535"/>
        <v/>
      </c>
      <c r="R3523" s="5" t="str">
        <f t="shared" si="534"/>
        <v/>
      </c>
      <c r="S3523" s="5" t="str">
        <f t="shared" si="528"/>
        <v/>
      </c>
      <c r="T3523" s="5" t="str">
        <f t="shared" si="533"/>
        <v/>
      </c>
      <c r="U3523" s="5" t="str">
        <f t="shared" si="533"/>
        <v/>
      </c>
    </row>
    <row r="3524" spans="7:21" x14ac:dyDescent="0.2">
      <c r="G3524" s="8"/>
      <c r="H3524" s="5"/>
      <c r="J3524" s="10" t="str">
        <f t="shared" ref="J3524:J3587" si="536">IF(G3524&lt;&gt;"",1+H3524,"")</f>
        <v/>
      </c>
      <c r="K3524" s="10" t="str">
        <f t="shared" ref="K3524:K3587" si="537">IF(G3524&lt;&gt;"",1+I3524,"")</f>
        <v/>
      </c>
      <c r="L3524" s="11" t="str">
        <f t="shared" si="529"/>
        <v/>
      </c>
      <c r="M3524" s="9" t="str">
        <f>IF(G3524&lt;&gt;"",J3524/MAX(J$3:J3524)-1,"")</f>
        <v/>
      </c>
      <c r="N3524" s="9" t="str">
        <f>IF(G3524&lt;&gt;"",K3524/MAX(K$3:K3524)-1,"")</f>
        <v/>
      </c>
      <c r="O3524" s="16" t="str">
        <f t="shared" si="535"/>
        <v/>
      </c>
      <c r="P3524" s="16" t="str">
        <f t="shared" si="535"/>
        <v/>
      </c>
      <c r="Q3524" s="16" t="str">
        <f t="shared" si="535"/>
        <v/>
      </c>
      <c r="R3524" s="5" t="str">
        <f t="shared" si="534"/>
        <v/>
      </c>
      <c r="S3524" s="5" t="str">
        <f t="shared" ref="S3524:S3587" si="538">IF(R3524&lt;&gt;"",B$12,"")</f>
        <v/>
      </c>
      <c r="T3524" s="5" t="str">
        <f t="shared" si="533"/>
        <v/>
      </c>
      <c r="U3524" s="5" t="str">
        <f t="shared" si="533"/>
        <v/>
      </c>
    </row>
    <row r="3525" spans="7:21" x14ac:dyDescent="0.2">
      <c r="G3525" s="8"/>
      <c r="H3525" s="5"/>
      <c r="J3525" s="10" t="str">
        <f t="shared" si="536"/>
        <v/>
      </c>
      <c r="K3525" s="10" t="str">
        <f t="shared" si="537"/>
        <v/>
      </c>
      <c r="L3525" s="11" t="str">
        <f t="shared" ref="L3525:L3588" si="539">IF(G3525&lt;&gt;"",J3525/K3525,"")</f>
        <v/>
      </c>
      <c r="M3525" s="9" t="str">
        <f>IF(G3525&lt;&gt;"",J3525/MAX(J$3:J3525)-1,"")</f>
        <v/>
      </c>
      <c r="N3525" s="9" t="str">
        <f>IF(G3525&lt;&gt;"",K3525/MAX(K$3:K3525)-1,"")</f>
        <v/>
      </c>
      <c r="O3525" s="16" t="str">
        <f t="shared" si="535"/>
        <v/>
      </c>
      <c r="P3525" s="16" t="str">
        <f t="shared" si="535"/>
        <v/>
      </c>
      <c r="Q3525" s="16" t="str">
        <f t="shared" si="535"/>
        <v/>
      </c>
      <c r="R3525" s="5" t="str">
        <f t="shared" si="534"/>
        <v/>
      </c>
      <c r="S3525" s="5" t="str">
        <f t="shared" si="538"/>
        <v/>
      </c>
      <c r="T3525" s="5" t="str">
        <f t="shared" si="533"/>
        <v/>
      </c>
      <c r="U3525" s="5" t="str">
        <f t="shared" si="533"/>
        <v/>
      </c>
    </row>
    <row r="3526" spans="7:21" x14ac:dyDescent="0.2">
      <c r="G3526" s="8"/>
      <c r="H3526" s="5"/>
      <c r="J3526" s="10" t="str">
        <f t="shared" si="536"/>
        <v/>
      </c>
      <c r="K3526" s="10" t="str">
        <f t="shared" si="537"/>
        <v/>
      </c>
      <c r="L3526" s="11" t="str">
        <f t="shared" si="539"/>
        <v/>
      </c>
      <c r="M3526" s="9" t="str">
        <f>IF(G3526&lt;&gt;"",J3526/MAX(J$3:J3526)-1,"")</f>
        <v/>
      </c>
      <c r="N3526" s="9" t="str">
        <f>IF(G3526&lt;&gt;"",K3526/MAX(K$3:K3526)-1,"")</f>
        <v/>
      </c>
      <c r="O3526" s="16" t="str">
        <f t="shared" si="535"/>
        <v/>
      </c>
      <c r="P3526" s="16" t="str">
        <f t="shared" si="535"/>
        <v/>
      </c>
      <c r="Q3526" s="16" t="str">
        <f t="shared" si="535"/>
        <v/>
      </c>
      <c r="R3526" s="5" t="str">
        <f t="shared" si="534"/>
        <v/>
      </c>
      <c r="S3526" s="5" t="str">
        <f t="shared" si="538"/>
        <v/>
      </c>
      <c r="T3526" s="5" t="str">
        <f t="shared" si="533"/>
        <v/>
      </c>
      <c r="U3526" s="5" t="str">
        <f t="shared" si="533"/>
        <v/>
      </c>
    </row>
    <row r="3527" spans="7:21" x14ac:dyDescent="0.2">
      <c r="G3527" s="8"/>
      <c r="H3527" s="5"/>
      <c r="J3527" s="10" t="str">
        <f t="shared" si="536"/>
        <v/>
      </c>
      <c r="K3527" s="10" t="str">
        <f t="shared" si="537"/>
        <v/>
      </c>
      <c r="L3527" s="11" t="str">
        <f t="shared" si="539"/>
        <v/>
      </c>
      <c r="M3527" s="9" t="str">
        <f>IF(G3527&lt;&gt;"",J3527/MAX(J$3:J3527)-1,"")</f>
        <v/>
      </c>
      <c r="N3527" s="9" t="str">
        <f>IF(G3527&lt;&gt;"",K3527/MAX(K$3:K3527)-1,"")</f>
        <v/>
      </c>
      <c r="O3527" s="16" t="str">
        <f t="shared" si="535"/>
        <v/>
      </c>
      <c r="P3527" s="16" t="str">
        <f t="shared" si="535"/>
        <v/>
      </c>
      <c r="Q3527" s="16" t="str">
        <f t="shared" si="535"/>
        <v/>
      </c>
      <c r="R3527" s="5" t="str">
        <f t="shared" si="534"/>
        <v/>
      </c>
      <c r="S3527" s="5" t="str">
        <f t="shared" si="538"/>
        <v/>
      </c>
      <c r="T3527" s="5" t="str">
        <f t="shared" si="533"/>
        <v/>
      </c>
      <c r="U3527" s="5" t="str">
        <f t="shared" si="533"/>
        <v/>
      </c>
    </row>
    <row r="3528" spans="7:21" x14ac:dyDescent="0.2">
      <c r="G3528" s="8"/>
      <c r="H3528" s="5"/>
      <c r="J3528" s="10" t="str">
        <f t="shared" si="536"/>
        <v/>
      </c>
      <c r="K3528" s="10" t="str">
        <f t="shared" si="537"/>
        <v/>
      </c>
      <c r="L3528" s="11" t="str">
        <f t="shared" si="539"/>
        <v/>
      </c>
      <c r="M3528" s="9" t="str">
        <f>IF(G3528&lt;&gt;"",J3528/MAX(J$3:J3528)-1,"")</f>
        <v/>
      </c>
      <c r="N3528" s="9" t="str">
        <f>IF(G3528&lt;&gt;"",K3528/MAX(K$3:K3528)-1,"")</f>
        <v/>
      </c>
      <c r="O3528" s="16" t="str">
        <f t="shared" si="535"/>
        <v/>
      </c>
      <c r="P3528" s="16" t="str">
        <f t="shared" si="535"/>
        <v/>
      </c>
      <c r="Q3528" s="16" t="str">
        <f t="shared" si="535"/>
        <v/>
      </c>
      <c r="R3528" s="5" t="str">
        <f t="shared" si="534"/>
        <v/>
      </c>
      <c r="S3528" s="5" t="str">
        <f t="shared" si="538"/>
        <v/>
      </c>
      <c r="T3528" s="5" t="str">
        <f t="shared" ref="T3528:U3543" si="540">IF($G3528&lt;&gt;"",_xlfn.STDEV.S(O3284:O3528),"")</f>
        <v/>
      </c>
      <c r="U3528" s="5" t="str">
        <f t="shared" si="540"/>
        <v/>
      </c>
    </row>
    <row r="3529" spans="7:21" x14ac:dyDescent="0.2">
      <c r="G3529" s="8"/>
      <c r="H3529" s="5"/>
      <c r="J3529" s="10" t="str">
        <f t="shared" si="536"/>
        <v/>
      </c>
      <c r="K3529" s="10" t="str">
        <f t="shared" si="537"/>
        <v/>
      </c>
      <c r="L3529" s="11" t="str">
        <f t="shared" si="539"/>
        <v/>
      </c>
      <c r="M3529" s="9" t="str">
        <f>IF(G3529&lt;&gt;"",J3529/MAX(J$3:J3529)-1,"")</f>
        <v/>
      </c>
      <c r="N3529" s="9" t="str">
        <f>IF(G3529&lt;&gt;"",K3529/MAX(K$3:K3529)-1,"")</f>
        <v/>
      </c>
      <c r="O3529" s="16" t="str">
        <f t="shared" si="535"/>
        <v/>
      </c>
      <c r="P3529" s="16" t="str">
        <f t="shared" si="535"/>
        <v/>
      </c>
      <c r="Q3529" s="16" t="str">
        <f t="shared" si="535"/>
        <v/>
      </c>
      <c r="R3529" s="5" t="str">
        <f t="shared" si="534"/>
        <v/>
      </c>
      <c r="S3529" s="5" t="str">
        <f t="shared" si="538"/>
        <v/>
      </c>
      <c r="T3529" s="5" t="str">
        <f t="shared" si="540"/>
        <v/>
      </c>
      <c r="U3529" s="5" t="str">
        <f t="shared" si="540"/>
        <v/>
      </c>
    </row>
    <row r="3530" spans="7:21" x14ac:dyDescent="0.2">
      <c r="G3530" s="8"/>
      <c r="H3530" s="5"/>
      <c r="J3530" s="10" t="str">
        <f t="shared" si="536"/>
        <v/>
      </c>
      <c r="K3530" s="10" t="str">
        <f t="shared" si="537"/>
        <v/>
      </c>
      <c r="L3530" s="11" t="str">
        <f t="shared" si="539"/>
        <v/>
      </c>
      <c r="M3530" s="9" t="str">
        <f>IF(G3530&lt;&gt;"",J3530/MAX(J$3:J3530)-1,"")</f>
        <v/>
      </c>
      <c r="N3530" s="9" t="str">
        <f>IF(G3530&lt;&gt;"",K3530/MAX(K$3:K3530)-1,"")</f>
        <v/>
      </c>
      <c r="O3530" s="16" t="str">
        <f t="shared" si="535"/>
        <v/>
      </c>
      <c r="P3530" s="16" t="str">
        <f t="shared" si="535"/>
        <v/>
      </c>
      <c r="Q3530" s="16" t="str">
        <f t="shared" si="535"/>
        <v/>
      </c>
      <c r="R3530" s="5" t="str">
        <f t="shared" si="534"/>
        <v/>
      </c>
      <c r="S3530" s="5" t="str">
        <f t="shared" si="538"/>
        <v/>
      </c>
      <c r="T3530" s="5" t="str">
        <f t="shared" si="540"/>
        <v/>
      </c>
      <c r="U3530" s="5" t="str">
        <f t="shared" si="540"/>
        <v/>
      </c>
    </row>
    <row r="3531" spans="7:21" x14ac:dyDescent="0.2">
      <c r="G3531" s="8"/>
      <c r="H3531" s="5"/>
      <c r="J3531" s="10" t="str">
        <f t="shared" si="536"/>
        <v/>
      </c>
      <c r="K3531" s="10" t="str">
        <f t="shared" si="537"/>
        <v/>
      </c>
      <c r="L3531" s="11" t="str">
        <f t="shared" si="539"/>
        <v/>
      </c>
      <c r="M3531" s="9" t="str">
        <f>IF(G3531&lt;&gt;"",J3531/MAX(J$3:J3531)-1,"")</f>
        <v/>
      </c>
      <c r="N3531" s="9" t="str">
        <f>IF(G3531&lt;&gt;"",K3531/MAX(K$3:K3531)-1,"")</f>
        <v/>
      </c>
      <c r="O3531" s="16" t="str">
        <f t="shared" si="535"/>
        <v/>
      </c>
      <c r="P3531" s="16" t="str">
        <f t="shared" si="535"/>
        <v/>
      </c>
      <c r="Q3531" s="16" t="str">
        <f t="shared" si="535"/>
        <v/>
      </c>
      <c r="R3531" s="5" t="str">
        <f t="shared" si="534"/>
        <v/>
      </c>
      <c r="S3531" s="5" t="str">
        <f t="shared" si="538"/>
        <v/>
      </c>
      <c r="T3531" s="5" t="str">
        <f t="shared" si="540"/>
        <v/>
      </c>
      <c r="U3531" s="5" t="str">
        <f t="shared" si="540"/>
        <v/>
      </c>
    </row>
    <row r="3532" spans="7:21" x14ac:dyDescent="0.2">
      <c r="G3532" s="8"/>
      <c r="H3532" s="5"/>
      <c r="J3532" s="10" t="str">
        <f t="shared" si="536"/>
        <v/>
      </c>
      <c r="K3532" s="10" t="str">
        <f t="shared" si="537"/>
        <v/>
      </c>
      <c r="L3532" s="11" t="str">
        <f t="shared" si="539"/>
        <v/>
      </c>
      <c r="M3532" s="9" t="str">
        <f>IF(G3532&lt;&gt;"",J3532/MAX(J$3:J3532)-1,"")</f>
        <v/>
      </c>
      <c r="N3532" s="9" t="str">
        <f>IF(G3532&lt;&gt;"",K3532/MAX(K$3:K3532)-1,"")</f>
        <v/>
      </c>
      <c r="O3532" s="16" t="str">
        <f t="shared" si="535"/>
        <v/>
      </c>
      <c r="P3532" s="16" t="str">
        <f t="shared" si="535"/>
        <v/>
      </c>
      <c r="Q3532" s="16" t="str">
        <f t="shared" si="535"/>
        <v/>
      </c>
      <c r="R3532" s="5" t="str">
        <f t="shared" si="534"/>
        <v/>
      </c>
      <c r="S3532" s="5" t="str">
        <f t="shared" si="538"/>
        <v/>
      </c>
      <c r="T3532" s="5" t="str">
        <f t="shared" si="540"/>
        <v/>
      </c>
      <c r="U3532" s="5" t="str">
        <f t="shared" si="540"/>
        <v/>
      </c>
    </row>
    <row r="3533" spans="7:21" x14ac:dyDescent="0.2">
      <c r="G3533" s="8"/>
      <c r="H3533" s="5"/>
      <c r="J3533" s="10" t="str">
        <f t="shared" si="536"/>
        <v/>
      </c>
      <c r="K3533" s="10" t="str">
        <f t="shared" si="537"/>
        <v/>
      </c>
      <c r="L3533" s="11" t="str">
        <f t="shared" si="539"/>
        <v/>
      </c>
      <c r="M3533" s="9" t="str">
        <f>IF(G3533&lt;&gt;"",J3533/MAX(J$3:J3533)-1,"")</f>
        <v/>
      </c>
      <c r="N3533" s="9" t="str">
        <f>IF(G3533&lt;&gt;"",K3533/MAX(K$3:K3533)-1,"")</f>
        <v/>
      </c>
      <c r="O3533" s="16" t="str">
        <f t="shared" si="535"/>
        <v/>
      </c>
      <c r="P3533" s="16" t="str">
        <f t="shared" si="535"/>
        <v/>
      </c>
      <c r="Q3533" s="16" t="str">
        <f t="shared" si="535"/>
        <v/>
      </c>
      <c r="R3533" s="5" t="str">
        <f t="shared" si="534"/>
        <v/>
      </c>
      <c r="S3533" s="5" t="str">
        <f t="shared" si="538"/>
        <v/>
      </c>
      <c r="T3533" s="5" t="str">
        <f t="shared" si="540"/>
        <v/>
      </c>
      <c r="U3533" s="5" t="str">
        <f t="shared" si="540"/>
        <v/>
      </c>
    </row>
    <row r="3534" spans="7:21" x14ac:dyDescent="0.2">
      <c r="G3534" s="8"/>
      <c r="H3534" s="5"/>
      <c r="J3534" s="10" t="str">
        <f t="shared" si="536"/>
        <v/>
      </c>
      <c r="K3534" s="10" t="str">
        <f t="shared" si="537"/>
        <v/>
      </c>
      <c r="L3534" s="11" t="str">
        <f t="shared" si="539"/>
        <v/>
      </c>
      <c r="M3534" s="9" t="str">
        <f>IF(G3534&lt;&gt;"",J3534/MAX(J$3:J3534)-1,"")</f>
        <v/>
      </c>
      <c r="N3534" s="9" t="str">
        <f>IF(G3534&lt;&gt;"",K3534/MAX(K$3:K3534)-1,"")</f>
        <v/>
      </c>
      <c r="O3534" s="16" t="str">
        <f t="shared" si="535"/>
        <v/>
      </c>
      <c r="P3534" s="16" t="str">
        <f t="shared" si="535"/>
        <v/>
      </c>
      <c r="Q3534" s="16" t="str">
        <f t="shared" si="535"/>
        <v/>
      </c>
      <c r="R3534" s="5" t="str">
        <f t="shared" si="534"/>
        <v/>
      </c>
      <c r="S3534" s="5" t="str">
        <f t="shared" si="538"/>
        <v/>
      </c>
      <c r="T3534" s="5" t="str">
        <f t="shared" si="540"/>
        <v/>
      </c>
      <c r="U3534" s="5" t="str">
        <f t="shared" si="540"/>
        <v/>
      </c>
    </row>
    <row r="3535" spans="7:21" x14ac:dyDescent="0.2">
      <c r="G3535" s="8"/>
      <c r="H3535" s="5"/>
      <c r="J3535" s="10" t="str">
        <f t="shared" si="536"/>
        <v/>
      </c>
      <c r="K3535" s="10" t="str">
        <f t="shared" si="537"/>
        <v/>
      </c>
      <c r="L3535" s="11" t="str">
        <f t="shared" si="539"/>
        <v/>
      </c>
      <c r="M3535" s="9" t="str">
        <f>IF(G3535&lt;&gt;"",J3535/MAX(J$3:J3535)-1,"")</f>
        <v/>
      </c>
      <c r="N3535" s="9" t="str">
        <f>IF(G3535&lt;&gt;"",K3535/MAX(K$3:K3535)-1,"")</f>
        <v/>
      </c>
      <c r="O3535" s="16" t="str">
        <f t="shared" si="535"/>
        <v/>
      </c>
      <c r="P3535" s="16" t="str">
        <f t="shared" si="535"/>
        <v/>
      </c>
      <c r="Q3535" s="16" t="str">
        <f t="shared" si="535"/>
        <v/>
      </c>
      <c r="R3535" s="5" t="str">
        <f t="shared" si="534"/>
        <v/>
      </c>
      <c r="S3535" s="5" t="str">
        <f t="shared" si="538"/>
        <v/>
      </c>
      <c r="T3535" s="5" t="str">
        <f t="shared" si="540"/>
        <v/>
      </c>
      <c r="U3535" s="5" t="str">
        <f t="shared" si="540"/>
        <v/>
      </c>
    </row>
    <row r="3536" spans="7:21" x14ac:dyDescent="0.2">
      <c r="G3536" s="8"/>
      <c r="H3536" s="5"/>
      <c r="J3536" s="10" t="str">
        <f t="shared" si="536"/>
        <v/>
      </c>
      <c r="K3536" s="10" t="str">
        <f t="shared" si="537"/>
        <v/>
      </c>
      <c r="L3536" s="11" t="str">
        <f t="shared" si="539"/>
        <v/>
      </c>
      <c r="M3536" s="9" t="str">
        <f>IF(G3536&lt;&gt;"",J3536/MAX(J$3:J3536)-1,"")</f>
        <v/>
      </c>
      <c r="N3536" s="9" t="str">
        <f>IF(G3536&lt;&gt;"",K3536/MAX(K$3:K3536)-1,"")</f>
        <v/>
      </c>
      <c r="O3536" s="16" t="str">
        <f t="shared" si="535"/>
        <v/>
      </c>
      <c r="P3536" s="16" t="str">
        <f t="shared" si="535"/>
        <v/>
      </c>
      <c r="Q3536" s="16" t="str">
        <f t="shared" si="535"/>
        <v/>
      </c>
      <c r="R3536" s="5" t="str">
        <f t="shared" si="534"/>
        <v/>
      </c>
      <c r="S3536" s="5" t="str">
        <f t="shared" si="538"/>
        <v/>
      </c>
      <c r="T3536" s="5" t="str">
        <f t="shared" si="540"/>
        <v/>
      </c>
      <c r="U3536" s="5" t="str">
        <f t="shared" si="540"/>
        <v/>
      </c>
    </row>
    <row r="3537" spans="7:21" x14ac:dyDescent="0.2">
      <c r="G3537" s="8"/>
      <c r="H3537" s="5"/>
      <c r="J3537" s="10" t="str">
        <f t="shared" si="536"/>
        <v/>
      </c>
      <c r="K3537" s="10" t="str">
        <f t="shared" si="537"/>
        <v/>
      </c>
      <c r="L3537" s="11" t="str">
        <f t="shared" si="539"/>
        <v/>
      </c>
      <c r="M3537" s="9" t="str">
        <f>IF(G3537&lt;&gt;"",J3537/MAX(J$3:J3537)-1,"")</f>
        <v/>
      </c>
      <c r="N3537" s="9" t="str">
        <f>IF(G3537&lt;&gt;"",K3537/MAX(K$3:K3537)-1,"")</f>
        <v/>
      </c>
      <c r="O3537" s="16" t="str">
        <f t="shared" si="535"/>
        <v/>
      </c>
      <c r="P3537" s="16" t="str">
        <f t="shared" si="535"/>
        <v/>
      </c>
      <c r="Q3537" s="16" t="str">
        <f t="shared" si="535"/>
        <v/>
      </c>
      <c r="R3537" s="5" t="str">
        <f t="shared" si="534"/>
        <v/>
      </c>
      <c r="S3537" s="5" t="str">
        <f t="shared" si="538"/>
        <v/>
      </c>
      <c r="T3537" s="5" t="str">
        <f t="shared" si="540"/>
        <v/>
      </c>
      <c r="U3537" s="5" t="str">
        <f t="shared" si="540"/>
        <v/>
      </c>
    </row>
    <row r="3538" spans="7:21" x14ac:dyDescent="0.2">
      <c r="G3538" s="8"/>
      <c r="H3538" s="5"/>
      <c r="J3538" s="10" t="str">
        <f t="shared" si="536"/>
        <v/>
      </c>
      <c r="K3538" s="10" t="str">
        <f t="shared" si="537"/>
        <v/>
      </c>
      <c r="L3538" s="11" t="str">
        <f t="shared" si="539"/>
        <v/>
      </c>
      <c r="M3538" s="9" t="str">
        <f>IF(G3538&lt;&gt;"",J3538/MAX(J$3:J3538)-1,"")</f>
        <v/>
      </c>
      <c r="N3538" s="9" t="str">
        <f>IF(G3538&lt;&gt;"",K3538/MAX(K$3:K3538)-1,"")</f>
        <v/>
      </c>
      <c r="O3538" s="16" t="str">
        <f t="shared" si="535"/>
        <v/>
      </c>
      <c r="P3538" s="16" t="str">
        <f t="shared" si="535"/>
        <v/>
      </c>
      <c r="Q3538" s="16" t="str">
        <f t="shared" si="535"/>
        <v/>
      </c>
      <c r="R3538" s="5" t="str">
        <f t="shared" si="534"/>
        <v/>
      </c>
      <c r="S3538" s="5" t="str">
        <f t="shared" si="538"/>
        <v/>
      </c>
      <c r="T3538" s="5" t="str">
        <f t="shared" si="540"/>
        <v/>
      </c>
      <c r="U3538" s="5" t="str">
        <f t="shared" si="540"/>
        <v/>
      </c>
    </row>
    <row r="3539" spans="7:21" x14ac:dyDescent="0.2">
      <c r="G3539" s="8"/>
      <c r="H3539" s="5"/>
      <c r="J3539" s="10" t="str">
        <f t="shared" si="536"/>
        <v/>
      </c>
      <c r="K3539" s="10" t="str">
        <f t="shared" si="537"/>
        <v/>
      </c>
      <c r="L3539" s="11" t="str">
        <f t="shared" si="539"/>
        <v/>
      </c>
      <c r="M3539" s="9" t="str">
        <f>IF(G3539&lt;&gt;"",J3539/MAX(J$3:J3539)-1,"")</f>
        <v/>
      </c>
      <c r="N3539" s="9" t="str">
        <f>IF(G3539&lt;&gt;"",K3539/MAX(K$3:K3539)-1,"")</f>
        <v/>
      </c>
      <c r="O3539" s="16" t="str">
        <f t="shared" si="535"/>
        <v/>
      </c>
      <c r="P3539" s="16" t="str">
        <f t="shared" si="535"/>
        <v/>
      </c>
      <c r="Q3539" s="16" t="str">
        <f t="shared" si="535"/>
        <v/>
      </c>
      <c r="R3539" s="5" t="str">
        <f t="shared" si="534"/>
        <v/>
      </c>
      <c r="S3539" s="5" t="str">
        <f t="shared" si="538"/>
        <v/>
      </c>
      <c r="T3539" s="5" t="str">
        <f t="shared" si="540"/>
        <v/>
      </c>
      <c r="U3539" s="5" t="str">
        <f t="shared" si="540"/>
        <v/>
      </c>
    </row>
    <row r="3540" spans="7:21" x14ac:dyDescent="0.2">
      <c r="G3540" s="8"/>
      <c r="H3540" s="5"/>
      <c r="J3540" s="10" t="str">
        <f t="shared" si="536"/>
        <v/>
      </c>
      <c r="K3540" s="10" t="str">
        <f t="shared" si="537"/>
        <v/>
      </c>
      <c r="L3540" s="11" t="str">
        <f t="shared" si="539"/>
        <v/>
      </c>
      <c r="M3540" s="9" t="str">
        <f>IF(G3540&lt;&gt;"",J3540/MAX(J$3:J3540)-1,"")</f>
        <v/>
      </c>
      <c r="N3540" s="9" t="str">
        <f>IF(G3540&lt;&gt;"",K3540/MAX(K$3:K3540)-1,"")</f>
        <v/>
      </c>
      <c r="O3540" s="16" t="str">
        <f t="shared" si="535"/>
        <v/>
      </c>
      <c r="P3540" s="16" t="str">
        <f t="shared" si="535"/>
        <v/>
      </c>
      <c r="Q3540" s="16" t="str">
        <f t="shared" si="535"/>
        <v/>
      </c>
      <c r="R3540" s="5" t="str">
        <f t="shared" si="534"/>
        <v/>
      </c>
      <c r="S3540" s="5" t="str">
        <f t="shared" si="538"/>
        <v/>
      </c>
      <c r="T3540" s="5" t="str">
        <f t="shared" si="540"/>
        <v/>
      </c>
      <c r="U3540" s="5" t="str">
        <f t="shared" si="540"/>
        <v/>
      </c>
    </row>
    <row r="3541" spans="7:21" x14ac:dyDescent="0.2">
      <c r="G3541" s="8"/>
      <c r="H3541" s="5"/>
      <c r="J3541" s="10" t="str">
        <f t="shared" si="536"/>
        <v/>
      </c>
      <c r="K3541" s="10" t="str">
        <f t="shared" si="537"/>
        <v/>
      </c>
      <c r="L3541" s="11" t="str">
        <f t="shared" si="539"/>
        <v/>
      </c>
      <c r="M3541" s="9" t="str">
        <f>IF(G3541&lt;&gt;"",J3541/MAX(J$3:J3541)-1,"")</f>
        <v/>
      </c>
      <c r="N3541" s="9" t="str">
        <f>IF(G3541&lt;&gt;"",K3541/MAX(K$3:K3541)-1,"")</f>
        <v/>
      </c>
      <c r="O3541" s="16" t="str">
        <f t="shared" si="535"/>
        <v/>
      </c>
      <c r="P3541" s="16" t="str">
        <f t="shared" si="535"/>
        <v/>
      </c>
      <c r="Q3541" s="16" t="str">
        <f t="shared" si="535"/>
        <v/>
      </c>
      <c r="R3541" s="5" t="str">
        <f t="shared" si="534"/>
        <v/>
      </c>
      <c r="S3541" s="5" t="str">
        <f t="shared" si="538"/>
        <v/>
      </c>
      <c r="T3541" s="5" t="str">
        <f t="shared" si="540"/>
        <v/>
      </c>
      <c r="U3541" s="5" t="str">
        <f t="shared" si="540"/>
        <v/>
      </c>
    </row>
    <row r="3542" spans="7:21" x14ac:dyDescent="0.2">
      <c r="G3542" s="8"/>
      <c r="H3542" s="5"/>
      <c r="J3542" s="10" t="str">
        <f t="shared" si="536"/>
        <v/>
      </c>
      <c r="K3542" s="10" t="str">
        <f t="shared" si="537"/>
        <v/>
      </c>
      <c r="L3542" s="11" t="str">
        <f t="shared" si="539"/>
        <v/>
      </c>
      <c r="M3542" s="9" t="str">
        <f>IF(G3542&lt;&gt;"",J3542/MAX(J$3:J3542)-1,"")</f>
        <v/>
      </c>
      <c r="N3542" s="9" t="str">
        <f>IF(G3542&lt;&gt;"",K3542/MAX(K$3:K3542)-1,"")</f>
        <v/>
      </c>
      <c r="O3542" s="16" t="str">
        <f t="shared" si="535"/>
        <v/>
      </c>
      <c r="P3542" s="16" t="str">
        <f t="shared" si="535"/>
        <v/>
      </c>
      <c r="Q3542" s="16" t="str">
        <f t="shared" si="535"/>
        <v/>
      </c>
      <c r="R3542" s="5" t="str">
        <f t="shared" si="534"/>
        <v/>
      </c>
      <c r="S3542" s="5" t="str">
        <f t="shared" si="538"/>
        <v/>
      </c>
      <c r="T3542" s="5" t="str">
        <f t="shared" si="540"/>
        <v/>
      </c>
      <c r="U3542" s="5" t="str">
        <f t="shared" si="540"/>
        <v/>
      </c>
    </row>
    <row r="3543" spans="7:21" x14ac:dyDescent="0.2">
      <c r="G3543" s="8"/>
      <c r="H3543" s="5"/>
      <c r="J3543" s="10" t="str">
        <f t="shared" si="536"/>
        <v/>
      </c>
      <c r="K3543" s="10" t="str">
        <f t="shared" si="537"/>
        <v/>
      </c>
      <c r="L3543" s="11" t="str">
        <f t="shared" si="539"/>
        <v/>
      </c>
      <c r="M3543" s="9" t="str">
        <f>IF(G3543&lt;&gt;"",J3543/MAX(J$3:J3543)-1,"")</f>
        <v/>
      </c>
      <c r="N3543" s="9" t="str">
        <f>IF(G3543&lt;&gt;"",K3543/MAX(K$3:K3543)-1,"")</f>
        <v/>
      </c>
      <c r="O3543" s="16" t="str">
        <f t="shared" si="535"/>
        <v/>
      </c>
      <c r="P3543" s="16" t="str">
        <f t="shared" si="535"/>
        <v/>
      </c>
      <c r="Q3543" s="16" t="str">
        <f t="shared" si="535"/>
        <v/>
      </c>
      <c r="R3543" s="5" t="str">
        <f t="shared" si="534"/>
        <v/>
      </c>
      <c r="S3543" s="5" t="str">
        <f t="shared" si="538"/>
        <v/>
      </c>
      <c r="T3543" s="5" t="str">
        <f t="shared" si="540"/>
        <v/>
      </c>
      <c r="U3543" s="5" t="str">
        <f t="shared" si="540"/>
        <v/>
      </c>
    </row>
    <row r="3544" spans="7:21" x14ac:dyDescent="0.2">
      <c r="G3544" s="8"/>
      <c r="H3544" s="5"/>
      <c r="J3544" s="10" t="str">
        <f t="shared" si="536"/>
        <v/>
      </c>
      <c r="K3544" s="10" t="str">
        <f t="shared" si="537"/>
        <v/>
      </c>
      <c r="L3544" s="11" t="str">
        <f t="shared" si="539"/>
        <v/>
      </c>
      <c r="M3544" s="9" t="str">
        <f>IF(G3544&lt;&gt;"",J3544/MAX(J$3:J3544)-1,"")</f>
        <v/>
      </c>
      <c r="N3544" s="9" t="str">
        <f>IF(G3544&lt;&gt;"",K3544/MAX(K$3:K3544)-1,"")</f>
        <v/>
      </c>
      <c r="O3544" s="16" t="str">
        <f t="shared" si="535"/>
        <v/>
      </c>
      <c r="P3544" s="16" t="str">
        <f t="shared" si="535"/>
        <v/>
      </c>
      <c r="Q3544" s="16" t="str">
        <f t="shared" si="535"/>
        <v/>
      </c>
      <c r="R3544" s="5" t="str">
        <f t="shared" si="534"/>
        <v/>
      </c>
      <c r="S3544" s="5" t="str">
        <f t="shared" si="538"/>
        <v/>
      </c>
      <c r="T3544" s="5" t="str">
        <f t="shared" ref="T3544:U3559" si="541">IF($G3544&lt;&gt;"",_xlfn.STDEV.S(O3300:O3544),"")</f>
        <v/>
      </c>
      <c r="U3544" s="5" t="str">
        <f t="shared" si="541"/>
        <v/>
      </c>
    </row>
    <row r="3545" spans="7:21" x14ac:dyDescent="0.2">
      <c r="G3545" s="8"/>
      <c r="H3545" s="5"/>
      <c r="J3545" s="10" t="str">
        <f t="shared" si="536"/>
        <v/>
      </c>
      <c r="K3545" s="10" t="str">
        <f t="shared" si="537"/>
        <v/>
      </c>
      <c r="L3545" s="11" t="str">
        <f t="shared" si="539"/>
        <v/>
      </c>
      <c r="M3545" s="9" t="str">
        <f>IF(G3545&lt;&gt;"",J3545/MAX(J$3:J3545)-1,"")</f>
        <v/>
      </c>
      <c r="N3545" s="9" t="str">
        <f>IF(G3545&lt;&gt;"",K3545/MAX(K$3:K3545)-1,"")</f>
        <v/>
      </c>
      <c r="O3545" s="16" t="str">
        <f t="shared" si="535"/>
        <v/>
      </c>
      <c r="P3545" s="16" t="str">
        <f t="shared" si="535"/>
        <v/>
      </c>
      <c r="Q3545" s="16" t="str">
        <f t="shared" si="535"/>
        <v/>
      </c>
      <c r="R3545" s="5" t="str">
        <f t="shared" si="534"/>
        <v/>
      </c>
      <c r="S3545" s="5" t="str">
        <f t="shared" si="538"/>
        <v/>
      </c>
      <c r="T3545" s="5" t="str">
        <f t="shared" si="541"/>
        <v/>
      </c>
      <c r="U3545" s="5" t="str">
        <f t="shared" si="541"/>
        <v/>
      </c>
    </row>
    <row r="3546" spans="7:21" x14ac:dyDescent="0.2">
      <c r="G3546" s="8"/>
      <c r="H3546" s="5"/>
      <c r="J3546" s="10" t="str">
        <f t="shared" si="536"/>
        <v/>
      </c>
      <c r="K3546" s="10" t="str">
        <f t="shared" si="537"/>
        <v/>
      </c>
      <c r="L3546" s="11" t="str">
        <f t="shared" si="539"/>
        <v/>
      </c>
      <c r="M3546" s="9" t="str">
        <f>IF(G3546&lt;&gt;"",J3546/MAX(J$3:J3546)-1,"")</f>
        <v/>
      </c>
      <c r="N3546" s="9" t="str">
        <f>IF(G3546&lt;&gt;"",K3546/MAX(K$3:K3546)-1,"")</f>
        <v/>
      </c>
      <c r="O3546" s="16" t="str">
        <f t="shared" si="535"/>
        <v/>
      </c>
      <c r="P3546" s="16" t="str">
        <f t="shared" si="535"/>
        <v/>
      </c>
      <c r="Q3546" s="16" t="str">
        <f t="shared" si="535"/>
        <v/>
      </c>
      <c r="R3546" s="5" t="str">
        <f t="shared" si="534"/>
        <v/>
      </c>
      <c r="S3546" s="5" t="str">
        <f t="shared" si="538"/>
        <v/>
      </c>
      <c r="T3546" s="5" t="str">
        <f t="shared" si="541"/>
        <v/>
      </c>
      <c r="U3546" s="5" t="str">
        <f t="shared" si="541"/>
        <v/>
      </c>
    </row>
    <row r="3547" spans="7:21" x14ac:dyDescent="0.2">
      <c r="G3547" s="8"/>
      <c r="H3547" s="5"/>
      <c r="J3547" s="10" t="str">
        <f t="shared" si="536"/>
        <v/>
      </c>
      <c r="K3547" s="10" t="str">
        <f t="shared" si="537"/>
        <v/>
      </c>
      <c r="L3547" s="11" t="str">
        <f t="shared" si="539"/>
        <v/>
      </c>
      <c r="M3547" s="9" t="str">
        <f>IF(G3547&lt;&gt;"",J3547/MAX(J$3:J3547)-1,"")</f>
        <v/>
      </c>
      <c r="N3547" s="9" t="str">
        <f>IF(G3547&lt;&gt;"",K3547/MAX(K$3:K3547)-1,"")</f>
        <v/>
      </c>
      <c r="O3547" s="16" t="str">
        <f t="shared" si="535"/>
        <v/>
      </c>
      <c r="P3547" s="16" t="str">
        <f t="shared" si="535"/>
        <v/>
      </c>
      <c r="Q3547" s="16" t="str">
        <f t="shared" si="535"/>
        <v/>
      </c>
      <c r="R3547" s="5" t="str">
        <f t="shared" si="534"/>
        <v/>
      </c>
      <c r="S3547" s="5" t="str">
        <f t="shared" si="538"/>
        <v/>
      </c>
      <c r="T3547" s="5" t="str">
        <f t="shared" si="541"/>
        <v/>
      </c>
      <c r="U3547" s="5" t="str">
        <f t="shared" si="541"/>
        <v/>
      </c>
    </row>
    <row r="3548" spans="7:21" x14ac:dyDescent="0.2">
      <c r="G3548" s="8"/>
      <c r="H3548" s="5"/>
      <c r="J3548" s="10" t="str">
        <f t="shared" si="536"/>
        <v/>
      </c>
      <c r="K3548" s="10" t="str">
        <f t="shared" si="537"/>
        <v/>
      </c>
      <c r="L3548" s="11" t="str">
        <f t="shared" si="539"/>
        <v/>
      </c>
      <c r="M3548" s="9" t="str">
        <f>IF(G3548&lt;&gt;"",J3548/MAX(J$3:J3548)-1,"")</f>
        <v/>
      </c>
      <c r="N3548" s="9" t="str">
        <f>IF(G3548&lt;&gt;"",K3548/MAX(K$3:K3548)-1,"")</f>
        <v/>
      </c>
      <c r="O3548" s="16" t="str">
        <f t="shared" si="535"/>
        <v/>
      </c>
      <c r="P3548" s="16" t="str">
        <f t="shared" si="535"/>
        <v/>
      </c>
      <c r="Q3548" s="16" t="str">
        <f t="shared" si="535"/>
        <v/>
      </c>
      <c r="R3548" s="5" t="str">
        <f t="shared" si="534"/>
        <v/>
      </c>
      <c r="S3548" s="5" t="str">
        <f t="shared" si="538"/>
        <v/>
      </c>
      <c r="T3548" s="5" t="str">
        <f t="shared" si="541"/>
        <v/>
      </c>
      <c r="U3548" s="5" t="str">
        <f t="shared" si="541"/>
        <v/>
      </c>
    </row>
    <row r="3549" spans="7:21" x14ac:dyDescent="0.2">
      <c r="G3549" s="8"/>
      <c r="H3549" s="5"/>
      <c r="J3549" s="10" t="str">
        <f t="shared" si="536"/>
        <v/>
      </c>
      <c r="K3549" s="10" t="str">
        <f t="shared" si="537"/>
        <v/>
      </c>
      <c r="L3549" s="11" t="str">
        <f t="shared" si="539"/>
        <v/>
      </c>
      <c r="M3549" s="9" t="str">
        <f>IF(G3549&lt;&gt;"",J3549/MAX(J$3:J3549)-1,"")</f>
        <v/>
      </c>
      <c r="N3549" s="9" t="str">
        <f>IF(G3549&lt;&gt;"",K3549/MAX(K$3:K3549)-1,"")</f>
        <v/>
      </c>
      <c r="O3549" s="16" t="str">
        <f t="shared" si="535"/>
        <v/>
      </c>
      <c r="P3549" s="16" t="str">
        <f t="shared" si="535"/>
        <v/>
      </c>
      <c r="Q3549" s="16" t="str">
        <f t="shared" si="535"/>
        <v/>
      </c>
      <c r="R3549" s="5" t="str">
        <f t="shared" si="534"/>
        <v/>
      </c>
      <c r="S3549" s="5" t="str">
        <f t="shared" si="538"/>
        <v/>
      </c>
      <c r="T3549" s="5" t="str">
        <f t="shared" si="541"/>
        <v/>
      </c>
      <c r="U3549" s="5" t="str">
        <f t="shared" si="541"/>
        <v/>
      </c>
    </row>
    <row r="3550" spans="7:21" x14ac:dyDescent="0.2">
      <c r="G3550" s="8"/>
      <c r="H3550" s="5"/>
      <c r="J3550" s="10" t="str">
        <f t="shared" si="536"/>
        <v/>
      </c>
      <c r="K3550" s="10" t="str">
        <f t="shared" si="537"/>
        <v/>
      </c>
      <c r="L3550" s="11" t="str">
        <f t="shared" si="539"/>
        <v/>
      </c>
      <c r="M3550" s="9" t="str">
        <f>IF(G3550&lt;&gt;"",J3550/MAX(J$3:J3550)-1,"")</f>
        <v/>
      </c>
      <c r="N3550" s="9" t="str">
        <f>IF(G3550&lt;&gt;"",K3550/MAX(K$3:K3550)-1,"")</f>
        <v/>
      </c>
      <c r="O3550" s="16" t="str">
        <f t="shared" si="535"/>
        <v/>
      </c>
      <c r="P3550" s="16" t="str">
        <f t="shared" si="535"/>
        <v/>
      </c>
      <c r="Q3550" s="16" t="str">
        <f t="shared" si="535"/>
        <v/>
      </c>
      <c r="R3550" s="5" t="str">
        <f t="shared" si="534"/>
        <v/>
      </c>
      <c r="S3550" s="5" t="str">
        <f t="shared" si="538"/>
        <v/>
      </c>
      <c r="T3550" s="5" t="str">
        <f t="shared" si="541"/>
        <v/>
      </c>
      <c r="U3550" s="5" t="str">
        <f t="shared" si="541"/>
        <v/>
      </c>
    </row>
    <row r="3551" spans="7:21" x14ac:dyDescent="0.2">
      <c r="G3551" s="8"/>
      <c r="H3551" s="5"/>
      <c r="J3551" s="10" t="str">
        <f t="shared" si="536"/>
        <v/>
      </c>
      <c r="K3551" s="10" t="str">
        <f t="shared" si="537"/>
        <v/>
      </c>
      <c r="L3551" s="11" t="str">
        <f t="shared" si="539"/>
        <v/>
      </c>
      <c r="M3551" s="9" t="str">
        <f>IF(G3551&lt;&gt;"",J3551/MAX(J$3:J3551)-1,"")</f>
        <v/>
      </c>
      <c r="N3551" s="9" t="str">
        <f>IF(G3551&lt;&gt;"",K3551/MAX(K$3:K3551)-1,"")</f>
        <v/>
      </c>
      <c r="O3551" s="16" t="str">
        <f t="shared" si="535"/>
        <v/>
      </c>
      <c r="P3551" s="16" t="str">
        <f t="shared" si="535"/>
        <v/>
      </c>
      <c r="Q3551" s="16" t="str">
        <f t="shared" si="535"/>
        <v/>
      </c>
      <c r="R3551" s="5" t="str">
        <f t="shared" si="534"/>
        <v/>
      </c>
      <c r="S3551" s="5" t="str">
        <f t="shared" si="538"/>
        <v/>
      </c>
      <c r="T3551" s="5" t="str">
        <f t="shared" si="541"/>
        <v/>
      </c>
      <c r="U3551" s="5" t="str">
        <f t="shared" si="541"/>
        <v/>
      </c>
    </row>
    <row r="3552" spans="7:21" x14ac:dyDescent="0.2">
      <c r="G3552" s="8"/>
      <c r="H3552" s="5"/>
      <c r="J3552" s="10" t="str">
        <f t="shared" si="536"/>
        <v/>
      </c>
      <c r="K3552" s="10" t="str">
        <f t="shared" si="537"/>
        <v/>
      </c>
      <c r="L3552" s="11" t="str">
        <f t="shared" si="539"/>
        <v/>
      </c>
      <c r="M3552" s="9" t="str">
        <f>IF(G3552&lt;&gt;"",J3552/MAX(J$3:J3552)-1,"")</f>
        <v/>
      </c>
      <c r="N3552" s="9" t="str">
        <f>IF(G3552&lt;&gt;"",K3552/MAX(K$3:K3552)-1,"")</f>
        <v/>
      </c>
      <c r="O3552" s="16" t="str">
        <f t="shared" si="535"/>
        <v/>
      </c>
      <c r="P3552" s="16" t="str">
        <f t="shared" si="535"/>
        <v/>
      </c>
      <c r="Q3552" s="16" t="str">
        <f t="shared" si="535"/>
        <v/>
      </c>
      <c r="R3552" s="5" t="str">
        <f t="shared" si="534"/>
        <v/>
      </c>
      <c r="S3552" s="5" t="str">
        <f t="shared" si="538"/>
        <v/>
      </c>
      <c r="T3552" s="5" t="str">
        <f t="shared" si="541"/>
        <v/>
      </c>
      <c r="U3552" s="5" t="str">
        <f t="shared" si="541"/>
        <v/>
      </c>
    </row>
    <row r="3553" spans="7:21" x14ac:dyDescent="0.2">
      <c r="G3553" s="8"/>
      <c r="H3553" s="5"/>
      <c r="J3553" s="10" t="str">
        <f t="shared" si="536"/>
        <v/>
      </c>
      <c r="K3553" s="10" t="str">
        <f t="shared" si="537"/>
        <v/>
      </c>
      <c r="L3553" s="11" t="str">
        <f t="shared" si="539"/>
        <v/>
      </c>
      <c r="M3553" s="9" t="str">
        <f>IF(G3553&lt;&gt;"",J3553/MAX(J$3:J3553)-1,"")</f>
        <v/>
      </c>
      <c r="N3553" s="9" t="str">
        <f>IF(G3553&lt;&gt;"",K3553/MAX(K$3:K3553)-1,"")</f>
        <v/>
      </c>
      <c r="O3553" s="16" t="str">
        <f t="shared" si="535"/>
        <v/>
      </c>
      <c r="P3553" s="16" t="str">
        <f t="shared" si="535"/>
        <v/>
      </c>
      <c r="Q3553" s="16" t="str">
        <f t="shared" si="535"/>
        <v/>
      </c>
      <c r="R3553" s="5" t="str">
        <f t="shared" si="534"/>
        <v/>
      </c>
      <c r="S3553" s="5" t="str">
        <f t="shared" si="538"/>
        <v/>
      </c>
      <c r="T3553" s="5" t="str">
        <f t="shared" si="541"/>
        <v/>
      </c>
      <c r="U3553" s="5" t="str">
        <f t="shared" si="541"/>
        <v/>
      </c>
    </row>
    <row r="3554" spans="7:21" x14ac:dyDescent="0.2">
      <c r="G3554" s="8"/>
      <c r="H3554" s="5"/>
      <c r="J3554" s="10" t="str">
        <f t="shared" si="536"/>
        <v/>
      </c>
      <c r="K3554" s="10" t="str">
        <f t="shared" si="537"/>
        <v/>
      </c>
      <c r="L3554" s="11" t="str">
        <f t="shared" si="539"/>
        <v/>
      </c>
      <c r="M3554" s="9" t="str">
        <f>IF(G3554&lt;&gt;"",J3554/MAX(J$3:J3554)-1,"")</f>
        <v/>
      </c>
      <c r="N3554" s="9" t="str">
        <f>IF(G3554&lt;&gt;"",K3554/MAX(K$3:K3554)-1,"")</f>
        <v/>
      </c>
      <c r="O3554" s="16" t="str">
        <f t="shared" si="535"/>
        <v/>
      </c>
      <c r="P3554" s="16" t="str">
        <f t="shared" si="535"/>
        <v/>
      </c>
      <c r="Q3554" s="16" t="str">
        <f t="shared" si="535"/>
        <v/>
      </c>
      <c r="R3554" s="5" t="str">
        <f t="shared" si="534"/>
        <v/>
      </c>
      <c r="S3554" s="5" t="str">
        <f t="shared" si="538"/>
        <v/>
      </c>
      <c r="T3554" s="5" t="str">
        <f t="shared" si="541"/>
        <v/>
      </c>
      <c r="U3554" s="5" t="str">
        <f t="shared" si="541"/>
        <v/>
      </c>
    </row>
    <row r="3555" spans="7:21" x14ac:dyDescent="0.2">
      <c r="G3555" s="8"/>
      <c r="H3555" s="5"/>
      <c r="J3555" s="10" t="str">
        <f t="shared" si="536"/>
        <v/>
      </c>
      <c r="K3555" s="10" t="str">
        <f t="shared" si="537"/>
        <v/>
      </c>
      <c r="L3555" s="11" t="str">
        <f t="shared" si="539"/>
        <v/>
      </c>
      <c r="M3555" s="9" t="str">
        <f>IF(G3555&lt;&gt;"",J3555/MAX(J$3:J3555)-1,"")</f>
        <v/>
      </c>
      <c r="N3555" s="9" t="str">
        <f>IF(G3555&lt;&gt;"",K3555/MAX(K$3:K3555)-1,"")</f>
        <v/>
      </c>
      <c r="O3555" s="16" t="str">
        <f t="shared" si="535"/>
        <v/>
      </c>
      <c r="P3555" s="16" t="str">
        <f t="shared" si="535"/>
        <v/>
      </c>
      <c r="Q3555" s="16" t="str">
        <f t="shared" si="535"/>
        <v/>
      </c>
      <c r="R3555" s="5" t="str">
        <f t="shared" si="534"/>
        <v/>
      </c>
      <c r="S3555" s="5" t="str">
        <f t="shared" si="538"/>
        <v/>
      </c>
      <c r="T3555" s="5" t="str">
        <f t="shared" si="541"/>
        <v/>
      </c>
      <c r="U3555" s="5" t="str">
        <f t="shared" si="541"/>
        <v/>
      </c>
    </row>
    <row r="3556" spans="7:21" x14ac:dyDescent="0.2">
      <c r="G3556" s="8"/>
      <c r="H3556" s="5"/>
      <c r="J3556" s="10" t="str">
        <f t="shared" si="536"/>
        <v/>
      </c>
      <c r="K3556" s="10" t="str">
        <f t="shared" si="537"/>
        <v/>
      </c>
      <c r="L3556" s="11" t="str">
        <f t="shared" si="539"/>
        <v/>
      </c>
      <c r="M3556" s="9" t="str">
        <f>IF(G3556&lt;&gt;"",J3556/MAX(J$3:J3556)-1,"")</f>
        <v/>
      </c>
      <c r="N3556" s="9" t="str">
        <f>IF(G3556&lt;&gt;"",K3556/MAX(K$3:K3556)-1,"")</f>
        <v/>
      </c>
      <c r="O3556" s="16" t="str">
        <f t="shared" si="535"/>
        <v/>
      </c>
      <c r="P3556" s="16" t="str">
        <f t="shared" si="535"/>
        <v/>
      </c>
      <c r="Q3556" s="16" t="str">
        <f t="shared" si="535"/>
        <v/>
      </c>
      <c r="R3556" s="5" t="str">
        <f t="shared" si="534"/>
        <v/>
      </c>
      <c r="S3556" s="5" t="str">
        <f t="shared" si="538"/>
        <v/>
      </c>
      <c r="T3556" s="5" t="str">
        <f t="shared" si="541"/>
        <v/>
      </c>
      <c r="U3556" s="5" t="str">
        <f t="shared" si="541"/>
        <v/>
      </c>
    </row>
    <row r="3557" spans="7:21" x14ac:dyDescent="0.2">
      <c r="G3557" s="8"/>
      <c r="H3557" s="5"/>
      <c r="J3557" s="10" t="str">
        <f t="shared" si="536"/>
        <v/>
      </c>
      <c r="K3557" s="10" t="str">
        <f t="shared" si="537"/>
        <v/>
      </c>
      <c r="L3557" s="11" t="str">
        <f t="shared" si="539"/>
        <v/>
      </c>
      <c r="M3557" s="9" t="str">
        <f>IF(G3557&lt;&gt;"",J3557/MAX(J$3:J3557)-1,"")</f>
        <v/>
      </c>
      <c r="N3557" s="9" t="str">
        <f>IF(G3557&lt;&gt;"",K3557/MAX(K$3:K3557)-1,"")</f>
        <v/>
      </c>
      <c r="O3557" s="16" t="str">
        <f t="shared" si="535"/>
        <v/>
      </c>
      <c r="P3557" s="16" t="str">
        <f t="shared" si="535"/>
        <v/>
      </c>
      <c r="Q3557" s="16" t="str">
        <f t="shared" si="535"/>
        <v/>
      </c>
      <c r="R3557" s="5" t="str">
        <f t="shared" si="534"/>
        <v/>
      </c>
      <c r="S3557" s="5" t="str">
        <f t="shared" si="538"/>
        <v/>
      </c>
      <c r="T3557" s="5" t="str">
        <f t="shared" si="541"/>
        <v/>
      </c>
      <c r="U3557" s="5" t="str">
        <f t="shared" si="541"/>
        <v/>
      </c>
    </row>
    <row r="3558" spans="7:21" x14ac:dyDescent="0.2">
      <c r="G3558" s="8"/>
      <c r="H3558" s="5"/>
      <c r="J3558" s="10" t="str">
        <f t="shared" si="536"/>
        <v/>
      </c>
      <c r="K3558" s="10" t="str">
        <f t="shared" si="537"/>
        <v/>
      </c>
      <c r="L3558" s="11" t="str">
        <f t="shared" si="539"/>
        <v/>
      </c>
      <c r="M3558" s="9" t="str">
        <f>IF(G3558&lt;&gt;"",J3558/MAX(J$3:J3558)-1,"")</f>
        <v/>
      </c>
      <c r="N3558" s="9" t="str">
        <f>IF(G3558&lt;&gt;"",K3558/MAX(K$3:K3558)-1,"")</f>
        <v/>
      </c>
      <c r="O3558" s="16" t="str">
        <f t="shared" si="535"/>
        <v/>
      </c>
      <c r="P3558" s="16" t="str">
        <f t="shared" si="535"/>
        <v/>
      </c>
      <c r="Q3558" s="16" t="str">
        <f t="shared" si="535"/>
        <v/>
      </c>
      <c r="R3558" s="5" t="str">
        <f t="shared" si="534"/>
        <v/>
      </c>
      <c r="S3558" s="5" t="str">
        <f t="shared" si="538"/>
        <v/>
      </c>
      <c r="T3558" s="5" t="str">
        <f t="shared" si="541"/>
        <v/>
      </c>
      <c r="U3558" s="5" t="str">
        <f t="shared" si="541"/>
        <v/>
      </c>
    </row>
    <row r="3559" spans="7:21" x14ac:dyDescent="0.2">
      <c r="G3559" s="8"/>
      <c r="H3559" s="5"/>
      <c r="J3559" s="10" t="str">
        <f t="shared" si="536"/>
        <v/>
      </c>
      <c r="K3559" s="10" t="str">
        <f t="shared" si="537"/>
        <v/>
      </c>
      <c r="L3559" s="11" t="str">
        <f t="shared" si="539"/>
        <v/>
      </c>
      <c r="M3559" s="9" t="str">
        <f>IF(G3559&lt;&gt;"",J3559/MAX(J$3:J3559)-1,"")</f>
        <v/>
      </c>
      <c r="N3559" s="9" t="str">
        <f>IF(G3559&lt;&gt;"",K3559/MAX(K$3:K3559)-1,"")</f>
        <v/>
      </c>
      <c r="O3559" s="16" t="str">
        <f t="shared" si="535"/>
        <v/>
      </c>
      <c r="P3559" s="16" t="str">
        <f t="shared" si="535"/>
        <v/>
      </c>
      <c r="Q3559" s="16" t="str">
        <f t="shared" si="535"/>
        <v/>
      </c>
      <c r="R3559" s="5" t="str">
        <f t="shared" si="534"/>
        <v/>
      </c>
      <c r="S3559" s="5" t="str">
        <f t="shared" si="538"/>
        <v/>
      </c>
      <c r="T3559" s="5" t="str">
        <f t="shared" si="541"/>
        <v/>
      </c>
      <c r="U3559" s="5" t="str">
        <f t="shared" si="541"/>
        <v/>
      </c>
    </row>
    <row r="3560" spans="7:21" x14ac:dyDescent="0.2">
      <c r="G3560" s="8"/>
      <c r="H3560" s="5"/>
      <c r="J3560" s="10" t="str">
        <f t="shared" si="536"/>
        <v/>
      </c>
      <c r="K3560" s="10" t="str">
        <f t="shared" si="537"/>
        <v/>
      </c>
      <c r="L3560" s="11" t="str">
        <f t="shared" si="539"/>
        <v/>
      </c>
      <c r="M3560" s="9" t="str">
        <f>IF(G3560&lt;&gt;"",J3560/MAX(J$3:J3560)-1,"")</f>
        <v/>
      </c>
      <c r="N3560" s="9" t="str">
        <f>IF(G3560&lt;&gt;"",K3560/MAX(K$3:K3560)-1,"")</f>
        <v/>
      </c>
      <c r="O3560" s="16" t="str">
        <f t="shared" si="535"/>
        <v/>
      </c>
      <c r="P3560" s="16" t="str">
        <f t="shared" si="535"/>
        <v/>
      </c>
      <c r="Q3560" s="16" t="str">
        <f t="shared" si="535"/>
        <v/>
      </c>
      <c r="R3560" s="5" t="str">
        <f t="shared" si="534"/>
        <v/>
      </c>
      <c r="S3560" s="5" t="str">
        <f t="shared" si="538"/>
        <v/>
      </c>
      <c r="T3560" s="5" t="str">
        <f t="shared" ref="T3560:U3575" si="542">IF($G3560&lt;&gt;"",_xlfn.STDEV.S(O3316:O3560),"")</f>
        <v/>
      </c>
      <c r="U3560" s="5" t="str">
        <f t="shared" si="542"/>
        <v/>
      </c>
    </row>
    <row r="3561" spans="7:21" x14ac:dyDescent="0.2">
      <c r="G3561" s="8"/>
      <c r="H3561" s="5"/>
      <c r="J3561" s="10" t="str">
        <f t="shared" si="536"/>
        <v/>
      </c>
      <c r="K3561" s="10" t="str">
        <f t="shared" si="537"/>
        <v/>
      </c>
      <c r="L3561" s="11" t="str">
        <f t="shared" si="539"/>
        <v/>
      </c>
      <c r="M3561" s="9" t="str">
        <f>IF(G3561&lt;&gt;"",J3561/MAX(J$3:J3561)-1,"")</f>
        <v/>
      </c>
      <c r="N3561" s="9" t="str">
        <f>IF(G3561&lt;&gt;"",K3561/MAX(K$3:K3561)-1,"")</f>
        <v/>
      </c>
      <c r="O3561" s="16" t="str">
        <f t="shared" si="535"/>
        <v/>
      </c>
      <c r="P3561" s="16" t="str">
        <f t="shared" si="535"/>
        <v/>
      </c>
      <c r="Q3561" s="16" t="str">
        <f t="shared" si="535"/>
        <v/>
      </c>
      <c r="R3561" s="5" t="str">
        <f t="shared" si="534"/>
        <v/>
      </c>
      <c r="S3561" s="5" t="str">
        <f t="shared" si="538"/>
        <v/>
      </c>
      <c r="T3561" s="5" t="str">
        <f t="shared" si="542"/>
        <v/>
      </c>
      <c r="U3561" s="5" t="str">
        <f t="shared" si="542"/>
        <v/>
      </c>
    </row>
    <row r="3562" spans="7:21" x14ac:dyDescent="0.2">
      <c r="G3562" s="8"/>
      <c r="H3562" s="5"/>
      <c r="J3562" s="10" t="str">
        <f t="shared" si="536"/>
        <v/>
      </c>
      <c r="K3562" s="10" t="str">
        <f t="shared" si="537"/>
        <v/>
      </c>
      <c r="L3562" s="11" t="str">
        <f t="shared" si="539"/>
        <v/>
      </c>
      <c r="M3562" s="9" t="str">
        <f>IF(G3562&lt;&gt;"",J3562/MAX(J$3:J3562)-1,"")</f>
        <v/>
      </c>
      <c r="N3562" s="9" t="str">
        <f>IF(G3562&lt;&gt;"",K3562/MAX(K$3:K3562)-1,"")</f>
        <v/>
      </c>
      <c r="O3562" s="16" t="str">
        <f t="shared" si="535"/>
        <v/>
      </c>
      <c r="P3562" s="16" t="str">
        <f t="shared" si="535"/>
        <v/>
      </c>
      <c r="Q3562" s="16" t="str">
        <f t="shared" si="535"/>
        <v/>
      </c>
      <c r="R3562" s="5" t="str">
        <f t="shared" si="534"/>
        <v/>
      </c>
      <c r="S3562" s="5" t="str">
        <f t="shared" si="538"/>
        <v/>
      </c>
      <c r="T3562" s="5" t="str">
        <f t="shared" si="542"/>
        <v/>
      </c>
      <c r="U3562" s="5" t="str">
        <f t="shared" si="542"/>
        <v/>
      </c>
    </row>
    <row r="3563" spans="7:21" x14ac:dyDescent="0.2">
      <c r="G3563" s="8"/>
      <c r="H3563" s="5"/>
      <c r="J3563" s="10" t="str">
        <f t="shared" si="536"/>
        <v/>
      </c>
      <c r="K3563" s="10" t="str">
        <f t="shared" si="537"/>
        <v/>
      </c>
      <c r="L3563" s="11" t="str">
        <f t="shared" si="539"/>
        <v/>
      </c>
      <c r="M3563" s="9" t="str">
        <f>IF(G3563&lt;&gt;"",J3563/MAX(J$3:J3563)-1,"")</f>
        <v/>
      </c>
      <c r="N3563" s="9" t="str">
        <f>IF(G3563&lt;&gt;"",K3563/MAX(K$3:K3563)-1,"")</f>
        <v/>
      </c>
      <c r="O3563" s="16" t="str">
        <f t="shared" si="535"/>
        <v/>
      </c>
      <c r="P3563" s="16" t="str">
        <f t="shared" si="535"/>
        <v/>
      </c>
      <c r="Q3563" s="16" t="str">
        <f t="shared" si="535"/>
        <v/>
      </c>
      <c r="R3563" s="5" t="str">
        <f t="shared" si="534"/>
        <v/>
      </c>
      <c r="S3563" s="5" t="str">
        <f t="shared" si="538"/>
        <v/>
      </c>
      <c r="T3563" s="5" t="str">
        <f t="shared" si="542"/>
        <v/>
      </c>
      <c r="U3563" s="5" t="str">
        <f t="shared" si="542"/>
        <v/>
      </c>
    </row>
    <row r="3564" spans="7:21" x14ac:dyDescent="0.2">
      <c r="G3564" s="8"/>
      <c r="H3564" s="5"/>
      <c r="J3564" s="10" t="str">
        <f t="shared" si="536"/>
        <v/>
      </c>
      <c r="K3564" s="10" t="str">
        <f t="shared" si="537"/>
        <v/>
      </c>
      <c r="L3564" s="11" t="str">
        <f t="shared" si="539"/>
        <v/>
      </c>
      <c r="M3564" s="9" t="str">
        <f>IF(G3564&lt;&gt;"",J3564/MAX(J$3:J3564)-1,"")</f>
        <v/>
      </c>
      <c r="N3564" s="9" t="str">
        <f>IF(G3564&lt;&gt;"",K3564/MAX(K$3:K3564)-1,"")</f>
        <v/>
      </c>
      <c r="O3564" s="16" t="str">
        <f t="shared" si="535"/>
        <v/>
      </c>
      <c r="P3564" s="16" t="str">
        <f t="shared" si="535"/>
        <v/>
      </c>
      <c r="Q3564" s="16" t="str">
        <f t="shared" si="535"/>
        <v/>
      </c>
      <c r="R3564" s="5" t="str">
        <f t="shared" si="534"/>
        <v/>
      </c>
      <c r="S3564" s="5" t="str">
        <f t="shared" si="538"/>
        <v/>
      </c>
      <c r="T3564" s="5" t="str">
        <f t="shared" si="542"/>
        <v/>
      </c>
      <c r="U3564" s="5" t="str">
        <f t="shared" si="542"/>
        <v/>
      </c>
    </row>
    <row r="3565" spans="7:21" x14ac:dyDescent="0.2">
      <c r="G3565" s="8"/>
      <c r="H3565" s="5"/>
      <c r="J3565" s="10" t="str">
        <f t="shared" si="536"/>
        <v/>
      </c>
      <c r="K3565" s="10" t="str">
        <f t="shared" si="537"/>
        <v/>
      </c>
      <c r="L3565" s="11" t="str">
        <f t="shared" si="539"/>
        <v/>
      </c>
      <c r="M3565" s="9" t="str">
        <f>IF(G3565&lt;&gt;"",J3565/MAX(J$3:J3565)-1,"")</f>
        <v/>
      </c>
      <c r="N3565" s="9" t="str">
        <f>IF(G3565&lt;&gt;"",K3565/MAX(K$3:K3565)-1,"")</f>
        <v/>
      </c>
      <c r="O3565" s="16" t="str">
        <f t="shared" si="535"/>
        <v/>
      </c>
      <c r="P3565" s="16" t="str">
        <f t="shared" si="535"/>
        <v/>
      </c>
      <c r="Q3565" s="16" t="str">
        <f t="shared" si="535"/>
        <v/>
      </c>
      <c r="R3565" s="5" t="str">
        <f t="shared" si="534"/>
        <v/>
      </c>
      <c r="S3565" s="5" t="str">
        <f t="shared" si="538"/>
        <v/>
      </c>
      <c r="T3565" s="5" t="str">
        <f t="shared" si="542"/>
        <v/>
      </c>
      <c r="U3565" s="5" t="str">
        <f t="shared" si="542"/>
        <v/>
      </c>
    </row>
    <row r="3566" spans="7:21" x14ac:dyDescent="0.2">
      <c r="G3566" s="8"/>
      <c r="H3566" s="5"/>
      <c r="J3566" s="10" t="str">
        <f t="shared" si="536"/>
        <v/>
      </c>
      <c r="K3566" s="10" t="str">
        <f t="shared" si="537"/>
        <v/>
      </c>
      <c r="L3566" s="11" t="str">
        <f t="shared" si="539"/>
        <v/>
      </c>
      <c r="M3566" s="9" t="str">
        <f>IF(G3566&lt;&gt;"",J3566/MAX(J$3:J3566)-1,"")</f>
        <v/>
      </c>
      <c r="N3566" s="9" t="str">
        <f>IF(G3566&lt;&gt;"",K3566/MAX(K$3:K3566)-1,"")</f>
        <v/>
      </c>
      <c r="O3566" s="16" t="str">
        <f t="shared" si="535"/>
        <v/>
      </c>
      <c r="P3566" s="16" t="str">
        <f t="shared" si="535"/>
        <v/>
      </c>
      <c r="Q3566" s="16" t="str">
        <f t="shared" si="535"/>
        <v/>
      </c>
      <c r="R3566" s="5" t="str">
        <f t="shared" si="534"/>
        <v/>
      </c>
      <c r="S3566" s="5" t="str">
        <f t="shared" si="538"/>
        <v/>
      </c>
      <c r="T3566" s="5" t="str">
        <f t="shared" si="542"/>
        <v/>
      </c>
      <c r="U3566" s="5" t="str">
        <f t="shared" si="542"/>
        <v/>
      </c>
    </row>
    <row r="3567" spans="7:21" x14ac:dyDescent="0.2">
      <c r="G3567" s="8"/>
      <c r="H3567" s="5"/>
      <c r="J3567" s="10" t="str">
        <f t="shared" si="536"/>
        <v/>
      </c>
      <c r="K3567" s="10" t="str">
        <f t="shared" si="537"/>
        <v/>
      </c>
      <c r="L3567" s="11" t="str">
        <f t="shared" si="539"/>
        <v/>
      </c>
      <c r="M3567" s="9" t="str">
        <f>IF(G3567&lt;&gt;"",J3567/MAX(J$3:J3567)-1,"")</f>
        <v/>
      </c>
      <c r="N3567" s="9" t="str">
        <f>IF(G3567&lt;&gt;"",K3567/MAX(K$3:K3567)-1,"")</f>
        <v/>
      </c>
      <c r="O3567" s="16" t="str">
        <f t="shared" si="535"/>
        <v/>
      </c>
      <c r="P3567" s="16" t="str">
        <f t="shared" si="535"/>
        <v/>
      </c>
      <c r="Q3567" s="16" t="str">
        <f t="shared" si="535"/>
        <v/>
      </c>
      <c r="R3567" s="5" t="str">
        <f t="shared" si="534"/>
        <v/>
      </c>
      <c r="S3567" s="5" t="str">
        <f t="shared" si="538"/>
        <v/>
      </c>
      <c r="T3567" s="5" t="str">
        <f t="shared" si="542"/>
        <v/>
      </c>
      <c r="U3567" s="5" t="str">
        <f t="shared" si="542"/>
        <v/>
      </c>
    </row>
    <row r="3568" spans="7:21" x14ac:dyDescent="0.2">
      <c r="G3568" s="8"/>
      <c r="H3568" s="5"/>
      <c r="J3568" s="10" t="str">
        <f t="shared" si="536"/>
        <v/>
      </c>
      <c r="K3568" s="10" t="str">
        <f t="shared" si="537"/>
        <v/>
      </c>
      <c r="L3568" s="11" t="str">
        <f t="shared" si="539"/>
        <v/>
      </c>
      <c r="M3568" s="9" t="str">
        <f>IF(G3568&lt;&gt;"",J3568/MAX(J$3:J3568)-1,"")</f>
        <v/>
      </c>
      <c r="N3568" s="9" t="str">
        <f>IF(G3568&lt;&gt;"",K3568/MAX(K$3:K3568)-1,"")</f>
        <v/>
      </c>
      <c r="O3568" s="16" t="str">
        <f t="shared" si="535"/>
        <v/>
      </c>
      <c r="P3568" s="16" t="str">
        <f t="shared" si="535"/>
        <v/>
      </c>
      <c r="Q3568" s="16" t="str">
        <f t="shared" si="535"/>
        <v/>
      </c>
      <c r="R3568" s="5" t="str">
        <f t="shared" si="534"/>
        <v/>
      </c>
      <c r="S3568" s="5" t="str">
        <f t="shared" si="538"/>
        <v/>
      </c>
      <c r="T3568" s="5" t="str">
        <f t="shared" si="542"/>
        <v/>
      </c>
      <c r="U3568" s="5" t="str">
        <f t="shared" si="542"/>
        <v/>
      </c>
    </row>
    <row r="3569" spans="7:21" x14ac:dyDescent="0.2">
      <c r="G3569" s="8"/>
      <c r="H3569" s="5"/>
      <c r="J3569" s="10" t="str">
        <f t="shared" si="536"/>
        <v/>
      </c>
      <c r="K3569" s="10" t="str">
        <f t="shared" si="537"/>
        <v/>
      </c>
      <c r="L3569" s="11" t="str">
        <f t="shared" si="539"/>
        <v/>
      </c>
      <c r="M3569" s="9" t="str">
        <f>IF(G3569&lt;&gt;"",J3569/MAX(J$3:J3569)-1,"")</f>
        <v/>
      </c>
      <c r="N3569" s="9" t="str">
        <f>IF(G3569&lt;&gt;"",K3569/MAX(K$3:K3569)-1,"")</f>
        <v/>
      </c>
      <c r="O3569" s="16" t="str">
        <f t="shared" si="535"/>
        <v/>
      </c>
      <c r="P3569" s="16" t="str">
        <f t="shared" si="535"/>
        <v/>
      </c>
      <c r="Q3569" s="16" t="str">
        <f t="shared" si="535"/>
        <v/>
      </c>
      <c r="R3569" s="5" t="str">
        <f t="shared" si="534"/>
        <v/>
      </c>
      <c r="S3569" s="5" t="str">
        <f t="shared" si="538"/>
        <v/>
      </c>
      <c r="T3569" s="5" t="str">
        <f t="shared" si="542"/>
        <v/>
      </c>
      <c r="U3569" s="5" t="str">
        <f t="shared" si="542"/>
        <v/>
      </c>
    </row>
    <row r="3570" spans="7:21" x14ac:dyDescent="0.2">
      <c r="G3570" s="8"/>
      <c r="H3570" s="5"/>
      <c r="J3570" s="10" t="str">
        <f t="shared" si="536"/>
        <v/>
      </c>
      <c r="K3570" s="10" t="str">
        <f t="shared" si="537"/>
        <v/>
      </c>
      <c r="L3570" s="11" t="str">
        <f t="shared" si="539"/>
        <v/>
      </c>
      <c r="M3570" s="9" t="str">
        <f>IF(G3570&lt;&gt;"",J3570/MAX(J$3:J3570)-1,"")</f>
        <v/>
      </c>
      <c r="N3570" s="9" t="str">
        <f>IF(G3570&lt;&gt;"",K3570/MAX(K$3:K3570)-1,"")</f>
        <v/>
      </c>
      <c r="O3570" s="16" t="str">
        <f t="shared" si="535"/>
        <v/>
      </c>
      <c r="P3570" s="16" t="str">
        <f t="shared" si="535"/>
        <v/>
      </c>
      <c r="Q3570" s="16" t="str">
        <f t="shared" si="535"/>
        <v/>
      </c>
      <c r="R3570" s="5" t="str">
        <f t="shared" si="534"/>
        <v/>
      </c>
      <c r="S3570" s="5" t="str">
        <f t="shared" si="538"/>
        <v/>
      </c>
      <c r="T3570" s="5" t="str">
        <f t="shared" si="542"/>
        <v/>
      </c>
      <c r="U3570" s="5" t="str">
        <f t="shared" si="542"/>
        <v/>
      </c>
    </row>
    <row r="3571" spans="7:21" x14ac:dyDescent="0.2">
      <c r="G3571" s="8"/>
      <c r="H3571" s="5"/>
      <c r="J3571" s="10" t="str">
        <f t="shared" si="536"/>
        <v/>
      </c>
      <c r="K3571" s="10" t="str">
        <f t="shared" si="537"/>
        <v/>
      </c>
      <c r="L3571" s="11" t="str">
        <f t="shared" si="539"/>
        <v/>
      </c>
      <c r="M3571" s="9" t="str">
        <f>IF(G3571&lt;&gt;"",J3571/MAX(J$3:J3571)-1,"")</f>
        <v/>
      </c>
      <c r="N3571" s="9" t="str">
        <f>IF(G3571&lt;&gt;"",K3571/MAX(K$3:K3571)-1,"")</f>
        <v/>
      </c>
      <c r="O3571" s="16" t="str">
        <f t="shared" si="535"/>
        <v/>
      </c>
      <c r="P3571" s="16" t="str">
        <f t="shared" si="535"/>
        <v/>
      </c>
      <c r="Q3571" s="16" t="str">
        <f t="shared" si="535"/>
        <v/>
      </c>
      <c r="R3571" s="5" t="str">
        <f t="shared" si="534"/>
        <v/>
      </c>
      <c r="S3571" s="5" t="str">
        <f t="shared" si="538"/>
        <v/>
      </c>
      <c r="T3571" s="5" t="str">
        <f t="shared" si="542"/>
        <v/>
      </c>
      <c r="U3571" s="5" t="str">
        <f t="shared" si="542"/>
        <v/>
      </c>
    </row>
    <row r="3572" spans="7:21" x14ac:dyDescent="0.2">
      <c r="G3572" s="8"/>
      <c r="H3572" s="5"/>
      <c r="J3572" s="10" t="str">
        <f t="shared" si="536"/>
        <v/>
      </c>
      <c r="K3572" s="10" t="str">
        <f t="shared" si="537"/>
        <v/>
      </c>
      <c r="L3572" s="11" t="str">
        <f t="shared" si="539"/>
        <v/>
      </c>
      <c r="M3572" s="9" t="str">
        <f>IF(G3572&lt;&gt;"",J3572/MAX(J$3:J3572)-1,"")</f>
        <v/>
      </c>
      <c r="N3572" s="9" t="str">
        <f>IF(G3572&lt;&gt;"",K3572/MAX(K$3:K3572)-1,"")</f>
        <v/>
      </c>
      <c r="O3572" s="16" t="str">
        <f t="shared" si="535"/>
        <v/>
      </c>
      <c r="P3572" s="16" t="str">
        <f t="shared" si="535"/>
        <v/>
      </c>
      <c r="Q3572" s="16" t="str">
        <f t="shared" si="535"/>
        <v/>
      </c>
      <c r="R3572" s="5" t="str">
        <f t="shared" si="534"/>
        <v/>
      </c>
      <c r="S3572" s="5" t="str">
        <f t="shared" si="538"/>
        <v/>
      </c>
      <c r="T3572" s="5" t="str">
        <f t="shared" si="542"/>
        <v/>
      </c>
      <c r="U3572" s="5" t="str">
        <f t="shared" si="542"/>
        <v/>
      </c>
    </row>
    <row r="3573" spans="7:21" x14ac:dyDescent="0.2">
      <c r="G3573" s="8"/>
      <c r="H3573" s="5"/>
      <c r="J3573" s="10" t="str">
        <f t="shared" si="536"/>
        <v/>
      </c>
      <c r="K3573" s="10" t="str">
        <f t="shared" si="537"/>
        <v/>
      </c>
      <c r="L3573" s="11" t="str">
        <f t="shared" si="539"/>
        <v/>
      </c>
      <c r="M3573" s="9" t="str">
        <f>IF(G3573&lt;&gt;"",J3573/MAX(J$3:J3573)-1,"")</f>
        <v/>
      </c>
      <c r="N3573" s="9" t="str">
        <f>IF(G3573&lt;&gt;"",K3573/MAX(K$3:K3573)-1,"")</f>
        <v/>
      </c>
      <c r="O3573" s="16" t="str">
        <f t="shared" si="535"/>
        <v/>
      </c>
      <c r="P3573" s="16" t="str">
        <f t="shared" si="535"/>
        <v/>
      </c>
      <c r="Q3573" s="16" t="str">
        <f t="shared" si="535"/>
        <v/>
      </c>
      <c r="R3573" s="5" t="str">
        <f t="shared" si="534"/>
        <v/>
      </c>
      <c r="S3573" s="5" t="str">
        <f t="shared" si="538"/>
        <v/>
      </c>
      <c r="T3573" s="5" t="str">
        <f t="shared" si="542"/>
        <v/>
      </c>
      <c r="U3573" s="5" t="str">
        <f t="shared" si="542"/>
        <v/>
      </c>
    </row>
    <row r="3574" spans="7:21" x14ac:dyDescent="0.2">
      <c r="G3574" s="8"/>
      <c r="H3574" s="5"/>
      <c r="J3574" s="10" t="str">
        <f t="shared" si="536"/>
        <v/>
      </c>
      <c r="K3574" s="10" t="str">
        <f t="shared" si="537"/>
        <v/>
      </c>
      <c r="L3574" s="11" t="str">
        <f t="shared" si="539"/>
        <v/>
      </c>
      <c r="M3574" s="9" t="str">
        <f>IF(G3574&lt;&gt;"",J3574/MAX(J$3:J3574)-1,"")</f>
        <v/>
      </c>
      <c r="N3574" s="9" t="str">
        <f>IF(G3574&lt;&gt;"",K3574/MAX(K$3:K3574)-1,"")</f>
        <v/>
      </c>
      <c r="O3574" s="16" t="str">
        <f t="shared" si="535"/>
        <v/>
      </c>
      <c r="P3574" s="16" t="str">
        <f t="shared" si="535"/>
        <v/>
      </c>
      <c r="Q3574" s="16" t="str">
        <f t="shared" si="535"/>
        <v/>
      </c>
      <c r="R3574" s="5" t="str">
        <f t="shared" si="534"/>
        <v/>
      </c>
      <c r="S3574" s="5" t="str">
        <f t="shared" si="538"/>
        <v/>
      </c>
      <c r="T3574" s="5" t="str">
        <f t="shared" si="542"/>
        <v/>
      </c>
      <c r="U3574" s="5" t="str">
        <f t="shared" si="542"/>
        <v/>
      </c>
    </row>
    <row r="3575" spans="7:21" x14ac:dyDescent="0.2">
      <c r="G3575" s="8"/>
      <c r="H3575" s="5"/>
      <c r="J3575" s="10" t="str">
        <f t="shared" si="536"/>
        <v/>
      </c>
      <c r="K3575" s="10" t="str">
        <f t="shared" si="537"/>
        <v/>
      </c>
      <c r="L3575" s="11" t="str">
        <f t="shared" si="539"/>
        <v/>
      </c>
      <c r="M3575" s="9" t="str">
        <f>IF(G3575&lt;&gt;"",J3575/MAX(J$3:J3575)-1,"")</f>
        <v/>
      </c>
      <c r="N3575" s="9" t="str">
        <f>IF(G3575&lt;&gt;"",K3575/MAX(K$3:K3575)-1,"")</f>
        <v/>
      </c>
      <c r="O3575" s="16" t="str">
        <f t="shared" si="535"/>
        <v/>
      </c>
      <c r="P3575" s="16" t="str">
        <f t="shared" si="535"/>
        <v/>
      </c>
      <c r="Q3575" s="16" t="str">
        <f t="shared" si="535"/>
        <v/>
      </c>
      <c r="R3575" s="5" t="str">
        <f t="shared" si="534"/>
        <v/>
      </c>
      <c r="S3575" s="5" t="str">
        <f t="shared" si="538"/>
        <v/>
      </c>
      <c r="T3575" s="5" t="str">
        <f t="shared" si="542"/>
        <v/>
      </c>
      <c r="U3575" s="5" t="str">
        <f t="shared" si="542"/>
        <v/>
      </c>
    </row>
    <row r="3576" spans="7:21" x14ac:dyDescent="0.2">
      <c r="G3576" s="8"/>
      <c r="H3576" s="5"/>
      <c r="J3576" s="10" t="str">
        <f t="shared" si="536"/>
        <v/>
      </c>
      <c r="K3576" s="10" t="str">
        <f t="shared" si="537"/>
        <v/>
      </c>
      <c r="L3576" s="11" t="str">
        <f t="shared" si="539"/>
        <v/>
      </c>
      <c r="M3576" s="9" t="str">
        <f>IF(G3576&lt;&gt;"",J3576/MAX(J$3:J3576)-1,"")</f>
        <v/>
      </c>
      <c r="N3576" s="9" t="str">
        <f>IF(G3576&lt;&gt;"",K3576/MAX(K$3:K3576)-1,"")</f>
        <v/>
      </c>
      <c r="O3576" s="16" t="str">
        <f t="shared" si="535"/>
        <v/>
      </c>
      <c r="P3576" s="16" t="str">
        <f t="shared" si="535"/>
        <v/>
      </c>
      <c r="Q3576" s="16" t="str">
        <f t="shared" si="535"/>
        <v/>
      </c>
      <c r="R3576" s="5" t="str">
        <f t="shared" si="534"/>
        <v/>
      </c>
      <c r="S3576" s="5" t="str">
        <f t="shared" si="538"/>
        <v/>
      </c>
      <c r="T3576" s="5" t="str">
        <f t="shared" ref="T3576:U3591" si="543">IF($G3576&lt;&gt;"",_xlfn.STDEV.S(O3332:O3576),"")</f>
        <v/>
      </c>
      <c r="U3576" s="5" t="str">
        <f t="shared" si="543"/>
        <v/>
      </c>
    </row>
    <row r="3577" spans="7:21" x14ac:dyDescent="0.2">
      <c r="G3577" s="8"/>
      <c r="H3577" s="5"/>
      <c r="J3577" s="10" t="str">
        <f t="shared" si="536"/>
        <v/>
      </c>
      <c r="K3577" s="10" t="str">
        <f t="shared" si="537"/>
        <v/>
      </c>
      <c r="L3577" s="11" t="str">
        <f t="shared" si="539"/>
        <v/>
      </c>
      <c r="M3577" s="9" t="str">
        <f>IF(G3577&lt;&gt;"",J3577/MAX(J$3:J3577)-1,"")</f>
        <v/>
      </c>
      <c r="N3577" s="9" t="str">
        <f>IF(G3577&lt;&gt;"",K3577/MAX(K$3:K3577)-1,"")</f>
        <v/>
      </c>
      <c r="O3577" s="16" t="str">
        <f t="shared" si="535"/>
        <v/>
      </c>
      <c r="P3577" s="16" t="str">
        <f t="shared" si="535"/>
        <v/>
      </c>
      <c r="Q3577" s="16" t="str">
        <f t="shared" si="535"/>
        <v/>
      </c>
      <c r="R3577" s="5" t="str">
        <f t="shared" si="534"/>
        <v/>
      </c>
      <c r="S3577" s="5" t="str">
        <f t="shared" si="538"/>
        <v/>
      </c>
      <c r="T3577" s="5" t="str">
        <f t="shared" si="543"/>
        <v/>
      </c>
      <c r="U3577" s="5" t="str">
        <f t="shared" si="543"/>
        <v/>
      </c>
    </row>
    <row r="3578" spans="7:21" x14ac:dyDescent="0.2">
      <c r="G3578" s="8"/>
      <c r="H3578" s="5"/>
      <c r="J3578" s="10" t="str">
        <f t="shared" si="536"/>
        <v/>
      </c>
      <c r="K3578" s="10" t="str">
        <f t="shared" si="537"/>
        <v/>
      </c>
      <c r="L3578" s="11" t="str">
        <f t="shared" si="539"/>
        <v/>
      </c>
      <c r="M3578" s="9" t="str">
        <f>IF(G3578&lt;&gt;"",J3578/MAX(J$3:J3578)-1,"")</f>
        <v/>
      </c>
      <c r="N3578" s="9" t="str">
        <f>IF(G3578&lt;&gt;"",K3578/MAX(K$3:K3578)-1,"")</f>
        <v/>
      </c>
      <c r="O3578" s="16" t="str">
        <f t="shared" si="535"/>
        <v/>
      </c>
      <c r="P3578" s="16" t="str">
        <f t="shared" si="535"/>
        <v/>
      </c>
      <c r="Q3578" s="16" t="str">
        <f t="shared" si="535"/>
        <v/>
      </c>
      <c r="R3578" s="5" t="str">
        <f t="shared" si="534"/>
        <v/>
      </c>
      <c r="S3578" s="5" t="str">
        <f t="shared" si="538"/>
        <v/>
      </c>
      <c r="T3578" s="5" t="str">
        <f t="shared" si="543"/>
        <v/>
      </c>
      <c r="U3578" s="5" t="str">
        <f t="shared" si="543"/>
        <v/>
      </c>
    </row>
    <row r="3579" spans="7:21" x14ac:dyDescent="0.2">
      <c r="G3579" s="8"/>
      <c r="H3579" s="5"/>
      <c r="J3579" s="10" t="str">
        <f t="shared" si="536"/>
        <v/>
      </c>
      <c r="K3579" s="10" t="str">
        <f t="shared" si="537"/>
        <v/>
      </c>
      <c r="L3579" s="11" t="str">
        <f t="shared" si="539"/>
        <v/>
      </c>
      <c r="M3579" s="9" t="str">
        <f>IF(G3579&lt;&gt;"",J3579/MAX(J$3:J3579)-1,"")</f>
        <v/>
      </c>
      <c r="N3579" s="9" t="str">
        <f>IF(G3579&lt;&gt;"",K3579/MAX(K$3:K3579)-1,"")</f>
        <v/>
      </c>
      <c r="O3579" s="16" t="str">
        <f t="shared" si="535"/>
        <v/>
      </c>
      <c r="P3579" s="16" t="str">
        <f t="shared" si="535"/>
        <v/>
      </c>
      <c r="Q3579" s="16" t="str">
        <f t="shared" si="535"/>
        <v/>
      </c>
      <c r="R3579" s="5" t="str">
        <f t="shared" si="534"/>
        <v/>
      </c>
      <c r="S3579" s="5" t="str">
        <f t="shared" si="538"/>
        <v/>
      </c>
      <c r="T3579" s="5" t="str">
        <f t="shared" si="543"/>
        <v/>
      </c>
      <c r="U3579" s="5" t="str">
        <f t="shared" si="543"/>
        <v/>
      </c>
    </row>
    <row r="3580" spans="7:21" x14ac:dyDescent="0.2">
      <c r="G3580" s="8"/>
      <c r="H3580" s="5"/>
      <c r="J3580" s="10" t="str">
        <f t="shared" si="536"/>
        <v/>
      </c>
      <c r="K3580" s="10" t="str">
        <f t="shared" si="537"/>
        <v/>
      </c>
      <c r="L3580" s="11" t="str">
        <f t="shared" si="539"/>
        <v/>
      </c>
      <c r="M3580" s="9" t="str">
        <f>IF(G3580&lt;&gt;"",J3580/MAX(J$3:J3580)-1,"")</f>
        <v/>
      </c>
      <c r="N3580" s="9" t="str">
        <f>IF(G3580&lt;&gt;"",K3580/MAX(K$3:K3580)-1,"")</f>
        <v/>
      </c>
      <c r="O3580" s="16" t="str">
        <f t="shared" si="535"/>
        <v/>
      </c>
      <c r="P3580" s="16" t="str">
        <f t="shared" si="535"/>
        <v/>
      </c>
      <c r="Q3580" s="16" t="str">
        <f t="shared" si="535"/>
        <v/>
      </c>
      <c r="R3580" s="5" t="str">
        <f t="shared" si="534"/>
        <v/>
      </c>
      <c r="S3580" s="5" t="str">
        <f t="shared" si="538"/>
        <v/>
      </c>
      <c r="T3580" s="5" t="str">
        <f t="shared" si="543"/>
        <v/>
      </c>
      <c r="U3580" s="5" t="str">
        <f t="shared" si="543"/>
        <v/>
      </c>
    </row>
    <row r="3581" spans="7:21" x14ac:dyDescent="0.2">
      <c r="G3581" s="8"/>
      <c r="H3581" s="5"/>
      <c r="J3581" s="10" t="str">
        <f t="shared" si="536"/>
        <v/>
      </c>
      <c r="K3581" s="10" t="str">
        <f t="shared" si="537"/>
        <v/>
      </c>
      <c r="L3581" s="11" t="str">
        <f t="shared" si="539"/>
        <v/>
      </c>
      <c r="M3581" s="9" t="str">
        <f>IF(G3581&lt;&gt;"",J3581/MAX(J$3:J3581)-1,"")</f>
        <v/>
      </c>
      <c r="N3581" s="9" t="str">
        <f>IF(G3581&lt;&gt;"",K3581/MAX(K$3:K3581)-1,"")</f>
        <v/>
      </c>
      <c r="O3581" s="16" t="str">
        <f t="shared" si="535"/>
        <v/>
      </c>
      <c r="P3581" s="16" t="str">
        <f t="shared" si="535"/>
        <v/>
      </c>
      <c r="Q3581" s="16" t="str">
        <f t="shared" si="535"/>
        <v/>
      </c>
      <c r="R3581" s="5" t="str">
        <f t="shared" ref="R3581:R3644" si="544">IF(G3581&lt;&gt;"",_xlfn.STDEV.S(Q3460:Q3581)*SQRT($B$5),"")</f>
        <v/>
      </c>
      <c r="S3581" s="5" t="str">
        <f t="shared" si="538"/>
        <v/>
      </c>
      <c r="T3581" s="5" t="str">
        <f t="shared" si="543"/>
        <v/>
      </c>
      <c r="U3581" s="5" t="str">
        <f t="shared" si="543"/>
        <v/>
      </c>
    </row>
    <row r="3582" spans="7:21" x14ac:dyDescent="0.2">
      <c r="G3582" s="8"/>
      <c r="H3582" s="5"/>
      <c r="J3582" s="10" t="str">
        <f t="shared" si="536"/>
        <v/>
      </c>
      <c r="K3582" s="10" t="str">
        <f t="shared" si="537"/>
        <v/>
      </c>
      <c r="L3582" s="11" t="str">
        <f t="shared" si="539"/>
        <v/>
      </c>
      <c r="M3582" s="9" t="str">
        <f>IF(G3582&lt;&gt;"",J3582/MAX(J$3:J3582)-1,"")</f>
        <v/>
      </c>
      <c r="N3582" s="9" t="str">
        <f>IF(G3582&lt;&gt;"",K3582/MAX(K$3:K3582)-1,"")</f>
        <v/>
      </c>
      <c r="O3582" s="16" t="str">
        <f t="shared" si="535"/>
        <v/>
      </c>
      <c r="P3582" s="16" t="str">
        <f t="shared" si="535"/>
        <v/>
      </c>
      <c r="Q3582" s="16" t="str">
        <f t="shared" si="535"/>
        <v/>
      </c>
      <c r="R3582" s="5" t="str">
        <f t="shared" si="544"/>
        <v/>
      </c>
      <c r="S3582" s="5" t="str">
        <f t="shared" si="538"/>
        <v/>
      </c>
      <c r="T3582" s="5" t="str">
        <f t="shared" si="543"/>
        <v/>
      </c>
      <c r="U3582" s="5" t="str">
        <f t="shared" si="543"/>
        <v/>
      </c>
    </row>
    <row r="3583" spans="7:21" x14ac:dyDescent="0.2">
      <c r="G3583" s="8"/>
      <c r="H3583" s="5"/>
      <c r="J3583" s="10" t="str">
        <f t="shared" si="536"/>
        <v/>
      </c>
      <c r="K3583" s="10" t="str">
        <f t="shared" si="537"/>
        <v/>
      </c>
      <c r="L3583" s="11" t="str">
        <f t="shared" si="539"/>
        <v/>
      </c>
      <c r="M3583" s="9" t="str">
        <f>IF(G3583&lt;&gt;"",J3583/MAX(J$3:J3583)-1,"")</f>
        <v/>
      </c>
      <c r="N3583" s="9" t="str">
        <f>IF(G3583&lt;&gt;"",K3583/MAX(K$3:K3583)-1,"")</f>
        <v/>
      </c>
      <c r="O3583" s="16" t="str">
        <f t="shared" si="535"/>
        <v/>
      </c>
      <c r="P3583" s="16" t="str">
        <f t="shared" si="535"/>
        <v/>
      </c>
      <c r="Q3583" s="16" t="str">
        <f t="shared" si="535"/>
        <v/>
      </c>
      <c r="R3583" s="5" t="str">
        <f t="shared" si="544"/>
        <v/>
      </c>
      <c r="S3583" s="5" t="str">
        <f t="shared" si="538"/>
        <v/>
      </c>
      <c r="T3583" s="5" t="str">
        <f t="shared" si="543"/>
        <v/>
      </c>
      <c r="U3583" s="5" t="str">
        <f t="shared" si="543"/>
        <v/>
      </c>
    </row>
    <row r="3584" spans="7:21" x14ac:dyDescent="0.2">
      <c r="G3584" s="8"/>
      <c r="H3584" s="5"/>
      <c r="J3584" s="10" t="str">
        <f t="shared" si="536"/>
        <v/>
      </c>
      <c r="K3584" s="10" t="str">
        <f t="shared" si="537"/>
        <v/>
      </c>
      <c r="L3584" s="11" t="str">
        <f t="shared" si="539"/>
        <v/>
      </c>
      <c r="M3584" s="9" t="str">
        <f>IF(G3584&lt;&gt;"",J3584/MAX(J$3:J3584)-1,"")</f>
        <v/>
      </c>
      <c r="N3584" s="9" t="str">
        <f>IF(G3584&lt;&gt;"",K3584/MAX(K$3:K3584)-1,"")</f>
        <v/>
      </c>
      <c r="O3584" s="16" t="str">
        <f t="shared" si="535"/>
        <v/>
      </c>
      <c r="P3584" s="16" t="str">
        <f t="shared" si="535"/>
        <v/>
      </c>
      <c r="Q3584" s="16" t="str">
        <f t="shared" si="535"/>
        <v/>
      </c>
      <c r="R3584" s="5" t="str">
        <f t="shared" si="544"/>
        <v/>
      </c>
      <c r="S3584" s="5" t="str">
        <f t="shared" si="538"/>
        <v/>
      </c>
      <c r="T3584" s="5" t="str">
        <f t="shared" si="543"/>
        <v/>
      </c>
      <c r="U3584" s="5" t="str">
        <f t="shared" si="543"/>
        <v/>
      </c>
    </row>
    <row r="3585" spans="7:21" x14ac:dyDescent="0.2">
      <c r="G3585" s="8"/>
      <c r="H3585" s="5"/>
      <c r="J3585" s="10" t="str">
        <f t="shared" si="536"/>
        <v/>
      </c>
      <c r="K3585" s="10" t="str">
        <f t="shared" si="537"/>
        <v/>
      </c>
      <c r="L3585" s="11" t="str">
        <f t="shared" si="539"/>
        <v/>
      </c>
      <c r="M3585" s="9" t="str">
        <f>IF(G3585&lt;&gt;"",J3585/MAX(J$3:J3585)-1,"")</f>
        <v/>
      </c>
      <c r="N3585" s="9" t="str">
        <f>IF(G3585&lt;&gt;"",K3585/MAX(K$3:K3585)-1,"")</f>
        <v/>
      </c>
      <c r="O3585" s="16" t="str">
        <f t="shared" si="535"/>
        <v/>
      </c>
      <c r="P3585" s="16" t="str">
        <f t="shared" si="535"/>
        <v/>
      </c>
      <c r="Q3585" s="16" t="str">
        <f t="shared" si="535"/>
        <v/>
      </c>
      <c r="R3585" s="5" t="str">
        <f t="shared" si="544"/>
        <v/>
      </c>
      <c r="S3585" s="5" t="str">
        <f t="shared" si="538"/>
        <v/>
      </c>
      <c r="T3585" s="5" t="str">
        <f t="shared" si="543"/>
        <v/>
      </c>
      <c r="U3585" s="5" t="str">
        <f t="shared" si="543"/>
        <v/>
      </c>
    </row>
    <row r="3586" spans="7:21" x14ac:dyDescent="0.2">
      <c r="G3586" s="8"/>
      <c r="H3586" s="5"/>
      <c r="J3586" s="10" t="str">
        <f t="shared" si="536"/>
        <v/>
      </c>
      <c r="K3586" s="10" t="str">
        <f t="shared" si="537"/>
        <v/>
      </c>
      <c r="L3586" s="11" t="str">
        <f t="shared" si="539"/>
        <v/>
      </c>
      <c r="M3586" s="9" t="str">
        <f>IF(G3586&lt;&gt;"",J3586/MAX(J$3:J3586)-1,"")</f>
        <v/>
      </c>
      <c r="N3586" s="9" t="str">
        <f>IF(G3586&lt;&gt;"",K3586/MAX(K$3:K3586)-1,"")</f>
        <v/>
      </c>
      <c r="O3586" s="16" t="str">
        <f t="shared" ref="O3586:Q3649" si="545">IF($G3586&lt;&gt;"",J3586/J3585-1,"")</f>
        <v/>
      </c>
      <c r="P3586" s="16" t="str">
        <f t="shared" si="545"/>
        <v/>
      </c>
      <c r="Q3586" s="16" t="str">
        <f t="shared" si="545"/>
        <v/>
      </c>
      <c r="R3586" s="5" t="str">
        <f t="shared" si="544"/>
        <v/>
      </c>
      <c r="S3586" s="5" t="str">
        <f t="shared" si="538"/>
        <v/>
      </c>
      <c r="T3586" s="5" t="str">
        <f t="shared" si="543"/>
        <v/>
      </c>
      <c r="U3586" s="5" t="str">
        <f t="shared" si="543"/>
        <v/>
      </c>
    </row>
    <row r="3587" spans="7:21" x14ac:dyDescent="0.2">
      <c r="G3587" s="8"/>
      <c r="H3587" s="5"/>
      <c r="J3587" s="10" t="str">
        <f t="shared" si="536"/>
        <v/>
      </c>
      <c r="K3587" s="10" t="str">
        <f t="shared" si="537"/>
        <v/>
      </c>
      <c r="L3587" s="11" t="str">
        <f t="shared" si="539"/>
        <v/>
      </c>
      <c r="M3587" s="9" t="str">
        <f>IF(G3587&lt;&gt;"",J3587/MAX(J$3:J3587)-1,"")</f>
        <v/>
      </c>
      <c r="N3587" s="9" t="str">
        <f>IF(G3587&lt;&gt;"",K3587/MAX(K$3:K3587)-1,"")</f>
        <v/>
      </c>
      <c r="O3587" s="16" t="str">
        <f t="shared" si="545"/>
        <v/>
      </c>
      <c r="P3587" s="16" t="str">
        <f t="shared" si="545"/>
        <v/>
      </c>
      <c r="Q3587" s="16" t="str">
        <f t="shared" si="545"/>
        <v/>
      </c>
      <c r="R3587" s="5" t="str">
        <f t="shared" si="544"/>
        <v/>
      </c>
      <c r="S3587" s="5" t="str">
        <f t="shared" si="538"/>
        <v/>
      </c>
      <c r="T3587" s="5" t="str">
        <f t="shared" si="543"/>
        <v/>
      </c>
      <c r="U3587" s="5" t="str">
        <f t="shared" si="543"/>
        <v/>
      </c>
    </row>
    <row r="3588" spans="7:21" x14ac:dyDescent="0.2">
      <c r="G3588" s="8"/>
      <c r="H3588" s="5"/>
      <c r="J3588" s="10" t="str">
        <f t="shared" ref="J3588:J3651" si="546">IF(G3588&lt;&gt;"",1+H3588,"")</f>
        <v/>
      </c>
      <c r="K3588" s="10" t="str">
        <f t="shared" ref="K3588:K3651" si="547">IF(G3588&lt;&gt;"",1+I3588,"")</f>
        <v/>
      </c>
      <c r="L3588" s="11" t="str">
        <f t="shared" si="539"/>
        <v/>
      </c>
      <c r="M3588" s="9" t="str">
        <f>IF(G3588&lt;&gt;"",J3588/MAX(J$3:J3588)-1,"")</f>
        <v/>
      </c>
      <c r="N3588" s="9" t="str">
        <f>IF(G3588&lt;&gt;"",K3588/MAX(K$3:K3588)-1,"")</f>
        <v/>
      </c>
      <c r="O3588" s="16" t="str">
        <f t="shared" si="545"/>
        <v/>
      </c>
      <c r="P3588" s="16" t="str">
        <f t="shared" si="545"/>
        <v/>
      </c>
      <c r="Q3588" s="16" t="str">
        <f t="shared" si="545"/>
        <v/>
      </c>
      <c r="R3588" s="5" t="str">
        <f t="shared" si="544"/>
        <v/>
      </c>
      <c r="S3588" s="5" t="str">
        <f t="shared" ref="S3588:S3651" si="548">IF(R3588&lt;&gt;"",B$12,"")</f>
        <v/>
      </c>
      <c r="T3588" s="5" t="str">
        <f t="shared" si="543"/>
        <v/>
      </c>
      <c r="U3588" s="5" t="str">
        <f t="shared" si="543"/>
        <v/>
      </c>
    </row>
    <row r="3589" spans="7:21" x14ac:dyDescent="0.2">
      <c r="G3589" s="8"/>
      <c r="H3589" s="5"/>
      <c r="J3589" s="10" t="str">
        <f t="shared" si="546"/>
        <v/>
      </c>
      <c r="K3589" s="10" t="str">
        <f t="shared" si="547"/>
        <v/>
      </c>
      <c r="L3589" s="11" t="str">
        <f t="shared" ref="L3589:L3652" si="549">IF(G3589&lt;&gt;"",J3589/K3589,"")</f>
        <v/>
      </c>
      <c r="M3589" s="9" t="str">
        <f>IF(G3589&lt;&gt;"",J3589/MAX(J$3:J3589)-1,"")</f>
        <v/>
      </c>
      <c r="N3589" s="9" t="str">
        <f>IF(G3589&lt;&gt;"",K3589/MAX(K$3:K3589)-1,"")</f>
        <v/>
      </c>
      <c r="O3589" s="16" t="str">
        <f t="shared" si="545"/>
        <v/>
      </c>
      <c r="P3589" s="16" t="str">
        <f t="shared" si="545"/>
        <v/>
      </c>
      <c r="Q3589" s="16" t="str">
        <f t="shared" si="545"/>
        <v/>
      </c>
      <c r="R3589" s="5" t="str">
        <f t="shared" si="544"/>
        <v/>
      </c>
      <c r="S3589" s="5" t="str">
        <f t="shared" si="548"/>
        <v/>
      </c>
      <c r="T3589" s="5" t="str">
        <f t="shared" si="543"/>
        <v/>
      </c>
      <c r="U3589" s="5" t="str">
        <f t="shared" si="543"/>
        <v/>
      </c>
    </row>
    <row r="3590" spans="7:21" x14ac:dyDescent="0.2">
      <c r="G3590" s="8"/>
      <c r="H3590" s="5"/>
      <c r="J3590" s="10" t="str">
        <f t="shared" si="546"/>
        <v/>
      </c>
      <c r="K3590" s="10" t="str">
        <f t="shared" si="547"/>
        <v/>
      </c>
      <c r="L3590" s="11" t="str">
        <f t="shared" si="549"/>
        <v/>
      </c>
      <c r="M3590" s="9" t="str">
        <f>IF(G3590&lt;&gt;"",J3590/MAX(J$3:J3590)-1,"")</f>
        <v/>
      </c>
      <c r="N3590" s="9" t="str">
        <f>IF(G3590&lt;&gt;"",K3590/MAX(K$3:K3590)-1,"")</f>
        <v/>
      </c>
      <c r="O3590" s="16" t="str">
        <f t="shared" si="545"/>
        <v/>
      </c>
      <c r="P3590" s="16" t="str">
        <f t="shared" si="545"/>
        <v/>
      </c>
      <c r="Q3590" s="16" t="str">
        <f t="shared" si="545"/>
        <v/>
      </c>
      <c r="R3590" s="5" t="str">
        <f t="shared" si="544"/>
        <v/>
      </c>
      <c r="S3590" s="5" t="str">
        <f t="shared" si="548"/>
        <v/>
      </c>
      <c r="T3590" s="5" t="str">
        <f t="shared" si="543"/>
        <v/>
      </c>
      <c r="U3590" s="5" t="str">
        <f t="shared" si="543"/>
        <v/>
      </c>
    </row>
    <row r="3591" spans="7:21" x14ac:dyDescent="0.2">
      <c r="G3591" s="8"/>
      <c r="H3591" s="5"/>
      <c r="J3591" s="10" t="str">
        <f t="shared" si="546"/>
        <v/>
      </c>
      <c r="K3591" s="10" t="str">
        <f t="shared" si="547"/>
        <v/>
      </c>
      <c r="L3591" s="11" t="str">
        <f t="shared" si="549"/>
        <v/>
      </c>
      <c r="M3591" s="9" t="str">
        <f>IF(G3591&lt;&gt;"",J3591/MAX(J$3:J3591)-1,"")</f>
        <v/>
      </c>
      <c r="N3591" s="9" t="str">
        <f>IF(G3591&lt;&gt;"",K3591/MAX(K$3:K3591)-1,"")</f>
        <v/>
      </c>
      <c r="O3591" s="16" t="str">
        <f t="shared" si="545"/>
        <v/>
      </c>
      <c r="P3591" s="16" t="str">
        <f t="shared" si="545"/>
        <v/>
      </c>
      <c r="Q3591" s="16" t="str">
        <f t="shared" si="545"/>
        <v/>
      </c>
      <c r="R3591" s="5" t="str">
        <f t="shared" si="544"/>
        <v/>
      </c>
      <c r="S3591" s="5" t="str">
        <f t="shared" si="548"/>
        <v/>
      </c>
      <c r="T3591" s="5" t="str">
        <f t="shared" si="543"/>
        <v/>
      </c>
      <c r="U3591" s="5" t="str">
        <f t="shared" si="543"/>
        <v/>
      </c>
    </row>
    <row r="3592" spans="7:21" x14ac:dyDescent="0.2">
      <c r="G3592" s="8"/>
      <c r="H3592" s="5"/>
      <c r="J3592" s="10" t="str">
        <f t="shared" si="546"/>
        <v/>
      </c>
      <c r="K3592" s="10" t="str">
        <f t="shared" si="547"/>
        <v/>
      </c>
      <c r="L3592" s="11" t="str">
        <f t="shared" si="549"/>
        <v/>
      </c>
      <c r="M3592" s="9" t="str">
        <f>IF(G3592&lt;&gt;"",J3592/MAX(J$3:J3592)-1,"")</f>
        <v/>
      </c>
      <c r="N3592" s="9" t="str">
        <f>IF(G3592&lt;&gt;"",K3592/MAX(K$3:K3592)-1,"")</f>
        <v/>
      </c>
      <c r="O3592" s="16" t="str">
        <f t="shared" si="545"/>
        <v/>
      </c>
      <c r="P3592" s="16" t="str">
        <f t="shared" si="545"/>
        <v/>
      </c>
      <c r="Q3592" s="16" t="str">
        <f t="shared" si="545"/>
        <v/>
      </c>
      <c r="R3592" s="5" t="str">
        <f t="shared" si="544"/>
        <v/>
      </c>
      <c r="S3592" s="5" t="str">
        <f t="shared" si="548"/>
        <v/>
      </c>
      <c r="T3592" s="5" t="str">
        <f t="shared" ref="T3592:U3607" si="550">IF($G3592&lt;&gt;"",_xlfn.STDEV.S(O3348:O3592),"")</f>
        <v/>
      </c>
      <c r="U3592" s="5" t="str">
        <f t="shared" si="550"/>
        <v/>
      </c>
    </row>
    <row r="3593" spans="7:21" x14ac:dyDescent="0.2">
      <c r="G3593" s="8"/>
      <c r="H3593" s="5"/>
      <c r="J3593" s="10" t="str">
        <f t="shared" si="546"/>
        <v/>
      </c>
      <c r="K3593" s="10" t="str">
        <f t="shared" si="547"/>
        <v/>
      </c>
      <c r="L3593" s="11" t="str">
        <f t="shared" si="549"/>
        <v/>
      </c>
      <c r="M3593" s="9" t="str">
        <f>IF(G3593&lt;&gt;"",J3593/MAX(J$3:J3593)-1,"")</f>
        <v/>
      </c>
      <c r="N3593" s="9" t="str">
        <f>IF(G3593&lt;&gt;"",K3593/MAX(K$3:K3593)-1,"")</f>
        <v/>
      </c>
      <c r="O3593" s="16" t="str">
        <f t="shared" si="545"/>
        <v/>
      </c>
      <c r="P3593" s="16" t="str">
        <f t="shared" si="545"/>
        <v/>
      </c>
      <c r="Q3593" s="16" t="str">
        <f t="shared" si="545"/>
        <v/>
      </c>
      <c r="R3593" s="5" t="str">
        <f t="shared" si="544"/>
        <v/>
      </c>
      <c r="S3593" s="5" t="str">
        <f t="shared" si="548"/>
        <v/>
      </c>
      <c r="T3593" s="5" t="str">
        <f t="shared" si="550"/>
        <v/>
      </c>
      <c r="U3593" s="5" t="str">
        <f t="shared" si="550"/>
        <v/>
      </c>
    </row>
    <row r="3594" spans="7:21" x14ac:dyDescent="0.2">
      <c r="G3594" s="8"/>
      <c r="H3594" s="5"/>
      <c r="J3594" s="10" t="str">
        <f t="shared" si="546"/>
        <v/>
      </c>
      <c r="K3594" s="10" t="str">
        <f t="shared" si="547"/>
        <v/>
      </c>
      <c r="L3594" s="11" t="str">
        <f t="shared" si="549"/>
        <v/>
      </c>
      <c r="M3594" s="9" t="str">
        <f>IF(G3594&lt;&gt;"",J3594/MAX(J$3:J3594)-1,"")</f>
        <v/>
      </c>
      <c r="N3594" s="9" t="str">
        <f>IF(G3594&lt;&gt;"",K3594/MAX(K$3:K3594)-1,"")</f>
        <v/>
      </c>
      <c r="O3594" s="16" t="str">
        <f t="shared" si="545"/>
        <v/>
      </c>
      <c r="P3594" s="16" t="str">
        <f t="shared" si="545"/>
        <v/>
      </c>
      <c r="Q3594" s="16" t="str">
        <f t="shared" si="545"/>
        <v/>
      </c>
      <c r="R3594" s="5" t="str">
        <f t="shared" si="544"/>
        <v/>
      </c>
      <c r="S3594" s="5" t="str">
        <f t="shared" si="548"/>
        <v/>
      </c>
      <c r="T3594" s="5" t="str">
        <f t="shared" si="550"/>
        <v/>
      </c>
      <c r="U3594" s="5" t="str">
        <f t="shared" si="550"/>
        <v/>
      </c>
    </row>
    <row r="3595" spans="7:21" x14ac:dyDescent="0.2">
      <c r="G3595" s="8"/>
      <c r="H3595" s="5"/>
      <c r="J3595" s="10" t="str">
        <f t="shared" si="546"/>
        <v/>
      </c>
      <c r="K3595" s="10" t="str">
        <f t="shared" si="547"/>
        <v/>
      </c>
      <c r="L3595" s="11" t="str">
        <f t="shared" si="549"/>
        <v/>
      </c>
      <c r="M3595" s="9" t="str">
        <f>IF(G3595&lt;&gt;"",J3595/MAX(J$3:J3595)-1,"")</f>
        <v/>
      </c>
      <c r="N3595" s="9" t="str">
        <f>IF(G3595&lt;&gt;"",K3595/MAX(K$3:K3595)-1,"")</f>
        <v/>
      </c>
      <c r="O3595" s="16" t="str">
        <f t="shared" si="545"/>
        <v/>
      </c>
      <c r="P3595" s="16" t="str">
        <f t="shared" si="545"/>
        <v/>
      </c>
      <c r="Q3595" s="16" t="str">
        <f t="shared" si="545"/>
        <v/>
      </c>
      <c r="R3595" s="5" t="str">
        <f t="shared" si="544"/>
        <v/>
      </c>
      <c r="S3595" s="5" t="str">
        <f t="shared" si="548"/>
        <v/>
      </c>
      <c r="T3595" s="5" t="str">
        <f t="shared" si="550"/>
        <v/>
      </c>
      <c r="U3595" s="5" t="str">
        <f t="shared" si="550"/>
        <v/>
      </c>
    </row>
    <row r="3596" spans="7:21" x14ac:dyDescent="0.2">
      <c r="G3596" s="8"/>
      <c r="H3596" s="5"/>
      <c r="J3596" s="10" t="str">
        <f t="shared" si="546"/>
        <v/>
      </c>
      <c r="K3596" s="10" t="str">
        <f t="shared" si="547"/>
        <v/>
      </c>
      <c r="L3596" s="11" t="str">
        <f t="shared" si="549"/>
        <v/>
      </c>
      <c r="M3596" s="9" t="str">
        <f>IF(G3596&lt;&gt;"",J3596/MAX(J$3:J3596)-1,"")</f>
        <v/>
      </c>
      <c r="N3596" s="9" t="str">
        <f>IF(G3596&lt;&gt;"",K3596/MAX(K$3:K3596)-1,"")</f>
        <v/>
      </c>
      <c r="O3596" s="16" t="str">
        <f t="shared" si="545"/>
        <v/>
      </c>
      <c r="P3596" s="16" t="str">
        <f t="shared" si="545"/>
        <v/>
      </c>
      <c r="Q3596" s="16" t="str">
        <f t="shared" si="545"/>
        <v/>
      </c>
      <c r="R3596" s="5" t="str">
        <f t="shared" si="544"/>
        <v/>
      </c>
      <c r="S3596" s="5" t="str">
        <f t="shared" si="548"/>
        <v/>
      </c>
      <c r="T3596" s="5" t="str">
        <f t="shared" si="550"/>
        <v/>
      </c>
      <c r="U3596" s="5" t="str">
        <f t="shared" si="550"/>
        <v/>
      </c>
    </row>
    <row r="3597" spans="7:21" x14ac:dyDescent="0.2">
      <c r="G3597" s="8"/>
      <c r="H3597" s="5"/>
      <c r="J3597" s="10" t="str">
        <f t="shared" si="546"/>
        <v/>
      </c>
      <c r="K3597" s="10" t="str">
        <f t="shared" si="547"/>
        <v/>
      </c>
      <c r="L3597" s="11" t="str">
        <f t="shared" si="549"/>
        <v/>
      </c>
      <c r="M3597" s="9" t="str">
        <f>IF(G3597&lt;&gt;"",J3597/MAX(J$3:J3597)-1,"")</f>
        <v/>
      </c>
      <c r="N3597" s="9" t="str">
        <f>IF(G3597&lt;&gt;"",K3597/MAX(K$3:K3597)-1,"")</f>
        <v/>
      </c>
      <c r="O3597" s="16" t="str">
        <f t="shared" si="545"/>
        <v/>
      </c>
      <c r="P3597" s="16" t="str">
        <f t="shared" si="545"/>
        <v/>
      </c>
      <c r="Q3597" s="16" t="str">
        <f t="shared" si="545"/>
        <v/>
      </c>
      <c r="R3597" s="5" t="str">
        <f t="shared" si="544"/>
        <v/>
      </c>
      <c r="S3597" s="5" t="str">
        <f t="shared" si="548"/>
        <v/>
      </c>
      <c r="T3597" s="5" t="str">
        <f t="shared" si="550"/>
        <v/>
      </c>
      <c r="U3597" s="5" t="str">
        <f t="shared" si="550"/>
        <v/>
      </c>
    </row>
    <row r="3598" spans="7:21" x14ac:dyDescent="0.2">
      <c r="G3598" s="8"/>
      <c r="H3598" s="5"/>
      <c r="J3598" s="10" t="str">
        <f t="shared" si="546"/>
        <v/>
      </c>
      <c r="K3598" s="10" t="str">
        <f t="shared" si="547"/>
        <v/>
      </c>
      <c r="L3598" s="11" t="str">
        <f t="shared" si="549"/>
        <v/>
      </c>
      <c r="M3598" s="9" t="str">
        <f>IF(G3598&lt;&gt;"",J3598/MAX(J$3:J3598)-1,"")</f>
        <v/>
      </c>
      <c r="N3598" s="9" t="str">
        <f>IF(G3598&lt;&gt;"",K3598/MAX(K$3:K3598)-1,"")</f>
        <v/>
      </c>
      <c r="O3598" s="16" t="str">
        <f t="shared" si="545"/>
        <v/>
      </c>
      <c r="P3598" s="16" t="str">
        <f t="shared" si="545"/>
        <v/>
      </c>
      <c r="Q3598" s="16" t="str">
        <f t="shared" si="545"/>
        <v/>
      </c>
      <c r="R3598" s="5" t="str">
        <f t="shared" si="544"/>
        <v/>
      </c>
      <c r="S3598" s="5" t="str">
        <f t="shared" si="548"/>
        <v/>
      </c>
      <c r="T3598" s="5" t="str">
        <f t="shared" si="550"/>
        <v/>
      </c>
      <c r="U3598" s="5" t="str">
        <f t="shared" si="550"/>
        <v/>
      </c>
    </row>
    <row r="3599" spans="7:21" x14ac:dyDescent="0.2">
      <c r="G3599" s="8"/>
      <c r="H3599" s="5"/>
      <c r="J3599" s="10" t="str">
        <f t="shared" si="546"/>
        <v/>
      </c>
      <c r="K3599" s="10" t="str">
        <f t="shared" si="547"/>
        <v/>
      </c>
      <c r="L3599" s="11" t="str">
        <f t="shared" si="549"/>
        <v/>
      </c>
      <c r="M3599" s="9" t="str">
        <f>IF(G3599&lt;&gt;"",J3599/MAX(J$3:J3599)-1,"")</f>
        <v/>
      </c>
      <c r="N3599" s="9" t="str">
        <f>IF(G3599&lt;&gt;"",K3599/MAX(K$3:K3599)-1,"")</f>
        <v/>
      </c>
      <c r="O3599" s="16" t="str">
        <f t="shared" si="545"/>
        <v/>
      </c>
      <c r="P3599" s="16" t="str">
        <f t="shared" si="545"/>
        <v/>
      </c>
      <c r="Q3599" s="16" t="str">
        <f t="shared" si="545"/>
        <v/>
      </c>
      <c r="R3599" s="5" t="str">
        <f t="shared" si="544"/>
        <v/>
      </c>
      <c r="S3599" s="5" t="str">
        <f t="shared" si="548"/>
        <v/>
      </c>
      <c r="T3599" s="5" t="str">
        <f t="shared" si="550"/>
        <v/>
      </c>
      <c r="U3599" s="5" t="str">
        <f t="shared" si="550"/>
        <v/>
      </c>
    </row>
    <row r="3600" spans="7:21" x14ac:dyDescent="0.2">
      <c r="G3600" s="8"/>
      <c r="H3600" s="5"/>
      <c r="J3600" s="10" t="str">
        <f t="shared" si="546"/>
        <v/>
      </c>
      <c r="K3600" s="10" t="str">
        <f t="shared" si="547"/>
        <v/>
      </c>
      <c r="L3600" s="11" t="str">
        <f t="shared" si="549"/>
        <v/>
      </c>
      <c r="M3600" s="9" t="str">
        <f>IF(G3600&lt;&gt;"",J3600/MAX(J$3:J3600)-1,"")</f>
        <v/>
      </c>
      <c r="N3600" s="9" t="str">
        <f>IF(G3600&lt;&gt;"",K3600/MAX(K$3:K3600)-1,"")</f>
        <v/>
      </c>
      <c r="O3600" s="16" t="str">
        <f t="shared" si="545"/>
        <v/>
      </c>
      <c r="P3600" s="16" t="str">
        <f t="shared" si="545"/>
        <v/>
      </c>
      <c r="Q3600" s="16" t="str">
        <f t="shared" si="545"/>
        <v/>
      </c>
      <c r="R3600" s="5" t="str">
        <f t="shared" si="544"/>
        <v/>
      </c>
      <c r="S3600" s="5" t="str">
        <f t="shared" si="548"/>
        <v/>
      </c>
      <c r="T3600" s="5" t="str">
        <f t="shared" si="550"/>
        <v/>
      </c>
      <c r="U3600" s="5" t="str">
        <f t="shared" si="550"/>
        <v/>
      </c>
    </row>
    <row r="3601" spans="7:21" x14ac:dyDescent="0.2">
      <c r="G3601" s="8"/>
      <c r="H3601" s="5"/>
      <c r="J3601" s="10" t="str">
        <f t="shared" si="546"/>
        <v/>
      </c>
      <c r="K3601" s="10" t="str">
        <f t="shared" si="547"/>
        <v/>
      </c>
      <c r="L3601" s="11" t="str">
        <f t="shared" si="549"/>
        <v/>
      </c>
      <c r="M3601" s="9" t="str">
        <f>IF(G3601&lt;&gt;"",J3601/MAX(J$3:J3601)-1,"")</f>
        <v/>
      </c>
      <c r="N3601" s="9" t="str">
        <f>IF(G3601&lt;&gt;"",K3601/MAX(K$3:K3601)-1,"")</f>
        <v/>
      </c>
      <c r="O3601" s="16" t="str">
        <f t="shared" si="545"/>
        <v/>
      </c>
      <c r="P3601" s="16" t="str">
        <f t="shared" si="545"/>
        <v/>
      </c>
      <c r="Q3601" s="16" t="str">
        <f t="shared" si="545"/>
        <v/>
      </c>
      <c r="R3601" s="5" t="str">
        <f t="shared" si="544"/>
        <v/>
      </c>
      <c r="S3601" s="5" t="str">
        <f t="shared" si="548"/>
        <v/>
      </c>
      <c r="T3601" s="5" t="str">
        <f t="shared" si="550"/>
        <v/>
      </c>
      <c r="U3601" s="5" t="str">
        <f t="shared" si="550"/>
        <v/>
      </c>
    </row>
    <row r="3602" spans="7:21" x14ac:dyDescent="0.2">
      <c r="G3602" s="8"/>
      <c r="H3602" s="5"/>
      <c r="J3602" s="10" t="str">
        <f t="shared" si="546"/>
        <v/>
      </c>
      <c r="K3602" s="10" t="str">
        <f t="shared" si="547"/>
        <v/>
      </c>
      <c r="L3602" s="11" t="str">
        <f t="shared" si="549"/>
        <v/>
      </c>
      <c r="M3602" s="9" t="str">
        <f>IF(G3602&lt;&gt;"",J3602/MAX(J$3:J3602)-1,"")</f>
        <v/>
      </c>
      <c r="N3602" s="9" t="str">
        <f>IF(G3602&lt;&gt;"",K3602/MAX(K$3:K3602)-1,"")</f>
        <v/>
      </c>
      <c r="O3602" s="16" t="str">
        <f t="shared" si="545"/>
        <v/>
      </c>
      <c r="P3602" s="16" t="str">
        <f t="shared" si="545"/>
        <v/>
      </c>
      <c r="Q3602" s="16" t="str">
        <f t="shared" si="545"/>
        <v/>
      </c>
      <c r="R3602" s="5" t="str">
        <f t="shared" si="544"/>
        <v/>
      </c>
      <c r="S3602" s="5" t="str">
        <f t="shared" si="548"/>
        <v/>
      </c>
      <c r="T3602" s="5" t="str">
        <f t="shared" si="550"/>
        <v/>
      </c>
      <c r="U3602" s="5" t="str">
        <f t="shared" si="550"/>
        <v/>
      </c>
    </row>
    <row r="3603" spans="7:21" x14ac:dyDescent="0.2">
      <c r="G3603" s="8"/>
      <c r="H3603" s="5"/>
      <c r="J3603" s="10" t="str">
        <f t="shared" si="546"/>
        <v/>
      </c>
      <c r="K3603" s="10" t="str">
        <f t="shared" si="547"/>
        <v/>
      </c>
      <c r="L3603" s="11" t="str">
        <f t="shared" si="549"/>
        <v/>
      </c>
      <c r="M3603" s="9" t="str">
        <f>IF(G3603&lt;&gt;"",J3603/MAX(J$3:J3603)-1,"")</f>
        <v/>
      </c>
      <c r="N3603" s="9" t="str">
        <f>IF(G3603&lt;&gt;"",K3603/MAX(K$3:K3603)-1,"")</f>
        <v/>
      </c>
      <c r="O3603" s="16" t="str">
        <f t="shared" si="545"/>
        <v/>
      </c>
      <c r="P3603" s="16" t="str">
        <f t="shared" si="545"/>
        <v/>
      </c>
      <c r="Q3603" s="16" t="str">
        <f t="shared" si="545"/>
        <v/>
      </c>
      <c r="R3603" s="5" t="str">
        <f t="shared" si="544"/>
        <v/>
      </c>
      <c r="S3603" s="5" t="str">
        <f t="shared" si="548"/>
        <v/>
      </c>
      <c r="T3603" s="5" t="str">
        <f t="shared" si="550"/>
        <v/>
      </c>
      <c r="U3603" s="5" t="str">
        <f t="shared" si="550"/>
        <v/>
      </c>
    </row>
    <row r="3604" spans="7:21" x14ac:dyDescent="0.2">
      <c r="G3604" s="8"/>
      <c r="H3604" s="5"/>
      <c r="J3604" s="10" t="str">
        <f t="shared" si="546"/>
        <v/>
      </c>
      <c r="K3604" s="10" t="str">
        <f t="shared" si="547"/>
        <v/>
      </c>
      <c r="L3604" s="11" t="str">
        <f t="shared" si="549"/>
        <v/>
      </c>
      <c r="M3604" s="9" t="str">
        <f>IF(G3604&lt;&gt;"",J3604/MAX(J$3:J3604)-1,"")</f>
        <v/>
      </c>
      <c r="N3604" s="9" t="str">
        <f>IF(G3604&lt;&gt;"",K3604/MAX(K$3:K3604)-1,"")</f>
        <v/>
      </c>
      <c r="O3604" s="16" t="str">
        <f t="shared" si="545"/>
        <v/>
      </c>
      <c r="P3604" s="16" t="str">
        <f t="shared" si="545"/>
        <v/>
      </c>
      <c r="Q3604" s="16" t="str">
        <f t="shared" si="545"/>
        <v/>
      </c>
      <c r="R3604" s="5" t="str">
        <f t="shared" si="544"/>
        <v/>
      </c>
      <c r="S3604" s="5" t="str">
        <f t="shared" si="548"/>
        <v/>
      </c>
      <c r="T3604" s="5" t="str">
        <f t="shared" si="550"/>
        <v/>
      </c>
      <c r="U3604" s="5" t="str">
        <f t="shared" si="550"/>
        <v/>
      </c>
    </row>
    <row r="3605" spans="7:21" x14ac:dyDescent="0.2">
      <c r="G3605" s="8"/>
      <c r="H3605" s="5"/>
      <c r="J3605" s="10" t="str">
        <f t="shared" si="546"/>
        <v/>
      </c>
      <c r="K3605" s="10" t="str">
        <f t="shared" si="547"/>
        <v/>
      </c>
      <c r="L3605" s="11" t="str">
        <f t="shared" si="549"/>
        <v/>
      </c>
      <c r="M3605" s="9" t="str">
        <f>IF(G3605&lt;&gt;"",J3605/MAX(J$3:J3605)-1,"")</f>
        <v/>
      </c>
      <c r="N3605" s="9" t="str">
        <f>IF(G3605&lt;&gt;"",K3605/MAX(K$3:K3605)-1,"")</f>
        <v/>
      </c>
      <c r="O3605" s="16" t="str">
        <f t="shared" si="545"/>
        <v/>
      </c>
      <c r="P3605" s="16" t="str">
        <f t="shared" si="545"/>
        <v/>
      </c>
      <c r="Q3605" s="16" t="str">
        <f t="shared" si="545"/>
        <v/>
      </c>
      <c r="R3605" s="5" t="str">
        <f t="shared" si="544"/>
        <v/>
      </c>
      <c r="S3605" s="5" t="str">
        <f t="shared" si="548"/>
        <v/>
      </c>
      <c r="T3605" s="5" t="str">
        <f t="shared" si="550"/>
        <v/>
      </c>
      <c r="U3605" s="5" t="str">
        <f t="shared" si="550"/>
        <v/>
      </c>
    </row>
    <row r="3606" spans="7:21" x14ac:dyDescent="0.2">
      <c r="G3606" s="8"/>
      <c r="H3606" s="5"/>
      <c r="J3606" s="10" t="str">
        <f t="shared" si="546"/>
        <v/>
      </c>
      <c r="K3606" s="10" t="str">
        <f t="shared" si="547"/>
        <v/>
      </c>
      <c r="L3606" s="11" t="str">
        <f t="shared" si="549"/>
        <v/>
      </c>
      <c r="M3606" s="9" t="str">
        <f>IF(G3606&lt;&gt;"",J3606/MAX(J$3:J3606)-1,"")</f>
        <v/>
      </c>
      <c r="N3606" s="9" t="str">
        <f>IF(G3606&lt;&gt;"",K3606/MAX(K$3:K3606)-1,"")</f>
        <v/>
      </c>
      <c r="O3606" s="16" t="str">
        <f t="shared" si="545"/>
        <v/>
      </c>
      <c r="P3606" s="16" t="str">
        <f t="shared" si="545"/>
        <v/>
      </c>
      <c r="Q3606" s="16" t="str">
        <f t="shared" si="545"/>
        <v/>
      </c>
      <c r="R3606" s="5" t="str">
        <f t="shared" si="544"/>
        <v/>
      </c>
      <c r="S3606" s="5" t="str">
        <f t="shared" si="548"/>
        <v/>
      </c>
      <c r="T3606" s="5" t="str">
        <f t="shared" si="550"/>
        <v/>
      </c>
      <c r="U3606" s="5" t="str">
        <f t="shared" si="550"/>
        <v/>
      </c>
    </row>
    <row r="3607" spans="7:21" x14ac:dyDescent="0.2">
      <c r="G3607" s="8"/>
      <c r="H3607" s="5"/>
      <c r="J3607" s="10" t="str">
        <f t="shared" si="546"/>
        <v/>
      </c>
      <c r="K3607" s="10" t="str">
        <f t="shared" si="547"/>
        <v/>
      </c>
      <c r="L3607" s="11" t="str">
        <f t="shared" si="549"/>
        <v/>
      </c>
      <c r="M3607" s="9" t="str">
        <f>IF(G3607&lt;&gt;"",J3607/MAX(J$3:J3607)-1,"")</f>
        <v/>
      </c>
      <c r="N3607" s="9" t="str">
        <f>IF(G3607&lt;&gt;"",K3607/MAX(K$3:K3607)-1,"")</f>
        <v/>
      </c>
      <c r="O3607" s="16" t="str">
        <f t="shared" si="545"/>
        <v/>
      </c>
      <c r="P3607" s="16" t="str">
        <f t="shared" si="545"/>
        <v/>
      </c>
      <c r="Q3607" s="16" t="str">
        <f t="shared" si="545"/>
        <v/>
      </c>
      <c r="R3607" s="5" t="str">
        <f t="shared" si="544"/>
        <v/>
      </c>
      <c r="S3607" s="5" t="str">
        <f t="shared" si="548"/>
        <v/>
      </c>
      <c r="T3607" s="5" t="str">
        <f t="shared" si="550"/>
        <v/>
      </c>
      <c r="U3607" s="5" t="str">
        <f t="shared" si="550"/>
        <v/>
      </c>
    </row>
    <row r="3608" spans="7:21" x14ac:dyDescent="0.2">
      <c r="G3608" s="8"/>
      <c r="H3608" s="5"/>
      <c r="J3608" s="10" t="str">
        <f t="shared" si="546"/>
        <v/>
      </c>
      <c r="K3608" s="10" t="str">
        <f t="shared" si="547"/>
        <v/>
      </c>
      <c r="L3608" s="11" t="str">
        <f t="shared" si="549"/>
        <v/>
      </c>
      <c r="M3608" s="9" t="str">
        <f>IF(G3608&lt;&gt;"",J3608/MAX(J$3:J3608)-1,"")</f>
        <v/>
      </c>
      <c r="N3608" s="9" t="str">
        <f>IF(G3608&lt;&gt;"",K3608/MAX(K$3:K3608)-1,"")</f>
        <v/>
      </c>
      <c r="O3608" s="16" t="str">
        <f t="shared" si="545"/>
        <v/>
      </c>
      <c r="P3608" s="16" t="str">
        <f t="shared" si="545"/>
        <v/>
      </c>
      <c r="Q3608" s="16" t="str">
        <f t="shared" si="545"/>
        <v/>
      </c>
      <c r="R3608" s="5" t="str">
        <f t="shared" si="544"/>
        <v/>
      </c>
      <c r="S3608" s="5" t="str">
        <f t="shared" si="548"/>
        <v/>
      </c>
      <c r="T3608" s="5" t="str">
        <f t="shared" ref="T3608:U3623" si="551">IF($G3608&lt;&gt;"",_xlfn.STDEV.S(O3364:O3608),"")</f>
        <v/>
      </c>
      <c r="U3608" s="5" t="str">
        <f t="shared" si="551"/>
        <v/>
      </c>
    </row>
    <row r="3609" spans="7:21" x14ac:dyDescent="0.2">
      <c r="G3609" s="8"/>
      <c r="H3609" s="5"/>
      <c r="J3609" s="10" t="str">
        <f t="shared" si="546"/>
        <v/>
      </c>
      <c r="K3609" s="10" t="str">
        <f t="shared" si="547"/>
        <v/>
      </c>
      <c r="L3609" s="11" t="str">
        <f t="shared" si="549"/>
        <v/>
      </c>
      <c r="M3609" s="9" t="str">
        <f>IF(G3609&lt;&gt;"",J3609/MAX(J$3:J3609)-1,"")</f>
        <v/>
      </c>
      <c r="N3609" s="9" t="str">
        <f>IF(G3609&lt;&gt;"",K3609/MAX(K$3:K3609)-1,"")</f>
        <v/>
      </c>
      <c r="O3609" s="16" t="str">
        <f t="shared" si="545"/>
        <v/>
      </c>
      <c r="P3609" s="16" t="str">
        <f t="shared" si="545"/>
        <v/>
      </c>
      <c r="Q3609" s="16" t="str">
        <f t="shared" si="545"/>
        <v/>
      </c>
      <c r="R3609" s="5" t="str">
        <f t="shared" si="544"/>
        <v/>
      </c>
      <c r="S3609" s="5" t="str">
        <f t="shared" si="548"/>
        <v/>
      </c>
      <c r="T3609" s="5" t="str">
        <f t="shared" si="551"/>
        <v/>
      </c>
      <c r="U3609" s="5" t="str">
        <f t="shared" si="551"/>
        <v/>
      </c>
    </row>
    <row r="3610" spans="7:21" x14ac:dyDescent="0.2">
      <c r="G3610" s="8"/>
      <c r="H3610" s="5"/>
      <c r="J3610" s="10" t="str">
        <f t="shared" si="546"/>
        <v/>
      </c>
      <c r="K3610" s="10" t="str">
        <f t="shared" si="547"/>
        <v/>
      </c>
      <c r="L3610" s="11" t="str">
        <f t="shared" si="549"/>
        <v/>
      </c>
      <c r="M3610" s="9" t="str">
        <f>IF(G3610&lt;&gt;"",J3610/MAX(J$3:J3610)-1,"")</f>
        <v/>
      </c>
      <c r="N3610" s="9" t="str">
        <f>IF(G3610&lt;&gt;"",K3610/MAX(K$3:K3610)-1,"")</f>
        <v/>
      </c>
      <c r="O3610" s="16" t="str">
        <f t="shared" si="545"/>
        <v/>
      </c>
      <c r="P3610" s="16" t="str">
        <f t="shared" si="545"/>
        <v/>
      </c>
      <c r="Q3610" s="16" t="str">
        <f t="shared" si="545"/>
        <v/>
      </c>
      <c r="R3610" s="5" t="str">
        <f t="shared" si="544"/>
        <v/>
      </c>
      <c r="S3610" s="5" t="str">
        <f t="shared" si="548"/>
        <v/>
      </c>
      <c r="T3610" s="5" t="str">
        <f t="shared" si="551"/>
        <v/>
      </c>
      <c r="U3610" s="5" t="str">
        <f t="shared" si="551"/>
        <v/>
      </c>
    </row>
    <row r="3611" spans="7:21" x14ac:dyDescent="0.2">
      <c r="G3611" s="8"/>
      <c r="H3611" s="5"/>
      <c r="J3611" s="10" t="str">
        <f t="shared" si="546"/>
        <v/>
      </c>
      <c r="K3611" s="10" t="str">
        <f t="shared" si="547"/>
        <v/>
      </c>
      <c r="L3611" s="11" t="str">
        <f t="shared" si="549"/>
        <v/>
      </c>
      <c r="M3611" s="9" t="str">
        <f>IF(G3611&lt;&gt;"",J3611/MAX(J$3:J3611)-1,"")</f>
        <v/>
      </c>
      <c r="N3611" s="9" t="str">
        <f>IF(G3611&lt;&gt;"",K3611/MAX(K$3:K3611)-1,"")</f>
        <v/>
      </c>
      <c r="O3611" s="16" t="str">
        <f t="shared" si="545"/>
        <v/>
      </c>
      <c r="P3611" s="16" t="str">
        <f t="shared" si="545"/>
        <v/>
      </c>
      <c r="Q3611" s="16" t="str">
        <f t="shared" si="545"/>
        <v/>
      </c>
      <c r="R3611" s="5" t="str">
        <f t="shared" si="544"/>
        <v/>
      </c>
      <c r="S3611" s="5" t="str">
        <f t="shared" si="548"/>
        <v/>
      </c>
      <c r="T3611" s="5" t="str">
        <f t="shared" si="551"/>
        <v/>
      </c>
      <c r="U3611" s="5" t="str">
        <f t="shared" si="551"/>
        <v/>
      </c>
    </row>
    <row r="3612" spans="7:21" x14ac:dyDescent="0.2">
      <c r="G3612" s="8"/>
      <c r="H3612" s="5"/>
      <c r="J3612" s="10" t="str">
        <f t="shared" si="546"/>
        <v/>
      </c>
      <c r="K3612" s="10" t="str">
        <f t="shared" si="547"/>
        <v/>
      </c>
      <c r="L3612" s="11" t="str">
        <f t="shared" si="549"/>
        <v/>
      </c>
      <c r="M3612" s="9" t="str">
        <f>IF(G3612&lt;&gt;"",J3612/MAX(J$3:J3612)-1,"")</f>
        <v/>
      </c>
      <c r="N3612" s="9" t="str">
        <f>IF(G3612&lt;&gt;"",K3612/MAX(K$3:K3612)-1,"")</f>
        <v/>
      </c>
      <c r="O3612" s="16" t="str">
        <f t="shared" si="545"/>
        <v/>
      </c>
      <c r="P3612" s="16" t="str">
        <f t="shared" si="545"/>
        <v/>
      </c>
      <c r="Q3612" s="16" t="str">
        <f t="shared" si="545"/>
        <v/>
      </c>
      <c r="R3612" s="5" t="str">
        <f t="shared" si="544"/>
        <v/>
      </c>
      <c r="S3612" s="5" t="str">
        <f t="shared" si="548"/>
        <v/>
      </c>
      <c r="T3612" s="5" t="str">
        <f t="shared" si="551"/>
        <v/>
      </c>
      <c r="U3612" s="5" t="str">
        <f t="shared" si="551"/>
        <v/>
      </c>
    </row>
    <row r="3613" spans="7:21" x14ac:dyDescent="0.2">
      <c r="G3613" s="8"/>
      <c r="H3613" s="5"/>
      <c r="J3613" s="10" t="str">
        <f t="shared" si="546"/>
        <v/>
      </c>
      <c r="K3613" s="10" t="str">
        <f t="shared" si="547"/>
        <v/>
      </c>
      <c r="L3613" s="11" t="str">
        <f t="shared" si="549"/>
        <v/>
      </c>
      <c r="M3613" s="9" t="str">
        <f>IF(G3613&lt;&gt;"",J3613/MAX(J$3:J3613)-1,"")</f>
        <v/>
      </c>
      <c r="N3613" s="9" t="str">
        <f>IF(G3613&lt;&gt;"",K3613/MAX(K$3:K3613)-1,"")</f>
        <v/>
      </c>
      <c r="O3613" s="16" t="str">
        <f t="shared" si="545"/>
        <v/>
      </c>
      <c r="P3613" s="16" t="str">
        <f t="shared" si="545"/>
        <v/>
      </c>
      <c r="Q3613" s="16" t="str">
        <f t="shared" si="545"/>
        <v/>
      </c>
      <c r="R3613" s="5" t="str">
        <f t="shared" si="544"/>
        <v/>
      </c>
      <c r="S3613" s="5" t="str">
        <f t="shared" si="548"/>
        <v/>
      </c>
      <c r="T3613" s="5" t="str">
        <f t="shared" si="551"/>
        <v/>
      </c>
      <c r="U3613" s="5" t="str">
        <f t="shared" si="551"/>
        <v/>
      </c>
    </row>
    <row r="3614" spans="7:21" x14ac:dyDescent="0.2">
      <c r="G3614" s="8"/>
      <c r="H3614" s="5"/>
      <c r="J3614" s="10" t="str">
        <f t="shared" si="546"/>
        <v/>
      </c>
      <c r="K3614" s="10" t="str">
        <f t="shared" si="547"/>
        <v/>
      </c>
      <c r="L3614" s="11" t="str">
        <f t="shared" si="549"/>
        <v/>
      </c>
      <c r="M3614" s="9" t="str">
        <f>IF(G3614&lt;&gt;"",J3614/MAX(J$3:J3614)-1,"")</f>
        <v/>
      </c>
      <c r="N3614" s="9" t="str">
        <f>IF(G3614&lt;&gt;"",K3614/MAX(K$3:K3614)-1,"")</f>
        <v/>
      </c>
      <c r="O3614" s="16" t="str">
        <f t="shared" si="545"/>
        <v/>
      </c>
      <c r="P3614" s="16" t="str">
        <f t="shared" si="545"/>
        <v/>
      </c>
      <c r="Q3614" s="16" t="str">
        <f t="shared" si="545"/>
        <v/>
      </c>
      <c r="R3614" s="5" t="str">
        <f t="shared" si="544"/>
        <v/>
      </c>
      <c r="S3614" s="5" t="str">
        <f t="shared" si="548"/>
        <v/>
      </c>
      <c r="T3614" s="5" t="str">
        <f t="shared" si="551"/>
        <v/>
      </c>
      <c r="U3614" s="5" t="str">
        <f t="shared" si="551"/>
        <v/>
      </c>
    </row>
    <row r="3615" spans="7:21" x14ac:dyDescent="0.2">
      <c r="G3615" s="8"/>
      <c r="H3615" s="5"/>
      <c r="J3615" s="10" t="str">
        <f t="shared" si="546"/>
        <v/>
      </c>
      <c r="K3615" s="10" t="str">
        <f t="shared" si="547"/>
        <v/>
      </c>
      <c r="L3615" s="11" t="str">
        <f t="shared" si="549"/>
        <v/>
      </c>
      <c r="M3615" s="9" t="str">
        <f>IF(G3615&lt;&gt;"",J3615/MAX(J$3:J3615)-1,"")</f>
        <v/>
      </c>
      <c r="N3615" s="9" t="str">
        <f>IF(G3615&lt;&gt;"",K3615/MAX(K$3:K3615)-1,"")</f>
        <v/>
      </c>
      <c r="O3615" s="16" t="str">
        <f t="shared" si="545"/>
        <v/>
      </c>
      <c r="P3615" s="16" t="str">
        <f t="shared" si="545"/>
        <v/>
      </c>
      <c r="Q3615" s="16" t="str">
        <f t="shared" si="545"/>
        <v/>
      </c>
      <c r="R3615" s="5" t="str">
        <f t="shared" si="544"/>
        <v/>
      </c>
      <c r="S3615" s="5" t="str">
        <f t="shared" si="548"/>
        <v/>
      </c>
      <c r="T3615" s="5" t="str">
        <f t="shared" si="551"/>
        <v/>
      </c>
      <c r="U3615" s="5" t="str">
        <f t="shared" si="551"/>
        <v/>
      </c>
    </row>
    <row r="3616" spans="7:21" x14ac:dyDescent="0.2">
      <c r="G3616" s="8"/>
      <c r="H3616" s="5"/>
      <c r="J3616" s="10" t="str">
        <f t="shared" si="546"/>
        <v/>
      </c>
      <c r="K3616" s="10" t="str">
        <f t="shared" si="547"/>
        <v/>
      </c>
      <c r="L3616" s="11" t="str">
        <f t="shared" si="549"/>
        <v/>
      </c>
      <c r="M3616" s="9" t="str">
        <f>IF(G3616&lt;&gt;"",J3616/MAX(J$3:J3616)-1,"")</f>
        <v/>
      </c>
      <c r="N3616" s="9" t="str">
        <f>IF(G3616&lt;&gt;"",K3616/MAX(K$3:K3616)-1,"")</f>
        <v/>
      </c>
      <c r="O3616" s="16" t="str">
        <f t="shared" si="545"/>
        <v/>
      </c>
      <c r="P3616" s="16" t="str">
        <f t="shared" si="545"/>
        <v/>
      </c>
      <c r="Q3616" s="16" t="str">
        <f t="shared" si="545"/>
        <v/>
      </c>
      <c r="R3616" s="5" t="str">
        <f t="shared" si="544"/>
        <v/>
      </c>
      <c r="S3616" s="5" t="str">
        <f t="shared" si="548"/>
        <v/>
      </c>
      <c r="T3616" s="5" t="str">
        <f t="shared" si="551"/>
        <v/>
      </c>
      <c r="U3616" s="5" t="str">
        <f t="shared" si="551"/>
        <v/>
      </c>
    </row>
    <row r="3617" spans="7:21" x14ac:dyDescent="0.2">
      <c r="G3617" s="8"/>
      <c r="H3617" s="5"/>
      <c r="J3617" s="10" t="str">
        <f t="shared" si="546"/>
        <v/>
      </c>
      <c r="K3617" s="10" t="str">
        <f t="shared" si="547"/>
        <v/>
      </c>
      <c r="L3617" s="11" t="str">
        <f t="shared" si="549"/>
        <v/>
      </c>
      <c r="M3617" s="9" t="str">
        <f>IF(G3617&lt;&gt;"",J3617/MAX(J$3:J3617)-1,"")</f>
        <v/>
      </c>
      <c r="N3617" s="9" t="str">
        <f>IF(G3617&lt;&gt;"",K3617/MAX(K$3:K3617)-1,"")</f>
        <v/>
      </c>
      <c r="O3617" s="16" t="str">
        <f t="shared" si="545"/>
        <v/>
      </c>
      <c r="P3617" s="16" t="str">
        <f t="shared" si="545"/>
        <v/>
      </c>
      <c r="Q3617" s="16" t="str">
        <f t="shared" si="545"/>
        <v/>
      </c>
      <c r="R3617" s="5" t="str">
        <f t="shared" si="544"/>
        <v/>
      </c>
      <c r="S3617" s="5" t="str">
        <f t="shared" si="548"/>
        <v/>
      </c>
      <c r="T3617" s="5" t="str">
        <f t="shared" si="551"/>
        <v/>
      </c>
      <c r="U3617" s="5" t="str">
        <f t="shared" si="551"/>
        <v/>
      </c>
    </row>
    <row r="3618" spans="7:21" x14ac:dyDescent="0.2">
      <c r="G3618" s="8"/>
      <c r="H3618" s="5"/>
      <c r="J3618" s="10" t="str">
        <f t="shared" si="546"/>
        <v/>
      </c>
      <c r="K3618" s="10" t="str">
        <f t="shared" si="547"/>
        <v/>
      </c>
      <c r="L3618" s="11" t="str">
        <f t="shared" si="549"/>
        <v/>
      </c>
      <c r="M3618" s="9" t="str">
        <f>IF(G3618&lt;&gt;"",J3618/MAX(J$3:J3618)-1,"")</f>
        <v/>
      </c>
      <c r="N3618" s="9" t="str">
        <f>IF(G3618&lt;&gt;"",K3618/MAX(K$3:K3618)-1,"")</f>
        <v/>
      </c>
      <c r="O3618" s="16" t="str">
        <f t="shared" si="545"/>
        <v/>
      </c>
      <c r="P3618" s="16" t="str">
        <f t="shared" si="545"/>
        <v/>
      </c>
      <c r="Q3618" s="16" t="str">
        <f t="shared" si="545"/>
        <v/>
      </c>
      <c r="R3618" s="5" t="str">
        <f t="shared" si="544"/>
        <v/>
      </c>
      <c r="S3618" s="5" t="str">
        <f t="shared" si="548"/>
        <v/>
      </c>
      <c r="T3618" s="5" t="str">
        <f t="shared" si="551"/>
        <v/>
      </c>
      <c r="U3618" s="5" t="str">
        <f t="shared" si="551"/>
        <v/>
      </c>
    </row>
    <row r="3619" spans="7:21" x14ac:dyDescent="0.2">
      <c r="G3619" s="8"/>
      <c r="H3619" s="5"/>
      <c r="J3619" s="10" t="str">
        <f t="shared" si="546"/>
        <v/>
      </c>
      <c r="K3619" s="10" t="str">
        <f t="shared" si="547"/>
        <v/>
      </c>
      <c r="L3619" s="11" t="str">
        <f t="shared" si="549"/>
        <v/>
      </c>
      <c r="M3619" s="9" t="str">
        <f>IF(G3619&lt;&gt;"",J3619/MAX(J$3:J3619)-1,"")</f>
        <v/>
      </c>
      <c r="N3619" s="9" t="str">
        <f>IF(G3619&lt;&gt;"",K3619/MAX(K$3:K3619)-1,"")</f>
        <v/>
      </c>
      <c r="O3619" s="16" t="str">
        <f t="shared" si="545"/>
        <v/>
      </c>
      <c r="P3619" s="16" t="str">
        <f t="shared" si="545"/>
        <v/>
      </c>
      <c r="Q3619" s="16" t="str">
        <f t="shared" si="545"/>
        <v/>
      </c>
      <c r="R3619" s="5" t="str">
        <f t="shared" si="544"/>
        <v/>
      </c>
      <c r="S3619" s="5" t="str">
        <f t="shared" si="548"/>
        <v/>
      </c>
      <c r="T3619" s="5" t="str">
        <f t="shared" si="551"/>
        <v/>
      </c>
      <c r="U3619" s="5" t="str">
        <f t="shared" si="551"/>
        <v/>
      </c>
    </row>
    <row r="3620" spans="7:21" x14ac:dyDescent="0.2">
      <c r="G3620" s="8"/>
      <c r="H3620" s="5"/>
      <c r="J3620" s="10" t="str">
        <f t="shared" si="546"/>
        <v/>
      </c>
      <c r="K3620" s="10" t="str">
        <f t="shared" si="547"/>
        <v/>
      </c>
      <c r="L3620" s="11" t="str">
        <f t="shared" si="549"/>
        <v/>
      </c>
      <c r="M3620" s="9" t="str">
        <f>IF(G3620&lt;&gt;"",J3620/MAX(J$3:J3620)-1,"")</f>
        <v/>
      </c>
      <c r="N3620" s="9" t="str">
        <f>IF(G3620&lt;&gt;"",K3620/MAX(K$3:K3620)-1,"")</f>
        <v/>
      </c>
      <c r="O3620" s="16" t="str">
        <f t="shared" si="545"/>
        <v/>
      </c>
      <c r="P3620" s="16" t="str">
        <f t="shared" si="545"/>
        <v/>
      </c>
      <c r="Q3620" s="16" t="str">
        <f t="shared" si="545"/>
        <v/>
      </c>
      <c r="R3620" s="5" t="str">
        <f t="shared" si="544"/>
        <v/>
      </c>
      <c r="S3620" s="5" t="str">
        <f t="shared" si="548"/>
        <v/>
      </c>
      <c r="T3620" s="5" t="str">
        <f t="shared" si="551"/>
        <v/>
      </c>
      <c r="U3620" s="5" t="str">
        <f t="shared" si="551"/>
        <v/>
      </c>
    </row>
    <row r="3621" spans="7:21" x14ac:dyDescent="0.2">
      <c r="G3621" s="8"/>
      <c r="H3621" s="5"/>
      <c r="J3621" s="10" t="str">
        <f t="shared" si="546"/>
        <v/>
      </c>
      <c r="K3621" s="10" t="str">
        <f t="shared" si="547"/>
        <v/>
      </c>
      <c r="L3621" s="11" t="str">
        <f t="shared" si="549"/>
        <v/>
      </c>
      <c r="M3621" s="9" t="str">
        <f>IF(G3621&lt;&gt;"",J3621/MAX(J$3:J3621)-1,"")</f>
        <v/>
      </c>
      <c r="N3621" s="9" t="str">
        <f>IF(G3621&lt;&gt;"",K3621/MAX(K$3:K3621)-1,"")</f>
        <v/>
      </c>
      <c r="O3621" s="16" t="str">
        <f t="shared" si="545"/>
        <v/>
      </c>
      <c r="P3621" s="16" t="str">
        <f t="shared" si="545"/>
        <v/>
      </c>
      <c r="Q3621" s="16" t="str">
        <f t="shared" si="545"/>
        <v/>
      </c>
      <c r="R3621" s="5" t="str">
        <f t="shared" si="544"/>
        <v/>
      </c>
      <c r="S3621" s="5" t="str">
        <f t="shared" si="548"/>
        <v/>
      </c>
      <c r="T3621" s="5" t="str">
        <f t="shared" si="551"/>
        <v/>
      </c>
      <c r="U3621" s="5" t="str">
        <f t="shared" si="551"/>
        <v/>
      </c>
    </row>
    <row r="3622" spans="7:21" x14ac:dyDescent="0.2">
      <c r="G3622" s="8"/>
      <c r="H3622" s="5"/>
      <c r="J3622" s="10" t="str">
        <f t="shared" si="546"/>
        <v/>
      </c>
      <c r="K3622" s="10" t="str">
        <f t="shared" si="547"/>
        <v/>
      </c>
      <c r="L3622" s="11" t="str">
        <f t="shared" si="549"/>
        <v/>
      </c>
      <c r="M3622" s="9" t="str">
        <f>IF(G3622&lt;&gt;"",J3622/MAX(J$3:J3622)-1,"")</f>
        <v/>
      </c>
      <c r="N3622" s="9" t="str">
        <f>IF(G3622&lt;&gt;"",K3622/MAX(K$3:K3622)-1,"")</f>
        <v/>
      </c>
      <c r="O3622" s="16" t="str">
        <f t="shared" si="545"/>
        <v/>
      </c>
      <c r="P3622" s="16" t="str">
        <f t="shared" si="545"/>
        <v/>
      </c>
      <c r="Q3622" s="16" t="str">
        <f t="shared" si="545"/>
        <v/>
      </c>
      <c r="R3622" s="5" t="str">
        <f t="shared" si="544"/>
        <v/>
      </c>
      <c r="S3622" s="5" t="str">
        <f t="shared" si="548"/>
        <v/>
      </c>
      <c r="T3622" s="5" t="str">
        <f t="shared" si="551"/>
        <v/>
      </c>
      <c r="U3622" s="5" t="str">
        <f t="shared" si="551"/>
        <v/>
      </c>
    </row>
    <row r="3623" spans="7:21" x14ac:dyDescent="0.2">
      <c r="G3623" s="8"/>
      <c r="H3623" s="5"/>
      <c r="J3623" s="10" t="str">
        <f t="shared" si="546"/>
        <v/>
      </c>
      <c r="K3623" s="10" t="str">
        <f t="shared" si="547"/>
        <v/>
      </c>
      <c r="L3623" s="11" t="str">
        <f t="shared" si="549"/>
        <v/>
      </c>
      <c r="M3623" s="9" t="str">
        <f>IF(G3623&lt;&gt;"",J3623/MAX(J$3:J3623)-1,"")</f>
        <v/>
      </c>
      <c r="N3623" s="9" t="str">
        <f>IF(G3623&lt;&gt;"",K3623/MAX(K$3:K3623)-1,"")</f>
        <v/>
      </c>
      <c r="O3623" s="16" t="str">
        <f t="shared" si="545"/>
        <v/>
      </c>
      <c r="P3623" s="16" t="str">
        <f t="shared" si="545"/>
        <v/>
      </c>
      <c r="Q3623" s="16" t="str">
        <f t="shared" si="545"/>
        <v/>
      </c>
      <c r="R3623" s="5" t="str">
        <f t="shared" si="544"/>
        <v/>
      </c>
      <c r="S3623" s="5" t="str">
        <f t="shared" si="548"/>
        <v/>
      </c>
      <c r="T3623" s="5" t="str">
        <f t="shared" si="551"/>
        <v/>
      </c>
      <c r="U3623" s="5" t="str">
        <f t="shared" si="551"/>
        <v/>
      </c>
    </row>
    <row r="3624" spans="7:21" x14ac:dyDescent="0.2">
      <c r="G3624" s="8"/>
      <c r="H3624" s="5"/>
      <c r="J3624" s="10" t="str">
        <f t="shared" si="546"/>
        <v/>
      </c>
      <c r="K3624" s="10" t="str">
        <f t="shared" si="547"/>
        <v/>
      </c>
      <c r="L3624" s="11" t="str">
        <f t="shared" si="549"/>
        <v/>
      </c>
      <c r="M3624" s="9" t="str">
        <f>IF(G3624&lt;&gt;"",J3624/MAX(J$3:J3624)-1,"")</f>
        <v/>
      </c>
      <c r="N3624" s="9" t="str">
        <f>IF(G3624&lt;&gt;"",K3624/MAX(K$3:K3624)-1,"")</f>
        <v/>
      </c>
      <c r="O3624" s="16" t="str">
        <f t="shared" si="545"/>
        <v/>
      </c>
      <c r="P3624" s="16" t="str">
        <f t="shared" si="545"/>
        <v/>
      </c>
      <c r="Q3624" s="16" t="str">
        <f t="shared" si="545"/>
        <v/>
      </c>
      <c r="R3624" s="5" t="str">
        <f t="shared" si="544"/>
        <v/>
      </c>
      <c r="S3624" s="5" t="str">
        <f t="shared" si="548"/>
        <v/>
      </c>
      <c r="T3624" s="5" t="str">
        <f t="shared" ref="T3624:U3639" si="552">IF($G3624&lt;&gt;"",_xlfn.STDEV.S(O3380:O3624),"")</f>
        <v/>
      </c>
      <c r="U3624" s="5" t="str">
        <f t="shared" si="552"/>
        <v/>
      </c>
    </row>
    <row r="3625" spans="7:21" x14ac:dyDescent="0.2">
      <c r="G3625" s="8"/>
      <c r="H3625" s="5"/>
      <c r="J3625" s="10" t="str">
        <f t="shared" si="546"/>
        <v/>
      </c>
      <c r="K3625" s="10" t="str">
        <f t="shared" si="547"/>
        <v/>
      </c>
      <c r="L3625" s="11" t="str">
        <f t="shared" si="549"/>
        <v/>
      </c>
      <c r="M3625" s="9" t="str">
        <f>IF(G3625&lt;&gt;"",J3625/MAX(J$3:J3625)-1,"")</f>
        <v/>
      </c>
      <c r="N3625" s="9" t="str">
        <f>IF(G3625&lt;&gt;"",K3625/MAX(K$3:K3625)-1,"")</f>
        <v/>
      </c>
      <c r="O3625" s="16" t="str">
        <f t="shared" si="545"/>
        <v/>
      </c>
      <c r="P3625" s="16" t="str">
        <f t="shared" si="545"/>
        <v/>
      </c>
      <c r="Q3625" s="16" t="str">
        <f t="shared" si="545"/>
        <v/>
      </c>
      <c r="R3625" s="5" t="str">
        <f t="shared" si="544"/>
        <v/>
      </c>
      <c r="S3625" s="5" t="str">
        <f t="shared" si="548"/>
        <v/>
      </c>
      <c r="T3625" s="5" t="str">
        <f t="shared" si="552"/>
        <v/>
      </c>
      <c r="U3625" s="5" t="str">
        <f t="shared" si="552"/>
        <v/>
      </c>
    </row>
    <row r="3626" spans="7:21" x14ac:dyDescent="0.2">
      <c r="G3626" s="8"/>
      <c r="H3626" s="5"/>
      <c r="J3626" s="10" t="str">
        <f t="shared" si="546"/>
        <v/>
      </c>
      <c r="K3626" s="10" t="str">
        <f t="shared" si="547"/>
        <v/>
      </c>
      <c r="L3626" s="11" t="str">
        <f t="shared" si="549"/>
        <v/>
      </c>
      <c r="M3626" s="9" t="str">
        <f>IF(G3626&lt;&gt;"",J3626/MAX(J$3:J3626)-1,"")</f>
        <v/>
      </c>
      <c r="N3626" s="9" t="str">
        <f>IF(G3626&lt;&gt;"",K3626/MAX(K$3:K3626)-1,"")</f>
        <v/>
      </c>
      <c r="O3626" s="16" t="str">
        <f t="shared" si="545"/>
        <v/>
      </c>
      <c r="P3626" s="16" t="str">
        <f t="shared" si="545"/>
        <v/>
      </c>
      <c r="Q3626" s="16" t="str">
        <f t="shared" si="545"/>
        <v/>
      </c>
      <c r="R3626" s="5" t="str">
        <f t="shared" si="544"/>
        <v/>
      </c>
      <c r="S3626" s="5" t="str">
        <f t="shared" si="548"/>
        <v/>
      </c>
      <c r="T3626" s="5" t="str">
        <f t="shared" si="552"/>
        <v/>
      </c>
      <c r="U3626" s="5" t="str">
        <f t="shared" si="552"/>
        <v/>
      </c>
    </row>
    <row r="3627" spans="7:21" x14ac:dyDescent="0.2">
      <c r="G3627" s="8"/>
      <c r="H3627" s="5"/>
      <c r="J3627" s="10" t="str">
        <f t="shared" si="546"/>
        <v/>
      </c>
      <c r="K3627" s="10" t="str">
        <f t="shared" si="547"/>
        <v/>
      </c>
      <c r="L3627" s="11" t="str">
        <f t="shared" si="549"/>
        <v/>
      </c>
      <c r="M3627" s="9" t="str">
        <f>IF(G3627&lt;&gt;"",J3627/MAX(J$3:J3627)-1,"")</f>
        <v/>
      </c>
      <c r="N3627" s="9" t="str">
        <f>IF(G3627&lt;&gt;"",K3627/MAX(K$3:K3627)-1,"")</f>
        <v/>
      </c>
      <c r="O3627" s="16" t="str">
        <f t="shared" si="545"/>
        <v/>
      </c>
      <c r="P3627" s="16" t="str">
        <f t="shared" si="545"/>
        <v/>
      </c>
      <c r="Q3627" s="16" t="str">
        <f t="shared" si="545"/>
        <v/>
      </c>
      <c r="R3627" s="5" t="str">
        <f t="shared" si="544"/>
        <v/>
      </c>
      <c r="S3627" s="5" t="str">
        <f t="shared" si="548"/>
        <v/>
      </c>
      <c r="T3627" s="5" t="str">
        <f t="shared" si="552"/>
        <v/>
      </c>
      <c r="U3627" s="5" t="str">
        <f t="shared" si="552"/>
        <v/>
      </c>
    </row>
    <row r="3628" spans="7:21" x14ac:dyDescent="0.2">
      <c r="G3628" s="8"/>
      <c r="H3628" s="5"/>
      <c r="J3628" s="10" t="str">
        <f t="shared" si="546"/>
        <v/>
      </c>
      <c r="K3628" s="10" t="str">
        <f t="shared" si="547"/>
        <v/>
      </c>
      <c r="L3628" s="11" t="str">
        <f t="shared" si="549"/>
        <v/>
      </c>
      <c r="M3628" s="9" t="str">
        <f>IF(G3628&lt;&gt;"",J3628/MAX(J$3:J3628)-1,"")</f>
        <v/>
      </c>
      <c r="N3628" s="9" t="str">
        <f>IF(G3628&lt;&gt;"",K3628/MAX(K$3:K3628)-1,"")</f>
        <v/>
      </c>
      <c r="O3628" s="16" t="str">
        <f t="shared" si="545"/>
        <v/>
      </c>
      <c r="P3628" s="16" t="str">
        <f t="shared" si="545"/>
        <v/>
      </c>
      <c r="Q3628" s="16" t="str">
        <f t="shared" si="545"/>
        <v/>
      </c>
      <c r="R3628" s="5" t="str">
        <f t="shared" si="544"/>
        <v/>
      </c>
      <c r="S3628" s="5" t="str">
        <f t="shared" si="548"/>
        <v/>
      </c>
      <c r="T3628" s="5" t="str">
        <f t="shared" si="552"/>
        <v/>
      </c>
      <c r="U3628" s="5" t="str">
        <f t="shared" si="552"/>
        <v/>
      </c>
    </row>
    <row r="3629" spans="7:21" x14ac:dyDescent="0.2">
      <c r="G3629" s="8"/>
      <c r="H3629" s="5"/>
      <c r="J3629" s="10" t="str">
        <f t="shared" si="546"/>
        <v/>
      </c>
      <c r="K3629" s="10" t="str">
        <f t="shared" si="547"/>
        <v/>
      </c>
      <c r="L3629" s="11" t="str">
        <f t="shared" si="549"/>
        <v/>
      </c>
      <c r="M3629" s="9" t="str">
        <f>IF(G3629&lt;&gt;"",J3629/MAX(J$3:J3629)-1,"")</f>
        <v/>
      </c>
      <c r="N3629" s="9" t="str">
        <f>IF(G3629&lt;&gt;"",K3629/MAX(K$3:K3629)-1,"")</f>
        <v/>
      </c>
      <c r="O3629" s="16" t="str">
        <f t="shared" si="545"/>
        <v/>
      </c>
      <c r="P3629" s="16" t="str">
        <f t="shared" si="545"/>
        <v/>
      </c>
      <c r="Q3629" s="16" t="str">
        <f t="shared" si="545"/>
        <v/>
      </c>
      <c r="R3629" s="5" t="str">
        <f t="shared" si="544"/>
        <v/>
      </c>
      <c r="S3629" s="5" t="str">
        <f t="shared" si="548"/>
        <v/>
      </c>
      <c r="T3629" s="5" t="str">
        <f t="shared" si="552"/>
        <v/>
      </c>
      <c r="U3629" s="5" t="str">
        <f t="shared" si="552"/>
        <v/>
      </c>
    </row>
    <row r="3630" spans="7:21" x14ac:dyDescent="0.2">
      <c r="G3630" s="8"/>
      <c r="H3630" s="5"/>
      <c r="J3630" s="10" t="str">
        <f t="shared" si="546"/>
        <v/>
      </c>
      <c r="K3630" s="10" t="str">
        <f t="shared" si="547"/>
        <v/>
      </c>
      <c r="L3630" s="11" t="str">
        <f t="shared" si="549"/>
        <v/>
      </c>
      <c r="M3630" s="9" t="str">
        <f>IF(G3630&lt;&gt;"",J3630/MAX(J$3:J3630)-1,"")</f>
        <v/>
      </c>
      <c r="N3630" s="9" t="str">
        <f>IF(G3630&lt;&gt;"",K3630/MAX(K$3:K3630)-1,"")</f>
        <v/>
      </c>
      <c r="O3630" s="16" t="str">
        <f t="shared" si="545"/>
        <v/>
      </c>
      <c r="P3630" s="16" t="str">
        <f t="shared" si="545"/>
        <v/>
      </c>
      <c r="Q3630" s="16" t="str">
        <f t="shared" si="545"/>
        <v/>
      </c>
      <c r="R3630" s="5" t="str">
        <f t="shared" si="544"/>
        <v/>
      </c>
      <c r="S3630" s="5" t="str">
        <f t="shared" si="548"/>
        <v/>
      </c>
      <c r="T3630" s="5" t="str">
        <f t="shared" si="552"/>
        <v/>
      </c>
      <c r="U3630" s="5" t="str">
        <f t="shared" si="552"/>
        <v/>
      </c>
    </row>
    <row r="3631" spans="7:21" x14ac:dyDescent="0.2">
      <c r="G3631" s="8"/>
      <c r="H3631" s="5"/>
      <c r="J3631" s="10" t="str">
        <f t="shared" si="546"/>
        <v/>
      </c>
      <c r="K3631" s="10" t="str">
        <f t="shared" si="547"/>
        <v/>
      </c>
      <c r="L3631" s="11" t="str">
        <f t="shared" si="549"/>
        <v/>
      </c>
      <c r="M3631" s="9" t="str">
        <f>IF(G3631&lt;&gt;"",J3631/MAX(J$3:J3631)-1,"")</f>
        <v/>
      </c>
      <c r="N3631" s="9" t="str">
        <f>IF(G3631&lt;&gt;"",K3631/MAX(K$3:K3631)-1,"")</f>
        <v/>
      </c>
      <c r="O3631" s="16" t="str">
        <f t="shared" si="545"/>
        <v/>
      </c>
      <c r="P3631" s="16" t="str">
        <f t="shared" si="545"/>
        <v/>
      </c>
      <c r="Q3631" s="16" t="str">
        <f t="shared" si="545"/>
        <v/>
      </c>
      <c r="R3631" s="5" t="str">
        <f t="shared" si="544"/>
        <v/>
      </c>
      <c r="S3631" s="5" t="str">
        <f t="shared" si="548"/>
        <v/>
      </c>
      <c r="T3631" s="5" t="str">
        <f t="shared" si="552"/>
        <v/>
      </c>
      <c r="U3631" s="5" t="str">
        <f t="shared" si="552"/>
        <v/>
      </c>
    </row>
    <row r="3632" spans="7:21" x14ac:dyDescent="0.2">
      <c r="G3632" s="8"/>
      <c r="H3632" s="5"/>
      <c r="J3632" s="10" t="str">
        <f t="shared" si="546"/>
        <v/>
      </c>
      <c r="K3632" s="10" t="str">
        <f t="shared" si="547"/>
        <v/>
      </c>
      <c r="L3632" s="11" t="str">
        <f t="shared" si="549"/>
        <v/>
      </c>
      <c r="M3632" s="9" t="str">
        <f>IF(G3632&lt;&gt;"",J3632/MAX(J$3:J3632)-1,"")</f>
        <v/>
      </c>
      <c r="N3632" s="9" t="str">
        <f>IF(G3632&lt;&gt;"",K3632/MAX(K$3:K3632)-1,"")</f>
        <v/>
      </c>
      <c r="O3632" s="16" t="str">
        <f t="shared" si="545"/>
        <v/>
      </c>
      <c r="P3632" s="16" t="str">
        <f t="shared" si="545"/>
        <v/>
      </c>
      <c r="Q3632" s="16" t="str">
        <f t="shared" si="545"/>
        <v/>
      </c>
      <c r="R3632" s="5" t="str">
        <f t="shared" si="544"/>
        <v/>
      </c>
      <c r="S3632" s="5" t="str">
        <f t="shared" si="548"/>
        <v/>
      </c>
      <c r="T3632" s="5" t="str">
        <f t="shared" si="552"/>
        <v/>
      </c>
      <c r="U3632" s="5" t="str">
        <f t="shared" si="552"/>
        <v/>
      </c>
    </row>
    <row r="3633" spans="7:21" x14ac:dyDescent="0.2">
      <c r="G3633" s="8"/>
      <c r="H3633" s="5"/>
      <c r="J3633" s="10" t="str">
        <f t="shared" si="546"/>
        <v/>
      </c>
      <c r="K3633" s="10" t="str">
        <f t="shared" si="547"/>
        <v/>
      </c>
      <c r="L3633" s="11" t="str">
        <f t="shared" si="549"/>
        <v/>
      </c>
      <c r="M3633" s="9" t="str">
        <f>IF(G3633&lt;&gt;"",J3633/MAX(J$3:J3633)-1,"")</f>
        <v/>
      </c>
      <c r="N3633" s="9" t="str">
        <f>IF(G3633&lt;&gt;"",K3633/MAX(K$3:K3633)-1,"")</f>
        <v/>
      </c>
      <c r="O3633" s="16" t="str">
        <f t="shared" si="545"/>
        <v/>
      </c>
      <c r="P3633" s="16" t="str">
        <f t="shared" si="545"/>
        <v/>
      </c>
      <c r="Q3633" s="16" t="str">
        <f t="shared" si="545"/>
        <v/>
      </c>
      <c r="R3633" s="5" t="str">
        <f t="shared" si="544"/>
        <v/>
      </c>
      <c r="S3633" s="5" t="str">
        <f t="shared" si="548"/>
        <v/>
      </c>
      <c r="T3633" s="5" t="str">
        <f t="shared" si="552"/>
        <v/>
      </c>
      <c r="U3633" s="5" t="str">
        <f t="shared" si="552"/>
        <v/>
      </c>
    </row>
    <row r="3634" spans="7:21" x14ac:dyDescent="0.2">
      <c r="G3634" s="8"/>
      <c r="H3634" s="5"/>
      <c r="J3634" s="10" t="str">
        <f t="shared" si="546"/>
        <v/>
      </c>
      <c r="K3634" s="10" t="str">
        <f t="shared" si="547"/>
        <v/>
      </c>
      <c r="L3634" s="11" t="str">
        <f t="shared" si="549"/>
        <v/>
      </c>
      <c r="M3634" s="9" t="str">
        <f>IF(G3634&lt;&gt;"",J3634/MAX(J$3:J3634)-1,"")</f>
        <v/>
      </c>
      <c r="N3634" s="9" t="str">
        <f>IF(G3634&lt;&gt;"",K3634/MAX(K$3:K3634)-1,"")</f>
        <v/>
      </c>
      <c r="O3634" s="16" t="str">
        <f t="shared" si="545"/>
        <v/>
      </c>
      <c r="P3634" s="16" t="str">
        <f t="shared" si="545"/>
        <v/>
      </c>
      <c r="Q3634" s="16" t="str">
        <f t="shared" si="545"/>
        <v/>
      </c>
      <c r="R3634" s="5" t="str">
        <f t="shared" si="544"/>
        <v/>
      </c>
      <c r="S3634" s="5" t="str">
        <f t="shared" si="548"/>
        <v/>
      </c>
      <c r="T3634" s="5" t="str">
        <f t="shared" si="552"/>
        <v/>
      </c>
      <c r="U3634" s="5" t="str">
        <f t="shared" si="552"/>
        <v/>
      </c>
    </row>
    <row r="3635" spans="7:21" x14ac:dyDescent="0.2">
      <c r="G3635" s="8"/>
      <c r="H3635" s="5"/>
      <c r="J3635" s="10" t="str">
        <f t="shared" si="546"/>
        <v/>
      </c>
      <c r="K3635" s="10" t="str">
        <f t="shared" si="547"/>
        <v/>
      </c>
      <c r="L3635" s="11" t="str">
        <f t="shared" si="549"/>
        <v/>
      </c>
      <c r="M3635" s="9" t="str">
        <f>IF(G3635&lt;&gt;"",J3635/MAX(J$3:J3635)-1,"")</f>
        <v/>
      </c>
      <c r="N3635" s="9" t="str">
        <f>IF(G3635&lt;&gt;"",K3635/MAX(K$3:K3635)-1,"")</f>
        <v/>
      </c>
      <c r="O3635" s="16" t="str">
        <f t="shared" si="545"/>
        <v/>
      </c>
      <c r="P3635" s="16" t="str">
        <f t="shared" si="545"/>
        <v/>
      </c>
      <c r="Q3635" s="16" t="str">
        <f t="shared" si="545"/>
        <v/>
      </c>
      <c r="R3635" s="5" t="str">
        <f t="shared" si="544"/>
        <v/>
      </c>
      <c r="S3635" s="5" t="str">
        <f t="shared" si="548"/>
        <v/>
      </c>
      <c r="T3635" s="5" t="str">
        <f t="shared" si="552"/>
        <v/>
      </c>
      <c r="U3635" s="5" t="str">
        <f t="shared" si="552"/>
        <v/>
      </c>
    </row>
    <row r="3636" spans="7:21" x14ac:dyDescent="0.2">
      <c r="G3636" s="8"/>
      <c r="H3636" s="5"/>
      <c r="J3636" s="10" t="str">
        <f t="shared" si="546"/>
        <v/>
      </c>
      <c r="K3636" s="10" t="str">
        <f t="shared" si="547"/>
        <v/>
      </c>
      <c r="L3636" s="11" t="str">
        <f t="shared" si="549"/>
        <v/>
      </c>
      <c r="M3636" s="9" t="str">
        <f>IF(G3636&lt;&gt;"",J3636/MAX(J$3:J3636)-1,"")</f>
        <v/>
      </c>
      <c r="N3636" s="9" t="str">
        <f>IF(G3636&lt;&gt;"",K3636/MAX(K$3:K3636)-1,"")</f>
        <v/>
      </c>
      <c r="O3636" s="16" t="str">
        <f t="shared" si="545"/>
        <v/>
      </c>
      <c r="P3636" s="16" t="str">
        <f t="shared" si="545"/>
        <v/>
      </c>
      <c r="Q3636" s="16" t="str">
        <f t="shared" si="545"/>
        <v/>
      </c>
      <c r="R3636" s="5" t="str">
        <f t="shared" si="544"/>
        <v/>
      </c>
      <c r="S3636" s="5" t="str">
        <f t="shared" si="548"/>
        <v/>
      </c>
      <c r="T3636" s="5" t="str">
        <f t="shared" si="552"/>
        <v/>
      </c>
      <c r="U3636" s="5" t="str">
        <f t="shared" si="552"/>
        <v/>
      </c>
    </row>
    <row r="3637" spans="7:21" x14ac:dyDescent="0.2">
      <c r="G3637" s="8"/>
      <c r="H3637" s="5"/>
      <c r="J3637" s="10" t="str">
        <f t="shared" si="546"/>
        <v/>
      </c>
      <c r="K3637" s="10" t="str">
        <f t="shared" si="547"/>
        <v/>
      </c>
      <c r="L3637" s="11" t="str">
        <f t="shared" si="549"/>
        <v/>
      </c>
      <c r="M3637" s="9" t="str">
        <f>IF(G3637&lt;&gt;"",J3637/MAX(J$3:J3637)-1,"")</f>
        <v/>
      </c>
      <c r="N3637" s="9" t="str">
        <f>IF(G3637&lt;&gt;"",K3637/MAX(K$3:K3637)-1,"")</f>
        <v/>
      </c>
      <c r="O3637" s="16" t="str">
        <f t="shared" si="545"/>
        <v/>
      </c>
      <c r="P3637" s="16" t="str">
        <f t="shared" si="545"/>
        <v/>
      </c>
      <c r="Q3637" s="16" t="str">
        <f t="shared" si="545"/>
        <v/>
      </c>
      <c r="R3637" s="5" t="str">
        <f t="shared" si="544"/>
        <v/>
      </c>
      <c r="S3637" s="5" t="str">
        <f t="shared" si="548"/>
        <v/>
      </c>
      <c r="T3637" s="5" t="str">
        <f t="shared" si="552"/>
        <v/>
      </c>
      <c r="U3637" s="5" t="str">
        <f t="shared" si="552"/>
        <v/>
      </c>
    </row>
    <row r="3638" spans="7:21" x14ac:dyDescent="0.2">
      <c r="G3638" s="8"/>
      <c r="H3638" s="5"/>
      <c r="J3638" s="10" t="str">
        <f t="shared" si="546"/>
        <v/>
      </c>
      <c r="K3638" s="10" t="str">
        <f t="shared" si="547"/>
        <v/>
      </c>
      <c r="L3638" s="11" t="str">
        <f t="shared" si="549"/>
        <v/>
      </c>
      <c r="M3638" s="9" t="str">
        <f>IF(G3638&lt;&gt;"",J3638/MAX(J$3:J3638)-1,"")</f>
        <v/>
      </c>
      <c r="N3638" s="9" t="str">
        <f>IF(G3638&lt;&gt;"",K3638/MAX(K$3:K3638)-1,"")</f>
        <v/>
      </c>
      <c r="O3638" s="16" t="str">
        <f t="shared" si="545"/>
        <v/>
      </c>
      <c r="P3638" s="16" t="str">
        <f t="shared" si="545"/>
        <v/>
      </c>
      <c r="Q3638" s="16" t="str">
        <f t="shared" si="545"/>
        <v/>
      </c>
      <c r="R3638" s="5" t="str">
        <f t="shared" si="544"/>
        <v/>
      </c>
      <c r="S3638" s="5" t="str">
        <f t="shared" si="548"/>
        <v/>
      </c>
      <c r="T3638" s="5" t="str">
        <f t="shared" si="552"/>
        <v/>
      </c>
      <c r="U3638" s="5" t="str">
        <f t="shared" si="552"/>
        <v/>
      </c>
    </row>
    <row r="3639" spans="7:21" x14ac:dyDescent="0.2">
      <c r="G3639" s="8"/>
      <c r="H3639" s="5"/>
      <c r="J3639" s="10" t="str">
        <f t="shared" si="546"/>
        <v/>
      </c>
      <c r="K3639" s="10" t="str">
        <f t="shared" si="547"/>
        <v/>
      </c>
      <c r="L3639" s="11" t="str">
        <f t="shared" si="549"/>
        <v/>
      </c>
      <c r="M3639" s="9" t="str">
        <f>IF(G3639&lt;&gt;"",J3639/MAX(J$3:J3639)-1,"")</f>
        <v/>
      </c>
      <c r="N3639" s="9" t="str">
        <f>IF(G3639&lt;&gt;"",K3639/MAX(K$3:K3639)-1,"")</f>
        <v/>
      </c>
      <c r="O3639" s="16" t="str">
        <f t="shared" si="545"/>
        <v/>
      </c>
      <c r="P3639" s="16" t="str">
        <f t="shared" si="545"/>
        <v/>
      </c>
      <c r="Q3639" s="16" t="str">
        <f t="shared" si="545"/>
        <v/>
      </c>
      <c r="R3639" s="5" t="str">
        <f t="shared" si="544"/>
        <v/>
      </c>
      <c r="S3639" s="5" t="str">
        <f t="shared" si="548"/>
        <v/>
      </c>
      <c r="T3639" s="5" t="str">
        <f t="shared" si="552"/>
        <v/>
      </c>
      <c r="U3639" s="5" t="str">
        <f t="shared" si="552"/>
        <v/>
      </c>
    </row>
    <row r="3640" spans="7:21" x14ac:dyDescent="0.2">
      <c r="G3640" s="8"/>
      <c r="H3640" s="5"/>
      <c r="J3640" s="10" t="str">
        <f t="shared" si="546"/>
        <v/>
      </c>
      <c r="K3640" s="10" t="str">
        <f t="shared" si="547"/>
        <v/>
      </c>
      <c r="L3640" s="11" t="str">
        <f t="shared" si="549"/>
        <v/>
      </c>
      <c r="M3640" s="9" t="str">
        <f>IF(G3640&lt;&gt;"",J3640/MAX(J$3:J3640)-1,"")</f>
        <v/>
      </c>
      <c r="N3640" s="9" t="str">
        <f>IF(G3640&lt;&gt;"",K3640/MAX(K$3:K3640)-1,"")</f>
        <v/>
      </c>
      <c r="O3640" s="16" t="str">
        <f t="shared" si="545"/>
        <v/>
      </c>
      <c r="P3640" s="16" t="str">
        <f t="shared" si="545"/>
        <v/>
      </c>
      <c r="Q3640" s="16" t="str">
        <f t="shared" si="545"/>
        <v/>
      </c>
      <c r="R3640" s="5" t="str">
        <f t="shared" si="544"/>
        <v/>
      </c>
      <c r="S3640" s="5" t="str">
        <f t="shared" si="548"/>
        <v/>
      </c>
      <c r="T3640" s="5" t="str">
        <f t="shared" ref="T3640:U3655" si="553">IF($G3640&lt;&gt;"",_xlfn.STDEV.S(O3396:O3640),"")</f>
        <v/>
      </c>
      <c r="U3640" s="5" t="str">
        <f t="shared" si="553"/>
        <v/>
      </c>
    </row>
    <row r="3641" spans="7:21" x14ac:dyDescent="0.2">
      <c r="G3641" s="8"/>
      <c r="H3641" s="5"/>
      <c r="J3641" s="10" t="str">
        <f t="shared" si="546"/>
        <v/>
      </c>
      <c r="K3641" s="10" t="str">
        <f t="shared" si="547"/>
        <v/>
      </c>
      <c r="L3641" s="11" t="str">
        <f t="shared" si="549"/>
        <v/>
      </c>
      <c r="M3641" s="9" t="str">
        <f>IF(G3641&lt;&gt;"",J3641/MAX(J$3:J3641)-1,"")</f>
        <v/>
      </c>
      <c r="N3641" s="9" t="str">
        <f>IF(G3641&lt;&gt;"",K3641/MAX(K$3:K3641)-1,"")</f>
        <v/>
      </c>
      <c r="O3641" s="16" t="str">
        <f t="shared" si="545"/>
        <v/>
      </c>
      <c r="P3641" s="16" t="str">
        <f t="shared" si="545"/>
        <v/>
      </c>
      <c r="Q3641" s="16" t="str">
        <f t="shared" si="545"/>
        <v/>
      </c>
      <c r="R3641" s="5" t="str">
        <f t="shared" si="544"/>
        <v/>
      </c>
      <c r="S3641" s="5" t="str">
        <f t="shared" si="548"/>
        <v/>
      </c>
      <c r="T3641" s="5" t="str">
        <f t="shared" si="553"/>
        <v/>
      </c>
      <c r="U3641" s="5" t="str">
        <f t="shared" si="553"/>
        <v/>
      </c>
    </row>
    <row r="3642" spans="7:21" x14ac:dyDescent="0.2">
      <c r="G3642" s="8"/>
      <c r="H3642" s="5"/>
      <c r="J3642" s="10" t="str">
        <f t="shared" si="546"/>
        <v/>
      </c>
      <c r="K3642" s="10" t="str">
        <f t="shared" si="547"/>
        <v/>
      </c>
      <c r="L3642" s="11" t="str">
        <f t="shared" si="549"/>
        <v/>
      </c>
      <c r="M3642" s="9" t="str">
        <f>IF(G3642&lt;&gt;"",J3642/MAX(J$3:J3642)-1,"")</f>
        <v/>
      </c>
      <c r="N3642" s="9" t="str">
        <f>IF(G3642&lt;&gt;"",K3642/MAX(K$3:K3642)-1,"")</f>
        <v/>
      </c>
      <c r="O3642" s="16" t="str">
        <f t="shared" si="545"/>
        <v/>
      </c>
      <c r="P3642" s="16" t="str">
        <f t="shared" si="545"/>
        <v/>
      </c>
      <c r="Q3642" s="16" t="str">
        <f t="shared" si="545"/>
        <v/>
      </c>
      <c r="R3642" s="5" t="str">
        <f t="shared" si="544"/>
        <v/>
      </c>
      <c r="S3642" s="5" t="str">
        <f t="shared" si="548"/>
        <v/>
      </c>
      <c r="T3642" s="5" t="str">
        <f t="shared" si="553"/>
        <v/>
      </c>
      <c r="U3642" s="5" t="str">
        <f t="shared" si="553"/>
        <v/>
      </c>
    </row>
    <row r="3643" spans="7:21" x14ac:dyDescent="0.2">
      <c r="G3643" s="8"/>
      <c r="H3643" s="5"/>
      <c r="J3643" s="10" t="str">
        <f t="shared" si="546"/>
        <v/>
      </c>
      <c r="K3643" s="10" t="str">
        <f t="shared" si="547"/>
        <v/>
      </c>
      <c r="L3643" s="11" t="str">
        <f t="shared" si="549"/>
        <v/>
      </c>
      <c r="M3643" s="9" t="str">
        <f>IF(G3643&lt;&gt;"",J3643/MAX(J$3:J3643)-1,"")</f>
        <v/>
      </c>
      <c r="N3643" s="9" t="str">
        <f>IF(G3643&lt;&gt;"",K3643/MAX(K$3:K3643)-1,"")</f>
        <v/>
      </c>
      <c r="O3643" s="16" t="str">
        <f t="shared" si="545"/>
        <v/>
      </c>
      <c r="P3643" s="16" t="str">
        <f t="shared" si="545"/>
        <v/>
      </c>
      <c r="Q3643" s="16" t="str">
        <f t="shared" si="545"/>
        <v/>
      </c>
      <c r="R3643" s="5" t="str">
        <f t="shared" si="544"/>
        <v/>
      </c>
      <c r="S3643" s="5" t="str">
        <f t="shared" si="548"/>
        <v/>
      </c>
      <c r="T3643" s="5" t="str">
        <f t="shared" si="553"/>
        <v/>
      </c>
      <c r="U3643" s="5" t="str">
        <f t="shared" si="553"/>
        <v/>
      </c>
    </row>
    <row r="3644" spans="7:21" x14ac:dyDescent="0.2">
      <c r="G3644" s="8"/>
      <c r="H3644" s="5"/>
      <c r="J3644" s="10" t="str">
        <f t="shared" si="546"/>
        <v/>
      </c>
      <c r="K3644" s="10" t="str">
        <f t="shared" si="547"/>
        <v/>
      </c>
      <c r="L3644" s="11" t="str">
        <f t="shared" si="549"/>
        <v/>
      </c>
      <c r="M3644" s="9" t="str">
        <f>IF(G3644&lt;&gt;"",J3644/MAX(J$3:J3644)-1,"")</f>
        <v/>
      </c>
      <c r="N3644" s="9" t="str">
        <f>IF(G3644&lt;&gt;"",K3644/MAX(K$3:K3644)-1,"")</f>
        <v/>
      </c>
      <c r="O3644" s="16" t="str">
        <f t="shared" si="545"/>
        <v/>
      </c>
      <c r="P3644" s="16" t="str">
        <f t="shared" si="545"/>
        <v/>
      </c>
      <c r="Q3644" s="16" t="str">
        <f t="shared" si="545"/>
        <v/>
      </c>
      <c r="R3644" s="5" t="str">
        <f t="shared" si="544"/>
        <v/>
      </c>
      <c r="S3644" s="5" t="str">
        <f t="shared" si="548"/>
        <v/>
      </c>
      <c r="T3644" s="5" t="str">
        <f t="shared" si="553"/>
        <v/>
      </c>
      <c r="U3644" s="5" t="str">
        <f t="shared" si="553"/>
        <v/>
      </c>
    </row>
    <row r="3645" spans="7:21" x14ac:dyDescent="0.2">
      <c r="G3645" s="8"/>
      <c r="H3645" s="5"/>
      <c r="J3645" s="10" t="str">
        <f t="shared" si="546"/>
        <v/>
      </c>
      <c r="K3645" s="10" t="str">
        <f t="shared" si="547"/>
        <v/>
      </c>
      <c r="L3645" s="11" t="str">
        <f t="shared" si="549"/>
        <v/>
      </c>
      <c r="M3645" s="9" t="str">
        <f>IF(G3645&lt;&gt;"",J3645/MAX(J$3:J3645)-1,"")</f>
        <v/>
      </c>
      <c r="N3645" s="9" t="str">
        <f>IF(G3645&lt;&gt;"",K3645/MAX(K$3:K3645)-1,"")</f>
        <v/>
      </c>
      <c r="O3645" s="16" t="str">
        <f t="shared" si="545"/>
        <v/>
      </c>
      <c r="P3645" s="16" t="str">
        <f t="shared" si="545"/>
        <v/>
      </c>
      <c r="Q3645" s="16" t="str">
        <f t="shared" si="545"/>
        <v/>
      </c>
      <c r="R3645" s="5" t="str">
        <f t="shared" ref="R3645:R3708" si="554">IF(G3645&lt;&gt;"",_xlfn.STDEV.S(Q3524:Q3645)*SQRT($B$5),"")</f>
        <v/>
      </c>
      <c r="S3645" s="5" t="str">
        <f t="shared" si="548"/>
        <v/>
      </c>
      <c r="T3645" s="5" t="str">
        <f t="shared" si="553"/>
        <v/>
      </c>
      <c r="U3645" s="5" t="str">
        <f t="shared" si="553"/>
        <v/>
      </c>
    </row>
    <row r="3646" spans="7:21" x14ac:dyDescent="0.2">
      <c r="G3646" s="8"/>
      <c r="H3646" s="5"/>
      <c r="J3646" s="10" t="str">
        <f t="shared" si="546"/>
        <v/>
      </c>
      <c r="K3646" s="10" t="str">
        <f t="shared" si="547"/>
        <v/>
      </c>
      <c r="L3646" s="11" t="str">
        <f t="shared" si="549"/>
        <v/>
      </c>
      <c r="M3646" s="9" t="str">
        <f>IF(G3646&lt;&gt;"",J3646/MAX(J$3:J3646)-1,"")</f>
        <v/>
      </c>
      <c r="N3646" s="9" t="str">
        <f>IF(G3646&lt;&gt;"",K3646/MAX(K$3:K3646)-1,"")</f>
        <v/>
      </c>
      <c r="O3646" s="16" t="str">
        <f t="shared" si="545"/>
        <v/>
      </c>
      <c r="P3646" s="16" t="str">
        <f t="shared" si="545"/>
        <v/>
      </c>
      <c r="Q3646" s="16" t="str">
        <f t="shared" si="545"/>
        <v/>
      </c>
      <c r="R3646" s="5" t="str">
        <f t="shared" si="554"/>
        <v/>
      </c>
      <c r="S3646" s="5" t="str">
        <f t="shared" si="548"/>
        <v/>
      </c>
      <c r="T3646" s="5" t="str">
        <f t="shared" si="553"/>
        <v/>
      </c>
      <c r="U3646" s="5" t="str">
        <f t="shared" si="553"/>
        <v/>
      </c>
    </row>
    <row r="3647" spans="7:21" x14ac:dyDescent="0.2">
      <c r="G3647" s="8"/>
      <c r="H3647" s="5"/>
      <c r="J3647" s="10" t="str">
        <f t="shared" si="546"/>
        <v/>
      </c>
      <c r="K3647" s="10" t="str">
        <f t="shared" si="547"/>
        <v/>
      </c>
      <c r="L3647" s="11" t="str">
        <f t="shared" si="549"/>
        <v/>
      </c>
      <c r="M3647" s="9" t="str">
        <f>IF(G3647&lt;&gt;"",J3647/MAX(J$3:J3647)-1,"")</f>
        <v/>
      </c>
      <c r="N3647" s="9" t="str">
        <f>IF(G3647&lt;&gt;"",K3647/MAX(K$3:K3647)-1,"")</f>
        <v/>
      </c>
      <c r="O3647" s="16" t="str">
        <f t="shared" si="545"/>
        <v/>
      </c>
      <c r="P3647" s="16" t="str">
        <f t="shared" si="545"/>
        <v/>
      </c>
      <c r="Q3647" s="16" t="str">
        <f t="shared" si="545"/>
        <v/>
      </c>
      <c r="R3647" s="5" t="str">
        <f t="shared" si="554"/>
        <v/>
      </c>
      <c r="S3647" s="5" t="str">
        <f t="shared" si="548"/>
        <v/>
      </c>
      <c r="T3647" s="5" t="str">
        <f t="shared" si="553"/>
        <v/>
      </c>
      <c r="U3647" s="5" t="str">
        <f t="shared" si="553"/>
        <v/>
      </c>
    </row>
    <row r="3648" spans="7:21" x14ac:dyDescent="0.2">
      <c r="G3648" s="8"/>
      <c r="H3648" s="5"/>
      <c r="J3648" s="10" t="str">
        <f t="shared" si="546"/>
        <v/>
      </c>
      <c r="K3648" s="10" t="str">
        <f t="shared" si="547"/>
        <v/>
      </c>
      <c r="L3648" s="11" t="str">
        <f t="shared" si="549"/>
        <v/>
      </c>
      <c r="M3648" s="9" t="str">
        <f>IF(G3648&lt;&gt;"",J3648/MAX(J$3:J3648)-1,"")</f>
        <v/>
      </c>
      <c r="N3648" s="9" t="str">
        <f>IF(G3648&lt;&gt;"",K3648/MAX(K$3:K3648)-1,"")</f>
        <v/>
      </c>
      <c r="O3648" s="16" t="str">
        <f t="shared" si="545"/>
        <v/>
      </c>
      <c r="P3648" s="16" t="str">
        <f t="shared" si="545"/>
        <v/>
      </c>
      <c r="Q3648" s="16" t="str">
        <f t="shared" si="545"/>
        <v/>
      </c>
      <c r="R3648" s="5" t="str">
        <f t="shared" si="554"/>
        <v/>
      </c>
      <c r="S3648" s="5" t="str">
        <f t="shared" si="548"/>
        <v/>
      </c>
      <c r="T3648" s="5" t="str">
        <f t="shared" si="553"/>
        <v/>
      </c>
      <c r="U3648" s="5" t="str">
        <f t="shared" si="553"/>
        <v/>
      </c>
    </row>
    <row r="3649" spans="7:21" x14ac:dyDescent="0.2">
      <c r="G3649" s="8"/>
      <c r="H3649" s="5"/>
      <c r="J3649" s="10" t="str">
        <f t="shared" si="546"/>
        <v/>
      </c>
      <c r="K3649" s="10" t="str">
        <f t="shared" si="547"/>
        <v/>
      </c>
      <c r="L3649" s="11" t="str">
        <f t="shared" si="549"/>
        <v/>
      </c>
      <c r="M3649" s="9" t="str">
        <f>IF(G3649&lt;&gt;"",J3649/MAX(J$3:J3649)-1,"")</f>
        <v/>
      </c>
      <c r="N3649" s="9" t="str">
        <f>IF(G3649&lt;&gt;"",K3649/MAX(K$3:K3649)-1,"")</f>
        <v/>
      </c>
      <c r="O3649" s="16" t="str">
        <f t="shared" si="545"/>
        <v/>
      </c>
      <c r="P3649" s="16" t="str">
        <f t="shared" si="545"/>
        <v/>
      </c>
      <c r="Q3649" s="16" t="str">
        <f t="shared" si="545"/>
        <v/>
      </c>
      <c r="R3649" s="5" t="str">
        <f t="shared" si="554"/>
        <v/>
      </c>
      <c r="S3649" s="5" t="str">
        <f t="shared" si="548"/>
        <v/>
      </c>
      <c r="T3649" s="5" t="str">
        <f t="shared" si="553"/>
        <v/>
      </c>
      <c r="U3649" s="5" t="str">
        <f t="shared" si="553"/>
        <v/>
      </c>
    </row>
    <row r="3650" spans="7:21" x14ac:dyDescent="0.2">
      <c r="G3650" s="8"/>
      <c r="H3650" s="5"/>
      <c r="J3650" s="10" t="str">
        <f t="shared" si="546"/>
        <v/>
      </c>
      <c r="K3650" s="10" t="str">
        <f t="shared" si="547"/>
        <v/>
      </c>
      <c r="L3650" s="11" t="str">
        <f t="shared" si="549"/>
        <v/>
      </c>
      <c r="M3650" s="9" t="str">
        <f>IF(G3650&lt;&gt;"",J3650/MAX(J$3:J3650)-1,"")</f>
        <v/>
      </c>
      <c r="N3650" s="9" t="str">
        <f>IF(G3650&lt;&gt;"",K3650/MAX(K$3:K3650)-1,"")</f>
        <v/>
      </c>
      <c r="O3650" s="16" t="str">
        <f t="shared" ref="O3650:Q3713" si="555">IF($G3650&lt;&gt;"",J3650/J3649-1,"")</f>
        <v/>
      </c>
      <c r="P3650" s="16" t="str">
        <f t="shared" si="555"/>
        <v/>
      </c>
      <c r="Q3650" s="16" t="str">
        <f t="shared" si="555"/>
        <v/>
      </c>
      <c r="R3650" s="5" t="str">
        <f t="shared" si="554"/>
        <v/>
      </c>
      <c r="S3650" s="5" t="str">
        <f t="shared" si="548"/>
        <v/>
      </c>
      <c r="T3650" s="5" t="str">
        <f t="shared" si="553"/>
        <v/>
      </c>
      <c r="U3650" s="5" t="str">
        <f t="shared" si="553"/>
        <v/>
      </c>
    </row>
    <row r="3651" spans="7:21" x14ac:dyDescent="0.2">
      <c r="G3651" s="8"/>
      <c r="H3651" s="5"/>
      <c r="J3651" s="10" t="str">
        <f t="shared" si="546"/>
        <v/>
      </c>
      <c r="K3651" s="10" t="str">
        <f t="shared" si="547"/>
        <v/>
      </c>
      <c r="L3651" s="11" t="str">
        <f t="shared" si="549"/>
        <v/>
      </c>
      <c r="M3651" s="9" t="str">
        <f>IF(G3651&lt;&gt;"",J3651/MAX(J$3:J3651)-1,"")</f>
        <v/>
      </c>
      <c r="N3651" s="9" t="str">
        <f>IF(G3651&lt;&gt;"",K3651/MAX(K$3:K3651)-1,"")</f>
        <v/>
      </c>
      <c r="O3651" s="16" t="str">
        <f t="shared" si="555"/>
        <v/>
      </c>
      <c r="P3651" s="16" t="str">
        <f t="shared" si="555"/>
        <v/>
      </c>
      <c r="Q3651" s="16" t="str">
        <f t="shared" si="555"/>
        <v/>
      </c>
      <c r="R3651" s="5" t="str">
        <f t="shared" si="554"/>
        <v/>
      </c>
      <c r="S3651" s="5" t="str">
        <f t="shared" si="548"/>
        <v/>
      </c>
      <c r="T3651" s="5" t="str">
        <f t="shared" si="553"/>
        <v/>
      </c>
      <c r="U3651" s="5" t="str">
        <f t="shared" si="553"/>
        <v/>
      </c>
    </row>
    <row r="3652" spans="7:21" x14ac:dyDescent="0.2">
      <c r="G3652" s="8"/>
      <c r="H3652" s="5"/>
      <c r="J3652" s="10" t="str">
        <f t="shared" ref="J3652:J3715" si="556">IF(G3652&lt;&gt;"",1+H3652,"")</f>
        <v/>
      </c>
      <c r="K3652" s="10" t="str">
        <f t="shared" ref="K3652:K3715" si="557">IF(G3652&lt;&gt;"",1+I3652,"")</f>
        <v/>
      </c>
      <c r="L3652" s="11" t="str">
        <f t="shared" si="549"/>
        <v/>
      </c>
      <c r="M3652" s="9" t="str">
        <f>IF(G3652&lt;&gt;"",J3652/MAX(J$3:J3652)-1,"")</f>
        <v/>
      </c>
      <c r="N3652" s="9" t="str">
        <f>IF(G3652&lt;&gt;"",K3652/MAX(K$3:K3652)-1,"")</f>
        <v/>
      </c>
      <c r="O3652" s="16" t="str">
        <f t="shared" si="555"/>
        <v/>
      </c>
      <c r="P3652" s="16" t="str">
        <f t="shared" si="555"/>
        <v/>
      </c>
      <c r="Q3652" s="16" t="str">
        <f t="shared" si="555"/>
        <v/>
      </c>
      <c r="R3652" s="5" t="str">
        <f t="shared" si="554"/>
        <v/>
      </c>
      <c r="S3652" s="5" t="str">
        <f t="shared" ref="S3652:S3715" si="558">IF(R3652&lt;&gt;"",B$12,"")</f>
        <v/>
      </c>
      <c r="T3652" s="5" t="str">
        <f t="shared" si="553"/>
        <v/>
      </c>
      <c r="U3652" s="5" t="str">
        <f t="shared" si="553"/>
        <v/>
      </c>
    </row>
    <row r="3653" spans="7:21" x14ac:dyDescent="0.2">
      <c r="G3653" s="8"/>
      <c r="H3653" s="5"/>
      <c r="J3653" s="10" t="str">
        <f t="shared" si="556"/>
        <v/>
      </c>
      <c r="K3653" s="10" t="str">
        <f t="shared" si="557"/>
        <v/>
      </c>
      <c r="L3653" s="11" t="str">
        <f t="shared" ref="L3653:L3716" si="559">IF(G3653&lt;&gt;"",J3653/K3653,"")</f>
        <v/>
      </c>
      <c r="M3653" s="9" t="str">
        <f>IF(G3653&lt;&gt;"",J3653/MAX(J$3:J3653)-1,"")</f>
        <v/>
      </c>
      <c r="N3653" s="9" t="str">
        <f>IF(G3653&lt;&gt;"",K3653/MAX(K$3:K3653)-1,"")</f>
        <v/>
      </c>
      <c r="O3653" s="16" t="str">
        <f t="shared" si="555"/>
        <v/>
      </c>
      <c r="P3653" s="16" t="str">
        <f t="shared" si="555"/>
        <v/>
      </c>
      <c r="Q3653" s="16" t="str">
        <f t="shared" si="555"/>
        <v/>
      </c>
      <c r="R3653" s="5" t="str">
        <f t="shared" si="554"/>
        <v/>
      </c>
      <c r="S3653" s="5" t="str">
        <f t="shared" si="558"/>
        <v/>
      </c>
      <c r="T3653" s="5" t="str">
        <f t="shared" si="553"/>
        <v/>
      </c>
      <c r="U3653" s="5" t="str">
        <f t="shared" si="553"/>
        <v/>
      </c>
    </row>
    <row r="3654" spans="7:21" x14ac:dyDescent="0.2">
      <c r="G3654" s="8"/>
      <c r="H3654" s="5"/>
      <c r="J3654" s="10" t="str">
        <f t="shared" si="556"/>
        <v/>
      </c>
      <c r="K3654" s="10" t="str">
        <f t="shared" si="557"/>
        <v/>
      </c>
      <c r="L3654" s="11" t="str">
        <f t="shared" si="559"/>
        <v/>
      </c>
      <c r="M3654" s="9" t="str">
        <f>IF(G3654&lt;&gt;"",J3654/MAX(J$3:J3654)-1,"")</f>
        <v/>
      </c>
      <c r="N3654" s="9" t="str">
        <f>IF(G3654&lt;&gt;"",K3654/MAX(K$3:K3654)-1,"")</f>
        <v/>
      </c>
      <c r="O3654" s="16" t="str">
        <f t="shared" si="555"/>
        <v/>
      </c>
      <c r="P3654" s="16" t="str">
        <f t="shared" si="555"/>
        <v/>
      </c>
      <c r="Q3654" s="16" t="str">
        <f t="shared" si="555"/>
        <v/>
      </c>
      <c r="R3654" s="5" t="str">
        <f t="shared" si="554"/>
        <v/>
      </c>
      <c r="S3654" s="5" t="str">
        <f t="shared" si="558"/>
        <v/>
      </c>
      <c r="T3654" s="5" t="str">
        <f t="shared" si="553"/>
        <v/>
      </c>
      <c r="U3654" s="5" t="str">
        <f t="shared" si="553"/>
        <v/>
      </c>
    </row>
    <row r="3655" spans="7:21" x14ac:dyDescent="0.2">
      <c r="G3655" s="8"/>
      <c r="H3655" s="5"/>
      <c r="J3655" s="10" t="str">
        <f t="shared" si="556"/>
        <v/>
      </c>
      <c r="K3655" s="10" t="str">
        <f t="shared" si="557"/>
        <v/>
      </c>
      <c r="L3655" s="11" t="str">
        <f t="shared" si="559"/>
        <v/>
      </c>
      <c r="M3655" s="9" t="str">
        <f>IF(G3655&lt;&gt;"",J3655/MAX(J$3:J3655)-1,"")</f>
        <v/>
      </c>
      <c r="N3655" s="9" t="str">
        <f>IF(G3655&lt;&gt;"",K3655/MAX(K$3:K3655)-1,"")</f>
        <v/>
      </c>
      <c r="O3655" s="16" t="str">
        <f t="shared" si="555"/>
        <v/>
      </c>
      <c r="P3655" s="16" t="str">
        <f t="shared" si="555"/>
        <v/>
      </c>
      <c r="Q3655" s="16" t="str">
        <f t="shared" si="555"/>
        <v/>
      </c>
      <c r="R3655" s="5" t="str">
        <f t="shared" si="554"/>
        <v/>
      </c>
      <c r="S3655" s="5" t="str">
        <f t="shared" si="558"/>
        <v/>
      </c>
      <c r="T3655" s="5" t="str">
        <f t="shared" si="553"/>
        <v/>
      </c>
      <c r="U3655" s="5" t="str">
        <f t="shared" si="553"/>
        <v/>
      </c>
    </row>
    <row r="3656" spans="7:21" x14ac:dyDescent="0.2">
      <c r="G3656" s="8"/>
      <c r="H3656" s="5"/>
      <c r="J3656" s="10" t="str">
        <f t="shared" si="556"/>
        <v/>
      </c>
      <c r="K3656" s="10" t="str">
        <f t="shared" si="557"/>
        <v/>
      </c>
      <c r="L3656" s="11" t="str">
        <f t="shared" si="559"/>
        <v/>
      </c>
      <c r="M3656" s="9" t="str">
        <f>IF(G3656&lt;&gt;"",J3656/MAX(J$3:J3656)-1,"")</f>
        <v/>
      </c>
      <c r="N3656" s="9" t="str">
        <f>IF(G3656&lt;&gt;"",K3656/MAX(K$3:K3656)-1,"")</f>
        <v/>
      </c>
      <c r="O3656" s="16" t="str">
        <f t="shared" si="555"/>
        <v/>
      </c>
      <c r="P3656" s="16" t="str">
        <f t="shared" si="555"/>
        <v/>
      </c>
      <c r="Q3656" s="16" t="str">
        <f t="shared" si="555"/>
        <v/>
      </c>
      <c r="R3656" s="5" t="str">
        <f t="shared" si="554"/>
        <v/>
      </c>
      <c r="S3656" s="5" t="str">
        <f t="shared" si="558"/>
        <v/>
      </c>
      <c r="T3656" s="5" t="str">
        <f t="shared" ref="T3656:U3671" si="560">IF($G3656&lt;&gt;"",_xlfn.STDEV.S(O3412:O3656),"")</f>
        <v/>
      </c>
      <c r="U3656" s="5" t="str">
        <f t="shared" si="560"/>
        <v/>
      </c>
    </row>
    <row r="3657" spans="7:21" x14ac:dyDescent="0.2">
      <c r="G3657" s="8"/>
      <c r="H3657" s="5"/>
      <c r="J3657" s="10" t="str">
        <f t="shared" si="556"/>
        <v/>
      </c>
      <c r="K3657" s="10" t="str">
        <f t="shared" si="557"/>
        <v/>
      </c>
      <c r="L3657" s="11" t="str">
        <f t="shared" si="559"/>
        <v/>
      </c>
      <c r="M3657" s="9" t="str">
        <f>IF(G3657&lt;&gt;"",J3657/MAX(J$3:J3657)-1,"")</f>
        <v/>
      </c>
      <c r="N3657" s="9" t="str">
        <f>IF(G3657&lt;&gt;"",K3657/MAX(K$3:K3657)-1,"")</f>
        <v/>
      </c>
      <c r="O3657" s="16" t="str">
        <f t="shared" si="555"/>
        <v/>
      </c>
      <c r="P3657" s="16" t="str">
        <f t="shared" si="555"/>
        <v/>
      </c>
      <c r="Q3657" s="16" t="str">
        <f t="shared" si="555"/>
        <v/>
      </c>
      <c r="R3657" s="5" t="str">
        <f t="shared" si="554"/>
        <v/>
      </c>
      <c r="S3657" s="5" t="str">
        <f t="shared" si="558"/>
        <v/>
      </c>
      <c r="T3657" s="5" t="str">
        <f t="shared" si="560"/>
        <v/>
      </c>
      <c r="U3657" s="5" t="str">
        <f t="shared" si="560"/>
        <v/>
      </c>
    </row>
    <row r="3658" spans="7:21" x14ac:dyDescent="0.2">
      <c r="G3658" s="8"/>
      <c r="H3658" s="5"/>
      <c r="J3658" s="10" t="str">
        <f t="shared" si="556"/>
        <v/>
      </c>
      <c r="K3658" s="10" t="str">
        <f t="shared" si="557"/>
        <v/>
      </c>
      <c r="L3658" s="11" t="str">
        <f t="shared" si="559"/>
        <v/>
      </c>
      <c r="M3658" s="9" t="str">
        <f>IF(G3658&lt;&gt;"",J3658/MAX(J$3:J3658)-1,"")</f>
        <v/>
      </c>
      <c r="N3658" s="9" t="str">
        <f>IF(G3658&lt;&gt;"",K3658/MAX(K$3:K3658)-1,"")</f>
        <v/>
      </c>
      <c r="O3658" s="16" t="str">
        <f t="shared" si="555"/>
        <v/>
      </c>
      <c r="P3658" s="16" t="str">
        <f t="shared" si="555"/>
        <v/>
      </c>
      <c r="Q3658" s="16" t="str">
        <f t="shared" si="555"/>
        <v/>
      </c>
      <c r="R3658" s="5" t="str">
        <f t="shared" si="554"/>
        <v/>
      </c>
      <c r="S3658" s="5" t="str">
        <f t="shared" si="558"/>
        <v/>
      </c>
      <c r="T3658" s="5" t="str">
        <f t="shared" si="560"/>
        <v/>
      </c>
      <c r="U3658" s="5" t="str">
        <f t="shared" si="560"/>
        <v/>
      </c>
    </row>
    <row r="3659" spans="7:21" x14ac:dyDescent="0.2">
      <c r="G3659" s="8"/>
      <c r="H3659" s="5"/>
      <c r="J3659" s="10" t="str">
        <f t="shared" si="556"/>
        <v/>
      </c>
      <c r="K3659" s="10" t="str">
        <f t="shared" si="557"/>
        <v/>
      </c>
      <c r="L3659" s="11" t="str">
        <f t="shared" si="559"/>
        <v/>
      </c>
      <c r="M3659" s="9" t="str">
        <f>IF(G3659&lt;&gt;"",J3659/MAX(J$3:J3659)-1,"")</f>
        <v/>
      </c>
      <c r="N3659" s="9" t="str">
        <f>IF(G3659&lt;&gt;"",K3659/MAX(K$3:K3659)-1,"")</f>
        <v/>
      </c>
      <c r="O3659" s="16" t="str">
        <f t="shared" si="555"/>
        <v/>
      </c>
      <c r="P3659" s="16" t="str">
        <f t="shared" si="555"/>
        <v/>
      </c>
      <c r="Q3659" s="16" t="str">
        <f t="shared" si="555"/>
        <v/>
      </c>
      <c r="R3659" s="5" t="str">
        <f t="shared" si="554"/>
        <v/>
      </c>
      <c r="S3659" s="5" t="str">
        <f t="shared" si="558"/>
        <v/>
      </c>
      <c r="T3659" s="5" t="str">
        <f t="shared" si="560"/>
        <v/>
      </c>
      <c r="U3659" s="5" t="str">
        <f t="shared" si="560"/>
        <v/>
      </c>
    </row>
    <row r="3660" spans="7:21" x14ac:dyDescent="0.2">
      <c r="G3660" s="8"/>
      <c r="H3660" s="5"/>
      <c r="J3660" s="10" t="str">
        <f t="shared" si="556"/>
        <v/>
      </c>
      <c r="K3660" s="10" t="str">
        <f t="shared" si="557"/>
        <v/>
      </c>
      <c r="L3660" s="11" t="str">
        <f t="shared" si="559"/>
        <v/>
      </c>
      <c r="M3660" s="9" t="str">
        <f>IF(G3660&lt;&gt;"",J3660/MAX(J$3:J3660)-1,"")</f>
        <v/>
      </c>
      <c r="N3660" s="9" t="str">
        <f>IF(G3660&lt;&gt;"",K3660/MAX(K$3:K3660)-1,"")</f>
        <v/>
      </c>
      <c r="O3660" s="16" t="str">
        <f t="shared" si="555"/>
        <v/>
      </c>
      <c r="P3660" s="16" t="str">
        <f t="shared" si="555"/>
        <v/>
      </c>
      <c r="Q3660" s="16" t="str">
        <f t="shared" si="555"/>
        <v/>
      </c>
      <c r="R3660" s="5" t="str">
        <f t="shared" si="554"/>
        <v/>
      </c>
      <c r="S3660" s="5" t="str">
        <f t="shared" si="558"/>
        <v/>
      </c>
      <c r="T3660" s="5" t="str">
        <f t="shared" si="560"/>
        <v/>
      </c>
      <c r="U3660" s="5" t="str">
        <f t="shared" si="560"/>
        <v/>
      </c>
    </row>
    <row r="3661" spans="7:21" x14ac:dyDescent="0.2">
      <c r="G3661" s="8"/>
      <c r="H3661" s="5"/>
      <c r="J3661" s="10" t="str">
        <f t="shared" si="556"/>
        <v/>
      </c>
      <c r="K3661" s="10" t="str">
        <f t="shared" si="557"/>
        <v/>
      </c>
      <c r="L3661" s="11" t="str">
        <f t="shared" si="559"/>
        <v/>
      </c>
      <c r="M3661" s="9" t="str">
        <f>IF(G3661&lt;&gt;"",J3661/MAX(J$3:J3661)-1,"")</f>
        <v/>
      </c>
      <c r="N3661" s="9" t="str">
        <f>IF(G3661&lt;&gt;"",K3661/MAX(K$3:K3661)-1,"")</f>
        <v/>
      </c>
      <c r="O3661" s="16" t="str">
        <f t="shared" si="555"/>
        <v/>
      </c>
      <c r="P3661" s="16" t="str">
        <f t="shared" si="555"/>
        <v/>
      </c>
      <c r="Q3661" s="16" t="str">
        <f t="shared" si="555"/>
        <v/>
      </c>
      <c r="R3661" s="5" t="str">
        <f t="shared" si="554"/>
        <v/>
      </c>
      <c r="S3661" s="5" t="str">
        <f t="shared" si="558"/>
        <v/>
      </c>
      <c r="T3661" s="5" t="str">
        <f t="shared" si="560"/>
        <v/>
      </c>
      <c r="U3661" s="5" t="str">
        <f t="shared" si="560"/>
        <v/>
      </c>
    </row>
    <row r="3662" spans="7:21" x14ac:dyDescent="0.2">
      <c r="G3662" s="8"/>
      <c r="H3662" s="5"/>
      <c r="J3662" s="10" t="str">
        <f t="shared" si="556"/>
        <v/>
      </c>
      <c r="K3662" s="10" t="str">
        <f t="shared" si="557"/>
        <v/>
      </c>
      <c r="L3662" s="11" t="str">
        <f t="shared" si="559"/>
        <v/>
      </c>
      <c r="M3662" s="9" t="str">
        <f>IF(G3662&lt;&gt;"",J3662/MAX(J$3:J3662)-1,"")</f>
        <v/>
      </c>
      <c r="N3662" s="9" t="str">
        <f>IF(G3662&lt;&gt;"",K3662/MAX(K$3:K3662)-1,"")</f>
        <v/>
      </c>
      <c r="O3662" s="16" t="str">
        <f t="shared" si="555"/>
        <v/>
      </c>
      <c r="P3662" s="16" t="str">
        <f t="shared" si="555"/>
        <v/>
      </c>
      <c r="Q3662" s="16" t="str">
        <f t="shared" si="555"/>
        <v/>
      </c>
      <c r="R3662" s="5" t="str">
        <f t="shared" si="554"/>
        <v/>
      </c>
      <c r="S3662" s="5" t="str">
        <f t="shared" si="558"/>
        <v/>
      </c>
      <c r="T3662" s="5" t="str">
        <f t="shared" si="560"/>
        <v/>
      </c>
      <c r="U3662" s="5" t="str">
        <f t="shared" si="560"/>
        <v/>
      </c>
    </row>
    <row r="3663" spans="7:21" x14ac:dyDescent="0.2">
      <c r="G3663" s="8"/>
      <c r="H3663" s="5"/>
      <c r="J3663" s="10" t="str">
        <f t="shared" si="556"/>
        <v/>
      </c>
      <c r="K3663" s="10" t="str">
        <f t="shared" si="557"/>
        <v/>
      </c>
      <c r="L3663" s="11" t="str">
        <f t="shared" si="559"/>
        <v/>
      </c>
      <c r="M3663" s="9" t="str">
        <f>IF(G3663&lt;&gt;"",J3663/MAX(J$3:J3663)-1,"")</f>
        <v/>
      </c>
      <c r="N3663" s="9" t="str">
        <f>IF(G3663&lt;&gt;"",K3663/MAX(K$3:K3663)-1,"")</f>
        <v/>
      </c>
      <c r="O3663" s="16" t="str">
        <f t="shared" si="555"/>
        <v/>
      </c>
      <c r="P3663" s="16" t="str">
        <f t="shared" si="555"/>
        <v/>
      </c>
      <c r="Q3663" s="16" t="str">
        <f t="shared" si="555"/>
        <v/>
      </c>
      <c r="R3663" s="5" t="str">
        <f t="shared" si="554"/>
        <v/>
      </c>
      <c r="S3663" s="5" t="str">
        <f t="shared" si="558"/>
        <v/>
      </c>
      <c r="T3663" s="5" t="str">
        <f t="shared" si="560"/>
        <v/>
      </c>
      <c r="U3663" s="5" t="str">
        <f t="shared" si="560"/>
        <v/>
      </c>
    </row>
    <row r="3664" spans="7:21" x14ac:dyDescent="0.2">
      <c r="G3664" s="8"/>
      <c r="H3664" s="5"/>
      <c r="J3664" s="10" t="str">
        <f t="shared" si="556"/>
        <v/>
      </c>
      <c r="K3664" s="10" t="str">
        <f t="shared" si="557"/>
        <v/>
      </c>
      <c r="L3664" s="11" t="str">
        <f t="shared" si="559"/>
        <v/>
      </c>
      <c r="M3664" s="9" t="str">
        <f>IF(G3664&lt;&gt;"",J3664/MAX(J$3:J3664)-1,"")</f>
        <v/>
      </c>
      <c r="N3664" s="9" t="str">
        <f>IF(G3664&lt;&gt;"",K3664/MAX(K$3:K3664)-1,"")</f>
        <v/>
      </c>
      <c r="O3664" s="16" t="str">
        <f t="shared" si="555"/>
        <v/>
      </c>
      <c r="P3664" s="16" t="str">
        <f t="shared" si="555"/>
        <v/>
      </c>
      <c r="Q3664" s="16" t="str">
        <f t="shared" si="555"/>
        <v/>
      </c>
      <c r="R3664" s="5" t="str">
        <f t="shared" si="554"/>
        <v/>
      </c>
      <c r="S3664" s="5" t="str">
        <f t="shared" si="558"/>
        <v/>
      </c>
      <c r="T3664" s="5" t="str">
        <f t="shared" si="560"/>
        <v/>
      </c>
      <c r="U3664" s="5" t="str">
        <f t="shared" si="560"/>
        <v/>
      </c>
    </row>
    <row r="3665" spans="7:21" x14ac:dyDescent="0.2">
      <c r="G3665" s="8"/>
      <c r="H3665" s="5"/>
      <c r="J3665" s="10" t="str">
        <f t="shared" si="556"/>
        <v/>
      </c>
      <c r="K3665" s="10" t="str">
        <f t="shared" si="557"/>
        <v/>
      </c>
      <c r="L3665" s="11" t="str">
        <f t="shared" si="559"/>
        <v/>
      </c>
      <c r="M3665" s="9" t="str">
        <f>IF(G3665&lt;&gt;"",J3665/MAX(J$3:J3665)-1,"")</f>
        <v/>
      </c>
      <c r="N3665" s="9" t="str">
        <f>IF(G3665&lt;&gt;"",K3665/MAX(K$3:K3665)-1,"")</f>
        <v/>
      </c>
      <c r="O3665" s="16" t="str">
        <f t="shared" si="555"/>
        <v/>
      </c>
      <c r="P3665" s="16" t="str">
        <f t="shared" si="555"/>
        <v/>
      </c>
      <c r="Q3665" s="16" t="str">
        <f t="shared" si="555"/>
        <v/>
      </c>
      <c r="R3665" s="5" t="str">
        <f t="shared" si="554"/>
        <v/>
      </c>
      <c r="S3665" s="5" t="str">
        <f t="shared" si="558"/>
        <v/>
      </c>
      <c r="T3665" s="5" t="str">
        <f t="shared" si="560"/>
        <v/>
      </c>
      <c r="U3665" s="5" t="str">
        <f t="shared" si="560"/>
        <v/>
      </c>
    </row>
    <row r="3666" spans="7:21" x14ac:dyDescent="0.2">
      <c r="G3666" s="8"/>
      <c r="H3666" s="5"/>
      <c r="J3666" s="10" t="str">
        <f t="shared" si="556"/>
        <v/>
      </c>
      <c r="K3666" s="10" t="str">
        <f t="shared" si="557"/>
        <v/>
      </c>
      <c r="L3666" s="11" t="str">
        <f t="shared" si="559"/>
        <v/>
      </c>
      <c r="M3666" s="9" t="str">
        <f>IF(G3666&lt;&gt;"",J3666/MAX(J$3:J3666)-1,"")</f>
        <v/>
      </c>
      <c r="N3666" s="9" t="str">
        <f>IF(G3666&lt;&gt;"",K3666/MAX(K$3:K3666)-1,"")</f>
        <v/>
      </c>
      <c r="O3666" s="16" t="str">
        <f t="shared" si="555"/>
        <v/>
      </c>
      <c r="P3666" s="16" t="str">
        <f t="shared" si="555"/>
        <v/>
      </c>
      <c r="Q3666" s="16" t="str">
        <f t="shared" si="555"/>
        <v/>
      </c>
      <c r="R3666" s="5" t="str">
        <f t="shared" si="554"/>
        <v/>
      </c>
      <c r="S3666" s="5" t="str">
        <f t="shared" si="558"/>
        <v/>
      </c>
      <c r="T3666" s="5" t="str">
        <f t="shared" si="560"/>
        <v/>
      </c>
      <c r="U3666" s="5" t="str">
        <f t="shared" si="560"/>
        <v/>
      </c>
    </row>
    <row r="3667" spans="7:21" x14ac:dyDescent="0.2">
      <c r="G3667" s="8"/>
      <c r="H3667" s="5"/>
      <c r="J3667" s="10" t="str">
        <f t="shared" si="556"/>
        <v/>
      </c>
      <c r="K3667" s="10" t="str">
        <f t="shared" si="557"/>
        <v/>
      </c>
      <c r="L3667" s="11" t="str">
        <f t="shared" si="559"/>
        <v/>
      </c>
      <c r="M3667" s="9" t="str">
        <f>IF(G3667&lt;&gt;"",J3667/MAX(J$3:J3667)-1,"")</f>
        <v/>
      </c>
      <c r="N3667" s="9" t="str">
        <f>IF(G3667&lt;&gt;"",K3667/MAX(K$3:K3667)-1,"")</f>
        <v/>
      </c>
      <c r="O3667" s="16" t="str">
        <f t="shared" si="555"/>
        <v/>
      </c>
      <c r="P3667" s="16" t="str">
        <f t="shared" si="555"/>
        <v/>
      </c>
      <c r="Q3667" s="16" t="str">
        <f t="shared" si="555"/>
        <v/>
      </c>
      <c r="R3667" s="5" t="str">
        <f t="shared" si="554"/>
        <v/>
      </c>
      <c r="S3667" s="5" t="str">
        <f t="shared" si="558"/>
        <v/>
      </c>
      <c r="T3667" s="5" t="str">
        <f t="shared" si="560"/>
        <v/>
      </c>
      <c r="U3667" s="5" t="str">
        <f t="shared" si="560"/>
        <v/>
      </c>
    </row>
    <row r="3668" spans="7:21" x14ac:dyDescent="0.2">
      <c r="G3668" s="8"/>
      <c r="H3668" s="5"/>
      <c r="J3668" s="10" t="str">
        <f t="shared" si="556"/>
        <v/>
      </c>
      <c r="K3668" s="10" t="str">
        <f t="shared" si="557"/>
        <v/>
      </c>
      <c r="L3668" s="11" t="str">
        <f t="shared" si="559"/>
        <v/>
      </c>
      <c r="M3668" s="9" t="str">
        <f>IF(G3668&lt;&gt;"",J3668/MAX(J$3:J3668)-1,"")</f>
        <v/>
      </c>
      <c r="N3668" s="9" t="str">
        <f>IF(G3668&lt;&gt;"",K3668/MAX(K$3:K3668)-1,"")</f>
        <v/>
      </c>
      <c r="O3668" s="16" t="str">
        <f t="shared" si="555"/>
        <v/>
      </c>
      <c r="P3668" s="16" t="str">
        <f t="shared" si="555"/>
        <v/>
      </c>
      <c r="Q3668" s="16" t="str">
        <f t="shared" si="555"/>
        <v/>
      </c>
      <c r="R3668" s="5" t="str">
        <f t="shared" si="554"/>
        <v/>
      </c>
      <c r="S3668" s="5" t="str">
        <f t="shared" si="558"/>
        <v/>
      </c>
      <c r="T3668" s="5" t="str">
        <f t="shared" si="560"/>
        <v/>
      </c>
      <c r="U3668" s="5" t="str">
        <f t="shared" si="560"/>
        <v/>
      </c>
    </row>
    <row r="3669" spans="7:21" x14ac:dyDescent="0.2">
      <c r="G3669" s="8"/>
      <c r="H3669" s="5"/>
      <c r="J3669" s="10" t="str">
        <f t="shared" si="556"/>
        <v/>
      </c>
      <c r="K3669" s="10" t="str">
        <f t="shared" si="557"/>
        <v/>
      </c>
      <c r="L3669" s="11" t="str">
        <f t="shared" si="559"/>
        <v/>
      </c>
      <c r="M3669" s="9" t="str">
        <f>IF(G3669&lt;&gt;"",J3669/MAX(J$3:J3669)-1,"")</f>
        <v/>
      </c>
      <c r="N3669" s="9" t="str">
        <f>IF(G3669&lt;&gt;"",K3669/MAX(K$3:K3669)-1,"")</f>
        <v/>
      </c>
      <c r="O3669" s="16" t="str">
        <f t="shared" si="555"/>
        <v/>
      </c>
      <c r="P3669" s="16" t="str">
        <f t="shared" si="555"/>
        <v/>
      </c>
      <c r="Q3669" s="16" t="str">
        <f t="shared" si="555"/>
        <v/>
      </c>
      <c r="R3669" s="5" t="str">
        <f t="shared" si="554"/>
        <v/>
      </c>
      <c r="S3669" s="5" t="str">
        <f t="shared" si="558"/>
        <v/>
      </c>
      <c r="T3669" s="5" t="str">
        <f t="shared" si="560"/>
        <v/>
      </c>
      <c r="U3669" s="5" t="str">
        <f t="shared" si="560"/>
        <v/>
      </c>
    </row>
    <row r="3670" spans="7:21" x14ac:dyDescent="0.2">
      <c r="G3670" s="8"/>
      <c r="H3670" s="5"/>
      <c r="J3670" s="10" t="str">
        <f t="shared" si="556"/>
        <v/>
      </c>
      <c r="K3670" s="10" t="str">
        <f t="shared" si="557"/>
        <v/>
      </c>
      <c r="L3670" s="11" t="str">
        <f t="shared" si="559"/>
        <v/>
      </c>
      <c r="M3670" s="9" t="str">
        <f>IF(G3670&lt;&gt;"",J3670/MAX(J$3:J3670)-1,"")</f>
        <v/>
      </c>
      <c r="N3670" s="9" t="str">
        <f>IF(G3670&lt;&gt;"",K3670/MAX(K$3:K3670)-1,"")</f>
        <v/>
      </c>
      <c r="O3670" s="16" t="str">
        <f t="shared" si="555"/>
        <v/>
      </c>
      <c r="P3670" s="16" t="str">
        <f t="shared" si="555"/>
        <v/>
      </c>
      <c r="Q3670" s="16" t="str">
        <f t="shared" si="555"/>
        <v/>
      </c>
      <c r="R3670" s="5" t="str">
        <f t="shared" si="554"/>
        <v/>
      </c>
      <c r="S3670" s="5" t="str">
        <f t="shared" si="558"/>
        <v/>
      </c>
      <c r="T3670" s="5" t="str">
        <f t="shared" si="560"/>
        <v/>
      </c>
      <c r="U3670" s="5" t="str">
        <f t="shared" si="560"/>
        <v/>
      </c>
    </row>
    <row r="3671" spans="7:21" x14ac:dyDescent="0.2">
      <c r="G3671" s="8"/>
      <c r="H3671" s="5"/>
      <c r="J3671" s="10" t="str">
        <f t="shared" si="556"/>
        <v/>
      </c>
      <c r="K3671" s="10" t="str">
        <f t="shared" si="557"/>
        <v/>
      </c>
      <c r="L3671" s="11" t="str">
        <f t="shared" si="559"/>
        <v/>
      </c>
      <c r="M3671" s="9" t="str">
        <f>IF(G3671&lt;&gt;"",J3671/MAX(J$3:J3671)-1,"")</f>
        <v/>
      </c>
      <c r="N3671" s="9" t="str">
        <f>IF(G3671&lt;&gt;"",K3671/MAX(K$3:K3671)-1,"")</f>
        <v/>
      </c>
      <c r="O3671" s="16" t="str">
        <f t="shared" si="555"/>
        <v/>
      </c>
      <c r="P3671" s="16" t="str">
        <f t="shared" si="555"/>
        <v/>
      </c>
      <c r="Q3671" s="16" t="str">
        <f t="shared" si="555"/>
        <v/>
      </c>
      <c r="R3671" s="5" t="str">
        <f t="shared" si="554"/>
        <v/>
      </c>
      <c r="S3671" s="5" t="str">
        <f t="shared" si="558"/>
        <v/>
      </c>
      <c r="T3671" s="5" t="str">
        <f t="shared" si="560"/>
        <v/>
      </c>
      <c r="U3671" s="5" t="str">
        <f t="shared" si="560"/>
        <v/>
      </c>
    </row>
    <row r="3672" spans="7:21" x14ac:dyDescent="0.2">
      <c r="G3672" s="8"/>
      <c r="H3672" s="5"/>
      <c r="J3672" s="10" t="str">
        <f t="shared" si="556"/>
        <v/>
      </c>
      <c r="K3672" s="10" t="str">
        <f t="shared" si="557"/>
        <v/>
      </c>
      <c r="L3672" s="11" t="str">
        <f t="shared" si="559"/>
        <v/>
      </c>
      <c r="M3672" s="9" t="str">
        <f>IF(G3672&lt;&gt;"",J3672/MAX(J$3:J3672)-1,"")</f>
        <v/>
      </c>
      <c r="N3672" s="9" t="str">
        <f>IF(G3672&lt;&gt;"",K3672/MAX(K$3:K3672)-1,"")</f>
        <v/>
      </c>
      <c r="O3672" s="16" t="str">
        <f t="shared" si="555"/>
        <v/>
      </c>
      <c r="P3672" s="16" t="str">
        <f t="shared" si="555"/>
        <v/>
      </c>
      <c r="Q3672" s="16" t="str">
        <f t="shared" si="555"/>
        <v/>
      </c>
      <c r="R3672" s="5" t="str">
        <f t="shared" si="554"/>
        <v/>
      </c>
      <c r="S3672" s="5" t="str">
        <f t="shared" si="558"/>
        <v/>
      </c>
      <c r="T3672" s="5" t="str">
        <f t="shared" ref="T3672:U3687" si="561">IF($G3672&lt;&gt;"",_xlfn.STDEV.S(O3428:O3672),"")</f>
        <v/>
      </c>
      <c r="U3672" s="5" t="str">
        <f t="shared" si="561"/>
        <v/>
      </c>
    </row>
    <row r="3673" spans="7:21" x14ac:dyDescent="0.2">
      <c r="G3673" s="8"/>
      <c r="H3673" s="5"/>
      <c r="J3673" s="10" t="str">
        <f t="shared" si="556"/>
        <v/>
      </c>
      <c r="K3673" s="10" t="str">
        <f t="shared" si="557"/>
        <v/>
      </c>
      <c r="L3673" s="11" t="str">
        <f t="shared" si="559"/>
        <v/>
      </c>
      <c r="M3673" s="9" t="str">
        <f>IF(G3673&lt;&gt;"",J3673/MAX(J$3:J3673)-1,"")</f>
        <v/>
      </c>
      <c r="N3673" s="9" t="str">
        <f>IF(G3673&lt;&gt;"",K3673/MAX(K$3:K3673)-1,"")</f>
        <v/>
      </c>
      <c r="O3673" s="16" t="str">
        <f t="shared" si="555"/>
        <v/>
      </c>
      <c r="P3673" s="16" t="str">
        <f t="shared" si="555"/>
        <v/>
      </c>
      <c r="Q3673" s="16" t="str">
        <f t="shared" si="555"/>
        <v/>
      </c>
      <c r="R3673" s="5" t="str">
        <f t="shared" si="554"/>
        <v/>
      </c>
      <c r="S3673" s="5" t="str">
        <f t="shared" si="558"/>
        <v/>
      </c>
      <c r="T3673" s="5" t="str">
        <f t="shared" si="561"/>
        <v/>
      </c>
      <c r="U3673" s="5" t="str">
        <f t="shared" si="561"/>
        <v/>
      </c>
    </row>
    <row r="3674" spans="7:21" x14ac:dyDescent="0.2">
      <c r="G3674" s="8"/>
      <c r="H3674" s="5"/>
      <c r="J3674" s="10" t="str">
        <f t="shared" si="556"/>
        <v/>
      </c>
      <c r="K3674" s="10" t="str">
        <f t="shared" si="557"/>
        <v/>
      </c>
      <c r="L3674" s="11" t="str">
        <f t="shared" si="559"/>
        <v/>
      </c>
      <c r="M3674" s="9" t="str">
        <f>IF(G3674&lt;&gt;"",J3674/MAX(J$3:J3674)-1,"")</f>
        <v/>
      </c>
      <c r="N3674" s="9" t="str">
        <f>IF(G3674&lt;&gt;"",K3674/MAX(K$3:K3674)-1,"")</f>
        <v/>
      </c>
      <c r="O3674" s="16" t="str">
        <f t="shared" si="555"/>
        <v/>
      </c>
      <c r="P3674" s="16" t="str">
        <f t="shared" si="555"/>
        <v/>
      </c>
      <c r="Q3674" s="16" t="str">
        <f t="shared" si="555"/>
        <v/>
      </c>
      <c r="R3674" s="5" t="str">
        <f t="shared" si="554"/>
        <v/>
      </c>
      <c r="S3674" s="5" t="str">
        <f t="shared" si="558"/>
        <v/>
      </c>
      <c r="T3674" s="5" t="str">
        <f t="shared" si="561"/>
        <v/>
      </c>
      <c r="U3674" s="5" t="str">
        <f t="shared" si="561"/>
        <v/>
      </c>
    </row>
    <row r="3675" spans="7:21" x14ac:dyDescent="0.2">
      <c r="G3675" s="8"/>
      <c r="H3675" s="5"/>
      <c r="J3675" s="10" t="str">
        <f t="shared" si="556"/>
        <v/>
      </c>
      <c r="K3675" s="10" t="str">
        <f t="shared" si="557"/>
        <v/>
      </c>
      <c r="L3675" s="11" t="str">
        <f t="shared" si="559"/>
        <v/>
      </c>
      <c r="M3675" s="9" t="str">
        <f>IF(G3675&lt;&gt;"",J3675/MAX(J$3:J3675)-1,"")</f>
        <v/>
      </c>
      <c r="N3675" s="9" t="str">
        <f>IF(G3675&lt;&gt;"",K3675/MAX(K$3:K3675)-1,"")</f>
        <v/>
      </c>
      <c r="O3675" s="16" t="str">
        <f t="shared" si="555"/>
        <v/>
      </c>
      <c r="P3675" s="16" t="str">
        <f t="shared" si="555"/>
        <v/>
      </c>
      <c r="Q3675" s="16" t="str">
        <f t="shared" si="555"/>
        <v/>
      </c>
      <c r="R3675" s="5" t="str">
        <f t="shared" si="554"/>
        <v/>
      </c>
      <c r="S3675" s="5" t="str">
        <f t="shared" si="558"/>
        <v/>
      </c>
      <c r="T3675" s="5" t="str">
        <f t="shared" si="561"/>
        <v/>
      </c>
      <c r="U3675" s="5" t="str">
        <f t="shared" si="561"/>
        <v/>
      </c>
    </row>
    <row r="3676" spans="7:21" x14ac:dyDescent="0.2">
      <c r="G3676" s="8"/>
      <c r="H3676" s="5"/>
      <c r="J3676" s="10" t="str">
        <f t="shared" si="556"/>
        <v/>
      </c>
      <c r="K3676" s="10" t="str">
        <f t="shared" si="557"/>
        <v/>
      </c>
      <c r="L3676" s="11" t="str">
        <f t="shared" si="559"/>
        <v/>
      </c>
      <c r="M3676" s="9" t="str">
        <f>IF(G3676&lt;&gt;"",J3676/MAX(J$3:J3676)-1,"")</f>
        <v/>
      </c>
      <c r="N3676" s="9" t="str">
        <f>IF(G3676&lt;&gt;"",K3676/MAX(K$3:K3676)-1,"")</f>
        <v/>
      </c>
      <c r="O3676" s="16" t="str">
        <f t="shared" si="555"/>
        <v/>
      </c>
      <c r="P3676" s="16" t="str">
        <f t="shared" si="555"/>
        <v/>
      </c>
      <c r="Q3676" s="16" t="str">
        <f t="shared" si="555"/>
        <v/>
      </c>
      <c r="R3676" s="5" t="str">
        <f t="shared" si="554"/>
        <v/>
      </c>
      <c r="S3676" s="5" t="str">
        <f t="shared" si="558"/>
        <v/>
      </c>
      <c r="T3676" s="5" t="str">
        <f t="shared" si="561"/>
        <v/>
      </c>
      <c r="U3676" s="5" t="str">
        <f t="shared" si="561"/>
        <v/>
      </c>
    </row>
    <row r="3677" spans="7:21" x14ac:dyDescent="0.2">
      <c r="G3677" s="8"/>
      <c r="H3677" s="5"/>
      <c r="J3677" s="10" t="str">
        <f t="shared" si="556"/>
        <v/>
      </c>
      <c r="K3677" s="10" t="str">
        <f t="shared" si="557"/>
        <v/>
      </c>
      <c r="L3677" s="11" t="str">
        <f t="shared" si="559"/>
        <v/>
      </c>
      <c r="M3677" s="9" t="str">
        <f>IF(G3677&lt;&gt;"",J3677/MAX(J$3:J3677)-1,"")</f>
        <v/>
      </c>
      <c r="N3677" s="9" t="str">
        <f>IF(G3677&lt;&gt;"",K3677/MAX(K$3:K3677)-1,"")</f>
        <v/>
      </c>
      <c r="O3677" s="16" t="str">
        <f t="shared" si="555"/>
        <v/>
      </c>
      <c r="P3677" s="16" t="str">
        <f t="shared" si="555"/>
        <v/>
      </c>
      <c r="Q3677" s="16" t="str">
        <f t="shared" si="555"/>
        <v/>
      </c>
      <c r="R3677" s="5" t="str">
        <f t="shared" si="554"/>
        <v/>
      </c>
      <c r="S3677" s="5" t="str">
        <f t="shared" si="558"/>
        <v/>
      </c>
      <c r="T3677" s="5" t="str">
        <f t="shared" si="561"/>
        <v/>
      </c>
      <c r="U3677" s="5" t="str">
        <f t="shared" si="561"/>
        <v/>
      </c>
    </row>
    <row r="3678" spans="7:21" x14ac:dyDescent="0.2">
      <c r="G3678" s="8"/>
      <c r="H3678" s="5"/>
      <c r="J3678" s="10" t="str">
        <f t="shared" si="556"/>
        <v/>
      </c>
      <c r="K3678" s="10" t="str">
        <f t="shared" si="557"/>
        <v/>
      </c>
      <c r="L3678" s="11" t="str">
        <f t="shared" si="559"/>
        <v/>
      </c>
      <c r="M3678" s="9" t="str">
        <f>IF(G3678&lt;&gt;"",J3678/MAX(J$3:J3678)-1,"")</f>
        <v/>
      </c>
      <c r="N3678" s="9" t="str">
        <f>IF(G3678&lt;&gt;"",K3678/MAX(K$3:K3678)-1,"")</f>
        <v/>
      </c>
      <c r="O3678" s="16" t="str">
        <f t="shared" si="555"/>
        <v/>
      </c>
      <c r="P3678" s="16" t="str">
        <f t="shared" si="555"/>
        <v/>
      </c>
      <c r="Q3678" s="16" t="str">
        <f t="shared" si="555"/>
        <v/>
      </c>
      <c r="R3678" s="5" t="str">
        <f t="shared" si="554"/>
        <v/>
      </c>
      <c r="S3678" s="5" t="str">
        <f t="shared" si="558"/>
        <v/>
      </c>
      <c r="T3678" s="5" t="str">
        <f t="shared" si="561"/>
        <v/>
      </c>
      <c r="U3678" s="5" t="str">
        <f t="shared" si="561"/>
        <v/>
      </c>
    </row>
    <row r="3679" spans="7:21" x14ac:dyDescent="0.2">
      <c r="G3679" s="8"/>
      <c r="H3679" s="5"/>
      <c r="J3679" s="10" t="str">
        <f t="shared" si="556"/>
        <v/>
      </c>
      <c r="K3679" s="10" t="str">
        <f t="shared" si="557"/>
        <v/>
      </c>
      <c r="L3679" s="11" t="str">
        <f t="shared" si="559"/>
        <v/>
      </c>
      <c r="M3679" s="9" t="str">
        <f>IF(G3679&lt;&gt;"",J3679/MAX(J$3:J3679)-1,"")</f>
        <v/>
      </c>
      <c r="N3679" s="9" t="str">
        <f>IF(G3679&lt;&gt;"",K3679/MAX(K$3:K3679)-1,"")</f>
        <v/>
      </c>
      <c r="O3679" s="16" t="str">
        <f t="shared" si="555"/>
        <v/>
      </c>
      <c r="P3679" s="16" t="str">
        <f t="shared" si="555"/>
        <v/>
      </c>
      <c r="Q3679" s="16" t="str">
        <f t="shared" si="555"/>
        <v/>
      </c>
      <c r="R3679" s="5" t="str">
        <f t="shared" si="554"/>
        <v/>
      </c>
      <c r="S3679" s="5" t="str">
        <f t="shared" si="558"/>
        <v/>
      </c>
      <c r="T3679" s="5" t="str">
        <f t="shared" si="561"/>
        <v/>
      </c>
      <c r="U3679" s="5" t="str">
        <f t="shared" si="561"/>
        <v/>
      </c>
    </row>
    <row r="3680" spans="7:21" x14ac:dyDescent="0.2">
      <c r="G3680" s="8"/>
      <c r="H3680" s="5"/>
      <c r="J3680" s="10" t="str">
        <f t="shared" si="556"/>
        <v/>
      </c>
      <c r="K3680" s="10" t="str">
        <f t="shared" si="557"/>
        <v/>
      </c>
      <c r="L3680" s="11" t="str">
        <f t="shared" si="559"/>
        <v/>
      </c>
      <c r="M3680" s="9" t="str">
        <f>IF(G3680&lt;&gt;"",J3680/MAX(J$3:J3680)-1,"")</f>
        <v/>
      </c>
      <c r="N3680" s="9" t="str">
        <f>IF(G3680&lt;&gt;"",K3680/MAX(K$3:K3680)-1,"")</f>
        <v/>
      </c>
      <c r="O3680" s="16" t="str">
        <f t="shared" si="555"/>
        <v/>
      </c>
      <c r="P3680" s="16" t="str">
        <f t="shared" si="555"/>
        <v/>
      </c>
      <c r="Q3680" s="16" t="str">
        <f t="shared" si="555"/>
        <v/>
      </c>
      <c r="R3680" s="5" t="str">
        <f t="shared" si="554"/>
        <v/>
      </c>
      <c r="S3680" s="5" t="str">
        <f t="shared" si="558"/>
        <v/>
      </c>
      <c r="T3680" s="5" t="str">
        <f t="shared" si="561"/>
        <v/>
      </c>
      <c r="U3680" s="5" t="str">
        <f t="shared" si="561"/>
        <v/>
      </c>
    </row>
    <row r="3681" spans="7:21" x14ac:dyDescent="0.2">
      <c r="G3681" s="8"/>
      <c r="H3681" s="5"/>
      <c r="J3681" s="10" t="str">
        <f t="shared" si="556"/>
        <v/>
      </c>
      <c r="K3681" s="10" t="str">
        <f t="shared" si="557"/>
        <v/>
      </c>
      <c r="L3681" s="11" t="str">
        <f t="shared" si="559"/>
        <v/>
      </c>
      <c r="M3681" s="9" t="str">
        <f>IF(G3681&lt;&gt;"",J3681/MAX(J$3:J3681)-1,"")</f>
        <v/>
      </c>
      <c r="N3681" s="9" t="str">
        <f>IF(G3681&lt;&gt;"",K3681/MAX(K$3:K3681)-1,"")</f>
        <v/>
      </c>
      <c r="O3681" s="16" t="str">
        <f t="shared" si="555"/>
        <v/>
      </c>
      <c r="P3681" s="16" t="str">
        <f t="shared" si="555"/>
        <v/>
      </c>
      <c r="Q3681" s="16" t="str">
        <f t="shared" si="555"/>
        <v/>
      </c>
      <c r="R3681" s="5" t="str">
        <f t="shared" si="554"/>
        <v/>
      </c>
      <c r="S3681" s="5" t="str">
        <f t="shared" si="558"/>
        <v/>
      </c>
      <c r="T3681" s="5" t="str">
        <f t="shared" si="561"/>
        <v/>
      </c>
      <c r="U3681" s="5" t="str">
        <f t="shared" si="561"/>
        <v/>
      </c>
    </row>
    <row r="3682" spans="7:21" x14ac:dyDescent="0.2">
      <c r="G3682" s="8"/>
      <c r="H3682" s="5"/>
      <c r="J3682" s="10" t="str">
        <f t="shared" si="556"/>
        <v/>
      </c>
      <c r="K3682" s="10" t="str">
        <f t="shared" si="557"/>
        <v/>
      </c>
      <c r="L3682" s="11" t="str">
        <f t="shared" si="559"/>
        <v/>
      </c>
      <c r="M3682" s="9" t="str">
        <f>IF(G3682&lt;&gt;"",J3682/MAX(J$3:J3682)-1,"")</f>
        <v/>
      </c>
      <c r="N3682" s="9" t="str">
        <f>IF(G3682&lt;&gt;"",K3682/MAX(K$3:K3682)-1,"")</f>
        <v/>
      </c>
      <c r="O3682" s="16" t="str">
        <f t="shared" si="555"/>
        <v/>
      </c>
      <c r="P3682" s="16" t="str">
        <f t="shared" si="555"/>
        <v/>
      </c>
      <c r="Q3682" s="16" t="str">
        <f t="shared" si="555"/>
        <v/>
      </c>
      <c r="R3682" s="5" t="str">
        <f t="shared" si="554"/>
        <v/>
      </c>
      <c r="S3682" s="5" t="str">
        <f t="shared" si="558"/>
        <v/>
      </c>
      <c r="T3682" s="5" t="str">
        <f t="shared" si="561"/>
        <v/>
      </c>
      <c r="U3682" s="5" t="str">
        <f t="shared" si="561"/>
        <v/>
      </c>
    </row>
    <row r="3683" spans="7:21" x14ac:dyDescent="0.2">
      <c r="G3683" s="8"/>
      <c r="H3683" s="5"/>
      <c r="J3683" s="10" t="str">
        <f t="shared" si="556"/>
        <v/>
      </c>
      <c r="K3683" s="10" t="str">
        <f t="shared" si="557"/>
        <v/>
      </c>
      <c r="L3683" s="11" t="str">
        <f t="shared" si="559"/>
        <v/>
      </c>
      <c r="M3683" s="9" t="str">
        <f>IF(G3683&lt;&gt;"",J3683/MAX(J$3:J3683)-1,"")</f>
        <v/>
      </c>
      <c r="N3683" s="9" t="str">
        <f>IF(G3683&lt;&gt;"",K3683/MAX(K$3:K3683)-1,"")</f>
        <v/>
      </c>
      <c r="O3683" s="16" t="str">
        <f t="shared" si="555"/>
        <v/>
      </c>
      <c r="P3683" s="16" t="str">
        <f t="shared" si="555"/>
        <v/>
      </c>
      <c r="Q3683" s="16" t="str">
        <f t="shared" si="555"/>
        <v/>
      </c>
      <c r="R3683" s="5" t="str">
        <f t="shared" si="554"/>
        <v/>
      </c>
      <c r="S3683" s="5" t="str">
        <f t="shared" si="558"/>
        <v/>
      </c>
      <c r="T3683" s="5" t="str">
        <f t="shared" si="561"/>
        <v/>
      </c>
      <c r="U3683" s="5" t="str">
        <f t="shared" si="561"/>
        <v/>
      </c>
    </row>
    <row r="3684" spans="7:21" x14ac:dyDescent="0.2">
      <c r="G3684" s="8"/>
      <c r="H3684" s="5"/>
      <c r="J3684" s="10" t="str">
        <f t="shared" si="556"/>
        <v/>
      </c>
      <c r="K3684" s="10" t="str">
        <f t="shared" si="557"/>
        <v/>
      </c>
      <c r="L3684" s="11" t="str">
        <f t="shared" si="559"/>
        <v/>
      </c>
      <c r="M3684" s="9" t="str">
        <f>IF(G3684&lt;&gt;"",J3684/MAX(J$3:J3684)-1,"")</f>
        <v/>
      </c>
      <c r="N3684" s="9" t="str">
        <f>IF(G3684&lt;&gt;"",K3684/MAX(K$3:K3684)-1,"")</f>
        <v/>
      </c>
      <c r="O3684" s="16" t="str">
        <f t="shared" si="555"/>
        <v/>
      </c>
      <c r="P3684" s="16" t="str">
        <f t="shared" si="555"/>
        <v/>
      </c>
      <c r="Q3684" s="16" t="str">
        <f t="shared" si="555"/>
        <v/>
      </c>
      <c r="R3684" s="5" t="str">
        <f t="shared" si="554"/>
        <v/>
      </c>
      <c r="S3684" s="5" t="str">
        <f t="shared" si="558"/>
        <v/>
      </c>
      <c r="T3684" s="5" t="str">
        <f t="shared" si="561"/>
        <v/>
      </c>
      <c r="U3684" s="5" t="str">
        <f t="shared" si="561"/>
        <v/>
      </c>
    </row>
    <row r="3685" spans="7:21" x14ac:dyDescent="0.2">
      <c r="G3685" s="8"/>
      <c r="H3685" s="5"/>
      <c r="J3685" s="10" t="str">
        <f t="shared" si="556"/>
        <v/>
      </c>
      <c r="K3685" s="10" t="str">
        <f t="shared" si="557"/>
        <v/>
      </c>
      <c r="L3685" s="11" t="str">
        <f t="shared" si="559"/>
        <v/>
      </c>
      <c r="M3685" s="9" t="str">
        <f>IF(G3685&lt;&gt;"",J3685/MAX(J$3:J3685)-1,"")</f>
        <v/>
      </c>
      <c r="N3685" s="9" t="str">
        <f>IF(G3685&lt;&gt;"",K3685/MAX(K$3:K3685)-1,"")</f>
        <v/>
      </c>
      <c r="O3685" s="16" t="str">
        <f t="shared" si="555"/>
        <v/>
      </c>
      <c r="P3685" s="16" t="str">
        <f t="shared" si="555"/>
        <v/>
      </c>
      <c r="Q3685" s="16" t="str">
        <f t="shared" si="555"/>
        <v/>
      </c>
      <c r="R3685" s="5" t="str">
        <f t="shared" si="554"/>
        <v/>
      </c>
      <c r="S3685" s="5" t="str">
        <f t="shared" si="558"/>
        <v/>
      </c>
      <c r="T3685" s="5" t="str">
        <f t="shared" si="561"/>
        <v/>
      </c>
      <c r="U3685" s="5" t="str">
        <f t="shared" si="561"/>
        <v/>
      </c>
    </row>
    <row r="3686" spans="7:21" x14ac:dyDescent="0.2">
      <c r="G3686" s="8"/>
      <c r="H3686" s="5"/>
      <c r="J3686" s="10" t="str">
        <f t="shared" si="556"/>
        <v/>
      </c>
      <c r="K3686" s="10" t="str">
        <f t="shared" si="557"/>
        <v/>
      </c>
      <c r="L3686" s="11" t="str">
        <f t="shared" si="559"/>
        <v/>
      </c>
      <c r="M3686" s="9" t="str">
        <f>IF(G3686&lt;&gt;"",J3686/MAX(J$3:J3686)-1,"")</f>
        <v/>
      </c>
      <c r="N3686" s="9" t="str">
        <f>IF(G3686&lt;&gt;"",K3686/MAX(K$3:K3686)-1,"")</f>
        <v/>
      </c>
      <c r="O3686" s="16" t="str">
        <f t="shared" si="555"/>
        <v/>
      </c>
      <c r="P3686" s="16" t="str">
        <f t="shared" si="555"/>
        <v/>
      </c>
      <c r="Q3686" s="16" t="str">
        <f t="shared" si="555"/>
        <v/>
      </c>
      <c r="R3686" s="5" t="str">
        <f t="shared" si="554"/>
        <v/>
      </c>
      <c r="S3686" s="5" t="str">
        <f t="shared" si="558"/>
        <v/>
      </c>
      <c r="T3686" s="5" t="str">
        <f t="shared" si="561"/>
        <v/>
      </c>
      <c r="U3686" s="5" t="str">
        <f t="shared" si="561"/>
        <v/>
      </c>
    </row>
    <row r="3687" spans="7:21" x14ac:dyDescent="0.2">
      <c r="G3687" s="8"/>
      <c r="H3687" s="5"/>
      <c r="J3687" s="10" t="str">
        <f t="shared" si="556"/>
        <v/>
      </c>
      <c r="K3687" s="10" t="str">
        <f t="shared" si="557"/>
        <v/>
      </c>
      <c r="L3687" s="11" t="str">
        <f t="shared" si="559"/>
        <v/>
      </c>
      <c r="M3687" s="9" t="str">
        <f>IF(G3687&lt;&gt;"",J3687/MAX(J$3:J3687)-1,"")</f>
        <v/>
      </c>
      <c r="N3687" s="9" t="str">
        <f>IF(G3687&lt;&gt;"",K3687/MAX(K$3:K3687)-1,"")</f>
        <v/>
      </c>
      <c r="O3687" s="16" t="str">
        <f t="shared" si="555"/>
        <v/>
      </c>
      <c r="P3687" s="16" t="str">
        <f t="shared" si="555"/>
        <v/>
      </c>
      <c r="Q3687" s="16" t="str">
        <f t="shared" si="555"/>
        <v/>
      </c>
      <c r="R3687" s="5" t="str">
        <f t="shared" si="554"/>
        <v/>
      </c>
      <c r="S3687" s="5" t="str">
        <f t="shared" si="558"/>
        <v/>
      </c>
      <c r="T3687" s="5" t="str">
        <f t="shared" si="561"/>
        <v/>
      </c>
      <c r="U3687" s="5" t="str">
        <f t="shared" si="561"/>
        <v/>
      </c>
    </row>
    <row r="3688" spans="7:21" x14ac:dyDescent="0.2">
      <c r="G3688" s="8"/>
      <c r="H3688" s="5"/>
      <c r="J3688" s="10" t="str">
        <f t="shared" si="556"/>
        <v/>
      </c>
      <c r="K3688" s="10" t="str">
        <f t="shared" si="557"/>
        <v/>
      </c>
      <c r="L3688" s="11" t="str">
        <f t="shared" si="559"/>
        <v/>
      </c>
      <c r="M3688" s="9" t="str">
        <f>IF(G3688&lt;&gt;"",J3688/MAX(J$3:J3688)-1,"")</f>
        <v/>
      </c>
      <c r="N3688" s="9" t="str">
        <f>IF(G3688&lt;&gt;"",K3688/MAX(K$3:K3688)-1,"")</f>
        <v/>
      </c>
      <c r="O3688" s="16" t="str">
        <f t="shared" si="555"/>
        <v/>
      </c>
      <c r="P3688" s="16" t="str">
        <f t="shared" si="555"/>
        <v/>
      </c>
      <c r="Q3688" s="16" t="str">
        <f t="shared" si="555"/>
        <v/>
      </c>
      <c r="R3688" s="5" t="str">
        <f t="shared" si="554"/>
        <v/>
      </c>
      <c r="S3688" s="5" t="str">
        <f t="shared" si="558"/>
        <v/>
      </c>
      <c r="T3688" s="5" t="str">
        <f t="shared" ref="T3688:U3703" si="562">IF($G3688&lt;&gt;"",_xlfn.STDEV.S(O3444:O3688),"")</f>
        <v/>
      </c>
      <c r="U3688" s="5" t="str">
        <f t="shared" si="562"/>
        <v/>
      </c>
    </row>
    <row r="3689" spans="7:21" x14ac:dyDescent="0.2">
      <c r="G3689" s="8"/>
      <c r="H3689" s="5"/>
      <c r="J3689" s="10" t="str">
        <f t="shared" si="556"/>
        <v/>
      </c>
      <c r="K3689" s="10" t="str">
        <f t="shared" si="557"/>
        <v/>
      </c>
      <c r="L3689" s="11" t="str">
        <f t="shared" si="559"/>
        <v/>
      </c>
      <c r="M3689" s="9" t="str">
        <f>IF(G3689&lt;&gt;"",J3689/MAX(J$3:J3689)-1,"")</f>
        <v/>
      </c>
      <c r="N3689" s="9" t="str">
        <f>IF(G3689&lt;&gt;"",K3689/MAX(K$3:K3689)-1,"")</f>
        <v/>
      </c>
      <c r="O3689" s="16" t="str">
        <f t="shared" si="555"/>
        <v/>
      </c>
      <c r="P3689" s="16" t="str">
        <f t="shared" si="555"/>
        <v/>
      </c>
      <c r="Q3689" s="16" t="str">
        <f t="shared" si="555"/>
        <v/>
      </c>
      <c r="R3689" s="5" t="str">
        <f t="shared" si="554"/>
        <v/>
      </c>
      <c r="S3689" s="5" t="str">
        <f t="shared" si="558"/>
        <v/>
      </c>
      <c r="T3689" s="5" t="str">
        <f t="shared" si="562"/>
        <v/>
      </c>
      <c r="U3689" s="5" t="str">
        <f t="shared" si="562"/>
        <v/>
      </c>
    </row>
    <row r="3690" spans="7:21" x14ac:dyDescent="0.2">
      <c r="G3690" s="8"/>
      <c r="H3690" s="5"/>
      <c r="J3690" s="10" t="str">
        <f t="shared" si="556"/>
        <v/>
      </c>
      <c r="K3690" s="10" t="str">
        <f t="shared" si="557"/>
        <v/>
      </c>
      <c r="L3690" s="11" t="str">
        <f t="shared" si="559"/>
        <v/>
      </c>
      <c r="M3690" s="9" t="str">
        <f>IF(G3690&lt;&gt;"",J3690/MAX(J$3:J3690)-1,"")</f>
        <v/>
      </c>
      <c r="N3690" s="9" t="str">
        <f>IF(G3690&lt;&gt;"",K3690/MAX(K$3:K3690)-1,"")</f>
        <v/>
      </c>
      <c r="O3690" s="16" t="str">
        <f t="shared" si="555"/>
        <v/>
      </c>
      <c r="P3690" s="16" t="str">
        <f t="shared" si="555"/>
        <v/>
      </c>
      <c r="Q3690" s="16" t="str">
        <f t="shared" si="555"/>
        <v/>
      </c>
      <c r="R3690" s="5" t="str">
        <f t="shared" si="554"/>
        <v/>
      </c>
      <c r="S3690" s="5" t="str">
        <f t="shared" si="558"/>
        <v/>
      </c>
      <c r="T3690" s="5" t="str">
        <f t="shared" si="562"/>
        <v/>
      </c>
      <c r="U3690" s="5" t="str">
        <f t="shared" si="562"/>
        <v/>
      </c>
    </row>
    <row r="3691" spans="7:21" x14ac:dyDescent="0.2">
      <c r="G3691" s="8"/>
      <c r="H3691" s="5"/>
      <c r="J3691" s="10" t="str">
        <f t="shared" si="556"/>
        <v/>
      </c>
      <c r="K3691" s="10" t="str">
        <f t="shared" si="557"/>
        <v/>
      </c>
      <c r="L3691" s="11" t="str">
        <f t="shared" si="559"/>
        <v/>
      </c>
      <c r="M3691" s="9" t="str">
        <f>IF(G3691&lt;&gt;"",J3691/MAX(J$3:J3691)-1,"")</f>
        <v/>
      </c>
      <c r="N3691" s="9" t="str">
        <f>IF(G3691&lt;&gt;"",K3691/MAX(K$3:K3691)-1,"")</f>
        <v/>
      </c>
      <c r="O3691" s="16" t="str">
        <f t="shared" si="555"/>
        <v/>
      </c>
      <c r="P3691" s="16" t="str">
        <f t="shared" si="555"/>
        <v/>
      </c>
      <c r="Q3691" s="16" t="str">
        <f t="shared" si="555"/>
        <v/>
      </c>
      <c r="R3691" s="5" t="str">
        <f t="shared" si="554"/>
        <v/>
      </c>
      <c r="S3691" s="5" t="str">
        <f t="shared" si="558"/>
        <v/>
      </c>
      <c r="T3691" s="5" t="str">
        <f t="shared" si="562"/>
        <v/>
      </c>
      <c r="U3691" s="5" t="str">
        <f t="shared" si="562"/>
        <v/>
      </c>
    </row>
    <row r="3692" spans="7:21" x14ac:dyDescent="0.2">
      <c r="G3692" s="8"/>
      <c r="H3692" s="5"/>
      <c r="J3692" s="10" t="str">
        <f t="shared" si="556"/>
        <v/>
      </c>
      <c r="K3692" s="10" t="str">
        <f t="shared" si="557"/>
        <v/>
      </c>
      <c r="L3692" s="11" t="str">
        <f t="shared" si="559"/>
        <v/>
      </c>
      <c r="M3692" s="9" t="str">
        <f>IF(G3692&lt;&gt;"",J3692/MAX(J$3:J3692)-1,"")</f>
        <v/>
      </c>
      <c r="N3692" s="9" t="str">
        <f>IF(G3692&lt;&gt;"",K3692/MAX(K$3:K3692)-1,"")</f>
        <v/>
      </c>
      <c r="O3692" s="16" t="str">
        <f t="shared" si="555"/>
        <v/>
      </c>
      <c r="P3692" s="16" t="str">
        <f t="shared" si="555"/>
        <v/>
      </c>
      <c r="Q3692" s="16" t="str">
        <f t="shared" si="555"/>
        <v/>
      </c>
      <c r="R3692" s="5" t="str">
        <f t="shared" si="554"/>
        <v/>
      </c>
      <c r="S3692" s="5" t="str">
        <f t="shared" si="558"/>
        <v/>
      </c>
      <c r="T3692" s="5" t="str">
        <f t="shared" si="562"/>
        <v/>
      </c>
      <c r="U3692" s="5" t="str">
        <f t="shared" si="562"/>
        <v/>
      </c>
    </row>
    <row r="3693" spans="7:21" x14ac:dyDescent="0.2">
      <c r="G3693" s="8"/>
      <c r="H3693" s="5"/>
      <c r="J3693" s="10" t="str">
        <f t="shared" si="556"/>
        <v/>
      </c>
      <c r="K3693" s="10" t="str">
        <f t="shared" si="557"/>
        <v/>
      </c>
      <c r="L3693" s="11" t="str">
        <f t="shared" si="559"/>
        <v/>
      </c>
      <c r="M3693" s="9" t="str">
        <f>IF(G3693&lt;&gt;"",J3693/MAX(J$3:J3693)-1,"")</f>
        <v/>
      </c>
      <c r="N3693" s="9" t="str">
        <f>IF(G3693&lt;&gt;"",K3693/MAX(K$3:K3693)-1,"")</f>
        <v/>
      </c>
      <c r="O3693" s="16" t="str">
        <f t="shared" si="555"/>
        <v/>
      </c>
      <c r="P3693" s="16" t="str">
        <f t="shared" si="555"/>
        <v/>
      </c>
      <c r="Q3693" s="16" t="str">
        <f t="shared" si="555"/>
        <v/>
      </c>
      <c r="R3693" s="5" t="str">
        <f t="shared" si="554"/>
        <v/>
      </c>
      <c r="S3693" s="5" t="str">
        <f t="shared" si="558"/>
        <v/>
      </c>
      <c r="T3693" s="5" t="str">
        <f t="shared" si="562"/>
        <v/>
      </c>
      <c r="U3693" s="5" t="str">
        <f t="shared" si="562"/>
        <v/>
      </c>
    </row>
    <row r="3694" spans="7:21" x14ac:dyDescent="0.2">
      <c r="G3694" s="8"/>
      <c r="H3694" s="5"/>
      <c r="J3694" s="10" t="str">
        <f t="shared" si="556"/>
        <v/>
      </c>
      <c r="K3694" s="10" t="str">
        <f t="shared" si="557"/>
        <v/>
      </c>
      <c r="L3694" s="11" t="str">
        <f t="shared" si="559"/>
        <v/>
      </c>
      <c r="M3694" s="9" t="str">
        <f>IF(G3694&lt;&gt;"",J3694/MAX(J$3:J3694)-1,"")</f>
        <v/>
      </c>
      <c r="N3694" s="9" t="str">
        <f>IF(G3694&lt;&gt;"",K3694/MAX(K$3:K3694)-1,"")</f>
        <v/>
      </c>
      <c r="O3694" s="16" t="str">
        <f t="shared" si="555"/>
        <v/>
      </c>
      <c r="P3694" s="16" t="str">
        <f t="shared" si="555"/>
        <v/>
      </c>
      <c r="Q3694" s="16" t="str">
        <f t="shared" si="555"/>
        <v/>
      </c>
      <c r="R3694" s="5" t="str">
        <f t="shared" si="554"/>
        <v/>
      </c>
      <c r="S3694" s="5" t="str">
        <f t="shared" si="558"/>
        <v/>
      </c>
      <c r="T3694" s="5" t="str">
        <f t="shared" si="562"/>
        <v/>
      </c>
      <c r="U3694" s="5" t="str">
        <f t="shared" si="562"/>
        <v/>
      </c>
    </row>
    <row r="3695" spans="7:21" x14ac:dyDescent="0.2">
      <c r="G3695" s="8"/>
      <c r="H3695" s="5"/>
      <c r="J3695" s="10" t="str">
        <f t="shared" si="556"/>
        <v/>
      </c>
      <c r="K3695" s="10" t="str">
        <f t="shared" si="557"/>
        <v/>
      </c>
      <c r="L3695" s="11" t="str">
        <f t="shared" si="559"/>
        <v/>
      </c>
      <c r="M3695" s="9" t="str">
        <f>IF(G3695&lt;&gt;"",J3695/MAX(J$3:J3695)-1,"")</f>
        <v/>
      </c>
      <c r="N3695" s="9" t="str">
        <f>IF(G3695&lt;&gt;"",K3695/MAX(K$3:K3695)-1,"")</f>
        <v/>
      </c>
      <c r="O3695" s="16" t="str">
        <f t="shared" si="555"/>
        <v/>
      </c>
      <c r="P3695" s="16" t="str">
        <f t="shared" si="555"/>
        <v/>
      </c>
      <c r="Q3695" s="16" t="str">
        <f t="shared" si="555"/>
        <v/>
      </c>
      <c r="R3695" s="5" t="str">
        <f t="shared" si="554"/>
        <v/>
      </c>
      <c r="S3695" s="5" t="str">
        <f t="shared" si="558"/>
        <v/>
      </c>
      <c r="T3695" s="5" t="str">
        <f t="shared" si="562"/>
        <v/>
      </c>
      <c r="U3695" s="5" t="str">
        <f t="shared" si="562"/>
        <v/>
      </c>
    </row>
    <row r="3696" spans="7:21" x14ac:dyDescent="0.2">
      <c r="G3696" s="8"/>
      <c r="H3696" s="5"/>
      <c r="J3696" s="10" t="str">
        <f t="shared" si="556"/>
        <v/>
      </c>
      <c r="K3696" s="10" t="str">
        <f t="shared" si="557"/>
        <v/>
      </c>
      <c r="L3696" s="11" t="str">
        <f t="shared" si="559"/>
        <v/>
      </c>
      <c r="M3696" s="9" t="str">
        <f>IF(G3696&lt;&gt;"",J3696/MAX(J$3:J3696)-1,"")</f>
        <v/>
      </c>
      <c r="N3696" s="9" t="str">
        <f>IF(G3696&lt;&gt;"",K3696/MAX(K$3:K3696)-1,"")</f>
        <v/>
      </c>
      <c r="O3696" s="16" t="str">
        <f t="shared" si="555"/>
        <v/>
      </c>
      <c r="P3696" s="16" t="str">
        <f t="shared" si="555"/>
        <v/>
      </c>
      <c r="Q3696" s="16" t="str">
        <f t="shared" si="555"/>
        <v/>
      </c>
      <c r="R3696" s="5" t="str">
        <f t="shared" si="554"/>
        <v/>
      </c>
      <c r="S3696" s="5" t="str">
        <f t="shared" si="558"/>
        <v/>
      </c>
      <c r="T3696" s="5" t="str">
        <f t="shared" si="562"/>
        <v/>
      </c>
      <c r="U3696" s="5" t="str">
        <f t="shared" si="562"/>
        <v/>
      </c>
    </row>
    <row r="3697" spans="7:21" x14ac:dyDescent="0.2">
      <c r="G3697" s="8"/>
      <c r="H3697" s="5"/>
      <c r="J3697" s="10" t="str">
        <f t="shared" si="556"/>
        <v/>
      </c>
      <c r="K3697" s="10" t="str">
        <f t="shared" si="557"/>
        <v/>
      </c>
      <c r="L3697" s="11" t="str">
        <f t="shared" si="559"/>
        <v/>
      </c>
      <c r="M3697" s="9" t="str">
        <f>IF(G3697&lt;&gt;"",J3697/MAX(J$3:J3697)-1,"")</f>
        <v/>
      </c>
      <c r="N3697" s="9" t="str">
        <f>IF(G3697&lt;&gt;"",K3697/MAX(K$3:K3697)-1,"")</f>
        <v/>
      </c>
      <c r="O3697" s="16" t="str">
        <f t="shared" si="555"/>
        <v/>
      </c>
      <c r="P3697" s="16" t="str">
        <f t="shared" si="555"/>
        <v/>
      </c>
      <c r="Q3697" s="16" t="str">
        <f t="shared" si="555"/>
        <v/>
      </c>
      <c r="R3697" s="5" t="str">
        <f t="shared" si="554"/>
        <v/>
      </c>
      <c r="S3697" s="5" t="str">
        <f t="shared" si="558"/>
        <v/>
      </c>
      <c r="T3697" s="5" t="str">
        <f t="shared" si="562"/>
        <v/>
      </c>
      <c r="U3697" s="5" t="str">
        <f t="shared" si="562"/>
        <v/>
      </c>
    </row>
    <row r="3698" spans="7:21" x14ac:dyDescent="0.2">
      <c r="G3698" s="8"/>
      <c r="H3698" s="5"/>
      <c r="J3698" s="10" t="str">
        <f t="shared" si="556"/>
        <v/>
      </c>
      <c r="K3698" s="10" t="str">
        <f t="shared" si="557"/>
        <v/>
      </c>
      <c r="L3698" s="11" t="str">
        <f t="shared" si="559"/>
        <v/>
      </c>
      <c r="M3698" s="9" t="str">
        <f>IF(G3698&lt;&gt;"",J3698/MAX(J$3:J3698)-1,"")</f>
        <v/>
      </c>
      <c r="N3698" s="9" t="str">
        <f>IF(G3698&lt;&gt;"",K3698/MAX(K$3:K3698)-1,"")</f>
        <v/>
      </c>
      <c r="O3698" s="16" t="str">
        <f t="shared" si="555"/>
        <v/>
      </c>
      <c r="P3698" s="16" t="str">
        <f t="shared" si="555"/>
        <v/>
      </c>
      <c r="Q3698" s="16" t="str">
        <f t="shared" si="555"/>
        <v/>
      </c>
      <c r="R3698" s="5" t="str">
        <f t="shared" si="554"/>
        <v/>
      </c>
      <c r="S3698" s="5" t="str">
        <f t="shared" si="558"/>
        <v/>
      </c>
      <c r="T3698" s="5" t="str">
        <f t="shared" si="562"/>
        <v/>
      </c>
      <c r="U3698" s="5" t="str">
        <f t="shared" si="562"/>
        <v/>
      </c>
    </row>
    <row r="3699" spans="7:21" x14ac:dyDescent="0.2">
      <c r="G3699" s="8"/>
      <c r="H3699" s="5"/>
      <c r="J3699" s="10" t="str">
        <f t="shared" si="556"/>
        <v/>
      </c>
      <c r="K3699" s="10" t="str">
        <f t="shared" si="557"/>
        <v/>
      </c>
      <c r="L3699" s="11" t="str">
        <f t="shared" si="559"/>
        <v/>
      </c>
      <c r="M3699" s="9" t="str">
        <f>IF(G3699&lt;&gt;"",J3699/MAX(J$3:J3699)-1,"")</f>
        <v/>
      </c>
      <c r="N3699" s="9" t="str">
        <f>IF(G3699&lt;&gt;"",K3699/MAX(K$3:K3699)-1,"")</f>
        <v/>
      </c>
      <c r="O3699" s="16" t="str">
        <f t="shared" si="555"/>
        <v/>
      </c>
      <c r="P3699" s="16" t="str">
        <f t="shared" si="555"/>
        <v/>
      </c>
      <c r="Q3699" s="16" t="str">
        <f t="shared" si="555"/>
        <v/>
      </c>
      <c r="R3699" s="5" t="str">
        <f t="shared" si="554"/>
        <v/>
      </c>
      <c r="S3699" s="5" t="str">
        <f t="shared" si="558"/>
        <v/>
      </c>
      <c r="T3699" s="5" t="str">
        <f t="shared" si="562"/>
        <v/>
      </c>
      <c r="U3699" s="5" t="str">
        <f t="shared" si="562"/>
        <v/>
      </c>
    </row>
    <row r="3700" spans="7:21" x14ac:dyDescent="0.2">
      <c r="G3700" s="8"/>
      <c r="H3700" s="5"/>
      <c r="J3700" s="10" t="str">
        <f t="shared" si="556"/>
        <v/>
      </c>
      <c r="K3700" s="10" t="str">
        <f t="shared" si="557"/>
        <v/>
      </c>
      <c r="L3700" s="11" t="str">
        <f t="shared" si="559"/>
        <v/>
      </c>
      <c r="M3700" s="9" t="str">
        <f>IF(G3700&lt;&gt;"",J3700/MAX(J$3:J3700)-1,"")</f>
        <v/>
      </c>
      <c r="N3700" s="9" t="str">
        <f>IF(G3700&lt;&gt;"",K3700/MAX(K$3:K3700)-1,"")</f>
        <v/>
      </c>
      <c r="O3700" s="16" t="str">
        <f t="shared" si="555"/>
        <v/>
      </c>
      <c r="P3700" s="16" t="str">
        <f t="shared" si="555"/>
        <v/>
      </c>
      <c r="Q3700" s="16" t="str">
        <f t="shared" si="555"/>
        <v/>
      </c>
      <c r="R3700" s="5" t="str">
        <f t="shared" si="554"/>
        <v/>
      </c>
      <c r="S3700" s="5" t="str">
        <f t="shared" si="558"/>
        <v/>
      </c>
      <c r="T3700" s="5" t="str">
        <f t="shared" si="562"/>
        <v/>
      </c>
      <c r="U3700" s="5" t="str">
        <f t="shared" si="562"/>
        <v/>
      </c>
    </row>
    <row r="3701" spans="7:21" x14ac:dyDescent="0.2">
      <c r="G3701" s="8"/>
      <c r="H3701" s="5"/>
      <c r="J3701" s="10" t="str">
        <f t="shared" si="556"/>
        <v/>
      </c>
      <c r="K3701" s="10" t="str">
        <f t="shared" si="557"/>
        <v/>
      </c>
      <c r="L3701" s="11" t="str">
        <f t="shared" si="559"/>
        <v/>
      </c>
      <c r="M3701" s="9" t="str">
        <f>IF(G3701&lt;&gt;"",J3701/MAX(J$3:J3701)-1,"")</f>
        <v/>
      </c>
      <c r="N3701" s="9" t="str">
        <f>IF(G3701&lt;&gt;"",K3701/MAX(K$3:K3701)-1,"")</f>
        <v/>
      </c>
      <c r="O3701" s="16" t="str">
        <f t="shared" si="555"/>
        <v/>
      </c>
      <c r="P3701" s="16" t="str">
        <f t="shared" si="555"/>
        <v/>
      </c>
      <c r="Q3701" s="16" t="str">
        <f t="shared" si="555"/>
        <v/>
      </c>
      <c r="R3701" s="5" t="str">
        <f t="shared" si="554"/>
        <v/>
      </c>
      <c r="S3701" s="5" t="str">
        <f t="shared" si="558"/>
        <v/>
      </c>
      <c r="T3701" s="5" t="str">
        <f t="shared" si="562"/>
        <v/>
      </c>
      <c r="U3701" s="5" t="str">
        <f t="shared" si="562"/>
        <v/>
      </c>
    </row>
    <row r="3702" spans="7:21" x14ac:dyDescent="0.2">
      <c r="G3702" s="8"/>
      <c r="H3702" s="5"/>
      <c r="J3702" s="10" t="str">
        <f t="shared" si="556"/>
        <v/>
      </c>
      <c r="K3702" s="10" t="str">
        <f t="shared" si="557"/>
        <v/>
      </c>
      <c r="L3702" s="11" t="str">
        <f t="shared" si="559"/>
        <v/>
      </c>
      <c r="M3702" s="9" t="str">
        <f>IF(G3702&lt;&gt;"",J3702/MAX(J$3:J3702)-1,"")</f>
        <v/>
      </c>
      <c r="N3702" s="9" t="str">
        <f>IF(G3702&lt;&gt;"",K3702/MAX(K$3:K3702)-1,"")</f>
        <v/>
      </c>
      <c r="O3702" s="16" t="str">
        <f t="shared" si="555"/>
        <v/>
      </c>
      <c r="P3702" s="16" t="str">
        <f t="shared" si="555"/>
        <v/>
      </c>
      <c r="Q3702" s="16" t="str">
        <f t="shared" si="555"/>
        <v/>
      </c>
      <c r="R3702" s="5" t="str">
        <f t="shared" si="554"/>
        <v/>
      </c>
      <c r="S3702" s="5" t="str">
        <f t="shared" si="558"/>
        <v/>
      </c>
      <c r="T3702" s="5" t="str">
        <f t="shared" si="562"/>
        <v/>
      </c>
      <c r="U3702" s="5" t="str">
        <f t="shared" si="562"/>
        <v/>
      </c>
    </row>
    <row r="3703" spans="7:21" x14ac:dyDescent="0.2">
      <c r="G3703" s="8"/>
      <c r="H3703" s="5"/>
      <c r="J3703" s="10" t="str">
        <f t="shared" si="556"/>
        <v/>
      </c>
      <c r="K3703" s="10" t="str">
        <f t="shared" si="557"/>
        <v/>
      </c>
      <c r="L3703" s="11" t="str">
        <f t="shared" si="559"/>
        <v/>
      </c>
      <c r="M3703" s="9" t="str">
        <f>IF(G3703&lt;&gt;"",J3703/MAX(J$3:J3703)-1,"")</f>
        <v/>
      </c>
      <c r="N3703" s="9" t="str">
        <f>IF(G3703&lt;&gt;"",K3703/MAX(K$3:K3703)-1,"")</f>
        <v/>
      </c>
      <c r="O3703" s="16" t="str">
        <f t="shared" si="555"/>
        <v/>
      </c>
      <c r="P3703" s="16" t="str">
        <f t="shared" si="555"/>
        <v/>
      </c>
      <c r="Q3703" s="16" t="str">
        <f t="shared" si="555"/>
        <v/>
      </c>
      <c r="R3703" s="5" t="str">
        <f t="shared" si="554"/>
        <v/>
      </c>
      <c r="S3703" s="5" t="str">
        <f t="shared" si="558"/>
        <v/>
      </c>
      <c r="T3703" s="5" t="str">
        <f t="shared" si="562"/>
        <v/>
      </c>
      <c r="U3703" s="5" t="str">
        <f t="shared" si="562"/>
        <v/>
      </c>
    </row>
    <row r="3704" spans="7:21" x14ac:dyDescent="0.2">
      <c r="G3704" s="8"/>
      <c r="H3704" s="5"/>
      <c r="J3704" s="10" t="str">
        <f t="shared" si="556"/>
        <v/>
      </c>
      <c r="K3704" s="10" t="str">
        <f t="shared" si="557"/>
        <v/>
      </c>
      <c r="L3704" s="11" t="str">
        <f t="shared" si="559"/>
        <v/>
      </c>
      <c r="M3704" s="9" t="str">
        <f>IF(G3704&lt;&gt;"",J3704/MAX(J$3:J3704)-1,"")</f>
        <v/>
      </c>
      <c r="N3704" s="9" t="str">
        <f>IF(G3704&lt;&gt;"",K3704/MAX(K$3:K3704)-1,"")</f>
        <v/>
      </c>
      <c r="O3704" s="16" t="str">
        <f t="shared" si="555"/>
        <v/>
      </c>
      <c r="P3704" s="16" t="str">
        <f t="shared" si="555"/>
        <v/>
      </c>
      <c r="Q3704" s="16" t="str">
        <f t="shared" si="555"/>
        <v/>
      </c>
      <c r="R3704" s="5" t="str">
        <f t="shared" si="554"/>
        <v/>
      </c>
      <c r="S3704" s="5" t="str">
        <f t="shared" si="558"/>
        <v/>
      </c>
      <c r="T3704" s="5" t="str">
        <f t="shared" ref="T3704:U3719" si="563">IF($G3704&lt;&gt;"",_xlfn.STDEV.S(O3460:O3704),"")</f>
        <v/>
      </c>
      <c r="U3704" s="5" t="str">
        <f t="shared" si="563"/>
        <v/>
      </c>
    </row>
    <row r="3705" spans="7:21" x14ac:dyDescent="0.2">
      <c r="G3705" s="8"/>
      <c r="H3705" s="5"/>
      <c r="J3705" s="10" t="str">
        <f t="shared" si="556"/>
        <v/>
      </c>
      <c r="K3705" s="10" t="str">
        <f t="shared" si="557"/>
        <v/>
      </c>
      <c r="L3705" s="11" t="str">
        <f t="shared" si="559"/>
        <v/>
      </c>
      <c r="M3705" s="9" t="str">
        <f>IF(G3705&lt;&gt;"",J3705/MAX(J$3:J3705)-1,"")</f>
        <v/>
      </c>
      <c r="N3705" s="9" t="str">
        <f>IF(G3705&lt;&gt;"",K3705/MAX(K$3:K3705)-1,"")</f>
        <v/>
      </c>
      <c r="O3705" s="16" t="str">
        <f t="shared" si="555"/>
        <v/>
      </c>
      <c r="P3705" s="16" t="str">
        <f t="shared" si="555"/>
        <v/>
      </c>
      <c r="Q3705" s="16" t="str">
        <f t="shared" si="555"/>
        <v/>
      </c>
      <c r="R3705" s="5" t="str">
        <f t="shared" si="554"/>
        <v/>
      </c>
      <c r="S3705" s="5" t="str">
        <f t="shared" si="558"/>
        <v/>
      </c>
      <c r="T3705" s="5" t="str">
        <f t="shared" si="563"/>
        <v/>
      </c>
      <c r="U3705" s="5" t="str">
        <f t="shared" si="563"/>
        <v/>
      </c>
    </row>
    <row r="3706" spans="7:21" x14ac:dyDescent="0.2">
      <c r="G3706" s="8"/>
      <c r="H3706" s="5"/>
      <c r="J3706" s="10" t="str">
        <f t="shared" si="556"/>
        <v/>
      </c>
      <c r="K3706" s="10" t="str">
        <f t="shared" si="557"/>
        <v/>
      </c>
      <c r="L3706" s="11" t="str">
        <f t="shared" si="559"/>
        <v/>
      </c>
      <c r="M3706" s="9" t="str">
        <f>IF(G3706&lt;&gt;"",J3706/MAX(J$3:J3706)-1,"")</f>
        <v/>
      </c>
      <c r="N3706" s="9" t="str">
        <f>IF(G3706&lt;&gt;"",K3706/MAX(K$3:K3706)-1,"")</f>
        <v/>
      </c>
      <c r="O3706" s="16" t="str">
        <f t="shared" si="555"/>
        <v/>
      </c>
      <c r="P3706" s="16" t="str">
        <f t="shared" si="555"/>
        <v/>
      </c>
      <c r="Q3706" s="16" t="str">
        <f t="shared" si="555"/>
        <v/>
      </c>
      <c r="R3706" s="5" t="str">
        <f t="shared" si="554"/>
        <v/>
      </c>
      <c r="S3706" s="5" t="str">
        <f t="shared" si="558"/>
        <v/>
      </c>
      <c r="T3706" s="5" t="str">
        <f t="shared" si="563"/>
        <v/>
      </c>
      <c r="U3706" s="5" t="str">
        <f t="shared" si="563"/>
        <v/>
      </c>
    </row>
    <row r="3707" spans="7:21" x14ac:dyDescent="0.2">
      <c r="G3707" s="8"/>
      <c r="H3707" s="5"/>
      <c r="J3707" s="10" t="str">
        <f t="shared" si="556"/>
        <v/>
      </c>
      <c r="K3707" s="10" t="str">
        <f t="shared" si="557"/>
        <v/>
      </c>
      <c r="L3707" s="11" t="str">
        <f t="shared" si="559"/>
        <v/>
      </c>
      <c r="M3707" s="9" t="str">
        <f>IF(G3707&lt;&gt;"",J3707/MAX(J$3:J3707)-1,"")</f>
        <v/>
      </c>
      <c r="N3707" s="9" t="str">
        <f>IF(G3707&lt;&gt;"",K3707/MAX(K$3:K3707)-1,"")</f>
        <v/>
      </c>
      <c r="O3707" s="16" t="str">
        <f t="shared" si="555"/>
        <v/>
      </c>
      <c r="P3707" s="16" t="str">
        <f t="shared" si="555"/>
        <v/>
      </c>
      <c r="Q3707" s="16" t="str">
        <f t="shared" si="555"/>
        <v/>
      </c>
      <c r="R3707" s="5" t="str">
        <f t="shared" si="554"/>
        <v/>
      </c>
      <c r="S3707" s="5" t="str">
        <f t="shared" si="558"/>
        <v/>
      </c>
      <c r="T3707" s="5" t="str">
        <f t="shared" si="563"/>
        <v/>
      </c>
      <c r="U3707" s="5" t="str">
        <f t="shared" si="563"/>
        <v/>
      </c>
    </row>
    <row r="3708" spans="7:21" x14ac:dyDescent="0.2">
      <c r="G3708" s="8"/>
      <c r="H3708" s="5"/>
      <c r="J3708" s="10" t="str">
        <f t="shared" si="556"/>
        <v/>
      </c>
      <c r="K3708" s="10" t="str">
        <f t="shared" si="557"/>
        <v/>
      </c>
      <c r="L3708" s="11" t="str">
        <f t="shared" si="559"/>
        <v/>
      </c>
      <c r="M3708" s="9" t="str">
        <f>IF(G3708&lt;&gt;"",J3708/MAX(J$3:J3708)-1,"")</f>
        <v/>
      </c>
      <c r="N3708" s="9" t="str">
        <f>IF(G3708&lt;&gt;"",K3708/MAX(K$3:K3708)-1,"")</f>
        <v/>
      </c>
      <c r="O3708" s="16" t="str">
        <f t="shared" si="555"/>
        <v/>
      </c>
      <c r="P3708" s="16" t="str">
        <f t="shared" si="555"/>
        <v/>
      </c>
      <c r="Q3708" s="16" t="str">
        <f t="shared" si="555"/>
        <v/>
      </c>
      <c r="R3708" s="5" t="str">
        <f t="shared" si="554"/>
        <v/>
      </c>
      <c r="S3708" s="5" t="str">
        <f t="shared" si="558"/>
        <v/>
      </c>
      <c r="T3708" s="5" t="str">
        <f t="shared" si="563"/>
        <v/>
      </c>
      <c r="U3708" s="5" t="str">
        <f t="shared" si="563"/>
        <v/>
      </c>
    </row>
    <row r="3709" spans="7:21" x14ac:dyDescent="0.2">
      <c r="G3709" s="8"/>
      <c r="H3709" s="5"/>
      <c r="J3709" s="10" t="str">
        <f t="shared" si="556"/>
        <v/>
      </c>
      <c r="K3709" s="10" t="str">
        <f t="shared" si="557"/>
        <v/>
      </c>
      <c r="L3709" s="11" t="str">
        <f t="shared" si="559"/>
        <v/>
      </c>
      <c r="M3709" s="9" t="str">
        <f>IF(G3709&lt;&gt;"",J3709/MAX(J$3:J3709)-1,"")</f>
        <v/>
      </c>
      <c r="N3709" s="9" t="str">
        <f>IF(G3709&lt;&gt;"",K3709/MAX(K$3:K3709)-1,"")</f>
        <v/>
      </c>
      <c r="O3709" s="16" t="str">
        <f t="shared" si="555"/>
        <v/>
      </c>
      <c r="P3709" s="16" t="str">
        <f t="shared" si="555"/>
        <v/>
      </c>
      <c r="Q3709" s="16" t="str">
        <f t="shared" si="555"/>
        <v/>
      </c>
      <c r="R3709" s="5" t="str">
        <f t="shared" ref="R3709:R3772" si="564">IF(G3709&lt;&gt;"",_xlfn.STDEV.S(Q3588:Q3709)*SQRT($B$5),"")</f>
        <v/>
      </c>
      <c r="S3709" s="5" t="str">
        <f t="shared" si="558"/>
        <v/>
      </c>
      <c r="T3709" s="5" t="str">
        <f t="shared" si="563"/>
        <v/>
      </c>
      <c r="U3709" s="5" t="str">
        <f t="shared" si="563"/>
        <v/>
      </c>
    </row>
    <row r="3710" spans="7:21" x14ac:dyDescent="0.2">
      <c r="G3710" s="8"/>
      <c r="H3710" s="5"/>
      <c r="J3710" s="10" t="str">
        <f t="shared" si="556"/>
        <v/>
      </c>
      <c r="K3710" s="10" t="str">
        <f t="shared" si="557"/>
        <v/>
      </c>
      <c r="L3710" s="11" t="str">
        <f t="shared" si="559"/>
        <v/>
      </c>
      <c r="M3710" s="9" t="str">
        <f>IF(G3710&lt;&gt;"",J3710/MAX(J$3:J3710)-1,"")</f>
        <v/>
      </c>
      <c r="N3710" s="9" t="str">
        <f>IF(G3710&lt;&gt;"",K3710/MAX(K$3:K3710)-1,"")</f>
        <v/>
      </c>
      <c r="O3710" s="16" t="str">
        <f t="shared" si="555"/>
        <v/>
      </c>
      <c r="P3710" s="16" t="str">
        <f t="shared" si="555"/>
        <v/>
      </c>
      <c r="Q3710" s="16" t="str">
        <f t="shared" si="555"/>
        <v/>
      </c>
      <c r="R3710" s="5" t="str">
        <f t="shared" si="564"/>
        <v/>
      </c>
      <c r="S3710" s="5" t="str">
        <f t="shared" si="558"/>
        <v/>
      </c>
      <c r="T3710" s="5" t="str">
        <f t="shared" si="563"/>
        <v/>
      </c>
      <c r="U3710" s="5" t="str">
        <f t="shared" si="563"/>
        <v/>
      </c>
    </row>
    <row r="3711" spans="7:21" x14ac:dyDescent="0.2">
      <c r="G3711" s="8"/>
      <c r="H3711" s="5"/>
      <c r="J3711" s="10" t="str">
        <f t="shared" si="556"/>
        <v/>
      </c>
      <c r="K3711" s="10" t="str">
        <f t="shared" si="557"/>
        <v/>
      </c>
      <c r="L3711" s="11" t="str">
        <f t="shared" si="559"/>
        <v/>
      </c>
      <c r="M3711" s="9" t="str">
        <f>IF(G3711&lt;&gt;"",J3711/MAX(J$3:J3711)-1,"")</f>
        <v/>
      </c>
      <c r="N3711" s="9" t="str">
        <f>IF(G3711&lt;&gt;"",K3711/MAX(K$3:K3711)-1,"")</f>
        <v/>
      </c>
      <c r="O3711" s="16" t="str">
        <f t="shared" si="555"/>
        <v/>
      </c>
      <c r="P3711" s="16" t="str">
        <f t="shared" si="555"/>
        <v/>
      </c>
      <c r="Q3711" s="16" t="str">
        <f t="shared" si="555"/>
        <v/>
      </c>
      <c r="R3711" s="5" t="str">
        <f t="shared" si="564"/>
        <v/>
      </c>
      <c r="S3711" s="5" t="str">
        <f t="shared" si="558"/>
        <v/>
      </c>
      <c r="T3711" s="5" t="str">
        <f t="shared" si="563"/>
        <v/>
      </c>
      <c r="U3711" s="5" t="str">
        <f t="shared" si="563"/>
        <v/>
      </c>
    </row>
    <row r="3712" spans="7:21" x14ac:dyDescent="0.2">
      <c r="G3712" s="8"/>
      <c r="H3712" s="5"/>
      <c r="J3712" s="10" t="str">
        <f t="shared" si="556"/>
        <v/>
      </c>
      <c r="K3712" s="10" t="str">
        <f t="shared" si="557"/>
        <v/>
      </c>
      <c r="L3712" s="11" t="str">
        <f t="shared" si="559"/>
        <v/>
      </c>
      <c r="M3712" s="9" t="str">
        <f>IF(G3712&lt;&gt;"",J3712/MAX(J$3:J3712)-1,"")</f>
        <v/>
      </c>
      <c r="N3712" s="9" t="str">
        <f>IF(G3712&lt;&gt;"",K3712/MAX(K$3:K3712)-1,"")</f>
        <v/>
      </c>
      <c r="O3712" s="16" t="str">
        <f t="shared" si="555"/>
        <v/>
      </c>
      <c r="P3712" s="16" t="str">
        <f t="shared" si="555"/>
        <v/>
      </c>
      <c r="Q3712" s="16" t="str">
        <f t="shared" si="555"/>
        <v/>
      </c>
      <c r="R3712" s="5" t="str">
        <f t="shared" si="564"/>
        <v/>
      </c>
      <c r="S3712" s="5" t="str">
        <f t="shared" si="558"/>
        <v/>
      </c>
      <c r="T3712" s="5" t="str">
        <f t="shared" si="563"/>
        <v/>
      </c>
      <c r="U3712" s="5" t="str">
        <f t="shared" si="563"/>
        <v/>
      </c>
    </row>
    <row r="3713" spans="7:21" x14ac:dyDescent="0.2">
      <c r="G3713" s="8"/>
      <c r="H3713" s="5"/>
      <c r="J3713" s="10" t="str">
        <f t="shared" si="556"/>
        <v/>
      </c>
      <c r="K3713" s="10" t="str">
        <f t="shared" si="557"/>
        <v/>
      </c>
      <c r="L3713" s="11" t="str">
        <f t="shared" si="559"/>
        <v/>
      </c>
      <c r="M3713" s="9" t="str">
        <f>IF(G3713&lt;&gt;"",J3713/MAX(J$3:J3713)-1,"")</f>
        <v/>
      </c>
      <c r="N3713" s="9" t="str">
        <f>IF(G3713&lt;&gt;"",K3713/MAX(K$3:K3713)-1,"")</f>
        <v/>
      </c>
      <c r="O3713" s="16" t="str">
        <f t="shared" si="555"/>
        <v/>
      </c>
      <c r="P3713" s="16" t="str">
        <f t="shared" si="555"/>
        <v/>
      </c>
      <c r="Q3713" s="16" t="str">
        <f t="shared" si="555"/>
        <v/>
      </c>
      <c r="R3713" s="5" t="str">
        <f t="shared" si="564"/>
        <v/>
      </c>
      <c r="S3713" s="5" t="str">
        <f t="shared" si="558"/>
        <v/>
      </c>
      <c r="T3713" s="5" t="str">
        <f t="shared" si="563"/>
        <v/>
      </c>
      <c r="U3713" s="5" t="str">
        <f t="shared" si="563"/>
        <v/>
      </c>
    </row>
    <row r="3714" spans="7:21" x14ac:dyDescent="0.2">
      <c r="G3714" s="8"/>
      <c r="H3714" s="5"/>
      <c r="J3714" s="10" t="str">
        <f t="shared" si="556"/>
        <v/>
      </c>
      <c r="K3714" s="10" t="str">
        <f t="shared" si="557"/>
        <v/>
      </c>
      <c r="L3714" s="11" t="str">
        <f t="shared" si="559"/>
        <v/>
      </c>
      <c r="M3714" s="9" t="str">
        <f>IF(G3714&lt;&gt;"",J3714/MAX(J$3:J3714)-1,"")</f>
        <v/>
      </c>
      <c r="N3714" s="9" t="str">
        <f>IF(G3714&lt;&gt;"",K3714/MAX(K$3:K3714)-1,"")</f>
        <v/>
      </c>
      <c r="O3714" s="16" t="str">
        <f t="shared" ref="O3714:Q3777" si="565">IF($G3714&lt;&gt;"",J3714/J3713-1,"")</f>
        <v/>
      </c>
      <c r="P3714" s="16" t="str">
        <f t="shared" si="565"/>
        <v/>
      </c>
      <c r="Q3714" s="16" t="str">
        <f t="shared" si="565"/>
        <v/>
      </c>
      <c r="R3714" s="5" t="str">
        <f t="shared" si="564"/>
        <v/>
      </c>
      <c r="S3714" s="5" t="str">
        <f t="shared" si="558"/>
        <v/>
      </c>
      <c r="T3714" s="5" t="str">
        <f t="shared" si="563"/>
        <v/>
      </c>
      <c r="U3714" s="5" t="str">
        <f t="shared" si="563"/>
        <v/>
      </c>
    </row>
    <row r="3715" spans="7:21" x14ac:dyDescent="0.2">
      <c r="G3715" s="8"/>
      <c r="H3715" s="5"/>
      <c r="J3715" s="10" t="str">
        <f t="shared" si="556"/>
        <v/>
      </c>
      <c r="K3715" s="10" t="str">
        <f t="shared" si="557"/>
        <v/>
      </c>
      <c r="L3715" s="11" t="str">
        <f t="shared" si="559"/>
        <v/>
      </c>
      <c r="M3715" s="9" t="str">
        <f>IF(G3715&lt;&gt;"",J3715/MAX(J$3:J3715)-1,"")</f>
        <v/>
      </c>
      <c r="N3715" s="9" t="str">
        <f>IF(G3715&lt;&gt;"",K3715/MAX(K$3:K3715)-1,"")</f>
        <v/>
      </c>
      <c r="O3715" s="16" t="str">
        <f t="shared" si="565"/>
        <v/>
      </c>
      <c r="P3715" s="16" t="str">
        <f t="shared" si="565"/>
        <v/>
      </c>
      <c r="Q3715" s="16" t="str">
        <f t="shared" si="565"/>
        <v/>
      </c>
      <c r="R3715" s="5" t="str">
        <f t="shared" si="564"/>
        <v/>
      </c>
      <c r="S3715" s="5" t="str">
        <f t="shared" si="558"/>
        <v/>
      </c>
      <c r="T3715" s="5" t="str">
        <f t="shared" si="563"/>
        <v/>
      </c>
      <c r="U3715" s="5" t="str">
        <f t="shared" si="563"/>
        <v/>
      </c>
    </row>
    <row r="3716" spans="7:21" x14ac:dyDescent="0.2">
      <c r="G3716" s="8"/>
      <c r="H3716" s="5"/>
      <c r="J3716" s="10" t="str">
        <f t="shared" ref="J3716:J3779" si="566">IF(G3716&lt;&gt;"",1+H3716,"")</f>
        <v/>
      </c>
      <c r="K3716" s="10" t="str">
        <f t="shared" ref="K3716:K3779" si="567">IF(G3716&lt;&gt;"",1+I3716,"")</f>
        <v/>
      </c>
      <c r="L3716" s="11" t="str">
        <f t="shared" si="559"/>
        <v/>
      </c>
      <c r="M3716" s="9" t="str">
        <f>IF(G3716&lt;&gt;"",J3716/MAX(J$3:J3716)-1,"")</f>
        <v/>
      </c>
      <c r="N3716" s="9" t="str">
        <f>IF(G3716&lt;&gt;"",K3716/MAX(K$3:K3716)-1,"")</f>
        <v/>
      </c>
      <c r="O3716" s="16" t="str">
        <f t="shared" si="565"/>
        <v/>
      </c>
      <c r="P3716" s="16" t="str">
        <f t="shared" si="565"/>
        <v/>
      </c>
      <c r="Q3716" s="16" t="str">
        <f t="shared" si="565"/>
        <v/>
      </c>
      <c r="R3716" s="5" t="str">
        <f t="shared" si="564"/>
        <v/>
      </c>
      <c r="S3716" s="5" t="str">
        <f t="shared" ref="S3716:S3779" si="568">IF(R3716&lt;&gt;"",B$12,"")</f>
        <v/>
      </c>
      <c r="T3716" s="5" t="str">
        <f t="shared" si="563"/>
        <v/>
      </c>
      <c r="U3716" s="5" t="str">
        <f t="shared" si="563"/>
        <v/>
      </c>
    </row>
    <row r="3717" spans="7:21" x14ac:dyDescent="0.2">
      <c r="G3717" s="8"/>
      <c r="H3717" s="5"/>
      <c r="J3717" s="10" t="str">
        <f t="shared" si="566"/>
        <v/>
      </c>
      <c r="K3717" s="10" t="str">
        <f t="shared" si="567"/>
        <v/>
      </c>
      <c r="L3717" s="11" t="str">
        <f t="shared" ref="L3717:L3780" si="569">IF(G3717&lt;&gt;"",J3717/K3717,"")</f>
        <v/>
      </c>
      <c r="M3717" s="9" t="str">
        <f>IF(G3717&lt;&gt;"",J3717/MAX(J$3:J3717)-1,"")</f>
        <v/>
      </c>
      <c r="N3717" s="9" t="str">
        <f>IF(G3717&lt;&gt;"",K3717/MAX(K$3:K3717)-1,"")</f>
        <v/>
      </c>
      <c r="O3717" s="16" t="str">
        <f t="shared" si="565"/>
        <v/>
      </c>
      <c r="P3717" s="16" t="str">
        <f t="shared" si="565"/>
        <v/>
      </c>
      <c r="Q3717" s="16" t="str">
        <f t="shared" si="565"/>
        <v/>
      </c>
      <c r="R3717" s="5" t="str">
        <f t="shared" si="564"/>
        <v/>
      </c>
      <c r="S3717" s="5" t="str">
        <f t="shared" si="568"/>
        <v/>
      </c>
      <c r="T3717" s="5" t="str">
        <f t="shared" si="563"/>
        <v/>
      </c>
      <c r="U3717" s="5" t="str">
        <f t="shared" si="563"/>
        <v/>
      </c>
    </row>
    <row r="3718" spans="7:21" x14ac:dyDescent="0.2">
      <c r="G3718" s="8"/>
      <c r="H3718" s="5"/>
      <c r="J3718" s="10" t="str">
        <f t="shared" si="566"/>
        <v/>
      </c>
      <c r="K3718" s="10" t="str">
        <f t="shared" si="567"/>
        <v/>
      </c>
      <c r="L3718" s="11" t="str">
        <f t="shared" si="569"/>
        <v/>
      </c>
      <c r="M3718" s="9" t="str">
        <f>IF(G3718&lt;&gt;"",J3718/MAX(J$3:J3718)-1,"")</f>
        <v/>
      </c>
      <c r="N3718" s="9" t="str">
        <f>IF(G3718&lt;&gt;"",K3718/MAX(K$3:K3718)-1,"")</f>
        <v/>
      </c>
      <c r="O3718" s="16" t="str">
        <f t="shared" si="565"/>
        <v/>
      </c>
      <c r="P3718" s="16" t="str">
        <f t="shared" si="565"/>
        <v/>
      </c>
      <c r="Q3718" s="16" t="str">
        <f t="shared" si="565"/>
        <v/>
      </c>
      <c r="R3718" s="5" t="str">
        <f t="shared" si="564"/>
        <v/>
      </c>
      <c r="S3718" s="5" t="str">
        <f t="shared" si="568"/>
        <v/>
      </c>
      <c r="T3718" s="5" t="str">
        <f t="shared" si="563"/>
        <v/>
      </c>
      <c r="U3718" s="5" t="str">
        <f t="shared" si="563"/>
        <v/>
      </c>
    </row>
    <row r="3719" spans="7:21" x14ac:dyDescent="0.2">
      <c r="G3719" s="8"/>
      <c r="H3719" s="5"/>
      <c r="J3719" s="10" t="str">
        <f t="shared" si="566"/>
        <v/>
      </c>
      <c r="K3719" s="10" t="str">
        <f t="shared" si="567"/>
        <v/>
      </c>
      <c r="L3719" s="11" t="str">
        <f t="shared" si="569"/>
        <v/>
      </c>
      <c r="M3719" s="9" t="str">
        <f>IF(G3719&lt;&gt;"",J3719/MAX(J$3:J3719)-1,"")</f>
        <v/>
      </c>
      <c r="N3719" s="9" t="str">
        <f>IF(G3719&lt;&gt;"",K3719/MAX(K$3:K3719)-1,"")</f>
        <v/>
      </c>
      <c r="O3719" s="16" t="str">
        <f t="shared" si="565"/>
        <v/>
      </c>
      <c r="P3719" s="16" t="str">
        <f t="shared" si="565"/>
        <v/>
      </c>
      <c r="Q3719" s="16" t="str">
        <f t="shared" si="565"/>
        <v/>
      </c>
      <c r="R3719" s="5" t="str">
        <f t="shared" si="564"/>
        <v/>
      </c>
      <c r="S3719" s="5" t="str">
        <f t="shared" si="568"/>
        <v/>
      </c>
      <c r="T3719" s="5" t="str">
        <f t="shared" si="563"/>
        <v/>
      </c>
      <c r="U3719" s="5" t="str">
        <f t="shared" si="563"/>
        <v/>
      </c>
    </row>
    <row r="3720" spans="7:21" x14ac:dyDescent="0.2">
      <c r="G3720" s="8"/>
      <c r="H3720" s="5"/>
      <c r="J3720" s="10" t="str">
        <f t="shared" si="566"/>
        <v/>
      </c>
      <c r="K3720" s="10" t="str">
        <f t="shared" si="567"/>
        <v/>
      </c>
      <c r="L3720" s="11" t="str">
        <f t="shared" si="569"/>
        <v/>
      </c>
      <c r="M3720" s="9" t="str">
        <f>IF(G3720&lt;&gt;"",J3720/MAX(J$3:J3720)-1,"")</f>
        <v/>
      </c>
      <c r="N3720" s="9" t="str">
        <f>IF(G3720&lt;&gt;"",K3720/MAX(K$3:K3720)-1,"")</f>
        <v/>
      </c>
      <c r="O3720" s="16" t="str">
        <f t="shared" si="565"/>
        <v/>
      </c>
      <c r="P3720" s="16" t="str">
        <f t="shared" si="565"/>
        <v/>
      </c>
      <c r="Q3720" s="16" t="str">
        <f t="shared" si="565"/>
        <v/>
      </c>
      <c r="R3720" s="5" t="str">
        <f t="shared" si="564"/>
        <v/>
      </c>
      <c r="S3720" s="5" t="str">
        <f t="shared" si="568"/>
        <v/>
      </c>
      <c r="T3720" s="5" t="str">
        <f t="shared" ref="T3720:U3735" si="570">IF($G3720&lt;&gt;"",_xlfn.STDEV.S(O3476:O3720),"")</f>
        <v/>
      </c>
      <c r="U3720" s="5" t="str">
        <f t="shared" si="570"/>
        <v/>
      </c>
    </row>
    <row r="3721" spans="7:21" x14ac:dyDescent="0.2">
      <c r="G3721" s="8"/>
      <c r="H3721" s="5"/>
      <c r="J3721" s="10" t="str">
        <f t="shared" si="566"/>
        <v/>
      </c>
      <c r="K3721" s="10" t="str">
        <f t="shared" si="567"/>
        <v/>
      </c>
      <c r="L3721" s="11" t="str">
        <f t="shared" si="569"/>
        <v/>
      </c>
      <c r="M3721" s="9" t="str">
        <f>IF(G3721&lt;&gt;"",J3721/MAX(J$3:J3721)-1,"")</f>
        <v/>
      </c>
      <c r="N3721" s="9" t="str">
        <f>IF(G3721&lt;&gt;"",K3721/MAX(K$3:K3721)-1,"")</f>
        <v/>
      </c>
      <c r="O3721" s="16" t="str">
        <f t="shared" si="565"/>
        <v/>
      </c>
      <c r="P3721" s="16" t="str">
        <f t="shared" si="565"/>
        <v/>
      </c>
      <c r="Q3721" s="16" t="str">
        <f t="shared" si="565"/>
        <v/>
      </c>
      <c r="R3721" s="5" t="str">
        <f t="shared" si="564"/>
        <v/>
      </c>
      <c r="S3721" s="5" t="str">
        <f t="shared" si="568"/>
        <v/>
      </c>
      <c r="T3721" s="5" t="str">
        <f t="shared" si="570"/>
        <v/>
      </c>
      <c r="U3721" s="5" t="str">
        <f t="shared" si="570"/>
        <v/>
      </c>
    </row>
    <row r="3722" spans="7:21" x14ac:dyDescent="0.2">
      <c r="G3722" s="8"/>
      <c r="H3722" s="5"/>
      <c r="J3722" s="10" t="str">
        <f t="shared" si="566"/>
        <v/>
      </c>
      <c r="K3722" s="10" t="str">
        <f t="shared" si="567"/>
        <v/>
      </c>
      <c r="L3722" s="11" t="str">
        <f t="shared" si="569"/>
        <v/>
      </c>
      <c r="M3722" s="9" t="str">
        <f>IF(G3722&lt;&gt;"",J3722/MAX(J$3:J3722)-1,"")</f>
        <v/>
      </c>
      <c r="N3722" s="9" t="str">
        <f>IF(G3722&lt;&gt;"",K3722/MAX(K$3:K3722)-1,"")</f>
        <v/>
      </c>
      <c r="O3722" s="16" t="str">
        <f t="shared" si="565"/>
        <v/>
      </c>
      <c r="P3722" s="16" t="str">
        <f t="shared" si="565"/>
        <v/>
      </c>
      <c r="Q3722" s="16" t="str">
        <f t="shared" si="565"/>
        <v/>
      </c>
      <c r="R3722" s="5" t="str">
        <f t="shared" si="564"/>
        <v/>
      </c>
      <c r="S3722" s="5" t="str">
        <f t="shared" si="568"/>
        <v/>
      </c>
      <c r="T3722" s="5" t="str">
        <f t="shared" si="570"/>
        <v/>
      </c>
      <c r="U3722" s="5" t="str">
        <f t="shared" si="570"/>
        <v/>
      </c>
    </row>
    <row r="3723" spans="7:21" x14ac:dyDescent="0.2">
      <c r="G3723" s="8"/>
      <c r="H3723" s="5"/>
      <c r="J3723" s="10" t="str">
        <f t="shared" si="566"/>
        <v/>
      </c>
      <c r="K3723" s="10" t="str">
        <f t="shared" si="567"/>
        <v/>
      </c>
      <c r="L3723" s="11" t="str">
        <f t="shared" si="569"/>
        <v/>
      </c>
      <c r="M3723" s="9" t="str">
        <f>IF(G3723&lt;&gt;"",J3723/MAX(J$3:J3723)-1,"")</f>
        <v/>
      </c>
      <c r="N3723" s="9" t="str">
        <f>IF(G3723&lt;&gt;"",K3723/MAX(K$3:K3723)-1,"")</f>
        <v/>
      </c>
      <c r="O3723" s="16" t="str">
        <f t="shared" si="565"/>
        <v/>
      </c>
      <c r="P3723" s="16" t="str">
        <f t="shared" si="565"/>
        <v/>
      </c>
      <c r="Q3723" s="16" t="str">
        <f t="shared" si="565"/>
        <v/>
      </c>
      <c r="R3723" s="5" t="str">
        <f t="shared" si="564"/>
        <v/>
      </c>
      <c r="S3723" s="5" t="str">
        <f t="shared" si="568"/>
        <v/>
      </c>
      <c r="T3723" s="5" t="str">
        <f t="shared" si="570"/>
        <v/>
      </c>
      <c r="U3723" s="5" t="str">
        <f t="shared" si="570"/>
        <v/>
      </c>
    </row>
    <row r="3724" spans="7:21" x14ac:dyDescent="0.2">
      <c r="G3724" s="8"/>
      <c r="H3724" s="5"/>
      <c r="J3724" s="10" t="str">
        <f t="shared" si="566"/>
        <v/>
      </c>
      <c r="K3724" s="10" t="str">
        <f t="shared" si="567"/>
        <v/>
      </c>
      <c r="L3724" s="11" t="str">
        <f t="shared" si="569"/>
        <v/>
      </c>
      <c r="M3724" s="9" t="str">
        <f>IF(G3724&lt;&gt;"",J3724/MAX(J$3:J3724)-1,"")</f>
        <v/>
      </c>
      <c r="N3724" s="9" t="str">
        <f>IF(G3724&lt;&gt;"",K3724/MAX(K$3:K3724)-1,"")</f>
        <v/>
      </c>
      <c r="O3724" s="16" t="str">
        <f t="shared" si="565"/>
        <v/>
      </c>
      <c r="P3724" s="16" t="str">
        <f t="shared" si="565"/>
        <v/>
      </c>
      <c r="Q3724" s="16" t="str">
        <f t="shared" si="565"/>
        <v/>
      </c>
      <c r="R3724" s="5" t="str">
        <f t="shared" si="564"/>
        <v/>
      </c>
      <c r="S3724" s="5" t="str">
        <f t="shared" si="568"/>
        <v/>
      </c>
      <c r="T3724" s="5" t="str">
        <f t="shared" si="570"/>
        <v/>
      </c>
      <c r="U3724" s="5" t="str">
        <f t="shared" si="570"/>
        <v/>
      </c>
    </row>
    <row r="3725" spans="7:21" x14ac:dyDescent="0.2">
      <c r="G3725" s="8"/>
      <c r="H3725" s="5"/>
      <c r="J3725" s="10" t="str">
        <f t="shared" si="566"/>
        <v/>
      </c>
      <c r="K3725" s="10" t="str">
        <f t="shared" si="567"/>
        <v/>
      </c>
      <c r="L3725" s="11" t="str">
        <f t="shared" si="569"/>
        <v/>
      </c>
      <c r="M3725" s="9" t="str">
        <f>IF(G3725&lt;&gt;"",J3725/MAX(J$3:J3725)-1,"")</f>
        <v/>
      </c>
      <c r="N3725" s="9" t="str">
        <f>IF(G3725&lt;&gt;"",K3725/MAX(K$3:K3725)-1,"")</f>
        <v/>
      </c>
      <c r="O3725" s="16" t="str">
        <f t="shared" si="565"/>
        <v/>
      </c>
      <c r="P3725" s="16" t="str">
        <f t="shared" si="565"/>
        <v/>
      </c>
      <c r="Q3725" s="16" t="str">
        <f t="shared" si="565"/>
        <v/>
      </c>
      <c r="R3725" s="5" t="str">
        <f t="shared" si="564"/>
        <v/>
      </c>
      <c r="S3725" s="5" t="str">
        <f t="shared" si="568"/>
        <v/>
      </c>
      <c r="T3725" s="5" t="str">
        <f t="shared" si="570"/>
        <v/>
      </c>
      <c r="U3725" s="5" t="str">
        <f t="shared" si="570"/>
        <v/>
      </c>
    </row>
    <row r="3726" spans="7:21" x14ac:dyDescent="0.2">
      <c r="G3726" s="8"/>
      <c r="H3726" s="5"/>
      <c r="J3726" s="10" t="str">
        <f t="shared" si="566"/>
        <v/>
      </c>
      <c r="K3726" s="10" t="str">
        <f t="shared" si="567"/>
        <v/>
      </c>
      <c r="L3726" s="11" t="str">
        <f t="shared" si="569"/>
        <v/>
      </c>
      <c r="M3726" s="9" t="str">
        <f>IF(G3726&lt;&gt;"",J3726/MAX(J$3:J3726)-1,"")</f>
        <v/>
      </c>
      <c r="N3726" s="9" t="str">
        <f>IF(G3726&lt;&gt;"",K3726/MAX(K$3:K3726)-1,"")</f>
        <v/>
      </c>
      <c r="O3726" s="16" t="str">
        <f t="shared" si="565"/>
        <v/>
      </c>
      <c r="P3726" s="16" t="str">
        <f t="shared" si="565"/>
        <v/>
      </c>
      <c r="Q3726" s="16" t="str">
        <f t="shared" si="565"/>
        <v/>
      </c>
      <c r="R3726" s="5" t="str">
        <f t="shared" si="564"/>
        <v/>
      </c>
      <c r="S3726" s="5" t="str">
        <f t="shared" si="568"/>
        <v/>
      </c>
      <c r="T3726" s="5" t="str">
        <f t="shared" si="570"/>
        <v/>
      </c>
      <c r="U3726" s="5" t="str">
        <f t="shared" si="570"/>
        <v/>
      </c>
    </row>
    <row r="3727" spans="7:21" x14ac:dyDescent="0.2">
      <c r="G3727" s="8"/>
      <c r="H3727" s="5"/>
      <c r="J3727" s="10" t="str">
        <f t="shared" si="566"/>
        <v/>
      </c>
      <c r="K3727" s="10" t="str">
        <f t="shared" si="567"/>
        <v/>
      </c>
      <c r="L3727" s="11" t="str">
        <f t="shared" si="569"/>
        <v/>
      </c>
      <c r="M3727" s="9" t="str">
        <f>IF(G3727&lt;&gt;"",J3727/MAX(J$3:J3727)-1,"")</f>
        <v/>
      </c>
      <c r="N3727" s="9" t="str">
        <f>IF(G3727&lt;&gt;"",K3727/MAX(K$3:K3727)-1,"")</f>
        <v/>
      </c>
      <c r="O3727" s="16" t="str">
        <f t="shared" si="565"/>
        <v/>
      </c>
      <c r="P3727" s="16" t="str">
        <f t="shared" si="565"/>
        <v/>
      </c>
      <c r="Q3727" s="16" t="str">
        <f t="shared" si="565"/>
        <v/>
      </c>
      <c r="R3727" s="5" t="str">
        <f t="shared" si="564"/>
        <v/>
      </c>
      <c r="S3727" s="5" t="str">
        <f t="shared" si="568"/>
        <v/>
      </c>
      <c r="T3727" s="5" t="str">
        <f t="shared" si="570"/>
        <v/>
      </c>
      <c r="U3727" s="5" t="str">
        <f t="shared" si="570"/>
        <v/>
      </c>
    </row>
    <row r="3728" spans="7:21" x14ac:dyDescent="0.2">
      <c r="G3728" s="8"/>
      <c r="H3728" s="5"/>
      <c r="J3728" s="10" t="str">
        <f t="shared" si="566"/>
        <v/>
      </c>
      <c r="K3728" s="10" t="str">
        <f t="shared" si="567"/>
        <v/>
      </c>
      <c r="L3728" s="11" t="str">
        <f t="shared" si="569"/>
        <v/>
      </c>
      <c r="M3728" s="9" t="str">
        <f>IF(G3728&lt;&gt;"",J3728/MAX(J$3:J3728)-1,"")</f>
        <v/>
      </c>
      <c r="N3728" s="9" t="str">
        <f>IF(G3728&lt;&gt;"",K3728/MAX(K$3:K3728)-1,"")</f>
        <v/>
      </c>
      <c r="O3728" s="16" t="str">
        <f t="shared" si="565"/>
        <v/>
      </c>
      <c r="P3728" s="16" t="str">
        <f t="shared" si="565"/>
        <v/>
      </c>
      <c r="Q3728" s="16" t="str">
        <f t="shared" si="565"/>
        <v/>
      </c>
      <c r="R3728" s="5" t="str">
        <f t="shared" si="564"/>
        <v/>
      </c>
      <c r="S3728" s="5" t="str">
        <f t="shared" si="568"/>
        <v/>
      </c>
      <c r="T3728" s="5" t="str">
        <f t="shared" si="570"/>
        <v/>
      </c>
      <c r="U3728" s="5" t="str">
        <f t="shared" si="570"/>
        <v/>
      </c>
    </row>
    <row r="3729" spans="7:21" x14ac:dyDescent="0.2">
      <c r="G3729" s="8"/>
      <c r="H3729" s="5"/>
      <c r="J3729" s="10" t="str">
        <f t="shared" si="566"/>
        <v/>
      </c>
      <c r="K3729" s="10" t="str">
        <f t="shared" si="567"/>
        <v/>
      </c>
      <c r="L3729" s="11" t="str">
        <f t="shared" si="569"/>
        <v/>
      </c>
      <c r="M3729" s="9" t="str">
        <f>IF(G3729&lt;&gt;"",J3729/MAX(J$3:J3729)-1,"")</f>
        <v/>
      </c>
      <c r="N3729" s="9" t="str">
        <f>IF(G3729&lt;&gt;"",K3729/MAX(K$3:K3729)-1,"")</f>
        <v/>
      </c>
      <c r="O3729" s="16" t="str">
        <f t="shared" si="565"/>
        <v/>
      </c>
      <c r="P3729" s="16" t="str">
        <f t="shared" si="565"/>
        <v/>
      </c>
      <c r="Q3729" s="16" t="str">
        <f t="shared" si="565"/>
        <v/>
      </c>
      <c r="R3729" s="5" t="str">
        <f t="shared" si="564"/>
        <v/>
      </c>
      <c r="S3729" s="5" t="str">
        <f t="shared" si="568"/>
        <v/>
      </c>
      <c r="T3729" s="5" t="str">
        <f t="shared" si="570"/>
        <v/>
      </c>
      <c r="U3729" s="5" t="str">
        <f t="shared" si="570"/>
        <v/>
      </c>
    </row>
    <row r="3730" spans="7:21" x14ac:dyDescent="0.2">
      <c r="G3730" s="8"/>
      <c r="H3730" s="5"/>
      <c r="J3730" s="10" t="str">
        <f t="shared" si="566"/>
        <v/>
      </c>
      <c r="K3730" s="10" t="str">
        <f t="shared" si="567"/>
        <v/>
      </c>
      <c r="L3730" s="11" t="str">
        <f t="shared" si="569"/>
        <v/>
      </c>
      <c r="M3730" s="9" t="str">
        <f>IF(G3730&lt;&gt;"",J3730/MAX(J$3:J3730)-1,"")</f>
        <v/>
      </c>
      <c r="N3730" s="9" t="str">
        <f>IF(G3730&lt;&gt;"",K3730/MAX(K$3:K3730)-1,"")</f>
        <v/>
      </c>
      <c r="O3730" s="16" t="str">
        <f t="shared" si="565"/>
        <v/>
      </c>
      <c r="P3730" s="16" t="str">
        <f t="shared" si="565"/>
        <v/>
      </c>
      <c r="Q3730" s="16" t="str">
        <f t="shared" si="565"/>
        <v/>
      </c>
      <c r="R3730" s="5" t="str">
        <f t="shared" si="564"/>
        <v/>
      </c>
      <c r="S3730" s="5" t="str">
        <f t="shared" si="568"/>
        <v/>
      </c>
      <c r="T3730" s="5" t="str">
        <f t="shared" si="570"/>
        <v/>
      </c>
      <c r="U3730" s="5" t="str">
        <f t="shared" si="570"/>
        <v/>
      </c>
    </row>
    <row r="3731" spans="7:21" x14ac:dyDescent="0.2">
      <c r="G3731" s="8"/>
      <c r="H3731" s="5"/>
      <c r="J3731" s="10" t="str">
        <f t="shared" si="566"/>
        <v/>
      </c>
      <c r="K3731" s="10" t="str">
        <f t="shared" si="567"/>
        <v/>
      </c>
      <c r="L3731" s="11" t="str">
        <f t="shared" si="569"/>
        <v/>
      </c>
      <c r="M3731" s="9" t="str">
        <f>IF(G3731&lt;&gt;"",J3731/MAX(J$3:J3731)-1,"")</f>
        <v/>
      </c>
      <c r="N3731" s="9" t="str">
        <f>IF(G3731&lt;&gt;"",K3731/MAX(K$3:K3731)-1,"")</f>
        <v/>
      </c>
      <c r="O3731" s="16" t="str">
        <f t="shared" si="565"/>
        <v/>
      </c>
      <c r="P3731" s="16" t="str">
        <f t="shared" si="565"/>
        <v/>
      </c>
      <c r="Q3731" s="16" t="str">
        <f t="shared" si="565"/>
        <v/>
      </c>
      <c r="R3731" s="5" t="str">
        <f t="shared" si="564"/>
        <v/>
      </c>
      <c r="S3731" s="5" t="str">
        <f t="shared" si="568"/>
        <v/>
      </c>
      <c r="T3731" s="5" t="str">
        <f t="shared" si="570"/>
        <v/>
      </c>
      <c r="U3731" s="5" t="str">
        <f t="shared" si="570"/>
        <v/>
      </c>
    </row>
    <row r="3732" spans="7:21" x14ac:dyDescent="0.2">
      <c r="G3732" s="8"/>
      <c r="H3732" s="5"/>
      <c r="J3732" s="10" t="str">
        <f t="shared" si="566"/>
        <v/>
      </c>
      <c r="K3732" s="10" t="str">
        <f t="shared" si="567"/>
        <v/>
      </c>
      <c r="L3732" s="11" t="str">
        <f t="shared" si="569"/>
        <v/>
      </c>
      <c r="M3732" s="9" t="str">
        <f>IF(G3732&lt;&gt;"",J3732/MAX(J$3:J3732)-1,"")</f>
        <v/>
      </c>
      <c r="N3732" s="9" t="str">
        <f>IF(G3732&lt;&gt;"",K3732/MAX(K$3:K3732)-1,"")</f>
        <v/>
      </c>
      <c r="O3732" s="16" t="str">
        <f t="shared" si="565"/>
        <v/>
      </c>
      <c r="P3732" s="16" t="str">
        <f t="shared" si="565"/>
        <v/>
      </c>
      <c r="Q3732" s="16" t="str">
        <f t="shared" si="565"/>
        <v/>
      </c>
      <c r="R3732" s="5" t="str">
        <f t="shared" si="564"/>
        <v/>
      </c>
      <c r="S3732" s="5" t="str">
        <f t="shared" si="568"/>
        <v/>
      </c>
      <c r="T3732" s="5" t="str">
        <f t="shared" si="570"/>
        <v/>
      </c>
      <c r="U3732" s="5" t="str">
        <f t="shared" si="570"/>
        <v/>
      </c>
    </row>
    <row r="3733" spans="7:21" x14ac:dyDescent="0.2">
      <c r="G3733" s="8"/>
      <c r="H3733" s="5"/>
      <c r="J3733" s="10" t="str">
        <f t="shared" si="566"/>
        <v/>
      </c>
      <c r="K3733" s="10" t="str">
        <f t="shared" si="567"/>
        <v/>
      </c>
      <c r="L3733" s="11" t="str">
        <f t="shared" si="569"/>
        <v/>
      </c>
      <c r="M3733" s="9" t="str">
        <f>IF(G3733&lt;&gt;"",J3733/MAX(J$3:J3733)-1,"")</f>
        <v/>
      </c>
      <c r="N3733" s="9" t="str">
        <f>IF(G3733&lt;&gt;"",K3733/MAX(K$3:K3733)-1,"")</f>
        <v/>
      </c>
      <c r="O3733" s="16" t="str">
        <f t="shared" si="565"/>
        <v/>
      </c>
      <c r="P3733" s="16" t="str">
        <f t="shared" si="565"/>
        <v/>
      </c>
      <c r="Q3733" s="16" t="str">
        <f t="shared" si="565"/>
        <v/>
      </c>
      <c r="R3733" s="5" t="str">
        <f t="shared" si="564"/>
        <v/>
      </c>
      <c r="S3733" s="5" t="str">
        <f t="shared" si="568"/>
        <v/>
      </c>
      <c r="T3733" s="5" t="str">
        <f t="shared" si="570"/>
        <v/>
      </c>
      <c r="U3733" s="5" t="str">
        <f t="shared" si="570"/>
        <v/>
      </c>
    </row>
    <row r="3734" spans="7:21" x14ac:dyDescent="0.2">
      <c r="G3734" s="8"/>
      <c r="H3734" s="5"/>
      <c r="J3734" s="10" t="str">
        <f t="shared" si="566"/>
        <v/>
      </c>
      <c r="K3734" s="10" t="str">
        <f t="shared" si="567"/>
        <v/>
      </c>
      <c r="L3734" s="11" t="str">
        <f t="shared" si="569"/>
        <v/>
      </c>
      <c r="M3734" s="9" t="str">
        <f>IF(G3734&lt;&gt;"",J3734/MAX(J$3:J3734)-1,"")</f>
        <v/>
      </c>
      <c r="N3734" s="9" t="str">
        <f>IF(G3734&lt;&gt;"",K3734/MAX(K$3:K3734)-1,"")</f>
        <v/>
      </c>
      <c r="O3734" s="16" t="str">
        <f t="shared" si="565"/>
        <v/>
      </c>
      <c r="P3734" s="16" t="str">
        <f t="shared" si="565"/>
        <v/>
      </c>
      <c r="Q3734" s="16" t="str">
        <f t="shared" si="565"/>
        <v/>
      </c>
      <c r="R3734" s="5" t="str">
        <f t="shared" si="564"/>
        <v/>
      </c>
      <c r="S3734" s="5" t="str">
        <f t="shared" si="568"/>
        <v/>
      </c>
      <c r="T3734" s="5" t="str">
        <f t="shared" si="570"/>
        <v/>
      </c>
      <c r="U3734" s="5" t="str">
        <f t="shared" si="570"/>
        <v/>
      </c>
    </row>
    <row r="3735" spans="7:21" x14ac:dyDescent="0.2">
      <c r="G3735" s="8"/>
      <c r="H3735" s="5"/>
      <c r="J3735" s="10" t="str">
        <f t="shared" si="566"/>
        <v/>
      </c>
      <c r="K3735" s="10" t="str">
        <f t="shared" si="567"/>
        <v/>
      </c>
      <c r="L3735" s="11" t="str">
        <f t="shared" si="569"/>
        <v/>
      </c>
      <c r="M3735" s="9" t="str">
        <f>IF(G3735&lt;&gt;"",J3735/MAX(J$3:J3735)-1,"")</f>
        <v/>
      </c>
      <c r="N3735" s="9" t="str">
        <f>IF(G3735&lt;&gt;"",K3735/MAX(K$3:K3735)-1,"")</f>
        <v/>
      </c>
      <c r="O3735" s="16" t="str">
        <f t="shared" si="565"/>
        <v/>
      </c>
      <c r="P3735" s="16" t="str">
        <f t="shared" si="565"/>
        <v/>
      </c>
      <c r="Q3735" s="16" t="str">
        <f t="shared" si="565"/>
        <v/>
      </c>
      <c r="R3735" s="5" t="str">
        <f t="shared" si="564"/>
        <v/>
      </c>
      <c r="S3735" s="5" t="str">
        <f t="shared" si="568"/>
        <v/>
      </c>
      <c r="T3735" s="5" t="str">
        <f t="shared" si="570"/>
        <v/>
      </c>
      <c r="U3735" s="5" t="str">
        <f t="shared" si="570"/>
        <v/>
      </c>
    </row>
    <row r="3736" spans="7:21" x14ac:dyDescent="0.2">
      <c r="G3736" s="8"/>
      <c r="H3736" s="5"/>
      <c r="J3736" s="10" t="str">
        <f t="shared" si="566"/>
        <v/>
      </c>
      <c r="K3736" s="10" t="str">
        <f t="shared" si="567"/>
        <v/>
      </c>
      <c r="L3736" s="11" t="str">
        <f t="shared" si="569"/>
        <v/>
      </c>
      <c r="M3736" s="9" t="str">
        <f>IF(G3736&lt;&gt;"",J3736/MAX(J$3:J3736)-1,"")</f>
        <v/>
      </c>
      <c r="N3736" s="9" t="str">
        <f>IF(G3736&lt;&gt;"",K3736/MAX(K$3:K3736)-1,"")</f>
        <v/>
      </c>
      <c r="O3736" s="16" t="str">
        <f t="shared" si="565"/>
        <v/>
      </c>
      <c r="P3736" s="16" t="str">
        <f t="shared" si="565"/>
        <v/>
      </c>
      <c r="Q3736" s="16" t="str">
        <f t="shared" si="565"/>
        <v/>
      </c>
      <c r="R3736" s="5" t="str">
        <f t="shared" si="564"/>
        <v/>
      </c>
      <c r="S3736" s="5" t="str">
        <f t="shared" si="568"/>
        <v/>
      </c>
      <c r="T3736" s="5" t="str">
        <f t="shared" ref="T3736:U3751" si="571">IF($G3736&lt;&gt;"",_xlfn.STDEV.S(O3492:O3736),"")</f>
        <v/>
      </c>
      <c r="U3736" s="5" t="str">
        <f t="shared" si="571"/>
        <v/>
      </c>
    </row>
    <row r="3737" spans="7:21" x14ac:dyDescent="0.2">
      <c r="G3737" s="8"/>
      <c r="H3737" s="5"/>
      <c r="J3737" s="10" t="str">
        <f t="shared" si="566"/>
        <v/>
      </c>
      <c r="K3737" s="10" t="str">
        <f t="shared" si="567"/>
        <v/>
      </c>
      <c r="L3737" s="11" t="str">
        <f t="shared" si="569"/>
        <v/>
      </c>
      <c r="M3737" s="9" t="str">
        <f>IF(G3737&lt;&gt;"",J3737/MAX(J$3:J3737)-1,"")</f>
        <v/>
      </c>
      <c r="N3737" s="9" t="str">
        <f>IF(G3737&lt;&gt;"",K3737/MAX(K$3:K3737)-1,"")</f>
        <v/>
      </c>
      <c r="O3737" s="16" t="str">
        <f t="shared" si="565"/>
        <v/>
      </c>
      <c r="P3737" s="16" t="str">
        <f t="shared" si="565"/>
        <v/>
      </c>
      <c r="Q3737" s="16" t="str">
        <f t="shared" si="565"/>
        <v/>
      </c>
      <c r="R3737" s="5" t="str">
        <f t="shared" si="564"/>
        <v/>
      </c>
      <c r="S3737" s="5" t="str">
        <f t="shared" si="568"/>
        <v/>
      </c>
      <c r="T3737" s="5" t="str">
        <f t="shared" si="571"/>
        <v/>
      </c>
      <c r="U3737" s="5" t="str">
        <f t="shared" si="571"/>
        <v/>
      </c>
    </row>
    <row r="3738" spans="7:21" x14ac:dyDescent="0.2">
      <c r="G3738" s="8"/>
      <c r="H3738" s="5"/>
      <c r="J3738" s="10" t="str">
        <f t="shared" si="566"/>
        <v/>
      </c>
      <c r="K3738" s="10" t="str">
        <f t="shared" si="567"/>
        <v/>
      </c>
      <c r="L3738" s="11" t="str">
        <f t="shared" si="569"/>
        <v/>
      </c>
      <c r="M3738" s="9" t="str">
        <f>IF(G3738&lt;&gt;"",J3738/MAX(J$3:J3738)-1,"")</f>
        <v/>
      </c>
      <c r="N3738" s="9" t="str">
        <f>IF(G3738&lt;&gt;"",K3738/MAX(K$3:K3738)-1,"")</f>
        <v/>
      </c>
      <c r="O3738" s="16" t="str">
        <f t="shared" si="565"/>
        <v/>
      </c>
      <c r="P3738" s="16" t="str">
        <f t="shared" si="565"/>
        <v/>
      </c>
      <c r="Q3738" s="16" t="str">
        <f t="shared" si="565"/>
        <v/>
      </c>
      <c r="R3738" s="5" t="str">
        <f t="shared" si="564"/>
        <v/>
      </c>
      <c r="S3738" s="5" t="str">
        <f t="shared" si="568"/>
        <v/>
      </c>
      <c r="T3738" s="5" t="str">
        <f t="shared" si="571"/>
        <v/>
      </c>
      <c r="U3738" s="5" t="str">
        <f t="shared" si="571"/>
        <v/>
      </c>
    </row>
    <row r="3739" spans="7:21" x14ac:dyDescent="0.2">
      <c r="G3739" s="8"/>
      <c r="H3739" s="5"/>
      <c r="J3739" s="10" t="str">
        <f t="shared" si="566"/>
        <v/>
      </c>
      <c r="K3739" s="10" t="str">
        <f t="shared" si="567"/>
        <v/>
      </c>
      <c r="L3739" s="11" t="str">
        <f t="shared" si="569"/>
        <v/>
      </c>
      <c r="M3739" s="9" t="str">
        <f>IF(G3739&lt;&gt;"",J3739/MAX(J$3:J3739)-1,"")</f>
        <v/>
      </c>
      <c r="N3739" s="9" t="str">
        <f>IF(G3739&lt;&gt;"",K3739/MAX(K$3:K3739)-1,"")</f>
        <v/>
      </c>
      <c r="O3739" s="16" t="str">
        <f t="shared" si="565"/>
        <v/>
      </c>
      <c r="P3739" s="16" t="str">
        <f t="shared" si="565"/>
        <v/>
      </c>
      <c r="Q3739" s="16" t="str">
        <f t="shared" si="565"/>
        <v/>
      </c>
      <c r="R3739" s="5" t="str">
        <f t="shared" si="564"/>
        <v/>
      </c>
      <c r="S3739" s="5" t="str">
        <f t="shared" si="568"/>
        <v/>
      </c>
      <c r="T3739" s="5" t="str">
        <f t="shared" si="571"/>
        <v/>
      </c>
      <c r="U3739" s="5" t="str">
        <f t="shared" si="571"/>
        <v/>
      </c>
    </row>
    <row r="3740" spans="7:21" x14ac:dyDescent="0.2">
      <c r="G3740" s="8"/>
      <c r="H3740" s="5"/>
      <c r="J3740" s="10" t="str">
        <f t="shared" si="566"/>
        <v/>
      </c>
      <c r="K3740" s="10" t="str">
        <f t="shared" si="567"/>
        <v/>
      </c>
      <c r="L3740" s="11" t="str">
        <f t="shared" si="569"/>
        <v/>
      </c>
      <c r="M3740" s="9" t="str">
        <f>IF(G3740&lt;&gt;"",J3740/MAX(J$3:J3740)-1,"")</f>
        <v/>
      </c>
      <c r="N3740" s="9" t="str">
        <f>IF(G3740&lt;&gt;"",K3740/MAX(K$3:K3740)-1,"")</f>
        <v/>
      </c>
      <c r="O3740" s="16" t="str">
        <f t="shared" si="565"/>
        <v/>
      </c>
      <c r="P3740" s="16" t="str">
        <f t="shared" si="565"/>
        <v/>
      </c>
      <c r="Q3740" s="16" t="str">
        <f t="shared" si="565"/>
        <v/>
      </c>
      <c r="R3740" s="5" t="str">
        <f t="shared" si="564"/>
        <v/>
      </c>
      <c r="S3740" s="5" t="str">
        <f t="shared" si="568"/>
        <v/>
      </c>
      <c r="T3740" s="5" t="str">
        <f t="shared" si="571"/>
        <v/>
      </c>
      <c r="U3740" s="5" t="str">
        <f t="shared" si="571"/>
        <v/>
      </c>
    </row>
    <row r="3741" spans="7:21" x14ac:dyDescent="0.2">
      <c r="G3741" s="8"/>
      <c r="H3741" s="5"/>
      <c r="J3741" s="10" t="str">
        <f t="shared" si="566"/>
        <v/>
      </c>
      <c r="K3741" s="10" t="str">
        <f t="shared" si="567"/>
        <v/>
      </c>
      <c r="L3741" s="11" t="str">
        <f t="shared" si="569"/>
        <v/>
      </c>
      <c r="M3741" s="9" t="str">
        <f>IF(G3741&lt;&gt;"",J3741/MAX(J$3:J3741)-1,"")</f>
        <v/>
      </c>
      <c r="N3741" s="9" t="str">
        <f>IF(G3741&lt;&gt;"",K3741/MAX(K$3:K3741)-1,"")</f>
        <v/>
      </c>
      <c r="O3741" s="16" t="str">
        <f t="shared" si="565"/>
        <v/>
      </c>
      <c r="P3741" s="16" t="str">
        <f t="shared" si="565"/>
        <v/>
      </c>
      <c r="Q3741" s="16" t="str">
        <f t="shared" si="565"/>
        <v/>
      </c>
      <c r="R3741" s="5" t="str">
        <f t="shared" si="564"/>
        <v/>
      </c>
      <c r="S3741" s="5" t="str">
        <f t="shared" si="568"/>
        <v/>
      </c>
      <c r="T3741" s="5" t="str">
        <f t="shared" si="571"/>
        <v/>
      </c>
      <c r="U3741" s="5" t="str">
        <f t="shared" si="571"/>
        <v/>
      </c>
    </row>
    <row r="3742" spans="7:21" x14ac:dyDescent="0.2">
      <c r="G3742" s="8"/>
      <c r="H3742" s="5"/>
      <c r="J3742" s="10" t="str">
        <f t="shared" si="566"/>
        <v/>
      </c>
      <c r="K3742" s="10" t="str">
        <f t="shared" si="567"/>
        <v/>
      </c>
      <c r="L3742" s="11" t="str">
        <f t="shared" si="569"/>
        <v/>
      </c>
      <c r="M3742" s="9" t="str">
        <f>IF(G3742&lt;&gt;"",J3742/MAX(J$3:J3742)-1,"")</f>
        <v/>
      </c>
      <c r="N3742" s="9" t="str">
        <f>IF(G3742&lt;&gt;"",K3742/MAX(K$3:K3742)-1,"")</f>
        <v/>
      </c>
      <c r="O3742" s="16" t="str">
        <f t="shared" si="565"/>
        <v/>
      </c>
      <c r="P3742" s="16" t="str">
        <f t="shared" si="565"/>
        <v/>
      </c>
      <c r="Q3742" s="16" t="str">
        <f t="shared" si="565"/>
        <v/>
      </c>
      <c r="R3742" s="5" t="str">
        <f t="shared" si="564"/>
        <v/>
      </c>
      <c r="S3742" s="5" t="str">
        <f t="shared" si="568"/>
        <v/>
      </c>
      <c r="T3742" s="5" t="str">
        <f t="shared" si="571"/>
        <v/>
      </c>
      <c r="U3742" s="5" t="str">
        <f t="shared" si="571"/>
        <v/>
      </c>
    </row>
    <row r="3743" spans="7:21" x14ac:dyDescent="0.2">
      <c r="G3743" s="8"/>
      <c r="H3743" s="5"/>
      <c r="J3743" s="10" t="str">
        <f t="shared" si="566"/>
        <v/>
      </c>
      <c r="K3743" s="10" t="str">
        <f t="shared" si="567"/>
        <v/>
      </c>
      <c r="L3743" s="11" t="str">
        <f t="shared" si="569"/>
        <v/>
      </c>
      <c r="M3743" s="9" t="str">
        <f>IF(G3743&lt;&gt;"",J3743/MAX(J$3:J3743)-1,"")</f>
        <v/>
      </c>
      <c r="N3743" s="9" t="str">
        <f>IF(G3743&lt;&gt;"",K3743/MAX(K$3:K3743)-1,"")</f>
        <v/>
      </c>
      <c r="O3743" s="16" t="str">
        <f t="shared" si="565"/>
        <v/>
      </c>
      <c r="P3743" s="16" t="str">
        <f t="shared" si="565"/>
        <v/>
      </c>
      <c r="Q3743" s="16" t="str">
        <f t="shared" si="565"/>
        <v/>
      </c>
      <c r="R3743" s="5" t="str">
        <f t="shared" si="564"/>
        <v/>
      </c>
      <c r="S3743" s="5" t="str">
        <f t="shared" si="568"/>
        <v/>
      </c>
      <c r="T3743" s="5" t="str">
        <f t="shared" si="571"/>
        <v/>
      </c>
      <c r="U3743" s="5" t="str">
        <f t="shared" si="571"/>
        <v/>
      </c>
    </row>
    <row r="3744" spans="7:21" x14ac:dyDescent="0.2">
      <c r="G3744" s="8"/>
      <c r="H3744" s="5"/>
      <c r="J3744" s="10" t="str">
        <f t="shared" si="566"/>
        <v/>
      </c>
      <c r="K3744" s="10" t="str">
        <f t="shared" si="567"/>
        <v/>
      </c>
      <c r="L3744" s="11" t="str">
        <f t="shared" si="569"/>
        <v/>
      </c>
      <c r="M3744" s="9" t="str">
        <f>IF(G3744&lt;&gt;"",J3744/MAX(J$3:J3744)-1,"")</f>
        <v/>
      </c>
      <c r="N3744" s="9" t="str">
        <f>IF(G3744&lt;&gt;"",K3744/MAX(K$3:K3744)-1,"")</f>
        <v/>
      </c>
      <c r="O3744" s="16" t="str">
        <f t="shared" si="565"/>
        <v/>
      </c>
      <c r="P3744" s="16" t="str">
        <f t="shared" si="565"/>
        <v/>
      </c>
      <c r="Q3744" s="16" t="str">
        <f t="shared" si="565"/>
        <v/>
      </c>
      <c r="R3744" s="5" t="str">
        <f t="shared" si="564"/>
        <v/>
      </c>
      <c r="S3744" s="5" t="str">
        <f t="shared" si="568"/>
        <v/>
      </c>
      <c r="T3744" s="5" t="str">
        <f t="shared" si="571"/>
        <v/>
      </c>
      <c r="U3744" s="5" t="str">
        <f t="shared" si="571"/>
        <v/>
      </c>
    </row>
    <row r="3745" spans="7:21" x14ac:dyDescent="0.2">
      <c r="G3745" s="8"/>
      <c r="H3745" s="5"/>
      <c r="J3745" s="10" t="str">
        <f t="shared" si="566"/>
        <v/>
      </c>
      <c r="K3745" s="10" t="str">
        <f t="shared" si="567"/>
        <v/>
      </c>
      <c r="L3745" s="11" t="str">
        <f t="shared" si="569"/>
        <v/>
      </c>
      <c r="M3745" s="9" t="str">
        <f>IF(G3745&lt;&gt;"",J3745/MAX(J$3:J3745)-1,"")</f>
        <v/>
      </c>
      <c r="N3745" s="9" t="str">
        <f>IF(G3745&lt;&gt;"",K3745/MAX(K$3:K3745)-1,"")</f>
        <v/>
      </c>
      <c r="O3745" s="16" t="str">
        <f t="shared" si="565"/>
        <v/>
      </c>
      <c r="P3745" s="16" t="str">
        <f t="shared" si="565"/>
        <v/>
      </c>
      <c r="Q3745" s="16" t="str">
        <f t="shared" si="565"/>
        <v/>
      </c>
      <c r="R3745" s="5" t="str">
        <f t="shared" si="564"/>
        <v/>
      </c>
      <c r="S3745" s="5" t="str">
        <f t="shared" si="568"/>
        <v/>
      </c>
      <c r="T3745" s="5" t="str">
        <f t="shared" si="571"/>
        <v/>
      </c>
      <c r="U3745" s="5" t="str">
        <f t="shared" si="571"/>
        <v/>
      </c>
    </row>
    <row r="3746" spans="7:21" x14ac:dyDescent="0.2">
      <c r="G3746" s="8"/>
      <c r="H3746" s="5"/>
      <c r="J3746" s="10" t="str">
        <f t="shared" si="566"/>
        <v/>
      </c>
      <c r="K3746" s="10" t="str">
        <f t="shared" si="567"/>
        <v/>
      </c>
      <c r="L3746" s="11" t="str">
        <f t="shared" si="569"/>
        <v/>
      </c>
      <c r="M3746" s="9" t="str">
        <f>IF(G3746&lt;&gt;"",J3746/MAX(J$3:J3746)-1,"")</f>
        <v/>
      </c>
      <c r="N3746" s="9" t="str">
        <f>IF(G3746&lt;&gt;"",K3746/MAX(K$3:K3746)-1,"")</f>
        <v/>
      </c>
      <c r="O3746" s="16" t="str">
        <f t="shared" si="565"/>
        <v/>
      </c>
      <c r="P3746" s="16" t="str">
        <f t="shared" si="565"/>
        <v/>
      </c>
      <c r="Q3746" s="16" t="str">
        <f t="shared" si="565"/>
        <v/>
      </c>
      <c r="R3746" s="5" t="str">
        <f t="shared" si="564"/>
        <v/>
      </c>
      <c r="S3746" s="5" t="str">
        <f t="shared" si="568"/>
        <v/>
      </c>
      <c r="T3746" s="5" t="str">
        <f t="shared" si="571"/>
        <v/>
      </c>
      <c r="U3746" s="5" t="str">
        <f t="shared" si="571"/>
        <v/>
      </c>
    </row>
    <row r="3747" spans="7:21" x14ac:dyDescent="0.2">
      <c r="G3747" s="8"/>
      <c r="H3747" s="5"/>
      <c r="J3747" s="10" t="str">
        <f t="shared" si="566"/>
        <v/>
      </c>
      <c r="K3747" s="10" t="str">
        <f t="shared" si="567"/>
        <v/>
      </c>
      <c r="L3747" s="11" t="str">
        <f t="shared" si="569"/>
        <v/>
      </c>
      <c r="M3747" s="9" t="str">
        <f>IF(G3747&lt;&gt;"",J3747/MAX(J$3:J3747)-1,"")</f>
        <v/>
      </c>
      <c r="N3747" s="9" t="str">
        <f>IF(G3747&lt;&gt;"",K3747/MAX(K$3:K3747)-1,"")</f>
        <v/>
      </c>
      <c r="O3747" s="16" t="str">
        <f t="shared" si="565"/>
        <v/>
      </c>
      <c r="P3747" s="16" t="str">
        <f t="shared" si="565"/>
        <v/>
      </c>
      <c r="Q3747" s="16" t="str">
        <f t="shared" si="565"/>
        <v/>
      </c>
      <c r="R3747" s="5" t="str">
        <f t="shared" si="564"/>
        <v/>
      </c>
      <c r="S3747" s="5" t="str">
        <f t="shared" si="568"/>
        <v/>
      </c>
      <c r="T3747" s="5" t="str">
        <f t="shared" si="571"/>
        <v/>
      </c>
      <c r="U3747" s="5" t="str">
        <f t="shared" si="571"/>
        <v/>
      </c>
    </row>
    <row r="3748" spans="7:21" x14ac:dyDescent="0.2">
      <c r="G3748" s="8"/>
      <c r="H3748" s="5"/>
      <c r="J3748" s="10" t="str">
        <f t="shared" si="566"/>
        <v/>
      </c>
      <c r="K3748" s="10" t="str">
        <f t="shared" si="567"/>
        <v/>
      </c>
      <c r="L3748" s="11" t="str">
        <f t="shared" si="569"/>
        <v/>
      </c>
      <c r="M3748" s="9" t="str">
        <f>IF(G3748&lt;&gt;"",J3748/MAX(J$3:J3748)-1,"")</f>
        <v/>
      </c>
      <c r="N3748" s="9" t="str">
        <f>IF(G3748&lt;&gt;"",K3748/MAX(K$3:K3748)-1,"")</f>
        <v/>
      </c>
      <c r="O3748" s="16" t="str">
        <f t="shared" si="565"/>
        <v/>
      </c>
      <c r="P3748" s="16" t="str">
        <f t="shared" si="565"/>
        <v/>
      </c>
      <c r="Q3748" s="16" t="str">
        <f t="shared" si="565"/>
        <v/>
      </c>
      <c r="R3748" s="5" t="str">
        <f t="shared" si="564"/>
        <v/>
      </c>
      <c r="S3748" s="5" t="str">
        <f t="shared" si="568"/>
        <v/>
      </c>
      <c r="T3748" s="5" t="str">
        <f t="shared" si="571"/>
        <v/>
      </c>
      <c r="U3748" s="5" t="str">
        <f t="shared" si="571"/>
        <v/>
      </c>
    </row>
    <row r="3749" spans="7:21" x14ac:dyDescent="0.2">
      <c r="G3749" s="8"/>
      <c r="H3749" s="5"/>
      <c r="J3749" s="10" t="str">
        <f t="shared" si="566"/>
        <v/>
      </c>
      <c r="K3749" s="10" t="str">
        <f t="shared" si="567"/>
        <v/>
      </c>
      <c r="L3749" s="11" t="str">
        <f t="shared" si="569"/>
        <v/>
      </c>
      <c r="M3749" s="9" t="str">
        <f>IF(G3749&lt;&gt;"",J3749/MAX(J$3:J3749)-1,"")</f>
        <v/>
      </c>
      <c r="N3749" s="9" t="str">
        <f>IF(G3749&lt;&gt;"",K3749/MAX(K$3:K3749)-1,"")</f>
        <v/>
      </c>
      <c r="O3749" s="16" t="str">
        <f t="shared" si="565"/>
        <v/>
      </c>
      <c r="P3749" s="16" t="str">
        <f t="shared" si="565"/>
        <v/>
      </c>
      <c r="Q3749" s="16" t="str">
        <f t="shared" si="565"/>
        <v/>
      </c>
      <c r="R3749" s="5" t="str">
        <f t="shared" si="564"/>
        <v/>
      </c>
      <c r="S3749" s="5" t="str">
        <f t="shared" si="568"/>
        <v/>
      </c>
      <c r="T3749" s="5" t="str">
        <f t="shared" si="571"/>
        <v/>
      </c>
      <c r="U3749" s="5" t="str">
        <f t="shared" si="571"/>
        <v/>
      </c>
    </row>
    <row r="3750" spans="7:21" x14ac:dyDescent="0.2">
      <c r="G3750" s="8"/>
      <c r="H3750" s="5"/>
      <c r="J3750" s="10" t="str">
        <f t="shared" si="566"/>
        <v/>
      </c>
      <c r="K3750" s="10" t="str">
        <f t="shared" si="567"/>
        <v/>
      </c>
      <c r="L3750" s="11" t="str">
        <f t="shared" si="569"/>
        <v/>
      </c>
      <c r="M3750" s="9" t="str">
        <f>IF(G3750&lt;&gt;"",J3750/MAX(J$3:J3750)-1,"")</f>
        <v/>
      </c>
      <c r="N3750" s="9" t="str">
        <f>IF(G3750&lt;&gt;"",K3750/MAX(K$3:K3750)-1,"")</f>
        <v/>
      </c>
      <c r="O3750" s="16" t="str">
        <f t="shared" si="565"/>
        <v/>
      </c>
      <c r="P3750" s="16" t="str">
        <f t="shared" si="565"/>
        <v/>
      </c>
      <c r="Q3750" s="16" t="str">
        <f t="shared" si="565"/>
        <v/>
      </c>
      <c r="R3750" s="5" t="str">
        <f t="shared" si="564"/>
        <v/>
      </c>
      <c r="S3750" s="5" t="str">
        <f t="shared" si="568"/>
        <v/>
      </c>
      <c r="T3750" s="5" t="str">
        <f t="shared" si="571"/>
        <v/>
      </c>
      <c r="U3750" s="5" t="str">
        <f t="shared" si="571"/>
        <v/>
      </c>
    </row>
    <row r="3751" spans="7:21" x14ac:dyDescent="0.2">
      <c r="G3751" s="8"/>
      <c r="H3751" s="5"/>
      <c r="J3751" s="10" t="str">
        <f t="shared" si="566"/>
        <v/>
      </c>
      <c r="K3751" s="10" t="str">
        <f t="shared" si="567"/>
        <v/>
      </c>
      <c r="L3751" s="11" t="str">
        <f t="shared" si="569"/>
        <v/>
      </c>
      <c r="M3751" s="9" t="str">
        <f>IF(G3751&lt;&gt;"",J3751/MAX(J$3:J3751)-1,"")</f>
        <v/>
      </c>
      <c r="N3751" s="9" t="str">
        <f>IF(G3751&lt;&gt;"",K3751/MAX(K$3:K3751)-1,"")</f>
        <v/>
      </c>
      <c r="O3751" s="16" t="str">
        <f t="shared" si="565"/>
        <v/>
      </c>
      <c r="P3751" s="16" t="str">
        <f t="shared" si="565"/>
        <v/>
      </c>
      <c r="Q3751" s="16" t="str">
        <f t="shared" si="565"/>
        <v/>
      </c>
      <c r="R3751" s="5" t="str">
        <f t="shared" si="564"/>
        <v/>
      </c>
      <c r="S3751" s="5" t="str">
        <f t="shared" si="568"/>
        <v/>
      </c>
      <c r="T3751" s="5" t="str">
        <f t="shared" si="571"/>
        <v/>
      </c>
      <c r="U3751" s="5" t="str">
        <f t="shared" si="571"/>
        <v/>
      </c>
    </row>
    <row r="3752" spans="7:21" x14ac:dyDescent="0.2">
      <c r="G3752" s="8"/>
      <c r="H3752" s="5"/>
      <c r="J3752" s="10" t="str">
        <f t="shared" si="566"/>
        <v/>
      </c>
      <c r="K3752" s="10" t="str">
        <f t="shared" si="567"/>
        <v/>
      </c>
      <c r="L3752" s="11" t="str">
        <f t="shared" si="569"/>
        <v/>
      </c>
      <c r="M3752" s="9" t="str">
        <f>IF(G3752&lt;&gt;"",J3752/MAX(J$3:J3752)-1,"")</f>
        <v/>
      </c>
      <c r="N3752" s="9" t="str">
        <f>IF(G3752&lt;&gt;"",K3752/MAX(K$3:K3752)-1,"")</f>
        <v/>
      </c>
      <c r="O3752" s="16" t="str">
        <f t="shared" si="565"/>
        <v/>
      </c>
      <c r="P3752" s="16" t="str">
        <f t="shared" si="565"/>
        <v/>
      </c>
      <c r="Q3752" s="16" t="str">
        <f t="shared" si="565"/>
        <v/>
      </c>
      <c r="R3752" s="5" t="str">
        <f t="shared" si="564"/>
        <v/>
      </c>
      <c r="S3752" s="5" t="str">
        <f t="shared" si="568"/>
        <v/>
      </c>
      <c r="T3752" s="5" t="str">
        <f t="shared" ref="T3752:U3767" si="572">IF($G3752&lt;&gt;"",_xlfn.STDEV.S(O3508:O3752),"")</f>
        <v/>
      </c>
      <c r="U3752" s="5" t="str">
        <f t="shared" si="572"/>
        <v/>
      </c>
    </row>
    <row r="3753" spans="7:21" x14ac:dyDescent="0.2">
      <c r="G3753" s="8"/>
      <c r="H3753" s="5"/>
      <c r="J3753" s="10" t="str">
        <f t="shared" si="566"/>
        <v/>
      </c>
      <c r="K3753" s="10" t="str">
        <f t="shared" si="567"/>
        <v/>
      </c>
      <c r="L3753" s="11" t="str">
        <f t="shared" si="569"/>
        <v/>
      </c>
      <c r="M3753" s="9" t="str">
        <f>IF(G3753&lt;&gt;"",J3753/MAX(J$3:J3753)-1,"")</f>
        <v/>
      </c>
      <c r="N3753" s="9" t="str">
        <f>IF(G3753&lt;&gt;"",K3753/MAX(K$3:K3753)-1,"")</f>
        <v/>
      </c>
      <c r="O3753" s="16" t="str">
        <f t="shared" si="565"/>
        <v/>
      </c>
      <c r="P3753" s="16" t="str">
        <f t="shared" si="565"/>
        <v/>
      </c>
      <c r="Q3753" s="16" t="str">
        <f t="shared" si="565"/>
        <v/>
      </c>
      <c r="R3753" s="5" t="str">
        <f t="shared" si="564"/>
        <v/>
      </c>
      <c r="S3753" s="5" t="str">
        <f t="shared" si="568"/>
        <v/>
      </c>
      <c r="T3753" s="5" t="str">
        <f t="shared" si="572"/>
        <v/>
      </c>
      <c r="U3753" s="5" t="str">
        <f t="shared" si="572"/>
        <v/>
      </c>
    </row>
    <row r="3754" spans="7:21" x14ac:dyDescent="0.2">
      <c r="G3754" s="8"/>
      <c r="H3754" s="5"/>
      <c r="J3754" s="10" t="str">
        <f t="shared" si="566"/>
        <v/>
      </c>
      <c r="K3754" s="10" t="str">
        <f t="shared" si="567"/>
        <v/>
      </c>
      <c r="L3754" s="11" t="str">
        <f t="shared" si="569"/>
        <v/>
      </c>
      <c r="M3754" s="9" t="str">
        <f>IF(G3754&lt;&gt;"",J3754/MAX(J$3:J3754)-1,"")</f>
        <v/>
      </c>
      <c r="N3754" s="9" t="str">
        <f>IF(G3754&lt;&gt;"",K3754/MAX(K$3:K3754)-1,"")</f>
        <v/>
      </c>
      <c r="O3754" s="16" t="str">
        <f t="shared" si="565"/>
        <v/>
      </c>
      <c r="P3754" s="16" t="str">
        <f t="shared" si="565"/>
        <v/>
      </c>
      <c r="Q3754" s="16" t="str">
        <f t="shared" si="565"/>
        <v/>
      </c>
      <c r="R3754" s="5" t="str">
        <f t="shared" si="564"/>
        <v/>
      </c>
      <c r="S3754" s="5" t="str">
        <f t="shared" si="568"/>
        <v/>
      </c>
      <c r="T3754" s="5" t="str">
        <f t="shared" si="572"/>
        <v/>
      </c>
      <c r="U3754" s="5" t="str">
        <f t="shared" si="572"/>
        <v/>
      </c>
    </row>
    <row r="3755" spans="7:21" x14ac:dyDescent="0.2">
      <c r="G3755" s="8"/>
      <c r="H3755" s="5"/>
      <c r="J3755" s="10" t="str">
        <f t="shared" si="566"/>
        <v/>
      </c>
      <c r="K3755" s="10" t="str">
        <f t="shared" si="567"/>
        <v/>
      </c>
      <c r="L3755" s="11" t="str">
        <f t="shared" si="569"/>
        <v/>
      </c>
      <c r="M3755" s="9" t="str">
        <f>IF(G3755&lt;&gt;"",J3755/MAX(J$3:J3755)-1,"")</f>
        <v/>
      </c>
      <c r="N3755" s="9" t="str">
        <f>IF(G3755&lt;&gt;"",K3755/MAX(K$3:K3755)-1,"")</f>
        <v/>
      </c>
      <c r="O3755" s="16" t="str">
        <f t="shared" si="565"/>
        <v/>
      </c>
      <c r="P3755" s="16" t="str">
        <f t="shared" si="565"/>
        <v/>
      </c>
      <c r="Q3755" s="16" t="str">
        <f t="shared" si="565"/>
        <v/>
      </c>
      <c r="R3755" s="5" t="str">
        <f t="shared" si="564"/>
        <v/>
      </c>
      <c r="S3755" s="5" t="str">
        <f t="shared" si="568"/>
        <v/>
      </c>
      <c r="T3755" s="5" t="str">
        <f t="shared" si="572"/>
        <v/>
      </c>
      <c r="U3755" s="5" t="str">
        <f t="shared" si="572"/>
        <v/>
      </c>
    </row>
    <row r="3756" spans="7:21" x14ac:dyDescent="0.2">
      <c r="G3756" s="8"/>
      <c r="H3756" s="5"/>
      <c r="J3756" s="10" t="str">
        <f t="shared" si="566"/>
        <v/>
      </c>
      <c r="K3756" s="10" t="str">
        <f t="shared" si="567"/>
        <v/>
      </c>
      <c r="L3756" s="11" t="str">
        <f t="shared" si="569"/>
        <v/>
      </c>
      <c r="M3756" s="9" t="str">
        <f>IF(G3756&lt;&gt;"",J3756/MAX(J$3:J3756)-1,"")</f>
        <v/>
      </c>
      <c r="N3756" s="9" t="str">
        <f>IF(G3756&lt;&gt;"",K3756/MAX(K$3:K3756)-1,"")</f>
        <v/>
      </c>
      <c r="O3756" s="16" t="str">
        <f t="shared" si="565"/>
        <v/>
      </c>
      <c r="P3756" s="16" t="str">
        <f t="shared" si="565"/>
        <v/>
      </c>
      <c r="Q3756" s="16" t="str">
        <f t="shared" si="565"/>
        <v/>
      </c>
      <c r="R3756" s="5" t="str">
        <f t="shared" si="564"/>
        <v/>
      </c>
      <c r="S3756" s="5" t="str">
        <f t="shared" si="568"/>
        <v/>
      </c>
      <c r="T3756" s="5" t="str">
        <f t="shared" si="572"/>
        <v/>
      </c>
      <c r="U3756" s="5" t="str">
        <f t="shared" si="572"/>
        <v/>
      </c>
    </row>
    <row r="3757" spans="7:21" x14ac:dyDescent="0.2">
      <c r="G3757" s="8"/>
      <c r="H3757" s="5"/>
      <c r="J3757" s="10" t="str">
        <f t="shared" si="566"/>
        <v/>
      </c>
      <c r="K3757" s="10" t="str">
        <f t="shared" si="567"/>
        <v/>
      </c>
      <c r="L3757" s="11" t="str">
        <f t="shared" si="569"/>
        <v/>
      </c>
      <c r="M3757" s="9" t="str">
        <f>IF(G3757&lt;&gt;"",J3757/MAX(J$3:J3757)-1,"")</f>
        <v/>
      </c>
      <c r="N3757" s="9" t="str">
        <f>IF(G3757&lt;&gt;"",K3757/MAX(K$3:K3757)-1,"")</f>
        <v/>
      </c>
      <c r="O3757" s="16" t="str">
        <f t="shared" si="565"/>
        <v/>
      </c>
      <c r="P3757" s="16" t="str">
        <f t="shared" si="565"/>
        <v/>
      </c>
      <c r="Q3757" s="16" t="str">
        <f t="shared" si="565"/>
        <v/>
      </c>
      <c r="R3757" s="5" t="str">
        <f t="shared" si="564"/>
        <v/>
      </c>
      <c r="S3757" s="5" t="str">
        <f t="shared" si="568"/>
        <v/>
      </c>
      <c r="T3757" s="5" t="str">
        <f t="shared" si="572"/>
        <v/>
      </c>
      <c r="U3757" s="5" t="str">
        <f t="shared" si="572"/>
        <v/>
      </c>
    </row>
    <row r="3758" spans="7:21" x14ac:dyDescent="0.2">
      <c r="G3758" s="8"/>
      <c r="H3758" s="5"/>
      <c r="J3758" s="10" t="str">
        <f t="shared" si="566"/>
        <v/>
      </c>
      <c r="K3758" s="10" t="str">
        <f t="shared" si="567"/>
        <v/>
      </c>
      <c r="L3758" s="11" t="str">
        <f t="shared" si="569"/>
        <v/>
      </c>
      <c r="M3758" s="9" t="str">
        <f>IF(G3758&lt;&gt;"",J3758/MAX(J$3:J3758)-1,"")</f>
        <v/>
      </c>
      <c r="N3758" s="9" t="str">
        <f>IF(G3758&lt;&gt;"",K3758/MAX(K$3:K3758)-1,"")</f>
        <v/>
      </c>
      <c r="O3758" s="16" t="str">
        <f t="shared" si="565"/>
        <v/>
      </c>
      <c r="P3758" s="16" t="str">
        <f t="shared" si="565"/>
        <v/>
      </c>
      <c r="Q3758" s="16" t="str">
        <f t="shared" si="565"/>
        <v/>
      </c>
      <c r="R3758" s="5" t="str">
        <f t="shared" si="564"/>
        <v/>
      </c>
      <c r="S3758" s="5" t="str">
        <f t="shared" si="568"/>
        <v/>
      </c>
      <c r="T3758" s="5" t="str">
        <f t="shared" si="572"/>
        <v/>
      </c>
      <c r="U3758" s="5" t="str">
        <f t="shared" si="572"/>
        <v/>
      </c>
    </row>
    <row r="3759" spans="7:21" x14ac:dyDescent="0.2">
      <c r="G3759" s="8"/>
      <c r="H3759" s="5"/>
      <c r="J3759" s="10" t="str">
        <f t="shared" si="566"/>
        <v/>
      </c>
      <c r="K3759" s="10" t="str">
        <f t="shared" si="567"/>
        <v/>
      </c>
      <c r="L3759" s="11" t="str">
        <f t="shared" si="569"/>
        <v/>
      </c>
      <c r="M3759" s="9" t="str">
        <f>IF(G3759&lt;&gt;"",J3759/MAX(J$3:J3759)-1,"")</f>
        <v/>
      </c>
      <c r="N3759" s="9" t="str">
        <f>IF(G3759&lt;&gt;"",K3759/MAX(K$3:K3759)-1,"")</f>
        <v/>
      </c>
      <c r="O3759" s="16" t="str">
        <f t="shared" si="565"/>
        <v/>
      </c>
      <c r="P3759" s="16" t="str">
        <f t="shared" si="565"/>
        <v/>
      </c>
      <c r="Q3759" s="16" t="str">
        <f t="shared" si="565"/>
        <v/>
      </c>
      <c r="R3759" s="5" t="str">
        <f t="shared" si="564"/>
        <v/>
      </c>
      <c r="S3759" s="5" t="str">
        <f t="shared" si="568"/>
        <v/>
      </c>
      <c r="T3759" s="5" t="str">
        <f t="shared" si="572"/>
        <v/>
      </c>
      <c r="U3759" s="5" t="str">
        <f t="shared" si="572"/>
        <v/>
      </c>
    </row>
    <row r="3760" spans="7:21" x14ac:dyDescent="0.2">
      <c r="G3760" s="8"/>
      <c r="H3760" s="5"/>
      <c r="J3760" s="10" t="str">
        <f t="shared" si="566"/>
        <v/>
      </c>
      <c r="K3760" s="10" t="str">
        <f t="shared" si="567"/>
        <v/>
      </c>
      <c r="L3760" s="11" t="str">
        <f t="shared" si="569"/>
        <v/>
      </c>
      <c r="M3760" s="9" t="str">
        <f>IF(G3760&lt;&gt;"",J3760/MAX(J$3:J3760)-1,"")</f>
        <v/>
      </c>
      <c r="N3760" s="9" t="str">
        <f>IF(G3760&lt;&gt;"",K3760/MAX(K$3:K3760)-1,"")</f>
        <v/>
      </c>
      <c r="O3760" s="16" t="str">
        <f t="shared" si="565"/>
        <v/>
      </c>
      <c r="P3760" s="16" t="str">
        <f t="shared" si="565"/>
        <v/>
      </c>
      <c r="Q3760" s="16" t="str">
        <f t="shared" si="565"/>
        <v/>
      </c>
      <c r="R3760" s="5" t="str">
        <f t="shared" si="564"/>
        <v/>
      </c>
      <c r="S3760" s="5" t="str">
        <f t="shared" si="568"/>
        <v/>
      </c>
      <c r="T3760" s="5" t="str">
        <f t="shared" si="572"/>
        <v/>
      </c>
      <c r="U3760" s="5" t="str">
        <f t="shared" si="572"/>
        <v/>
      </c>
    </row>
    <row r="3761" spans="7:21" x14ac:dyDescent="0.2">
      <c r="G3761" s="8"/>
      <c r="H3761" s="5"/>
      <c r="J3761" s="10" t="str">
        <f t="shared" si="566"/>
        <v/>
      </c>
      <c r="K3761" s="10" t="str">
        <f t="shared" si="567"/>
        <v/>
      </c>
      <c r="L3761" s="11" t="str">
        <f t="shared" si="569"/>
        <v/>
      </c>
      <c r="M3761" s="9" t="str">
        <f>IF(G3761&lt;&gt;"",J3761/MAX(J$3:J3761)-1,"")</f>
        <v/>
      </c>
      <c r="N3761" s="9" t="str">
        <f>IF(G3761&lt;&gt;"",K3761/MAX(K$3:K3761)-1,"")</f>
        <v/>
      </c>
      <c r="O3761" s="16" t="str">
        <f t="shared" si="565"/>
        <v/>
      </c>
      <c r="P3761" s="16" t="str">
        <f t="shared" si="565"/>
        <v/>
      </c>
      <c r="Q3761" s="16" t="str">
        <f t="shared" si="565"/>
        <v/>
      </c>
      <c r="R3761" s="5" t="str">
        <f t="shared" si="564"/>
        <v/>
      </c>
      <c r="S3761" s="5" t="str">
        <f t="shared" si="568"/>
        <v/>
      </c>
      <c r="T3761" s="5" t="str">
        <f t="shared" si="572"/>
        <v/>
      </c>
      <c r="U3761" s="5" t="str">
        <f t="shared" si="572"/>
        <v/>
      </c>
    </row>
    <row r="3762" spans="7:21" x14ac:dyDescent="0.2">
      <c r="G3762" s="8"/>
      <c r="H3762" s="5"/>
      <c r="J3762" s="10" t="str">
        <f t="shared" si="566"/>
        <v/>
      </c>
      <c r="K3762" s="10" t="str">
        <f t="shared" si="567"/>
        <v/>
      </c>
      <c r="L3762" s="11" t="str">
        <f t="shared" si="569"/>
        <v/>
      </c>
      <c r="M3762" s="9" t="str">
        <f>IF(G3762&lt;&gt;"",J3762/MAX(J$3:J3762)-1,"")</f>
        <v/>
      </c>
      <c r="N3762" s="9" t="str">
        <f>IF(G3762&lt;&gt;"",K3762/MAX(K$3:K3762)-1,"")</f>
        <v/>
      </c>
      <c r="O3762" s="16" t="str">
        <f t="shared" si="565"/>
        <v/>
      </c>
      <c r="P3762" s="16" t="str">
        <f t="shared" si="565"/>
        <v/>
      </c>
      <c r="Q3762" s="16" t="str">
        <f t="shared" si="565"/>
        <v/>
      </c>
      <c r="R3762" s="5" t="str">
        <f t="shared" si="564"/>
        <v/>
      </c>
      <c r="S3762" s="5" t="str">
        <f t="shared" si="568"/>
        <v/>
      </c>
      <c r="T3762" s="5" t="str">
        <f t="shared" si="572"/>
        <v/>
      </c>
      <c r="U3762" s="5" t="str">
        <f t="shared" si="572"/>
        <v/>
      </c>
    </row>
    <row r="3763" spans="7:21" x14ac:dyDescent="0.2">
      <c r="G3763" s="8"/>
      <c r="H3763" s="5"/>
      <c r="J3763" s="10" t="str">
        <f t="shared" si="566"/>
        <v/>
      </c>
      <c r="K3763" s="10" t="str">
        <f t="shared" si="567"/>
        <v/>
      </c>
      <c r="L3763" s="11" t="str">
        <f t="shared" si="569"/>
        <v/>
      </c>
      <c r="M3763" s="9" t="str">
        <f>IF(G3763&lt;&gt;"",J3763/MAX(J$3:J3763)-1,"")</f>
        <v/>
      </c>
      <c r="N3763" s="9" t="str">
        <f>IF(G3763&lt;&gt;"",K3763/MAX(K$3:K3763)-1,"")</f>
        <v/>
      </c>
      <c r="O3763" s="16" t="str">
        <f t="shared" si="565"/>
        <v/>
      </c>
      <c r="P3763" s="16" t="str">
        <f t="shared" si="565"/>
        <v/>
      </c>
      <c r="Q3763" s="16" t="str">
        <f t="shared" si="565"/>
        <v/>
      </c>
      <c r="R3763" s="5" t="str">
        <f t="shared" si="564"/>
        <v/>
      </c>
      <c r="S3763" s="5" t="str">
        <f t="shared" si="568"/>
        <v/>
      </c>
      <c r="T3763" s="5" t="str">
        <f t="shared" si="572"/>
        <v/>
      </c>
      <c r="U3763" s="5" t="str">
        <f t="shared" si="572"/>
        <v/>
      </c>
    </row>
    <row r="3764" spans="7:21" x14ac:dyDescent="0.2">
      <c r="G3764" s="8"/>
      <c r="H3764" s="5"/>
      <c r="J3764" s="10" t="str">
        <f t="shared" si="566"/>
        <v/>
      </c>
      <c r="K3764" s="10" t="str">
        <f t="shared" si="567"/>
        <v/>
      </c>
      <c r="L3764" s="11" t="str">
        <f t="shared" si="569"/>
        <v/>
      </c>
      <c r="M3764" s="9" t="str">
        <f>IF(G3764&lt;&gt;"",J3764/MAX(J$3:J3764)-1,"")</f>
        <v/>
      </c>
      <c r="N3764" s="9" t="str">
        <f>IF(G3764&lt;&gt;"",K3764/MAX(K$3:K3764)-1,"")</f>
        <v/>
      </c>
      <c r="O3764" s="16" t="str">
        <f t="shared" si="565"/>
        <v/>
      </c>
      <c r="P3764" s="16" t="str">
        <f t="shared" si="565"/>
        <v/>
      </c>
      <c r="Q3764" s="16" t="str">
        <f t="shared" si="565"/>
        <v/>
      </c>
      <c r="R3764" s="5" t="str">
        <f t="shared" si="564"/>
        <v/>
      </c>
      <c r="S3764" s="5" t="str">
        <f t="shared" si="568"/>
        <v/>
      </c>
      <c r="T3764" s="5" t="str">
        <f t="shared" si="572"/>
        <v/>
      </c>
      <c r="U3764" s="5" t="str">
        <f t="shared" si="572"/>
        <v/>
      </c>
    </row>
    <row r="3765" spans="7:21" x14ac:dyDescent="0.2">
      <c r="G3765" s="8"/>
      <c r="H3765" s="5"/>
      <c r="J3765" s="10" t="str">
        <f t="shared" si="566"/>
        <v/>
      </c>
      <c r="K3765" s="10" t="str">
        <f t="shared" si="567"/>
        <v/>
      </c>
      <c r="L3765" s="11" t="str">
        <f t="shared" si="569"/>
        <v/>
      </c>
      <c r="M3765" s="9" t="str">
        <f>IF(G3765&lt;&gt;"",J3765/MAX(J$3:J3765)-1,"")</f>
        <v/>
      </c>
      <c r="N3765" s="9" t="str">
        <f>IF(G3765&lt;&gt;"",K3765/MAX(K$3:K3765)-1,"")</f>
        <v/>
      </c>
      <c r="O3765" s="16" t="str">
        <f t="shared" si="565"/>
        <v/>
      </c>
      <c r="P3765" s="16" t="str">
        <f t="shared" si="565"/>
        <v/>
      </c>
      <c r="Q3765" s="16" t="str">
        <f t="shared" si="565"/>
        <v/>
      </c>
      <c r="R3765" s="5" t="str">
        <f t="shared" si="564"/>
        <v/>
      </c>
      <c r="S3765" s="5" t="str">
        <f t="shared" si="568"/>
        <v/>
      </c>
      <c r="T3765" s="5" t="str">
        <f t="shared" si="572"/>
        <v/>
      </c>
      <c r="U3765" s="5" t="str">
        <f t="shared" si="572"/>
        <v/>
      </c>
    </row>
    <row r="3766" spans="7:21" x14ac:dyDescent="0.2">
      <c r="G3766" s="8"/>
      <c r="H3766" s="5"/>
      <c r="J3766" s="10" t="str">
        <f t="shared" si="566"/>
        <v/>
      </c>
      <c r="K3766" s="10" t="str">
        <f t="shared" si="567"/>
        <v/>
      </c>
      <c r="L3766" s="11" t="str">
        <f t="shared" si="569"/>
        <v/>
      </c>
      <c r="M3766" s="9" t="str">
        <f>IF(G3766&lt;&gt;"",J3766/MAX(J$3:J3766)-1,"")</f>
        <v/>
      </c>
      <c r="N3766" s="9" t="str">
        <f>IF(G3766&lt;&gt;"",K3766/MAX(K$3:K3766)-1,"")</f>
        <v/>
      </c>
      <c r="O3766" s="16" t="str">
        <f t="shared" si="565"/>
        <v/>
      </c>
      <c r="P3766" s="16" t="str">
        <f t="shared" si="565"/>
        <v/>
      </c>
      <c r="Q3766" s="16" t="str">
        <f t="shared" si="565"/>
        <v/>
      </c>
      <c r="R3766" s="5" t="str">
        <f t="shared" si="564"/>
        <v/>
      </c>
      <c r="S3766" s="5" t="str">
        <f t="shared" si="568"/>
        <v/>
      </c>
      <c r="T3766" s="5" t="str">
        <f t="shared" si="572"/>
        <v/>
      </c>
      <c r="U3766" s="5" t="str">
        <f t="shared" si="572"/>
        <v/>
      </c>
    </row>
    <row r="3767" spans="7:21" x14ac:dyDescent="0.2">
      <c r="G3767" s="8"/>
      <c r="H3767" s="5"/>
      <c r="J3767" s="10" t="str">
        <f t="shared" si="566"/>
        <v/>
      </c>
      <c r="K3767" s="10" t="str">
        <f t="shared" si="567"/>
        <v/>
      </c>
      <c r="L3767" s="11" t="str">
        <f t="shared" si="569"/>
        <v/>
      </c>
      <c r="M3767" s="9" t="str">
        <f>IF(G3767&lt;&gt;"",J3767/MAX(J$3:J3767)-1,"")</f>
        <v/>
      </c>
      <c r="N3767" s="9" t="str">
        <f>IF(G3767&lt;&gt;"",K3767/MAX(K$3:K3767)-1,"")</f>
        <v/>
      </c>
      <c r="O3767" s="16" t="str">
        <f t="shared" si="565"/>
        <v/>
      </c>
      <c r="P3767" s="16" t="str">
        <f t="shared" si="565"/>
        <v/>
      </c>
      <c r="Q3767" s="16" t="str">
        <f t="shared" si="565"/>
        <v/>
      </c>
      <c r="R3767" s="5" t="str">
        <f t="shared" si="564"/>
        <v/>
      </c>
      <c r="S3767" s="5" t="str">
        <f t="shared" si="568"/>
        <v/>
      </c>
      <c r="T3767" s="5" t="str">
        <f t="shared" si="572"/>
        <v/>
      </c>
      <c r="U3767" s="5" t="str">
        <f t="shared" si="572"/>
        <v/>
      </c>
    </row>
    <row r="3768" spans="7:21" x14ac:dyDescent="0.2">
      <c r="G3768" s="8"/>
      <c r="H3768" s="5"/>
      <c r="J3768" s="10" t="str">
        <f t="shared" si="566"/>
        <v/>
      </c>
      <c r="K3768" s="10" t="str">
        <f t="shared" si="567"/>
        <v/>
      </c>
      <c r="L3768" s="11" t="str">
        <f t="shared" si="569"/>
        <v/>
      </c>
      <c r="M3768" s="9" t="str">
        <f>IF(G3768&lt;&gt;"",J3768/MAX(J$3:J3768)-1,"")</f>
        <v/>
      </c>
      <c r="N3768" s="9" t="str">
        <f>IF(G3768&lt;&gt;"",K3768/MAX(K$3:K3768)-1,"")</f>
        <v/>
      </c>
      <c r="O3768" s="16" t="str">
        <f t="shared" si="565"/>
        <v/>
      </c>
      <c r="P3768" s="16" t="str">
        <f t="shared" si="565"/>
        <v/>
      </c>
      <c r="Q3768" s="16" t="str">
        <f t="shared" si="565"/>
        <v/>
      </c>
      <c r="R3768" s="5" t="str">
        <f t="shared" si="564"/>
        <v/>
      </c>
      <c r="S3768" s="5" t="str">
        <f t="shared" si="568"/>
        <v/>
      </c>
      <c r="T3768" s="5" t="str">
        <f t="shared" ref="T3768:U3783" si="573">IF($G3768&lt;&gt;"",_xlfn.STDEV.S(O3524:O3768),"")</f>
        <v/>
      </c>
      <c r="U3768" s="5" t="str">
        <f t="shared" si="573"/>
        <v/>
      </c>
    </row>
    <row r="3769" spans="7:21" x14ac:dyDescent="0.2">
      <c r="G3769" s="8"/>
      <c r="H3769" s="5"/>
      <c r="J3769" s="10" t="str">
        <f t="shared" si="566"/>
        <v/>
      </c>
      <c r="K3769" s="10" t="str">
        <f t="shared" si="567"/>
        <v/>
      </c>
      <c r="L3769" s="11" t="str">
        <f t="shared" si="569"/>
        <v/>
      </c>
      <c r="M3769" s="9" t="str">
        <f>IF(G3769&lt;&gt;"",J3769/MAX(J$3:J3769)-1,"")</f>
        <v/>
      </c>
      <c r="N3769" s="9" t="str">
        <f>IF(G3769&lt;&gt;"",K3769/MAX(K$3:K3769)-1,"")</f>
        <v/>
      </c>
      <c r="O3769" s="16" t="str">
        <f t="shared" si="565"/>
        <v/>
      </c>
      <c r="P3769" s="16" t="str">
        <f t="shared" si="565"/>
        <v/>
      </c>
      <c r="Q3769" s="16" t="str">
        <f t="shared" si="565"/>
        <v/>
      </c>
      <c r="R3769" s="5" t="str">
        <f t="shared" si="564"/>
        <v/>
      </c>
      <c r="S3769" s="5" t="str">
        <f t="shared" si="568"/>
        <v/>
      </c>
      <c r="T3769" s="5" t="str">
        <f t="shared" si="573"/>
        <v/>
      </c>
      <c r="U3769" s="5" t="str">
        <f t="shared" si="573"/>
        <v/>
      </c>
    </row>
    <row r="3770" spans="7:21" x14ac:dyDescent="0.2">
      <c r="G3770" s="8"/>
      <c r="H3770" s="5"/>
      <c r="J3770" s="10" t="str">
        <f t="shared" si="566"/>
        <v/>
      </c>
      <c r="K3770" s="10" t="str">
        <f t="shared" si="567"/>
        <v/>
      </c>
      <c r="L3770" s="11" t="str">
        <f t="shared" si="569"/>
        <v/>
      </c>
      <c r="M3770" s="9" t="str">
        <f>IF(G3770&lt;&gt;"",J3770/MAX(J$3:J3770)-1,"")</f>
        <v/>
      </c>
      <c r="N3770" s="9" t="str">
        <f>IF(G3770&lt;&gt;"",K3770/MAX(K$3:K3770)-1,"")</f>
        <v/>
      </c>
      <c r="O3770" s="16" t="str">
        <f t="shared" si="565"/>
        <v/>
      </c>
      <c r="P3770" s="16" t="str">
        <f t="shared" si="565"/>
        <v/>
      </c>
      <c r="Q3770" s="16" t="str">
        <f t="shared" si="565"/>
        <v/>
      </c>
      <c r="R3770" s="5" t="str">
        <f t="shared" si="564"/>
        <v/>
      </c>
      <c r="S3770" s="5" t="str">
        <f t="shared" si="568"/>
        <v/>
      </c>
      <c r="T3770" s="5" t="str">
        <f t="shared" si="573"/>
        <v/>
      </c>
      <c r="U3770" s="5" t="str">
        <f t="shared" si="573"/>
        <v/>
      </c>
    </row>
    <row r="3771" spans="7:21" x14ac:dyDescent="0.2">
      <c r="G3771" s="8"/>
      <c r="H3771" s="5"/>
      <c r="J3771" s="10" t="str">
        <f t="shared" si="566"/>
        <v/>
      </c>
      <c r="K3771" s="10" t="str">
        <f t="shared" si="567"/>
        <v/>
      </c>
      <c r="L3771" s="11" t="str">
        <f t="shared" si="569"/>
        <v/>
      </c>
      <c r="M3771" s="9" t="str">
        <f>IF(G3771&lt;&gt;"",J3771/MAX(J$3:J3771)-1,"")</f>
        <v/>
      </c>
      <c r="N3771" s="9" t="str">
        <f>IF(G3771&lt;&gt;"",K3771/MAX(K$3:K3771)-1,"")</f>
        <v/>
      </c>
      <c r="O3771" s="16" t="str">
        <f t="shared" si="565"/>
        <v/>
      </c>
      <c r="P3771" s="16" t="str">
        <f t="shared" si="565"/>
        <v/>
      </c>
      <c r="Q3771" s="16" t="str">
        <f t="shared" si="565"/>
        <v/>
      </c>
      <c r="R3771" s="5" t="str">
        <f t="shared" si="564"/>
        <v/>
      </c>
      <c r="S3771" s="5" t="str">
        <f t="shared" si="568"/>
        <v/>
      </c>
      <c r="T3771" s="5" t="str">
        <f t="shared" si="573"/>
        <v/>
      </c>
      <c r="U3771" s="5" t="str">
        <f t="shared" si="573"/>
        <v/>
      </c>
    </row>
    <row r="3772" spans="7:21" x14ac:dyDescent="0.2">
      <c r="G3772" s="8"/>
      <c r="H3772" s="5"/>
      <c r="J3772" s="10" t="str">
        <f t="shared" si="566"/>
        <v/>
      </c>
      <c r="K3772" s="10" t="str">
        <f t="shared" si="567"/>
        <v/>
      </c>
      <c r="L3772" s="11" t="str">
        <f t="shared" si="569"/>
        <v/>
      </c>
      <c r="M3772" s="9" t="str">
        <f>IF(G3772&lt;&gt;"",J3772/MAX(J$3:J3772)-1,"")</f>
        <v/>
      </c>
      <c r="N3772" s="9" t="str">
        <f>IF(G3772&lt;&gt;"",K3772/MAX(K$3:K3772)-1,"")</f>
        <v/>
      </c>
      <c r="O3772" s="16" t="str">
        <f t="shared" si="565"/>
        <v/>
      </c>
      <c r="P3772" s="16" t="str">
        <f t="shared" si="565"/>
        <v/>
      </c>
      <c r="Q3772" s="16" t="str">
        <f t="shared" si="565"/>
        <v/>
      </c>
      <c r="R3772" s="5" t="str">
        <f t="shared" si="564"/>
        <v/>
      </c>
      <c r="S3772" s="5" t="str">
        <f t="shared" si="568"/>
        <v/>
      </c>
      <c r="T3772" s="5" t="str">
        <f t="shared" si="573"/>
        <v/>
      </c>
      <c r="U3772" s="5" t="str">
        <f t="shared" si="573"/>
        <v/>
      </c>
    </row>
    <row r="3773" spans="7:21" x14ac:dyDescent="0.2">
      <c r="G3773" s="8"/>
      <c r="H3773" s="5"/>
      <c r="J3773" s="10" t="str">
        <f t="shared" si="566"/>
        <v/>
      </c>
      <c r="K3773" s="10" t="str">
        <f t="shared" si="567"/>
        <v/>
      </c>
      <c r="L3773" s="11" t="str">
        <f t="shared" si="569"/>
        <v/>
      </c>
      <c r="M3773" s="9" t="str">
        <f>IF(G3773&lt;&gt;"",J3773/MAX(J$3:J3773)-1,"")</f>
        <v/>
      </c>
      <c r="N3773" s="9" t="str">
        <f>IF(G3773&lt;&gt;"",K3773/MAX(K$3:K3773)-1,"")</f>
        <v/>
      </c>
      <c r="O3773" s="16" t="str">
        <f t="shared" si="565"/>
        <v/>
      </c>
      <c r="P3773" s="16" t="str">
        <f t="shared" si="565"/>
        <v/>
      </c>
      <c r="Q3773" s="16" t="str">
        <f t="shared" si="565"/>
        <v/>
      </c>
      <c r="R3773" s="5" t="str">
        <f t="shared" ref="R3773:R3836" si="574">IF(G3773&lt;&gt;"",_xlfn.STDEV.S(Q3652:Q3773)*SQRT($B$5),"")</f>
        <v/>
      </c>
      <c r="S3773" s="5" t="str">
        <f t="shared" si="568"/>
        <v/>
      </c>
      <c r="T3773" s="5" t="str">
        <f t="shared" si="573"/>
        <v/>
      </c>
      <c r="U3773" s="5" t="str">
        <f t="shared" si="573"/>
        <v/>
      </c>
    </row>
    <row r="3774" spans="7:21" x14ac:dyDescent="0.2">
      <c r="G3774" s="8"/>
      <c r="H3774" s="5"/>
      <c r="J3774" s="10" t="str">
        <f t="shared" si="566"/>
        <v/>
      </c>
      <c r="K3774" s="10" t="str">
        <f t="shared" si="567"/>
        <v/>
      </c>
      <c r="L3774" s="11" t="str">
        <f t="shared" si="569"/>
        <v/>
      </c>
      <c r="M3774" s="9" t="str">
        <f>IF(G3774&lt;&gt;"",J3774/MAX(J$3:J3774)-1,"")</f>
        <v/>
      </c>
      <c r="N3774" s="9" t="str">
        <f>IF(G3774&lt;&gt;"",K3774/MAX(K$3:K3774)-1,"")</f>
        <v/>
      </c>
      <c r="O3774" s="16" t="str">
        <f t="shared" si="565"/>
        <v/>
      </c>
      <c r="P3774" s="16" t="str">
        <f t="shared" si="565"/>
        <v/>
      </c>
      <c r="Q3774" s="16" t="str">
        <f t="shared" si="565"/>
        <v/>
      </c>
      <c r="R3774" s="5" t="str">
        <f t="shared" si="574"/>
        <v/>
      </c>
      <c r="S3774" s="5" t="str">
        <f t="shared" si="568"/>
        <v/>
      </c>
      <c r="T3774" s="5" t="str">
        <f t="shared" si="573"/>
        <v/>
      </c>
      <c r="U3774" s="5" t="str">
        <f t="shared" si="573"/>
        <v/>
      </c>
    </row>
    <row r="3775" spans="7:21" x14ac:dyDescent="0.2">
      <c r="G3775" s="8"/>
      <c r="H3775" s="5"/>
      <c r="J3775" s="10" t="str">
        <f t="shared" si="566"/>
        <v/>
      </c>
      <c r="K3775" s="10" t="str">
        <f t="shared" si="567"/>
        <v/>
      </c>
      <c r="L3775" s="11" t="str">
        <f t="shared" si="569"/>
        <v/>
      </c>
      <c r="M3775" s="9" t="str">
        <f>IF(G3775&lt;&gt;"",J3775/MAX(J$3:J3775)-1,"")</f>
        <v/>
      </c>
      <c r="N3775" s="9" t="str">
        <f>IF(G3775&lt;&gt;"",K3775/MAX(K$3:K3775)-1,"")</f>
        <v/>
      </c>
      <c r="O3775" s="16" t="str">
        <f t="shared" si="565"/>
        <v/>
      </c>
      <c r="P3775" s="16" t="str">
        <f t="shared" si="565"/>
        <v/>
      </c>
      <c r="Q3775" s="16" t="str">
        <f t="shared" si="565"/>
        <v/>
      </c>
      <c r="R3775" s="5" t="str">
        <f t="shared" si="574"/>
        <v/>
      </c>
      <c r="S3775" s="5" t="str">
        <f t="shared" si="568"/>
        <v/>
      </c>
      <c r="T3775" s="5" t="str">
        <f t="shared" si="573"/>
        <v/>
      </c>
      <c r="U3775" s="5" t="str">
        <f t="shared" si="573"/>
        <v/>
      </c>
    </row>
    <row r="3776" spans="7:21" x14ac:dyDescent="0.2">
      <c r="G3776" s="8"/>
      <c r="H3776" s="5"/>
      <c r="J3776" s="10" t="str">
        <f t="shared" si="566"/>
        <v/>
      </c>
      <c r="K3776" s="10" t="str">
        <f t="shared" si="567"/>
        <v/>
      </c>
      <c r="L3776" s="11" t="str">
        <f t="shared" si="569"/>
        <v/>
      </c>
      <c r="M3776" s="9" t="str">
        <f>IF(G3776&lt;&gt;"",J3776/MAX(J$3:J3776)-1,"")</f>
        <v/>
      </c>
      <c r="N3776" s="9" t="str">
        <f>IF(G3776&lt;&gt;"",K3776/MAX(K$3:K3776)-1,"")</f>
        <v/>
      </c>
      <c r="O3776" s="16" t="str">
        <f t="shared" si="565"/>
        <v/>
      </c>
      <c r="P3776" s="16" t="str">
        <f t="shared" si="565"/>
        <v/>
      </c>
      <c r="Q3776" s="16" t="str">
        <f t="shared" si="565"/>
        <v/>
      </c>
      <c r="R3776" s="5" t="str">
        <f t="shared" si="574"/>
        <v/>
      </c>
      <c r="S3776" s="5" t="str">
        <f t="shared" si="568"/>
        <v/>
      </c>
      <c r="T3776" s="5" t="str">
        <f t="shared" si="573"/>
        <v/>
      </c>
      <c r="U3776" s="5" t="str">
        <f t="shared" si="573"/>
        <v/>
      </c>
    </row>
    <row r="3777" spans="7:21" x14ac:dyDescent="0.2">
      <c r="G3777" s="8"/>
      <c r="H3777" s="5"/>
      <c r="J3777" s="10" t="str">
        <f t="shared" si="566"/>
        <v/>
      </c>
      <c r="K3777" s="10" t="str">
        <f t="shared" si="567"/>
        <v/>
      </c>
      <c r="L3777" s="11" t="str">
        <f t="shared" si="569"/>
        <v/>
      </c>
      <c r="M3777" s="9" t="str">
        <f>IF(G3777&lt;&gt;"",J3777/MAX(J$3:J3777)-1,"")</f>
        <v/>
      </c>
      <c r="N3777" s="9" t="str">
        <f>IF(G3777&lt;&gt;"",K3777/MAX(K$3:K3777)-1,"")</f>
        <v/>
      </c>
      <c r="O3777" s="16" t="str">
        <f t="shared" si="565"/>
        <v/>
      </c>
      <c r="P3777" s="16" t="str">
        <f t="shared" si="565"/>
        <v/>
      </c>
      <c r="Q3777" s="16" t="str">
        <f t="shared" si="565"/>
        <v/>
      </c>
      <c r="R3777" s="5" t="str">
        <f t="shared" si="574"/>
        <v/>
      </c>
      <c r="S3777" s="5" t="str">
        <f t="shared" si="568"/>
        <v/>
      </c>
      <c r="T3777" s="5" t="str">
        <f t="shared" si="573"/>
        <v/>
      </c>
      <c r="U3777" s="5" t="str">
        <f t="shared" si="573"/>
        <v/>
      </c>
    </row>
    <row r="3778" spans="7:21" x14ac:dyDescent="0.2">
      <c r="G3778" s="8"/>
      <c r="H3778" s="5"/>
      <c r="J3778" s="10" t="str">
        <f t="shared" si="566"/>
        <v/>
      </c>
      <c r="K3778" s="10" t="str">
        <f t="shared" si="567"/>
        <v/>
      </c>
      <c r="L3778" s="11" t="str">
        <f t="shared" si="569"/>
        <v/>
      </c>
      <c r="M3778" s="9" t="str">
        <f>IF(G3778&lt;&gt;"",J3778/MAX(J$3:J3778)-1,"")</f>
        <v/>
      </c>
      <c r="N3778" s="9" t="str">
        <f>IF(G3778&lt;&gt;"",K3778/MAX(K$3:K3778)-1,"")</f>
        <v/>
      </c>
      <c r="O3778" s="16" t="str">
        <f t="shared" ref="O3778:Q3841" si="575">IF($G3778&lt;&gt;"",J3778/J3777-1,"")</f>
        <v/>
      </c>
      <c r="P3778" s="16" t="str">
        <f t="shared" si="575"/>
        <v/>
      </c>
      <c r="Q3778" s="16" t="str">
        <f t="shared" si="575"/>
        <v/>
      </c>
      <c r="R3778" s="5" t="str">
        <f t="shared" si="574"/>
        <v/>
      </c>
      <c r="S3778" s="5" t="str">
        <f t="shared" si="568"/>
        <v/>
      </c>
      <c r="T3778" s="5" t="str">
        <f t="shared" si="573"/>
        <v/>
      </c>
      <c r="U3778" s="5" t="str">
        <f t="shared" si="573"/>
        <v/>
      </c>
    </row>
    <row r="3779" spans="7:21" x14ac:dyDescent="0.2">
      <c r="G3779" s="8"/>
      <c r="H3779" s="5"/>
      <c r="J3779" s="10" t="str">
        <f t="shared" si="566"/>
        <v/>
      </c>
      <c r="K3779" s="10" t="str">
        <f t="shared" si="567"/>
        <v/>
      </c>
      <c r="L3779" s="11" t="str">
        <f t="shared" si="569"/>
        <v/>
      </c>
      <c r="M3779" s="9" t="str">
        <f>IF(G3779&lt;&gt;"",J3779/MAX(J$3:J3779)-1,"")</f>
        <v/>
      </c>
      <c r="N3779" s="9" t="str">
        <f>IF(G3779&lt;&gt;"",K3779/MAX(K$3:K3779)-1,"")</f>
        <v/>
      </c>
      <c r="O3779" s="16" t="str">
        <f t="shared" si="575"/>
        <v/>
      </c>
      <c r="P3779" s="16" t="str">
        <f t="shared" si="575"/>
        <v/>
      </c>
      <c r="Q3779" s="16" t="str">
        <f t="shared" si="575"/>
        <v/>
      </c>
      <c r="R3779" s="5" t="str">
        <f t="shared" si="574"/>
        <v/>
      </c>
      <c r="S3779" s="5" t="str">
        <f t="shared" si="568"/>
        <v/>
      </c>
      <c r="T3779" s="5" t="str">
        <f t="shared" si="573"/>
        <v/>
      </c>
      <c r="U3779" s="5" t="str">
        <f t="shared" si="573"/>
        <v/>
      </c>
    </row>
    <row r="3780" spans="7:21" x14ac:dyDescent="0.2">
      <c r="G3780" s="8"/>
      <c r="H3780" s="5"/>
      <c r="J3780" s="10" t="str">
        <f t="shared" ref="J3780:J3843" si="576">IF(G3780&lt;&gt;"",1+H3780,"")</f>
        <v/>
      </c>
      <c r="K3780" s="10" t="str">
        <f t="shared" ref="K3780:K3843" si="577">IF(G3780&lt;&gt;"",1+I3780,"")</f>
        <v/>
      </c>
      <c r="L3780" s="11" t="str">
        <f t="shared" si="569"/>
        <v/>
      </c>
      <c r="M3780" s="9" t="str">
        <f>IF(G3780&lt;&gt;"",J3780/MAX(J$3:J3780)-1,"")</f>
        <v/>
      </c>
      <c r="N3780" s="9" t="str">
        <f>IF(G3780&lt;&gt;"",K3780/MAX(K$3:K3780)-1,"")</f>
        <v/>
      </c>
      <c r="O3780" s="16" t="str">
        <f t="shared" si="575"/>
        <v/>
      </c>
      <c r="P3780" s="16" t="str">
        <f t="shared" si="575"/>
        <v/>
      </c>
      <c r="Q3780" s="16" t="str">
        <f t="shared" si="575"/>
        <v/>
      </c>
      <c r="R3780" s="5" t="str">
        <f t="shared" si="574"/>
        <v/>
      </c>
      <c r="S3780" s="5" t="str">
        <f t="shared" ref="S3780:S3843" si="578">IF(R3780&lt;&gt;"",B$12,"")</f>
        <v/>
      </c>
      <c r="T3780" s="5" t="str">
        <f t="shared" si="573"/>
        <v/>
      </c>
      <c r="U3780" s="5" t="str">
        <f t="shared" si="573"/>
        <v/>
      </c>
    </row>
    <row r="3781" spans="7:21" x14ac:dyDescent="0.2">
      <c r="G3781" s="8"/>
      <c r="H3781" s="5"/>
      <c r="J3781" s="10" t="str">
        <f t="shared" si="576"/>
        <v/>
      </c>
      <c r="K3781" s="10" t="str">
        <f t="shared" si="577"/>
        <v/>
      </c>
      <c r="L3781" s="11" t="str">
        <f t="shared" ref="L3781:L3844" si="579">IF(G3781&lt;&gt;"",J3781/K3781,"")</f>
        <v/>
      </c>
      <c r="M3781" s="9" t="str">
        <f>IF(G3781&lt;&gt;"",J3781/MAX(J$3:J3781)-1,"")</f>
        <v/>
      </c>
      <c r="N3781" s="9" t="str">
        <f>IF(G3781&lt;&gt;"",K3781/MAX(K$3:K3781)-1,"")</f>
        <v/>
      </c>
      <c r="O3781" s="16" t="str">
        <f t="shared" si="575"/>
        <v/>
      </c>
      <c r="P3781" s="16" t="str">
        <f t="shared" si="575"/>
        <v/>
      </c>
      <c r="Q3781" s="16" t="str">
        <f t="shared" si="575"/>
        <v/>
      </c>
      <c r="R3781" s="5" t="str">
        <f t="shared" si="574"/>
        <v/>
      </c>
      <c r="S3781" s="5" t="str">
        <f t="shared" si="578"/>
        <v/>
      </c>
      <c r="T3781" s="5" t="str">
        <f t="shared" si="573"/>
        <v/>
      </c>
      <c r="U3781" s="5" t="str">
        <f t="shared" si="573"/>
        <v/>
      </c>
    </row>
    <row r="3782" spans="7:21" x14ac:dyDescent="0.2">
      <c r="G3782" s="8"/>
      <c r="H3782" s="5"/>
      <c r="J3782" s="10" t="str">
        <f t="shared" si="576"/>
        <v/>
      </c>
      <c r="K3782" s="10" t="str">
        <f t="shared" si="577"/>
        <v/>
      </c>
      <c r="L3782" s="11" t="str">
        <f t="shared" si="579"/>
        <v/>
      </c>
      <c r="M3782" s="9" t="str">
        <f>IF(G3782&lt;&gt;"",J3782/MAX(J$3:J3782)-1,"")</f>
        <v/>
      </c>
      <c r="N3782" s="9" t="str">
        <f>IF(G3782&lt;&gt;"",K3782/MAX(K$3:K3782)-1,"")</f>
        <v/>
      </c>
      <c r="O3782" s="16" t="str">
        <f t="shared" si="575"/>
        <v/>
      </c>
      <c r="P3782" s="16" t="str">
        <f t="shared" si="575"/>
        <v/>
      </c>
      <c r="Q3782" s="16" t="str">
        <f t="shared" si="575"/>
        <v/>
      </c>
      <c r="R3782" s="5" t="str">
        <f t="shared" si="574"/>
        <v/>
      </c>
      <c r="S3782" s="5" t="str">
        <f t="shared" si="578"/>
        <v/>
      </c>
      <c r="T3782" s="5" t="str">
        <f t="shared" si="573"/>
        <v/>
      </c>
      <c r="U3782" s="5" t="str">
        <f t="shared" si="573"/>
        <v/>
      </c>
    </row>
    <row r="3783" spans="7:21" x14ac:dyDescent="0.2">
      <c r="G3783" s="8"/>
      <c r="H3783" s="5"/>
      <c r="J3783" s="10" t="str">
        <f t="shared" si="576"/>
        <v/>
      </c>
      <c r="K3783" s="10" t="str">
        <f t="shared" si="577"/>
        <v/>
      </c>
      <c r="L3783" s="11" t="str">
        <f t="shared" si="579"/>
        <v/>
      </c>
      <c r="M3783" s="9" t="str">
        <f>IF(G3783&lt;&gt;"",J3783/MAX(J$3:J3783)-1,"")</f>
        <v/>
      </c>
      <c r="N3783" s="9" t="str">
        <f>IF(G3783&lt;&gt;"",K3783/MAX(K$3:K3783)-1,"")</f>
        <v/>
      </c>
      <c r="O3783" s="16" t="str">
        <f t="shared" si="575"/>
        <v/>
      </c>
      <c r="P3783" s="16" t="str">
        <f t="shared" si="575"/>
        <v/>
      </c>
      <c r="Q3783" s="16" t="str">
        <f t="shared" si="575"/>
        <v/>
      </c>
      <c r="R3783" s="5" t="str">
        <f t="shared" si="574"/>
        <v/>
      </c>
      <c r="S3783" s="5" t="str">
        <f t="shared" si="578"/>
        <v/>
      </c>
      <c r="T3783" s="5" t="str">
        <f t="shared" si="573"/>
        <v/>
      </c>
      <c r="U3783" s="5" t="str">
        <f t="shared" si="573"/>
        <v/>
      </c>
    </row>
    <row r="3784" spans="7:21" x14ac:dyDescent="0.2">
      <c r="G3784" s="8"/>
      <c r="H3784" s="5"/>
      <c r="J3784" s="10" t="str">
        <f t="shared" si="576"/>
        <v/>
      </c>
      <c r="K3784" s="10" t="str">
        <f t="shared" si="577"/>
        <v/>
      </c>
      <c r="L3784" s="11" t="str">
        <f t="shared" si="579"/>
        <v/>
      </c>
      <c r="M3784" s="9" t="str">
        <f>IF(G3784&lt;&gt;"",J3784/MAX(J$3:J3784)-1,"")</f>
        <v/>
      </c>
      <c r="N3784" s="9" t="str">
        <f>IF(G3784&lt;&gt;"",K3784/MAX(K$3:K3784)-1,"")</f>
        <v/>
      </c>
      <c r="O3784" s="16" t="str">
        <f t="shared" si="575"/>
        <v/>
      </c>
      <c r="P3784" s="16" t="str">
        <f t="shared" si="575"/>
        <v/>
      </c>
      <c r="Q3784" s="16" t="str">
        <f t="shared" si="575"/>
        <v/>
      </c>
      <c r="R3784" s="5" t="str">
        <f t="shared" si="574"/>
        <v/>
      </c>
      <c r="S3784" s="5" t="str">
        <f t="shared" si="578"/>
        <v/>
      </c>
      <c r="T3784" s="5" t="str">
        <f t="shared" ref="T3784:U3799" si="580">IF($G3784&lt;&gt;"",_xlfn.STDEV.S(O3540:O3784),"")</f>
        <v/>
      </c>
      <c r="U3784" s="5" t="str">
        <f t="shared" si="580"/>
        <v/>
      </c>
    </row>
    <row r="3785" spans="7:21" x14ac:dyDescent="0.2">
      <c r="G3785" s="8"/>
      <c r="H3785" s="5"/>
      <c r="J3785" s="10" t="str">
        <f t="shared" si="576"/>
        <v/>
      </c>
      <c r="K3785" s="10" t="str">
        <f t="shared" si="577"/>
        <v/>
      </c>
      <c r="L3785" s="11" t="str">
        <f t="shared" si="579"/>
        <v/>
      </c>
      <c r="M3785" s="9" t="str">
        <f>IF(G3785&lt;&gt;"",J3785/MAX(J$3:J3785)-1,"")</f>
        <v/>
      </c>
      <c r="N3785" s="9" t="str">
        <f>IF(G3785&lt;&gt;"",K3785/MAX(K$3:K3785)-1,"")</f>
        <v/>
      </c>
      <c r="O3785" s="16" t="str">
        <f t="shared" si="575"/>
        <v/>
      </c>
      <c r="P3785" s="16" t="str">
        <f t="shared" si="575"/>
        <v/>
      </c>
      <c r="Q3785" s="16" t="str">
        <f t="shared" si="575"/>
        <v/>
      </c>
      <c r="R3785" s="5" t="str">
        <f t="shared" si="574"/>
        <v/>
      </c>
      <c r="S3785" s="5" t="str">
        <f t="shared" si="578"/>
        <v/>
      </c>
      <c r="T3785" s="5" t="str">
        <f t="shared" si="580"/>
        <v/>
      </c>
      <c r="U3785" s="5" t="str">
        <f t="shared" si="580"/>
        <v/>
      </c>
    </row>
    <row r="3786" spans="7:21" x14ac:dyDescent="0.2">
      <c r="G3786" s="8"/>
      <c r="H3786" s="5"/>
      <c r="J3786" s="10" t="str">
        <f t="shared" si="576"/>
        <v/>
      </c>
      <c r="K3786" s="10" t="str">
        <f t="shared" si="577"/>
        <v/>
      </c>
      <c r="L3786" s="11" t="str">
        <f t="shared" si="579"/>
        <v/>
      </c>
      <c r="M3786" s="9" t="str">
        <f>IF(G3786&lt;&gt;"",J3786/MAX(J$3:J3786)-1,"")</f>
        <v/>
      </c>
      <c r="N3786" s="9" t="str">
        <f>IF(G3786&lt;&gt;"",K3786/MAX(K$3:K3786)-1,"")</f>
        <v/>
      </c>
      <c r="O3786" s="16" t="str">
        <f t="shared" si="575"/>
        <v/>
      </c>
      <c r="P3786" s="16" t="str">
        <f t="shared" si="575"/>
        <v/>
      </c>
      <c r="Q3786" s="16" t="str">
        <f t="shared" si="575"/>
        <v/>
      </c>
      <c r="R3786" s="5" t="str">
        <f t="shared" si="574"/>
        <v/>
      </c>
      <c r="S3786" s="5" t="str">
        <f t="shared" si="578"/>
        <v/>
      </c>
      <c r="T3786" s="5" t="str">
        <f t="shared" si="580"/>
        <v/>
      </c>
      <c r="U3786" s="5" t="str">
        <f t="shared" si="580"/>
        <v/>
      </c>
    </row>
    <row r="3787" spans="7:21" x14ac:dyDescent="0.2">
      <c r="G3787" s="8"/>
      <c r="H3787" s="5"/>
      <c r="J3787" s="10" t="str">
        <f t="shared" si="576"/>
        <v/>
      </c>
      <c r="K3787" s="10" t="str">
        <f t="shared" si="577"/>
        <v/>
      </c>
      <c r="L3787" s="11" t="str">
        <f t="shared" si="579"/>
        <v/>
      </c>
      <c r="M3787" s="9" t="str">
        <f>IF(G3787&lt;&gt;"",J3787/MAX(J$3:J3787)-1,"")</f>
        <v/>
      </c>
      <c r="N3787" s="9" t="str">
        <f>IF(G3787&lt;&gt;"",K3787/MAX(K$3:K3787)-1,"")</f>
        <v/>
      </c>
      <c r="O3787" s="16" t="str">
        <f t="shared" si="575"/>
        <v/>
      </c>
      <c r="P3787" s="16" t="str">
        <f t="shared" si="575"/>
        <v/>
      </c>
      <c r="Q3787" s="16" t="str">
        <f t="shared" si="575"/>
        <v/>
      </c>
      <c r="R3787" s="5" t="str">
        <f t="shared" si="574"/>
        <v/>
      </c>
      <c r="S3787" s="5" t="str">
        <f t="shared" si="578"/>
        <v/>
      </c>
      <c r="T3787" s="5" t="str">
        <f t="shared" si="580"/>
        <v/>
      </c>
      <c r="U3787" s="5" t="str">
        <f t="shared" si="580"/>
        <v/>
      </c>
    </row>
    <row r="3788" spans="7:21" x14ac:dyDescent="0.2">
      <c r="G3788" s="8"/>
      <c r="H3788" s="5"/>
      <c r="J3788" s="10" t="str">
        <f t="shared" si="576"/>
        <v/>
      </c>
      <c r="K3788" s="10" t="str">
        <f t="shared" si="577"/>
        <v/>
      </c>
      <c r="L3788" s="11" t="str">
        <f t="shared" si="579"/>
        <v/>
      </c>
      <c r="M3788" s="9" t="str">
        <f>IF(G3788&lt;&gt;"",J3788/MAX(J$3:J3788)-1,"")</f>
        <v/>
      </c>
      <c r="N3788" s="9" t="str">
        <f>IF(G3788&lt;&gt;"",K3788/MAX(K$3:K3788)-1,"")</f>
        <v/>
      </c>
      <c r="O3788" s="16" t="str">
        <f t="shared" si="575"/>
        <v/>
      </c>
      <c r="P3788" s="16" t="str">
        <f t="shared" si="575"/>
        <v/>
      </c>
      <c r="Q3788" s="16" t="str">
        <f t="shared" si="575"/>
        <v/>
      </c>
      <c r="R3788" s="5" t="str">
        <f t="shared" si="574"/>
        <v/>
      </c>
      <c r="S3788" s="5" t="str">
        <f t="shared" si="578"/>
        <v/>
      </c>
      <c r="T3788" s="5" t="str">
        <f t="shared" si="580"/>
        <v/>
      </c>
      <c r="U3788" s="5" t="str">
        <f t="shared" si="580"/>
        <v/>
      </c>
    </row>
    <row r="3789" spans="7:21" x14ac:dyDescent="0.2">
      <c r="G3789" s="8"/>
      <c r="H3789" s="5"/>
      <c r="J3789" s="10" t="str">
        <f t="shared" si="576"/>
        <v/>
      </c>
      <c r="K3789" s="10" t="str">
        <f t="shared" si="577"/>
        <v/>
      </c>
      <c r="L3789" s="11" t="str">
        <f t="shared" si="579"/>
        <v/>
      </c>
      <c r="M3789" s="9" t="str">
        <f>IF(G3789&lt;&gt;"",J3789/MAX(J$3:J3789)-1,"")</f>
        <v/>
      </c>
      <c r="N3789" s="9" t="str">
        <f>IF(G3789&lt;&gt;"",K3789/MAX(K$3:K3789)-1,"")</f>
        <v/>
      </c>
      <c r="O3789" s="16" t="str">
        <f t="shared" si="575"/>
        <v/>
      </c>
      <c r="P3789" s="16" t="str">
        <f t="shared" si="575"/>
        <v/>
      </c>
      <c r="Q3789" s="16" t="str">
        <f t="shared" si="575"/>
        <v/>
      </c>
      <c r="R3789" s="5" t="str">
        <f t="shared" si="574"/>
        <v/>
      </c>
      <c r="S3789" s="5" t="str">
        <f t="shared" si="578"/>
        <v/>
      </c>
      <c r="T3789" s="5" t="str">
        <f t="shared" si="580"/>
        <v/>
      </c>
      <c r="U3789" s="5" t="str">
        <f t="shared" si="580"/>
        <v/>
      </c>
    </row>
    <row r="3790" spans="7:21" x14ac:dyDescent="0.2">
      <c r="G3790" s="8"/>
      <c r="H3790" s="5"/>
      <c r="J3790" s="10" t="str">
        <f t="shared" si="576"/>
        <v/>
      </c>
      <c r="K3790" s="10" t="str">
        <f t="shared" si="577"/>
        <v/>
      </c>
      <c r="L3790" s="11" t="str">
        <f t="shared" si="579"/>
        <v/>
      </c>
      <c r="M3790" s="9" t="str">
        <f>IF(G3790&lt;&gt;"",J3790/MAX(J$3:J3790)-1,"")</f>
        <v/>
      </c>
      <c r="N3790" s="9" t="str">
        <f>IF(G3790&lt;&gt;"",K3790/MAX(K$3:K3790)-1,"")</f>
        <v/>
      </c>
      <c r="O3790" s="16" t="str">
        <f t="shared" si="575"/>
        <v/>
      </c>
      <c r="P3790" s="16" t="str">
        <f t="shared" si="575"/>
        <v/>
      </c>
      <c r="Q3790" s="16" t="str">
        <f t="shared" si="575"/>
        <v/>
      </c>
      <c r="R3790" s="5" t="str">
        <f t="shared" si="574"/>
        <v/>
      </c>
      <c r="S3790" s="5" t="str">
        <f t="shared" si="578"/>
        <v/>
      </c>
      <c r="T3790" s="5" t="str">
        <f t="shared" si="580"/>
        <v/>
      </c>
      <c r="U3790" s="5" t="str">
        <f t="shared" si="580"/>
        <v/>
      </c>
    </row>
    <row r="3791" spans="7:21" x14ac:dyDescent="0.2">
      <c r="G3791" s="8"/>
      <c r="H3791" s="5"/>
      <c r="J3791" s="10" t="str">
        <f t="shared" si="576"/>
        <v/>
      </c>
      <c r="K3791" s="10" t="str">
        <f t="shared" si="577"/>
        <v/>
      </c>
      <c r="L3791" s="11" t="str">
        <f t="shared" si="579"/>
        <v/>
      </c>
      <c r="M3791" s="9" t="str">
        <f>IF(G3791&lt;&gt;"",J3791/MAX(J$3:J3791)-1,"")</f>
        <v/>
      </c>
      <c r="N3791" s="9" t="str">
        <f>IF(G3791&lt;&gt;"",K3791/MAX(K$3:K3791)-1,"")</f>
        <v/>
      </c>
      <c r="O3791" s="16" t="str">
        <f t="shared" si="575"/>
        <v/>
      </c>
      <c r="P3791" s="16" t="str">
        <f t="shared" si="575"/>
        <v/>
      </c>
      <c r="Q3791" s="16" t="str">
        <f t="shared" si="575"/>
        <v/>
      </c>
      <c r="R3791" s="5" t="str">
        <f t="shared" si="574"/>
        <v/>
      </c>
      <c r="S3791" s="5" t="str">
        <f t="shared" si="578"/>
        <v/>
      </c>
      <c r="T3791" s="5" t="str">
        <f t="shared" si="580"/>
        <v/>
      </c>
      <c r="U3791" s="5" t="str">
        <f t="shared" si="580"/>
        <v/>
      </c>
    </row>
    <row r="3792" spans="7:21" x14ac:dyDescent="0.2">
      <c r="G3792" s="8"/>
      <c r="H3792" s="5"/>
      <c r="J3792" s="10" t="str">
        <f t="shared" si="576"/>
        <v/>
      </c>
      <c r="K3792" s="10" t="str">
        <f t="shared" si="577"/>
        <v/>
      </c>
      <c r="L3792" s="11" t="str">
        <f t="shared" si="579"/>
        <v/>
      </c>
      <c r="M3792" s="9" t="str">
        <f>IF(G3792&lt;&gt;"",J3792/MAX(J$3:J3792)-1,"")</f>
        <v/>
      </c>
      <c r="N3792" s="9" t="str">
        <f>IF(G3792&lt;&gt;"",K3792/MAX(K$3:K3792)-1,"")</f>
        <v/>
      </c>
      <c r="O3792" s="16" t="str">
        <f t="shared" si="575"/>
        <v/>
      </c>
      <c r="P3792" s="16" t="str">
        <f t="shared" si="575"/>
        <v/>
      </c>
      <c r="Q3792" s="16" t="str">
        <f t="shared" si="575"/>
        <v/>
      </c>
      <c r="R3792" s="5" t="str">
        <f t="shared" si="574"/>
        <v/>
      </c>
      <c r="S3792" s="5" t="str">
        <f t="shared" si="578"/>
        <v/>
      </c>
      <c r="T3792" s="5" t="str">
        <f t="shared" si="580"/>
        <v/>
      </c>
      <c r="U3792" s="5" t="str">
        <f t="shared" si="580"/>
        <v/>
      </c>
    </row>
    <row r="3793" spans="7:21" x14ac:dyDescent="0.2">
      <c r="G3793" s="8"/>
      <c r="H3793" s="5"/>
      <c r="J3793" s="10" t="str">
        <f t="shared" si="576"/>
        <v/>
      </c>
      <c r="K3793" s="10" t="str">
        <f t="shared" si="577"/>
        <v/>
      </c>
      <c r="L3793" s="11" t="str">
        <f t="shared" si="579"/>
        <v/>
      </c>
      <c r="M3793" s="9" t="str">
        <f>IF(G3793&lt;&gt;"",J3793/MAX(J$3:J3793)-1,"")</f>
        <v/>
      </c>
      <c r="N3793" s="9" t="str">
        <f>IF(G3793&lt;&gt;"",K3793/MAX(K$3:K3793)-1,"")</f>
        <v/>
      </c>
      <c r="O3793" s="16" t="str">
        <f t="shared" si="575"/>
        <v/>
      </c>
      <c r="P3793" s="16" t="str">
        <f t="shared" si="575"/>
        <v/>
      </c>
      <c r="Q3793" s="16" t="str">
        <f t="shared" si="575"/>
        <v/>
      </c>
      <c r="R3793" s="5" t="str">
        <f t="shared" si="574"/>
        <v/>
      </c>
      <c r="S3793" s="5" t="str">
        <f t="shared" si="578"/>
        <v/>
      </c>
      <c r="T3793" s="5" t="str">
        <f t="shared" si="580"/>
        <v/>
      </c>
      <c r="U3793" s="5" t="str">
        <f t="shared" si="580"/>
        <v/>
      </c>
    </row>
    <row r="3794" spans="7:21" x14ac:dyDescent="0.2">
      <c r="G3794" s="8"/>
      <c r="H3794" s="5"/>
      <c r="J3794" s="10" t="str">
        <f t="shared" si="576"/>
        <v/>
      </c>
      <c r="K3794" s="10" t="str">
        <f t="shared" si="577"/>
        <v/>
      </c>
      <c r="L3794" s="11" t="str">
        <f t="shared" si="579"/>
        <v/>
      </c>
      <c r="M3794" s="9" t="str">
        <f>IF(G3794&lt;&gt;"",J3794/MAX(J$3:J3794)-1,"")</f>
        <v/>
      </c>
      <c r="N3794" s="9" t="str">
        <f>IF(G3794&lt;&gt;"",K3794/MAX(K$3:K3794)-1,"")</f>
        <v/>
      </c>
      <c r="O3794" s="16" t="str">
        <f t="shared" si="575"/>
        <v/>
      </c>
      <c r="P3794" s="16" t="str">
        <f t="shared" si="575"/>
        <v/>
      </c>
      <c r="Q3794" s="16" t="str">
        <f t="shared" si="575"/>
        <v/>
      </c>
      <c r="R3794" s="5" t="str">
        <f t="shared" si="574"/>
        <v/>
      </c>
      <c r="S3794" s="5" t="str">
        <f t="shared" si="578"/>
        <v/>
      </c>
      <c r="T3794" s="5" t="str">
        <f t="shared" si="580"/>
        <v/>
      </c>
      <c r="U3794" s="5" t="str">
        <f t="shared" si="580"/>
        <v/>
      </c>
    </row>
    <row r="3795" spans="7:21" x14ac:dyDescent="0.2">
      <c r="G3795" s="8"/>
      <c r="H3795" s="5"/>
      <c r="J3795" s="10" t="str">
        <f t="shared" si="576"/>
        <v/>
      </c>
      <c r="K3795" s="10" t="str">
        <f t="shared" si="577"/>
        <v/>
      </c>
      <c r="L3795" s="11" t="str">
        <f t="shared" si="579"/>
        <v/>
      </c>
      <c r="M3795" s="9" t="str">
        <f>IF(G3795&lt;&gt;"",J3795/MAX(J$3:J3795)-1,"")</f>
        <v/>
      </c>
      <c r="N3795" s="9" t="str">
        <f>IF(G3795&lt;&gt;"",K3795/MAX(K$3:K3795)-1,"")</f>
        <v/>
      </c>
      <c r="O3795" s="16" t="str">
        <f t="shared" si="575"/>
        <v/>
      </c>
      <c r="P3795" s="16" t="str">
        <f t="shared" si="575"/>
        <v/>
      </c>
      <c r="Q3795" s="16" t="str">
        <f t="shared" si="575"/>
        <v/>
      </c>
      <c r="R3795" s="5" t="str">
        <f t="shared" si="574"/>
        <v/>
      </c>
      <c r="S3795" s="5" t="str">
        <f t="shared" si="578"/>
        <v/>
      </c>
      <c r="T3795" s="5" t="str">
        <f t="shared" si="580"/>
        <v/>
      </c>
      <c r="U3795" s="5" t="str">
        <f t="shared" si="580"/>
        <v/>
      </c>
    </row>
    <row r="3796" spans="7:21" x14ac:dyDescent="0.2">
      <c r="G3796" s="8"/>
      <c r="H3796" s="5"/>
      <c r="J3796" s="10" t="str">
        <f t="shared" si="576"/>
        <v/>
      </c>
      <c r="K3796" s="10" t="str">
        <f t="shared" si="577"/>
        <v/>
      </c>
      <c r="L3796" s="11" t="str">
        <f t="shared" si="579"/>
        <v/>
      </c>
      <c r="M3796" s="9" t="str">
        <f>IF(G3796&lt;&gt;"",J3796/MAX(J$3:J3796)-1,"")</f>
        <v/>
      </c>
      <c r="N3796" s="9" t="str">
        <f>IF(G3796&lt;&gt;"",K3796/MAX(K$3:K3796)-1,"")</f>
        <v/>
      </c>
      <c r="O3796" s="16" t="str">
        <f t="shared" si="575"/>
        <v/>
      </c>
      <c r="P3796" s="16" t="str">
        <f t="shared" si="575"/>
        <v/>
      </c>
      <c r="Q3796" s="16" t="str">
        <f t="shared" si="575"/>
        <v/>
      </c>
      <c r="R3796" s="5" t="str">
        <f t="shared" si="574"/>
        <v/>
      </c>
      <c r="S3796" s="5" t="str">
        <f t="shared" si="578"/>
        <v/>
      </c>
      <c r="T3796" s="5" t="str">
        <f t="shared" si="580"/>
        <v/>
      </c>
      <c r="U3796" s="5" t="str">
        <f t="shared" si="580"/>
        <v/>
      </c>
    </row>
    <row r="3797" spans="7:21" x14ac:dyDescent="0.2">
      <c r="G3797" s="8"/>
      <c r="H3797" s="5"/>
      <c r="J3797" s="10" t="str">
        <f t="shared" si="576"/>
        <v/>
      </c>
      <c r="K3797" s="10" t="str">
        <f t="shared" si="577"/>
        <v/>
      </c>
      <c r="L3797" s="11" t="str">
        <f t="shared" si="579"/>
        <v/>
      </c>
      <c r="M3797" s="9" t="str">
        <f>IF(G3797&lt;&gt;"",J3797/MAX(J$3:J3797)-1,"")</f>
        <v/>
      </c>
      <c r="N3797" s="9" t="str">
        <f>IF(G3797&lt;&gt;"",K3797/MAX(K$3:K3797)-1,"")</f>
        <v/>
      </c>
      <c r="O3797" s="16" t="str">
        <f t="shared" si="575"/>
        <v/>
      </c>
      <c r="P3797" s="16" t="str">
        <f t="shared" si="575"/>
        <v/>
      </c>
      <c r="Q3797" s="16" t="str">
        <f t="shared" si="575"/>
        <v/>
      </c>
      <c r="R3797" s="5" t="str">
        <f t="shared" si="574"/>
        <v/>
      </c>
      <c r="S3797" s="5" t="str">
        <f t="shared" si="578"/>
        <v/>
      </c>
      <c r="T3797" s="5" t="str">
        <f t="shared" si="580"/>
        <v/>
      </c>
      <c r="U3797" s="5" t="str">
        <f t="shared" si="580"/>
        <v/>
      </c>
    </row>
    <row r="3798" spans="7:21" x14ac:dyDescent="0.2">
      <c r="G3798" s="8"/>
      <c r="H3798" s="5"/>
      <c r="J3798" s="10" t="str">
        <f t="shared" si="576"/>
        <v/>
      </c>
      <c r="K3798" s="10" t="str">
        <f t="shared" si="577"/>
        <v/>
      </c>
      <c r="L3798" s="11" t="str">
        <f t="shared" si="579"/>
        <v/>
      </c>
      <c r="M3798" s="9" t="str">
        <f>IF(G3798&lt;&gt;"",J3798/MAX(J$3:J3798)-1,"")</f>
        <v/>
      </c>
      <c r="N3798" s="9" t="str">
        <f>IF(G3798&lt;&gt;"",K3798/MAX(K$3:K3798)-1,"")</f>
        <v/>
      </c>
      <c r="O3798" s="16" t="str">
        <f t="shared" si="575"/>
        <v/>
      </c>
      <c r="P3798" s="16" t="str">
        <f t="shared" si="575"/>
        <v/>
      </c>
      <c r="Q3798" s="16" t="str">
        <f t="shared" si="575"/>
        <v/>
      </c>
      <c r="R3798" s="5" t="str">
        <f t="shared" si="574"/>
        <v/>
      </c>
      <c r="S3798" s="5" t="str">
        <f t="shared" si="578"/>
        <v/>
      </c>
      <c r="T3798" s="5" t="str">
        <f t="shared" si="580"/>
        <v/>
      </c>
      <c r="U3798" s="5" t="str">
        <f t="shared" si="580"/>
        <v/>
      </c>
    </row>
    <row r="3799" spans="7:21" x14ac:dyDescent="0.2">
      <c r="G3799" s="8"/>
      <c r="H3799" s="5"/>
      <c r="J3799" s="10" t="str">
        <f t="shared" si="576"/>
        <v/>
      </c>
      <c r="K3799" s="10" t="str">
        <f t="shared" si="577"/>
        <v/>
      </c>
      <c r="L3799" s="11" t="str">
        <f t="shared" si="579"/>
        <v/>
      </c>
      <c r="M3799" s="9" t="str">
        <f>IF(G3799&lt;&gt;"",J3799/MAX(J$3:J3799)-1,"")</f>
        <v/>
      </c>
      <c r="N3799" s="9" t="str">
        <f>IF(G3799&lt;&gt;"",K3799/MAX(K$3:K3799)-1,"")</f>
        <v/>
      </c>
      <c r="O3799" s="16" t="str">
        <f t="shared" si="575"/>
        <v/>
      </c>
      <c r="P3799" s="16" t="str">
        <f t="shared" si="575"/>
        <v/>
      </c>
      <c r="Q3799" s="16" t="str">
        <f t="shared" si="575"/>
        <v/>
      </c>
      <c r="R3799" s="5" t="str">
        <f t="shared" si="574"/>
        <v/>
      </c>
      <c r="S3799" s="5" t="str">
        <f t="shared" si="578"/>
        <v/>
      </c>
      <c r="T3799" s="5" t="str">
        <f t="shared" si="580"/>
        <v/>
      </c>
      <c r="U3799" s="5" t="str">
        <f t="shared" si="580"/>
        <v/>
      </c>
    </row>
    <row r="3800" spans="7:21" x14ac:dyDescent="0.2">
      <c r="G3800" s="8"/>
      <c r="H3800" s="5"/>
      <c r="J3800" s="10" t="str">
        <f t="shared" si="576"/>
        <v/>
      </c>
      <c r="K3800" s="10" t="str">
        <f t="shared" si="577"/>
        <v/>
      </c>
      <c r="L3800" s="11" t="str">
        <f t="shared" si="579"/>
        <v/>
      </c>
      <c r="M3800" s="9" t="str">
        <f>IF(G3800&lt;&gt;"",J3800/MAX(J$3:J3800)-1,"")</f>
        <v/>
      </c>
      <c r="N3800" s="9" t="str">
        <f>IF(G3800&lt;&gt;"",K3800/MAX(K$3:K3800)-1,"")</f>
        <v/>
      </c>
      <c r="O3800" s="16" t="str">
        <f t="shared" si="575"/>
        <v/>
      </c>
      <c r="P3800" s="16" t="str">
        <f t="shared" si="575"/>
        <v/>
      </c>
      <c r="Q3800" s="16" t="str">
        <f t="shared" si="575"/>
        <v/>
      </c>
      <c r="R3800" s="5" t="str">
        <f t="shared" si="574"/>
        <v/>
      </c>
      <c r="S3800" s="5" t="str">
        <f t="shared" si="578"/>
        <v/>
      </c>
      <c r="T3800" s="5" t="str">
        <f t="shared" ref="T3800:U3815" si="581">IF($G3800&lt;&gt;"",_xlfn.STDEV.S(O3556:O3800),"")</f>
        <v/>
      </c>
      <c r="U3800" s="5" t="str">
        <f t="shared" si="581"/>
        <v/>
      </c>
    </row>
    <row r="3801" spans="7:21" x14ac:dyDescent="0.2">
      <c r="G3801" s="8"/>
      <c r="H3801" s="5"/>
      <c r="J3801" s="10" t="str">
        <f t="shared" si="576"/>
        <v/>
      </c>
      <c r="K3801" s="10" t="str">
        <f t="shared" si="577"/>
        <v/>
      </c>
      <c r="L3801" s="11" t="str">
        <f t="shared" si="579"/>
        <v/>
      </c>
      <c r="M3801" s="9" t="str">
        <f>IF(G3801&lt;&gt;"",J3801/MAX(J$3:J3801)-1,"")</f>
        <v/>
      </c>
      <c r="N3801" s="9" t="str">
        <f>IF(G3801&lt;&gt;"",K3801/MAX(K$3:K3801)-1,"")</f>
        <v/>
      </c>
      <c r="O3801" s="16" t="str">
        <f t="shared" si="575"/>
        <v/>
      </c>
      <c r="P3801" s="16" t="str">
        <f t="shared" si="575"/>
        <v/>
      </c>
      <c r="Q3801" s="16" t="str">
        <f t="shared" si="575"/>
        <v/>
      </c>
      <c r="R3801" s="5" t="str">
        <f t="shared" si="574"/>
        <v/>
      </c>
      <c r="S3801" s="5" t="str">
        <f t="shared" si="578"/>
        <v/>
      </c>
      <c r="T3801" s="5" t="str">
        <f t="shared" si="581"/>
        <v/>
      </c>
      <c r="U3801" s="5" t="str">
        <f t="shared" si="581"/>
        <v/>
      </c>
    </row>
    <row r="3802" spans="7:21" x14ac:dyDescent="0.2">
      <c r="G3802" s="8"/>
      <c r="H3802" s="5"/>
      <c r="J3802" s="10" t="str">
        <f t="shared" si="576"/>
        <v/>
      </c>
      <c r="K3802" s="10" t="str">
        <f t="shared" si="577"/>
        <v/>
      </c>
      <c r="L3802" s="11" t="str">
        <f t="shared" si="579"/>
        <v/>
      </c>
      <c r="M3802" s="9" t="str">
        <f>IF(G3802&lt;&gt;"",J3802/MAX(J$3:J3802)-1,"")</f>
        <v/>
      </c>
      <c r="N3802" s="9" t="str">
        <f>IF(G3802&lt;&gt;"",K3802/MAX(K$3:K3802)-1,"")</f>
        <v/>
      </c>
      <c r="O3802" s="16" t="str">
        <f t="shared" si="575"/>
        <v/>
      </c>
      <c r="P3802" s="16" t="str">
        <f t="shared" si="575"/>
        <v/>
      </c>
      <c r="Q3802" s="16" t="str">
        <f t="shared" si="575"/>
        <v/>
      </c>
      <c r="R3802" s="5" t="str">
        <f t="shared" si="574"/>
        <v/>
      </c>
      <c r="S3802" s="5" t="str">
        <f t="shared" si="578"/>
        <v/>
      </c>
      <c r="T3802" s="5" t="str">
        <f t="shared" si="581"/>
        <v/>
      </c>
      <c r="U3802" s="5" t="str">
        <f t="shared" si="581"/>
        <v/>
      </c>
    </row>
    <row r="3803" spans="7:21" x14ac:dyDescent="0.2">
      <c r="G3803" s="8"/>
      <c r="H3803" s="5"/>
      <c r="J3803" s="10" t="str">
        <f t="shared" si="576"/>
        <v/>
      </c>
      <c r="K3803" s="10" t="str">
        <f t="shared" si="577"/>
        <v/>
      </c>
      <c r="L3803" s="11" t="str">
        <f t="shared" si="579"/>
        <v/>
      </c>
      <c r="M3803" s="9" t="str">
        <f>IF(G3803&lt;&gt;"",J3803/MAX(J$3:J3803)-1,"")</f>
        <v/>
      </c>
      <c r="N3803" s="9" t="str">
        <f>IF(G3803&lt;&gt;"",K3803/MAX(K$3:K3803)-1,"")</f>
        <v/>
      </c>
      <c r="O3803" s="16" t="str">
        <f t="shared" si="575"/>
        <v/>
      </c>
      <c r="P3803" s="16" t="str">
        <f t="shared" si="575"/>
        <v/>
      </c>
      <c r="Q3803" s="16" t="str">
        <f t="shared" si="575"/>
        <v/>
      </c>
      <c r="R3803" s="5" t="str">
        <f t="shared" si="574"/>
        <v/>
      </c>
      <c r="S3803" s="5" t="str">
        <f t="shared" si="578"/>
        <v/>
      </c>
      <c r="T3803" s="5" t="str">
        <f t="shared" si="581"/>
        <v/>
      </c>
      <c r="U3803" s="5" t="str">
        <f t="shared" si="581"/>
        <v/>
      </c>
    </row>
    <row r="3804" spans="7:21" x14ac:dyDescent="0.2">
      <c r="G3804" s="8"/>
      <c r="H3804" s="5"/>
      <c r="J3804" s="10" t="str">
        <f t="shared" si="576"/>
        <v/>
      </c>
      <c r="K3804" s="10" t="str">
        <f t="shared" si="577"/>
        <v/>
      </c>
      <c r="L3804" s="11" t="str">
        <f t="shared" si="579"/>
        <v/>
      </c>
      <c r="M3804" s="9" t="str">
        <f>IF(G3804&lt;&gt;"",J3804/MAX(J$3:J3804)-1,"")</f>
        <v/>
      </c>
      <c r="N3804" s="9" t="str">
        <f>IF(G3804&lt;&gt;"",K3804/MAX(K$3:K3804)-1,"")</f>
        <v/>
      </c>
      <c r="O3804" s="16" t="str">
        <f t="shared" si="575"/>
        <v/>
      </c>
      <c r="P3804" s="16" t="str">
        <f t="shared" si="575"/>
        <v/>
      </c>
      <c r="Q3804" s="16" t="str">
        <f t="shared" si="575"/>
        <v/>
      </c>
      <c r="R3804" s="5" t="str">
        <f t="shared" si="574"/>
        <v/>
      </c>
      <c r="S3804" s="5" t="str">
        <f t="shared" si="578"/>
        <v/>
      </c>
      <c r="T3804" s="5" t="str">
        <f t="shared" si="581"/>
        <v/>
      </c>
      <c r="U3804" s="5" t="str">
        <f t="shared" si="581"/>
        <v/>
      </c>
    </row>
    <row r="3805" spans="7:21" x14ac:dyDescent="0.2">
      <c r="G3805" s="8"/>
      <c r="H3805" s="5"/>
      <c r="J3805" s="10" t="str">
        <f t="shared" si="576"/>
        <v/>
      </c>
      <c r="K3805" s="10" t="str">
        <f t="shared" si="577"/>
        <v/>
      </c>
      <c r="L3805" s="11" t="str">
        <f t="shared" si="579"/>
        <v/>
      </c>
      <c r="M3805" s="9" t="str">
        <f>IF(G3805&lt;&gt;"",J3805/MAX(J$3:J3805)-1,"")</f>
        <v/>
      </c>
      <c r="N3805" s="9" t="str">
        <f>IF(G3805&lt;&gt;"",K3805/MAX(K$3:K3805)-1,"")</f>
        <v/>
      </c>
      <c r="O3805" s="16" t="str">
        <f t="shared" si="575"/>
        <v/>
      </c>
      <c r="P3805" s="16" t="str">
        <f t="shared" si="575"/>
        <v/>
      </c>
      <c r="Q3805" s="16" t="str">
        <f t="shared" si="575"/>
        <v/>
      </c>
      <c r="R3805" s="5" t="str">
        <f t="shared" si="574"/>
        <v/>
      </c>
      <c r="S3805" s="5" t="str">
        <f t="shared" si="578"/>
        <v/>
      </c>
      <c r="T3805" s="5" t="str">
        <f t="shared" si="581"/>
        <v/>
      </c>
      <c r="U3805" s="5" t="str">
        <f t="shared" si="581"/>
        <v/>
      </c>
    </row>
    <row r="3806" spans="7:21" x14ac:dyDescent="0.2">
      <c r="G3806" s="8"/>
      <c r="H3806" s="5"/>
      <c r="J3806" s="10" t="str">
        <f t="shared" si="576"/>
        <v/>
      </c>
      <c r="K3806" s="10" t="str">
        <f t="shared" si="577"/>
        <v/>
      </c>
      <c r="L3806" s="11" t="str">
        <f t="shared" si="579"/>
        <v/>
      </c>
      <c r="M3806" s="9" t="str">
        <f>IF(G3806&lt;&gt;"",J3806/MAX(J$3:J3806)-1,"")</f>
        <v/>
      </c>
      <c r="N3806" s="9" t="str">
        <f>IF(G3806&lt;&gt;"",K3806/MAX(K$3:K3806)-1,"")</f>
        <v/>
      </c>
      <c r="O3806" s="16" t="str">
        <f t="shared" si="575"/>
        <v/>
      </c>
      <c r="P3806" s="16" t="str">
        <f t="shared" si="575"/>
        <v/>
      </c>
      <c r="Q3806" s="16" t="str">
        <f t="shared" si="575"/>
        <v/>
      </c>
      <c r="R3806" s="5" t="str">
        <f t="shared" si="574"/>
        <v/>
      </c>
      <c r="S3806" s="5" t="str">
        <f t="shared" si="578"/>
        <v/>
      </c>
      <c r="T3806" s="5" t="str">
        <f t="shared" si="581"/>
        <v/>
      </c>
      <c r="U3806" s="5" t="str">
        <f t="shared" si="581"/>
        <v/>
      </c>
    </row>
    <row r="3807" spans="7:21" x14ac:dyDescent="0.2">
      <c r="G3807" s="8"/>
      <c r="H3807" s="5"/>
      <c r="J3807" s="10" t="str">
        <f t="shared" si="576"/>
        <v/>
      </c>
      <c r="K3807" s="10" t="str">
        <f t="shared" si="577"/>
        <v/>
      </c>
      <c r="L3807" s="11" t="str">
        <f t="shared" si="579"/>
        <v/>
      </c>
      <c r="M3807" s="9" t="str">
        <f>IF(G3807&lt;&gt;"",J3807/MAX(J$3:J3807)-1,"")</f>
        <v/>
      </c>
      <c r="N3807" s="9" t="str">
        <f>IF(G3807&lt;&gt;"",K3807/MAX(K$3:K3807)-1,"")</f>
        <v/>
      </c>
      <c r="O3807" s="16" t="str">
        <f t="shared" si="575"/>
        <v/>
      </c>
      <c r="P3807" s="16" t="str">
        <f t="shared" si="575"/>
        <v/>
      </c>
      <c r="Q3807" s="16" t="str">
        <f t="shared" si="575"/>
        <v/>
      </c>
      <c r="R3807" s="5" t="str">
        <f t="shared" si="574"/>
        <v/>
      </c>
      <c r="S3807" s="5" t="str">
        <f t="shared" si="578"/>
        <v/>
      </c>
      <c r="T3807" s="5" t="str">
        <f t="shared" si="581"/>
        <v/>
      </c>
      <c r="U3807" s="5" t="str">
        <f t="shared" si="581"/>
        <v/>
      </c>
    </row>
    <row r="3808" spans="7:21" x14ac:dyDescent="0.2">
      <c r="G3808" s="8"/>
      <c r="H3808" s="5"/>
      <c r="J3808" s="10" t="str">
        <f t="shared" si="576"/>
        <v/>
      </c>
      <c r="K3808" s="10" t="str">
        <f t="shared" si="577"/>
        <v/>
      </c>
      <c r="L3808" s="11" t="str">
        <f t="shared" si="579"/>
        <v/>
      </c>
      <c r="M3808" s="9" t="str">
        <f>IF(G3808&lt;&gt;"",J3808/MAX(J$3:J3808)-1,"")</f>
        <v/>
      </c>
      <c r="N3808" s="9" t="str">
        <f>IF(G3808&lt;&gt;"",K3808/MAX(K$3:K3808)-1,"")</f>
        <v/>
      </c>
      <c r="O3808" s="16" t="str">
        <f t="shared" si="575"/>
        <v/>
      </c>
      <c r="P3808" s="16" t="str">
        <f t="shared" si="575"/>
        <v/>
      </c>
      <c r="Q3808" s="16" t="str">
        <f t="shared" si="575"/>
        <v/>
      </c>
      <c r="R3808" s="5" t="str">
        <f t="shared" si="574"/>
        <v/>
      </c>
      <c r="S3808" s="5" t="str">
        <f t="shared" si="578"/>
        <v/>
      </c>
      <c r="T3808" s="5" t="str">
        <f t="shared" si="581"/>
        <v/>
      </c>
      <c r="U3808" s="5" t="str">
        <f t="shared" si="581"/>
        <v/>
      </c>
    </row>
    <row r="3809" spans="7:21" x14ac:dyDescent="0.2">
      <c r="G3809" s="8"/>
      <c r="H3809" s="5"/>
      <c r="J3809" s="10" t="str">
        <f t="shared" si="576"/>
        <v/>
      </c>
      <c r="K3809" s="10" t="str">
        <f t="shared" si="577"/>
        <v/>
      </c>
      <c r="L3809" s="11" t="str">
        <f t="shared" si="579"/>
        <v/>
      </c>
      <c r="M3809" s="9" t="str">
        <f>IF(G3809&lt;&gt;"",J3809/MAX(J$3:J3809)-1,"")</f>
        <v/>
      </c>
      <c r="N3809" s="9" t="str">
        <f>IF(G3809&lt;&gt;"",K3809/MAX(K$3:K3809)-1,"")</f>
        <v/>
      </c>
      <c r="O3809" s="16" t="str">
        <f t="shared" si="575"/>
        <v/>
      </c>
      <c r="P3809" s="16" t="str">
        <f t="shared" si="575"/>
        <v/>
      </c>
      <c r="Q3809" s="16" t="str">
        <f t="shared" si="575"/>
        <v/>
      </c>
      <c r="R3809" s="5" t="str">
        <f t="shared" si="574"/>
        <v/>
      </c>
      <c r="S3809" s="5" t="str">
        <f t="shared" si="578"/>
        <v/>
      </c>
      <c r="T3809" s="5" t="str">
        <f t="shared" si="581"/>
        <v/>
      </c>
      <c r="U3809" s="5" t="str">
        <f t="shared" si="581"/>
        <v/>
      </c>
    </row>
    <row r="3810" spans="7:21" x14ac:dyDescent="0.2">
      <c r="G3810" s="8"/>
      <c r="H3810" s="5"/>
      <c r="J3810" s="10" t="str">
        <f t="shared" si="576"/>
        <v/>
      </c>
      <c r="K3810" s="10" t="str">
        <f t="shared" si="577"/>
        <v/>
      </c>
      <c r="L3810" s="11" t="str">
        <f t="shared" si="579"/>
        <v/>
      </c>
      <c r="M3810" s="9" t="str">
        <f>IF(G3810&lt;&gt;"",J3810/MAX(J$3:J3810)-1,"")</f>
        <v/>
      </c>
      <c r="N3810" s="9" t="str">
        <f>IF(G3810&lt;&gt;"",K3810/MAX(K$3:K3810)-1,"")</f>
        <v/>
      </c>
      <c r="O3810" s="16" t="str">
        <f t="shared" si="575"/>
        <v/>
      </c>
      <c r="P3810" s="16" t="str">
        <f t="shared" si="575"/>
        <v/>
      </c>
      <c r="Q3810" s="16" t="str">
        <f t="shared" si="575"/>
        <v/>
      </c>
      <c r="R3810" s="5" t="str">
        <f t="shared" si="574"/>
        <v/>
      </c>
      <c r="S3810" s="5" t="str">
        <f t="shared" si="578"/>
        <v/>
      </c>
      <c r="T3810" s="5" t="str">
        <f t="shared" si="581"/>
        <v/>
      </c>
      <c r="U3810" s="5" t="str">
        <f t="shared" si="581"/>
        <v/>
      </c>
    </row>
    <row r="3811" spans="7:21" x14ac:dyDescent="0.2">
      <c r="G3811" s="8"/>
      <c r="H3811" s="5"/>
      <c r="J3811" s="10" t="str">
        <f t="shared" si="576"/>
        <v/>
      </c>
      <c r="K3811" s="10" t="str">
        <f t="shared" si="577"/>
        <v/>
      </c>
      <c r="L3811" s="11" t="str">
        <f t="shared" si="579"/>
        <v/>
      </c>
      <c r="M3811" s="9" t="str">
        <f>IF(G3811&lt;&gt;"",J3811/MAX(J$3:J3811)-1,"")</f>
        <v/>
      </c>
      <c r="N3811" s="9" t="str">
        <f>IF(G3811&lt;&gt;"",K3811/MAX(K$3:K3811)-1,"")</f>
        <v/>
      </c>
      <c r="O3811" s="16" t="str">
        <f t="shared" si="575"/>
        <v/>
      </c>
      <c r="P3811" s="16" t="str">
        <f t="shared" si="575"/>
        <v/>
      </c>
      <c r="Q3811" s="16" t="str">
        <f t="shared" si="575"/>
        <v/>
      </c>
      <c r="R3811" s="5" t="str">
        <f t="shared" si="574"/>
        <v/>
      </c>
      <c r="S3811" s="5" t="str">
        <f t="shared" si="578"/>
        <v/>
      </c>
      <c r="T3811" s="5" t="str">
        <f t="shared" si="581"/>
        <v/>
      </c>
      <c r="U3811" s="5" t="str">
        <f t="shared" si="581"/>
        <v/>
      </c>
    </row>
    <row r="3812" spans="7:21" x14ac:dyDescent="0.2">
      <c r="G3812" s="8"/>
      <c r="H3812" s="5"/>
      <c r="J3812" s="10" t="str">
        <f t="shared" si="576"/>
        <v/>
      </c>
      <c r="K3812" s="10" t="str">
        <f t="shared" si="577"/>
        <v/>
      </c>
      <c r="L3812" s="11" t="str">
        <f t="shared" si="579"/>
        <v/>
      </c>
      <c r="M3812" s="9" t="str">
        <f>IF(G3812&lt;&gt;"",J3812/MAX(J$3:J3812)-1,"")</f>
        <v/>
      </c>
      <c r="N3812" s="9" t="str">
        <f>IF(G3812&lt;&gt;"",K3812/MAX(K$3:K3812)-1,"")</f>
        <v/>
      </c>
      <c r="O3812" s="16" t="str">
        <f t="shared" si="575"/>
        <v/>
      </c>
      <c r="P3812" s="16" t="str">
        <f t="shared" si="575"/>
        <v/>
      </c>
      <c r="Q3812" s="16" t="str">
        <f t="shared" si="575"/>
        <v/>
      </c>
      <c r="R3812" s="5" t="str">
        <f t="shared" si="574"/>
        <v/>
      </c>
      <c r="S3812" s="5" t="str">
        <f t="shared" si="578"/>
        <v/>
      </c>
      <c r="T3812" s="5" t="str">
        <f t="shared" si="581"/>
        <v/>
      </c>
      <c r="U3812" s="5" t="str">
        <f t="shared" si="581"/>
        <v/>
      </c>
    </row>
    <row r="3813" spans="7:21" x14ac:dyDescent="0.2">
      <c r="G3813" s="8"/>
      <c r="H3813" s="5"/>
      <c r="J3813" s="10" t="str">
        <f t="shared" si="576"/>
        <v/>
      </c>
      <c r="K3813" s="10" t="str">
        <f t="shared" si="577"/>
        <v/>
      </c>
      <c r="L3813" s="11" t="str">
        <f t="shared" si="579"/>
        <v/>
      </c>
      <c r="M3813" s="9" t="str">
        <f>IF(G3813&lt;&gt;"",J3813/MAX(J$3:J3813)-1,"")</f>
        <v/>
      </c>
      <c r="N3813" s="9" t="str">
        <f>IF(G3813&lt;&gt;"",K3813/MAX(K$3:K3813)-1,"")</f>
        <v/>
      </c>
      <c r="O3813" s="16" t="str">
        <f t="shared" si="575"/>
        <v/>
      </c>
      <c r="P3813" s="16" t="str">
        <f t="shared" si="575"/>
        <v/>
      </c>
      <c r="Q3813" s="16" t="str">
        <f t="shared" si="575"/>
        <v/>
      </c>
      <c r="R3813" s="5" t="str">
        <f t="shared" si="574"/>
        <v/>
      </c>
      <c r="S3813" s="5" t="str">
        <f t="shared" si="578"/>
        <v/>
      </c>
      <c r="T3813" s="5" t="str">
        <f t="shared" si="581"/>
        <v/>
      </c>
      <c r="U3813" s="5" t="str">
        <f t="shared" si="581"/>
        <v/>
      </c>
    </row>
    <row r="3814" spans="7:21" x14ac:dyDescent="0.2">
      <c r="G3814" s="8"/>
      <c r="H3814" s="5"/>
      <c r="J3814" s="10" t="str">
        <f t="shared" si="576"/>
        <v/>
      </c>
      <c r="K3814" s="10" t="str">
        <f t="shared" si="577"/>
        <v/>
      </c>
      <c r="L3814" s="11" t="str">
        <f t="shared" si="579"/>
        <v/>
      </c>
      <c r="M3814" s="9" t="str">
        <f>IF(G3814&lt;&gt;"",J3814/MAX(J$3:J3814)-1,"")</f>
        <v/>
      </c>
      <c r="N3814" s="9" t="str">
        <f>IF(G3814&lt;&gt;"",K3814/MAX(K$3:K3814)-1,"")</f>
        <v/>
      </c>
      <c r="O3814" s="16" t="str">
        <f t="shared" si="575"/>
        <v/>
      </c>
      <c r="P3814" s="16" t="str">
        <f t="shared" si="575"/>
        <v/>
      </c>
      <c r="Q3814" s="16" t="str">
        <f t="shared" si="575"/>
        <v/>
      </c>
      <c r="R3814" s="5" t="str">
        <f t="shared" si="574"/>
        <v/>
      </c>
      <c r="S3814" s="5" t="str">
        <f t="shared" si="578"/>
        <v/>
      </c>
      <c r="T3814" s="5" t="str">
        <f t="shared" si="581"/>
        <v/>
      </c>
      <c r="U3814" s="5" t="str">
        <f t="shared" si="581"/>
        <v/>
      </c>
    </row>
    <row r="3815" spans="7:21" x14ac:dyDescent="0.2">
      <c r="G3815" s="8"/>
      <c r="H3815" s="5"/>
      <c r="J3815" s="10" t="str">
        <f t="shared" si="576"/>
        <v/>
      </c>
      <c r="K3815" s="10" t="str">
        <f t="shared" si="577"/>
        <v/>
      </c>
      <c r="L3815" s="11" t="str">
        <f t="shared" si="579"/>
        <v/>
      </c>
      <c r="M3815" s="9" t="str">
        <f>IF(G3815&lt;&gt;"",J3815/MAX(J$3:J3815)-1,"")</f>
        <v/>
      </c>
      <c r="N3815" s="9" t="str">
        <f>IF(G3815&lt;&gt;"",K3815/MAX(K$3:K3815)-1,"")</f>
        <v/>
      </c>
      <c r="O3815" s="16" t="str">
        <f t="shared" si="575"/>
        <v/>
      </c>
      <c r="P3815" s="16" t="str">
        <f t="shared" si="575"/>
        <v/>
      </c>
      <c r="Q3815" s="16" t="str">
        <f t="shared" si="575"/>
        <v/>
      </c>
      <c r="R3815" s="5" t="str">
        <f t="shared" si="574"/>
        <v/>
      </c>
      <c r="S3815" s="5" t="str">
        <f t="shared" si="578"/>
        <v/>
      </c>
      <c r="T3815" s="5" t="str">
        <f t="shared" si="581"/>
        <v/>
      </c>
      <c r="U3815" s="5" t="str">
        <f t="shared" si="581"/>
        <v/>
      </c>
    </row>
    <row r="3816" spans="7:21" x14ac:dyDescent="0.2">
      <c r="G3816" s="8"/>
      <c r="H3816" s="5"/>
      <c r="J3816" s="10" t="str">
        <f t="shared" si="576"/>
        <v/>
      </c>
      <c r="K3816" s="10" t="str">
        <f t="shared" si="577"/>
        <v/>
      </c>
      <c r="L3816" s="11" t="str">
        <f t="shared" si="579"/>
        <v/>
      </c>
      <c r="M3816" s="9" t="str">
        <f>IF(G3816&lt;&gt;"",J3816/MAX(J$3:J3816)-1,"")</f>
        <v/>
      </c>
      <c r="N3816" s="9" t="str">
        <f>IF(G3816&lt;&gt;"",K3816/MAX(K$3:K3816)-1,"")</f>
        <v/>
      </c>
      <c r="O3816" s="16" t="str">
        <f t="shared" si="575"/>
        <v/>
      </c>
      <c r="P3816" s="16" t="str">
        <f t="shared" si="575"/>
        <v/>
      </c>
      <c r="Q3816" s="16" t="str">
        <f t="shared" si="575"/>
        <v/>
      </c>
      <c r="R3816" s="5" t="str">
        <f t="shared" si="574"/>
        <v/>
      </c>
      <c r="S3816" s="5" t="str">
        <f t="shared" si="578"/>
        <v/>
      </c>
      <c r="T3816" s="5" t="str">
        <f t="shared" ref="T3816:U3831" si="582">IF($G3816&lt;&gt;"",_xlfn.STDEV.S(O3572:O3816),"")</f>
        <v/>
      </c>
      <c r="U3816" s="5" t="str">
        <f t="shared" si="582"/>
        <v/>
      </c>
    </row>
    <row r="3817" spans="7:21" x14ac:dyDescent="0.2">
      <c r="G3817" s="8"/>
      <c r="H3817" s="5"/>
      <c r="J3817" s="10" t="str">
        <f t="shared" si="576"/>
        <v/>
      </c>
      <c r="K3817" s="10" t="str">
        <f t="shared" si="577"/>
        <v/>
      </c>
      <c r="L3817" s="11" t="str">
        <f t="shared" si="579"/>
        <v/>
      </c>
      <c r="M3817" s="9" t="str">
        <f>IF(G3817&lt;&gt;"",J3817/MAX(J$3:J3817)-1,"")</f>
        <v/>
      </c>
      <c r="N3817" s="9" t="str">
        <f>IF(G3817&lt;&gt;"",K3817/MAX(K$3:K3817)-1,"")</f>
        <v/>
      </c>
      <c r="O3817" s="16" t="str">
        <f t="shared" si="575"/>
        <v/>
      </c>
      <c r="P3817" s="16" t="str">
        <f t="shared" si="575"/>
        <v/>
      </c>
      <c r="Q3817" s="16" t="str">
        <f t="shared" si="575"/>
        <v/>
      </c>
      <c r="R3817" s="5" t="str">
        <f t="shared" si="574"/>
        <v/>
      </c>
      <c r="S3817" s="5" t="str">
        <f t="shared" si="578"/>
        <v/>
      </c>
      <c r="T3817" s="5" t="str">
        <f t="shared" si="582"/>
        <v/>
      </c>
      <c r="U3817" s="5" t="str">
        <f t="shared" si="582"/>
        <v/>
      </c>
    </row>
    <row r="3818" spans="7:21" x14ac:dyDescent="0.2">
      <c r="G3818" s="8"/>
      <c r="H3818" s="5"/>
      <c r="J3818" s="10" t="str">
        <f t="shared" si="576"/>
        <v/>
      </c>
      <c r="K3818" s="10" t="str">
        <f t="shared" si="577"/>
        <v/>
      </c>
      <c r="L3818" s="11" t="str">
        <f t="shared" si="579"/>
        <v/>
      </c>
      <c r="M3818" s="9" t="str">
        <f>IF(G3818&lt;&gt;"",J3818/MAX(J$3:J3818)-1,"")</f>
        <v/>
      </c>
      <c r="N3818" s="9" t="str">
        <f>IF(G3818&lt;&gt;"",K3818/MAX(K$3:K3818)-1,"")</f>
        <v/>
      </c>
      <c r="O3818" s="16" t="str">
        <f t="shared" si="575"/>
        <v/>
      </c>
      <c r="P3818" s="16" t="str">
        <f t="shared" si="575"/>
        <v/>
      </c>
      <c r="Q3818" s="16" t="str">
        <f t="shared" si="575"/>
        <v/>
      </c>
      <c r="R3818" s="5" t="str">
        <f t="shared" si="574"/>
        <v/>
      </c>
      <c r="S3818" s="5" t="str">
        <f t="shared" si="578"/>
        <v/>
      </c>
      <c r="T3818" s="5" t="str">
        <f t="shared" si="582"/>
        <v/>
      </c>
      <c r="U3818" s="5" t="str">
        <f t="shared" si="582"/>
        <v/>
      </c>
    </row>
    <row r="3819" spans="7:21" x14ac:dyDescent="0.2">
      <c r="G3819" s="8"/>
      <c r="H3819" s="5"/>
      <c r="J3819" s="10" t="str">
        <f t="shared" si="576"/>
        <v/>
      </c>
      <c r="K3819" s="10" t="str">
        <f t="shared" si="577"/>
        <v/>
      </c>
      <c r="L3819" s="11" t="str">
        <f t="shared" si="579"/>
        <v/>
      </c>
      <c r="M3819" s="9" t="str">
        <f>IF(G3819&lt;&gt;"",J3819/MAX(J$3:J3819)-1,"")</f>
        <v/>
      </c>
      <c r="N3819" s="9" t="str">
        <f>IF(G3819&lt;&gt;"",K3819/MAX(K$3:K3819)-1,"")</f>
        <v/>
      </c>
      <c r="O3819" s="16" t="str">
        <f t="shared" si="575"/>
        <v/>
      </c>
      <c r="P3819" s="16" t="str">
        <f t="shared" si="575"/>
        <v/>
      </c>
      <c r="Q3819" s="16" t="str">
        <f t="shared" si="575"/>
        <v/>
      </c>
      <c r="R3819" s="5" t="str">
        <f t="shared" si="574"/>
        <v/>
      </c>
      <c r="S3819" s="5" t="str">
        <f t="shared" si="578"/>
        <v/>
      </c>
      <c r="T3819" s="5" t="str">
        <f t="shared" si="582"/>
        <v/>
      </c>
      <c r="U3819" s="5" t="str">
        <f t="shared" si="582"/>
        <v/>
      </c>
    </row>
    <row r="3820" spans="7:21" x14ac:dyDescent="0.2">
      <c r="G3820" s="8"/>
      <c r="H3820" s="5"/>
      <c r="J3820" s="10" t="str">
        <f t="shared" si="576"/>
        <v/>
      </c>
      <c r="K3820" s="10" t="str">
        <f t="shared" si="577"/>
        <v/>
      </c>
      <c r="L3820" s="11" t="str">
        <f t="shared" si="579"/>
        <v/>
      </c>
      <c r="M3820" s="9" t="str">
        <f>IF(G3820&lt;&gt;"",J3820/MAX(J$3:J3820)-1,"")</f>
        <v/>
      </c>
      <c r="N3820" s="9" t="str">
        <f>IF(G3820&lt;&gt;"",K3820/MAX(K$3:K3820)-1,"")</f>
        <v/>
      </c>
      <c r="O3820" s="16" t="str">
        <f t="shared" si="575"/>
        <v/>
      </c>
      <c r="P3820" s="16" t="str">
        <f t="shared" si="575"/>
        <v/>
      </c>
      <c r="Q3820" s="16" t="str">
        <f t="shared" si="575"/>
        <v/>
      </c>
      <c r="R3820" s="5" t="str">
        <f t="shared" si="574"/>
        <v/>
      </c>
      <c r="S3820" s="5" t="str">
        <f t="shared" si="578"/>
        <v/>
      </c>
      <c r="T3820" s="5" t="str">
        <f t="shared" si="582"/>
        <v/>
      </c>
      <c r="U3820" s="5" t="str">
        <f t="shared" si="582"/>
        <v/>
      </c>
    </row>
    <row r="3821" spans="7:21" x14ac:dyDescent="0.2">
      <c r="G3821" s="8"/>
      <c r="H3821" s="5"/>
      <c r="J3821" s="10" t="str">
        <f t="shared" si="576"/>
        <v/>
      </c>
      <c r="K3821" s="10" t="str">
        <f t="shared" si="577"/>
        <v/>
      </c>
      <c r="L3821" s="11" t="str">
        <f t="shared" si="579"/>
        <v/>
      </c>
      <c r="M3821" s="9" t="str">
        <f>IF(G3821&lt;&gt;"",J3821/MAX(J$3:J3821)-1,"")</f>
        <v/>
      </c>
      <c r="N3821" s="9" t="str">
        <f>IF(G3821&lt;&gt;"",K3821/MAX(K$3:K3821)-1,"")</f>
        <v/>
      </c>
      <c r="O3821" s="16" t="str">
        <f t="shared" si="575"/>
        <v/>
      </c>
      <c r="P3821" s="16" t="str">
        <f t="shared" si="575"/>
        <v/>
      </c>
      <c r="Q3821" s="16" t="str">
        <f t="shared" si="575"/>
        <v/>
      </c>
      <c r="R3821" s="5" t="str">
        <f t="shared" si="574"/>
        <v/>
      </c>
      <c r="S3821" s="5" t="str">
        <f t="shared" si="578"/>
        <v/>
      </c>
      <c r="T3821" s="5" t="str">
        <f t="shared" si="582"/>
        <v/>
      </c>
      <c r="U3821" s="5" t="str">
        <f t="shared" si="582"/>
        <v/>
      </c>
    </row>
    <row r="3822" spans="7:21" x14ac:dyDescent="0.2">
      <c r="G3822" s="8"/>
      <c r="H3822" s="5"/>
      <c r="J3822" s="10" t="str">
        <f t="shared" si="576"/>
        <v/>
      </c>
      <c r="K3822" s="10" t="str">
        <f t="shared" si="577"/>
        <v/>
      </c>
      <c r="L3822" s="11" t="str">
        <f t="shared" si="579"/>
        <v/>
      </c>
      <c r="M3822" s="9" t="str">
        <f>IF(G3822&lt;&gt;"",J3822/MAX(J$3:J3822)-1,"")</f>
        <v/>
      </c>
      <c r="N3822" s="9" t="str">
        <f>IF(G3822&lt;&gt;"",K3822/MAX(K$3:K3822)-1,"")</f>
        <v/>
      </c>
      <c r="O3822" s="16" t="str">
        <f t="shared" si="575"/>
        <v/>
      </c>
      <c r="P3822" s="16" t="str">
        <f t="shared" si="575"/>
        <v/>
      </c>
      <c r="Q3822" s="16" t="str">
        <f t="shared" si="575"/>
        <v/>
      </c>
      <c r="R3822" s="5" t="str">
        <f t="shared" si="574"/>
        <v/>
      </c>
      <c r="S3822" s="5" t="str">
        <f t="shared" si="578"/>
        <v/>
      </c>
      <c r="T3822" s="5" t="str">
        <f t="shared" si="582"/>
        <v/>
      </c>
      <c r="U3822" s="5" t="str">
        <f t="shared" si="582"/>
        <v/>
      </c>
    </row>
    <row r="3823" spans="7:21" x14ac:dyDescent="0.2">
      <c r="G3823" s="8"/>
      <c r="H3823" s="5"/>
      <c r="J3823" s="10" t="str">
        <f t="shared" si="576"/>
        <v/>
      </c>
      <c r="K3823" s="10" t="str">
        <f t="shared" si="577"/>
        <v/>
      </c>
      <c r="L3823" s="11" t="str">
        <f t="shared" si="579"/>
        <v/>
      </c>
      <c r="M3823" s="9" t="str">
        <f>IF(G3823&lt;&gt;"",J3823/MAX(J$3:J3823)-1,"")</f>
        <v/>
      </c>
      <c r="N3823" s="9" t="str">
        <f>IF(G3823&lt;&gt;"",K3823/MAX(K$3:K3823)-1,"")</f>
        <v/>
      </c>
      <c r="O3823" s="16" t="str">
        <f t="shared" si="575"/>
        <v/>
      </c>
      <c r="P3823" s="16" t="str">
        <f t="shared" si="575"/>
        <v/>
      </c>
      <c r="Q3823" s="16" t="str">
        <f t="shared" si="575"/>
        <v/>
      </c>
      <c r="R3823" s="5" t="str">
        <f t="shared" si="574"/>
        <v/>
      </c>
      <c r="S3823" s="5" t="str">
        <f t="shared" si="578"/>
        <v/>
      </c>
      <c r="T3823" s="5" t="str">
        <f t="shared" si="582"/>
        <v/>
      </c>
      <c r="U3823" s="5" t="str">
        <f t="shared" si="582"/>
        <v/>
      </c>
    </row>
    <row r="3824" spans="7:21" x14ac:dyDescent="0.2">
      <c r="G3824" s="8"/>
      <c r="H3824" s="5"/>
      <c r="J3824" s="10" t="str">
        <f t="shared" si="576"/>
        <v/>
      </c>
      <c r="K3824" s="10" t="str">
        <f t="shared" si="577"/>
        <v/>
      </c>
      <c r="L3824" s="11" t="str">
        <f t="shared" si="579"/>
        <v/>
      </c>
      <c r="M3824" s="9" t="str">
        <f>IF(G3824&lt;&gt;"",J3824/MAX(J$3:J3824)-1,"")</f>
        <v/>
      </c>
      <c r="N3824" s="9" t="str">
        <f>IF(G3824&lt;&gt;"",K3824/MAX(K$3:K3824)-1,"")</f>
        <v/>
      </c>
      <c r="O3824" s="16" t="str">
        <f t="shared" si="575"/>
        <v/>
      </c>
      <c r="P3824" s="16" t="str">
        <f t="shared" si="575"/>
        <v/>
      </c>
      <c r="Q3824" s="16" t="str">
        <f t="shared" si="575"/>
        <v/>
      </c>
      <c r="R3824" s="5" t="str">
        <f t="shared" si="574"/>
        <v/>
      </c>
      <c r="S3824" s="5" t="str">
        <f t="shared" si="578"/>
        <v/>
      </c>
      <c r="T3824" s="5" t="str">
        <f t="shared" si="582"/>
        <v/>
      </c>
      <c r="U3824" s="5" t="str">
        <f t="shared" si="582"/>
        <v/>
      </c>
    </row>
    <row r="3825" spans="7:21" x14ac:dyDescent="0.2">
      <c r="G3825" s="8"/>
      <c r="H3825" s="5"/>
      <c r="J3825" s="10" t="str">
        <f t="shared" si="576"/>
        <v/>
      </c>
      <c r="K3825" s="10" t="str">
        <f t="shared" si="577"/>
        <v/>
      </c>
      <c r="L3825" s="11" t="str">
        <f t="shared" si="579"/>
        <v/>
      </c>
      <c r="M3825" s="9" t="str">
        <f>IF(G3825&lt;&gt;"",J3825/MAX(J$3:J3825)-1,"")</f>
        <v/>
      </c>
      <c r="N3825" s="9" t="str">
        <f>IF(G3825&lt;&gt;"",K3825/MAX(K$3:K3825)-1,"")</f>
        <v/>
      </c>
      <c r="O3825" s="16" t="str">
        <f t="shared" si="575"/>
        <v/>
      </c>
      <c r="P3825" s="16" t="str">
        <f t="shared" si="575"/>
        <v/>
      </c>
      <c r="Q3825" s="16" t="str">
        <f t="shared" si="575"/>
        <v/>
      </c>
      <c r="R3825" s="5" t="str">
        <f t="shared" si="574"/>
        <v/>
      </c>
      <c r="S3825" s="5" t="str">
        <f t="shared" si="578"/>
        <v/>
      </c>
      <c r="T3825" s="5" t="str">
        <f t="shared" si="582"/>
        <v/>
      </c>
      <c r="U3825" s="5" t="str">
        <f t="shared" si="582"/>
        <v/>
      </c>
    </row>
    <row r="3826" spans="7:21" x14ac:dyDescent="0.2">
      <c r="G3826" s="8"/>
      <c r="H3826" s="5"/>
      <c r="J3826" s="10" t="str">
        <f t="shared" si="576"/>
        <v/>
      </c>
      <c r="K3826" s="10" t="str">
        <f t="shared" si="577"/>
        <v/>
      </c>
      <c r="L3826" s="11" t="str">
        <f t="shared" si="579"/>
        <v/>
      </c>
      <c r="M3826" s="9" t="str">
        <f>IF(G3826&lt;&gt;"",J3826/MAX(J$3:J3826)-1,"")</f>
        <v/>
      </c>
      <c r="N3826" s="9" t="str">
        <f>IF(G3826&lt;&gt;"",K3826/MAX(K$3:K3826)-1,"")</f>
        <v/>
      </c>
      <c r="O3826" s="16" t="str">
        <f t="shared" si="575"/>
        <v/>
      </c>
      <c r="P3826" s="16" t="str">
        <f t="shared" si="575"/>
        <v/>
      </c>
      <c r="Q3826" s="16" t="str">
        <f t="shared" si="575"/>
        <v/>
      </c>
      <c r="R3826" s="5" t="str">
        <f t="shared" si="574"/>
        <v/>
      </c>
      <c r="S3826" s="5" t="str">
        <f t="shared" si="578"/>
        <v/>
      </c>
      <c r="T3826" s="5" t="str">
        <f t="shared" si="582"/>
        <v/>
      </c>
      <c r="U3826" s="5" t="str">
        <f t="shared" si="582"/>
        <v/>
      </c>
    </row>
    <row r="3827" spans="7:21" x14ac:dyDescent="0.2">
      <c r="G3827" s="8"/>
      <c r="H3827" s="5"/>
      <c r="J3827" s="10" t="str">
        <f t="shared" si="576"/>
        <v/>
      </c>
      <c r="K3827" s="10" t="str">
        <f t="shared" si="577"/>
        <v/>
      </c>
      <c r="L3827" s="11" t="str">
        <f t="shared" si="579"/>
        <v/>
      </c>
      <c r="M3827" s="9" t="str">
        <f>IF(G3827&lt;&gt;"",J3827/MAX(J$3:J3827)-1,"")</f>
        <v/>
      </c>
      <c r="N3827" s="9" t="str">
        <f>IF(G3827&lt;&gt;"",K3827/MAX(K$3:K3827)-1,"")</f>
        <v/>
      </c>
      <c r="O3827" s="16" t="str">
        <f t="shared" si="575"/>
        <v/>
      </c>
      <c r="P3827" s="16" t="str">
        <f t="shared" si="575"/>
        <v/>
      </c>
      <c r="Q3827" s="16" t="str">
        <f t="shared" si="575"/>
        <v/>
      </c>
      <c r="R3827" s="5" t="str">
        <f t="shared" si="574"/>
        <v/>
      </c>
      <c r="S3827" s="5" t="str">
        <f t="shared" si="578"/>
        <v/>
      </c>
      <c r="T3827" s="5" t="str">
        <f t="shared" si="582"/>
        <v/>
      </c>
      <c r="U3827" s="5" t="str">
        <f t="shared" si="582"/>
        <v/>
      </c>
    </row>
    <row r="3828" spans="7:21" x14ac:dyDescent="0.2">
      <c r="G3828" s="8"/>
      <c r="H3828" s="5"/>
      <c r="J3828" s="10" t="str">
        <f t="shared" si="576"/>
        <v/>
      </c>
      <c r="K3828" s="10" t="str">
        <f t="shared" si="577"/>
        <v/>
      </c>
      <c r="L3828" s="11" t="str">
        <f t="shared" si="579"/>
        <v/>
      </c>
      <c r="M3828" s="9" t="str">
        <f>IF(G3828&lt;&gt;"",J3828/MAX(J$3:J3828)-1,"")</f>
        <v/>
      </c>
      <c r="N3828" s="9" t="str">
        <f>IF(G3828&lt;&gt;"",K3828/MAX(K$3:K3828)-1,"")</f>
        <v/>
      </c>
      <c r="O3828" s="16" t="str">
        <f t="shared" si="575"/>
        <v/>
      </c>
      <c r="P3828" s="16" t="str">
        <f t="shared" si="575"/>
        <v/>
      </c>
      <c r="Q3828" s="16" t="str">
        <f t="shared" si="575"/>
        <v/>
      </c>
      <c r="R3828" s="5" t="str">
        <f t="shared" si="574"/>
        <v/>
      </c>
      <c r="S3828" s="5" t="str">
        <f t="shared" si="578"/>
        <v/>
      </c>
      <c r="T3828" s="5" t="str">
        <f t="shared" si="582"/>
        <v/>
      </c>
      <c r="U3828" s="5" t="str">
        <f t="shared" si="582"/>
        <v/>
      </c>
    </row>
    <row r="3829" spans="7:21" x14ac:dyDescent="0.2">
      <c r="G3829" s="8"/>
      <c r="H3829" s="5"/>
      <c r="J3829" s="10" t="str">
        <f t="shared" si="576"/>
        <v/>
      </c>
      <c r="K3829" s="10" t="str">
        <f t="shared" si="577"/>
        <v/>
      </c>
      <c r="L3829" s="11" t="str">
        <f t="shared" si="579"/>
        <v/>
      </c>
      <c r="M3829" s="9" t="str">
        <f>IF(G3829&lt;&gt;"",J3829/MAX(J$3:J3829)-1,"")</f>
        <v/>
      </c>
      <c r="N3829" s="9" t="str">
        <f>IF(G3829&lt;&gt;"",K3829/MAX(K$3:K3829)-1,"")</f>
        <v/>
      </c>
      <c r="O3829" s="16" t="str">
        <f t="shared" si="575"/>
        <v/>
      </c>
      <c r="P3829" s="16" t="str">
        <f t="shared" si="575"/>
        <v/>
      </c>
      <c r="Q3829" s="16" t="str">
        <f t="shared" si="575"/>
        <v/>
      </c>
      <c r="R3829" s="5" t="str">
        <f t="shared" si="574"/>
        <v/>
      </c>
      <c r="S3829" s="5" t="str">
        <f t="shared" si="578"/>
        <v/>
      </c>
      <c r="T3829" s="5" t="str">
        <f t="shared" si="582"/>
        <v/>
      </c>
      <c r="U3829" s="5" t="str">
        <f t="shared" si="582"/>
        <v/>
      </c>
    </row>
    <row r="3830" spans="7:21" x14ac:dyDescent="0.2">
      <c r="G3830" s="8"/>
      <c r="H3830" s="5"/>
      <c r="J3830" s="10" t="str">
        <f t="shared" si="576"/>
        <v/>
      </c>
      <c r="K3830" s="10" t="str">
        <f t="shared" si="577"/>
        <v/>
      </c>
      <c r="L3830" s="11" t="str">
        <f t="shared" si="579"/>
        <v/>
      </c>
      <c r="M3830" s="9" t="str">
        <f>IF(G3830&lt;&gt;"",J3830/MAX(J$3:J3830)-1,"")</f>
        <v/>
      </c>
      <c r="N3830" s="9" t="str">
        <f>IF(G3830&lt;&gt;"",K3830/MAX(K$3:K3830)-1,"")</f>
        <v/>
      </c>
      <c r="O3830" s="16" t="str">
        <f t="shared" si="575"/>
        <v/>
      </c>
      <c r="P3830" s="16" t="str">
        <f t="shared" si="575"/>
        <v/>
      </c>
      <c r="Q3830" s="16" t="str">
        <f t="shared" si="575"/>
        <v/>
      </c>
      <c r="R3830" s="5" t="str">
        <f t="shared" si="574"/>
        <v/>
      </c>
      <c r="S3830" s="5" t="str">
        <f t="shared" si="578"/>
        <v/>
      </c>
      <c r="T3830" s="5" t="str">
        <f t="shared" si="582"/>
        <v/>
      </c>
      <c r="U3830" s="5" t="str">
        <f t="shared" si="582"/>
        <v/>
      </c>
    </row>
    <row r="3831" spans="7:21" x14ac:dyDescent="0.2">
      <c r="G3831" s="8"/>
      <c r="H3831" s="5"/>
      <c r="J3831" s="10" t="str">
        <f t="shared" si="576"/>
        <v/>
      </c>
      <c r="K3831" s="10" t="str">
        <f t="shared" si="577"/>
        <v/>
      </c>
      <c r="L3831" s="11" t="str">
        <f t="shared" si="579"/>
        <v/>
      </c>
      <c r="M3831" s="9" t="str">
        <f>IF(G3831&lt;&gt;"",J3831/MAX(J$3:J3831)-1,"")</f>
        <v/>
      </c>
      <c r="N3831" s="9" t="str">
        <f>IF(G3831&lt;&gt;"",K3831/MAX(K$3:K3831)-1,"")</f>
        <v/>
      </c>
      <c r="O3831" s="16" t="str">
        <f t="shared" si="575"/>
        <v/>
      </c>
      <c r="P3831" s="16" t="str">
        <f t="shared" si="575"/>
        <v/>
      </c>
      <c r="Q3831" s="16" t="str">
        <f t="shared" si="575"/>
        <v/>
      </c>
      <c r="R3831" s="5" t="str">
        <f t="shared" si="574"/>
        <v/>
      </c>
      <c r="S3831" s="5" t="str">
        <f t="shared" si="578"/>
        <v/>
      </c>
      <c r="T3831" s="5" t="str">
        <f t="shared" si="582"/>
        <v/>
      </c>
      <c r="U3831" s="5" t="str">
        <f t="shared" si="582"/>
        <v/>
      </c>
    </row>
    <row r="3832" spans="7:21" x14ac:dyDescent="0.2">
      <c r="G3832" s="8"/>
      <c r="H3832" s="5"/>
      <c r="J3832" s="10" t="str">
        <f t="shared" si="576"/>
        <v/>
      </c>
      <c r="K3832" s="10" t="str">
        <f t="shared" si="577"/>
        <v/>
      </c>
      <c r="L3832" s="11" t="str">
        <f t="shared" si="579"/>
        <v/>
      </c>
      <c r="M3832" s="9" t="str">
        <f>IF(G3832&lt;&gt;"",J3832/MAX(J$3:J3832)-1,"")</f>
        <v/>
      </c>
      <c r="N3832" s="9" t="str">
        <f>IF(G3832&lt;&gt;"",K3832/MAX(K$3:K3832)-1,"")</f>
        <v/>
      </c>
      <c r="O3832" s="16" t="str">
        <f t="shared" si="575"/>
        <v/>
      </c>
      <c r="P3832" s="16" t="str">
        <f t="shared" si="575"/>
        <v/>
      </c>
      <c r="Q3832" s="16" t="str">
        <f t="shared" si="575"/>
        <v/>
      </c>
      <c r="R3832" s="5" t="str">
        <f t="shared" si="574"/>
        <v/>
      </c>
      <c r="S3832" s="5" t="str">
        <f t="shared" si="578"/>
        <v/>
      </c>
      <c r="T3832" s="5" t="str">
        <f t="shared" ref="T3832:U3847" si="583">IF($G3832&lt;&gt;"",_xlfn.STDEV.S(O3588:O3832),"")</f>
        <v/>
      </c>
      <c r="U3832" s="5" t="str">
        <f t="shared" si="583"/>
        <v/>
      </c>
    </row>
    <row r="3833" spans="7:21" x14ac:dyDescent="0.2">
      <c r="G3833" s="8"/>
      <c r="H3833" s="5"/>
      <c r="J3833" s="10" t="str">
        <f t="shared" si="576"/>
        <v/>
      </c>
      <c r="K3833" s="10" t="str">
        <f t="shared" si="577"/>
        <v/>
      </c>
      <c r="L3833" s="11" t="str">
        <f t="shared" si="579"/>
        <v/>
      </c>
      <c r="M3833" s="9" t="str">
        <f>IF(G3833&lt;&gt;"",J3833/MAX(J$3:J3833)-1,"")</f>
        <v/>
      </c>
      <c r="N3833" s="9" t="str">
        <f>IF(G3833&lt;&gt;"",K3833/MAX(K$3:K3833)-1,"")</f>
        <v/>
      </c>
      <c r="O3833" s="16" t="str">
        <f t="shared" si="575"/>
        <v/>
      </c>
      <c r="P3833" s="16" t="str">
        <f t="shared" si="575"/>
        <v/>
      </c>
      <c r="Q3833" s="16" t="str">
        <f t="shared" si="575"/>
        <v/>
      </c>
      <c r="R3833" s="5" t="str">
        <f t="shared" si="574"/>
        <v/>
      </c>
      <c r="S3833" s="5" t="str">
        <f t="shared" si="578"/>
        <v/>
      </c>
      <c r="T3833" s="5" t="str">
        <f t="shared" si="583"/>
        <v/>
      </c>
      <c r="U3833" s="5" t="str">
        <f t="shared" si="583"/>
        <v/>
      </c>
    </row>
    <row r="3834" spans="7:21" x14ac:dyDescent="0.2">
      <c r="G3834" s="8"/>
      <c r="H3834" s="5"/>
      <c r="J3834" s="10" t="str">
        <f t="shared" si="576"/>
        <v/>
      </c>
      <c r="K3834" s="10" t="str">
        <f t="shared" si="577"/>
        <v/>
      </c>
      <c r="L3834" s="11" t="str">
        <f t="shared" si="579"/>
        <v/>
      </c>
      <c r="M3834" s="9" t="str">
        <f>IF(G3834&lt;&gt;"",J3834/MAX(J$3:J3834)-1,"")</f>
        <v/>
      </c>
      <c r="N3834" s="9" t="str">
        <f>IF(G3834&lt;&gt;"",K3834/MAX(K$3:K3834)-1,"")</f>
        <v/>
      </c>
      <c r="O3834" s="16" t="str">
        <f t="shared" si="575"/>
        <v/>
      </c>
      <c r="P3834" s="16" t="str">
        <f t="shared" si="575"/>
        <v/>
      </c>
      <c r="Q3834" s="16" t="str">
        <f t="shared" si="575"/>
        <v/>
      </c>
      <c r="R3834" s="5" t="str">
        <f t="shared" si="574"/>
        <v/>
      </c>
      <c r="S3834" s="5" t="str">
        <f t="shared" si="578"/>
        <v/>
      </c>
      <c r="T3834" s="5" t="str">
        <f t="shared" si="583"/>
        <v/>
      </c>
      <c r="U3834" s="5" t="str">
        <f t="shared" si="583"/>
        <v/>
      </c>
    </row>
    <row r="3835" spans="7:21" x14ac:dyDescent="0.2">
      <c r="G3835" s="8"/>
      <c r="H3835" s="5"/>
      <c r="J3835" s="10" t="str">
        <f t="shared" si="576"/>
        <v/>
      </c>
      <c r="K3835" s="10" t="str">
        <f t="shared" si="577"/>
        <v/>
      </c>
      <c r="L3835" s="11" t="str">
        <f t="shared" si="579"/>
        <v/>
      </c>
      <c r="M3835" s="9" t="str">
        <f>IF(G3835&lt;&gt;"",J3835/MAX(J$3:J3835)-1,"")</f>
        <v/>
      </c>
      <c r="N3835" s="9" t="str">
        <f>IF(G3835&lt;&gt;"",K3835/MAX(K$3:K3835)-1,"")</f>
        <v/>
      </c>
      <c r="O3835" s="16" t="str">
        <f t="shared" si="575"/>
        <v/>
      </c>
      <c r="P3835" s="16" t="str">
        <f t="shared" si="575"/>
        <v/>
      </c>
      <c r="Q3835" s="16" t="str">
        <f t="shared" si="575"/>
        <v/>
      </c>
      <c r="R3835" s="5" t="str">
        <f t="shared" si="574"/>
        <v/>
      </c>
      <c r="S3835" s="5" t="str">
        <f t="shared" si="578"/>
        <v/>
      </c>
      <c r="T3835" s="5" t="str">
        <f t="shared" si="583"/>
        <v/>
      </c>
      <c r="U3835" s="5" t="str">
        <f t="shared" si="583"/>
        <v/>
      </c>
    </row>
    <row r="3836" spans="7:21" x14ac:dyDescent="0.2">
      <c r="G3836" s="8"/>
      <c r="H3836" s="5"/>
      <c r="J3836" s="10" t="str">
        <f t="shared" si="576"/>
        <v/>
      </c>
      <c r="K3836" s="10" t="str">
        <f t="shared" si="577"/>
        <v/>
      </c>
      <c r="L3836" s="11" t="str">
        <f t="shared" si="579"/>
        <v/>
      </c>
      <c r="M3836" s="9" t="str">
        <f>IF(G3836&lt;&gt;"",J3836/MAX(J$3:J3836)-1,"")</f>
        <v/>
      </c>
      <c r="N3836" s="9" t="str">
        <f>IF(G3836&lt;&gt;"",K3836/MAX(K$3:K3836)-1,"")</f>
        <v/>
      </c>
      <c r="O3836" s="16" t="str">
        <f t="shared" si="575"/>
        <v/>
      </c>
      <c r="P3836" s="16" t="str">
        <f t="shared" si="575"/>
        <v/>
      </c>
      <c r="Q3836" s="16" t="str">
        <f t="shared" si="575"/>
        <v/>
      </c>
      <c r="R3836" s="5" t="str">
        <f t="shared" si="574"/>
        <v/>
      </c>
      <c r="S3836" s="5" t="str">
        <f t="shared" si="578"/>
        <v/>
      </c>
      <c r="T3836" s="5" t="str">
        <f t="shared" si="583"/>
        <v/>
      </c>
      <c r="U3836" s="5" t="str">
        <f t="shared" si="583"/>
        <v/>
      </c>
    </row>
    <row r="3837" spans="7:21" x14ac:dyDescent="0.2">
      <c r="G3837" s="8"/>
      <c r="H3837" s="5"/>
      <c r="J3837" s="10" t="str">
        <f t="shared" si="576"/>
        <v/>
      </c>
      <c r="K3837" s="10" t="str">
        <f t="shared" si="577"/>
        <v/>
      </c>
      <c r="L3837" s="11" t="str">
        <f t="shared" si="579"/>
        <v/>
      </c>
      <c r="M3837" s="9" t="str">
        <f>IF(G3837&lt;&gt;"",J3837/MAX(J$3:J3837)-1,"")</f>
        <v/>
      </c>
      <c r="N3837" s="9" t="str">
        <f>IF(G3837&lt;&gt;"",K3837/MAX(K$3:K3837)-1,"")</f>
        <v/>
      </c>
      <c r="O3837" s="16" t="str">
        <f t="shared" si="575"/>
        <v/>
      </c>
      <c r="P3837" s="16" t="str">
        <f t="shared" si="575"/>
        <v/>
      </c>
      <c r="Q3837" s="16" t="str">
        <f t="shared" si="575"/>
        <v/>
      </c>
      <c r="R3837" s="5" t="str">
        <f t="shared" ref="R3837:R3900" si="584">IF(G3837&lt;&gt;"",_xlfn.STDEV.S(Q3716:Q3837)*SQRT($B$5),"")</f>
        <v/>
      </c>
      <c r="S3837" s="5" t="str">
        <f t="shared" si="578"/>
        <v/>
      </c>
      <c r="T3837" s="5" t="str">
        <f t="shared" si="583"/>
        <v/>
      </c>
      <c r="U3837" s="5" t="str">
        <f t="shared" si="583"/>
        <v/>
      </c>
    </row>
    <row r="3838" spans="7:21" x14ac:dyDescent="0.2">
      <c r="G3838" s="8"/>
      <c r="H3838" s="5"/>
      <c r="J3838" s="10" t="str">
        <f t="shared" si="576"/>
        <v/>
      </c>
      <c r="K3838" s="10" t="str">
        <f t="shared" si="577"/>
        <v/>
      </c>
      <c r="L3838" s="11" t="str">
        <f t="shared" si="579"/>
        <v/>
      </c>
      <c r="M3838" s="9" t="str">
        <f>IF(G3838&lt;&gt;"",J3838/MAX(J$3:J3838)-1,"")</f>
        <v/>
      </c>
      <c r="N3838" s="9" t="str">
        <f>IF(G3838&lt;&gt;"",K3838/MAX(K$3:K3838)-1,"")</f>
        <v/>
      </c>
      <c r="O3838" s="16" t="str">
        <f t="shared" si="575"/>
        <v/>
      </c>
      <c r="P3838" s="16" t="str">
        <f t="shared" si="575"/>
        <v/>
      </c>
      <c r="Q3838" s="16" t="str">
        <f t="shared" si="575"/>
        <v/>
      </c>
      <c r="R3838" s="5" t="str">
        <f t="shared" si="584"/>
        <v/>
      </c>
      <c r="S3838" s="5" t="str">
        <f t="shared" si="578"/>
        <v/>
      </c>
      <c r="T3838" s="5" t="str">
        <f t="shared" si="583"/>
        <v/>
      </c>
      <c r="U3838" s="5" t="str">
        <f t="shared" si="583"/>
        <v/>
      </c>
    </row>
    <row r="3839" spans="7:21" x14ac:dyDescent="0.2">
      <c r="G3839" s="8"/>
      <c r="H3839" s="5"/>
      <c r="J3839" s="10" t="str">
        <f t="shared" si="576"/>
        <v/>
      </c>
      <c r="K3839" s="10" t="str">
        <f t="shared" si="577"/>
        <v/>
      </c>
      <c r="L3839" s="11" t="str">
        <f t="shared" si="579"/>
        <v/>
      </c>
      <c r="M3839" s="9" t="str">
        <f>IF(G3839&lt;&gt;"",J3839/MAX(J$3:J3839)-1,"")</f>
        <v/>
      </c>
      <c r="N3839" s="9" t="str">
        <f>IF(G3839&lt;&gt;"",K3839/MAX(K$3:K3839)-1,"")</f>
        <v/>
      </c>
      <c r="O3839" s="16" t="str">
        <f t="shared" si="575"/>
        <v/>
      </c>
      <c r="P3839" s="16" t="str">
        <f t="shared" si="575"/>
        <v/>
      </c>
      <c r="Q3839" s="16" t="str">
        <f t="shared" si="575"/>
        <v/>
      </c>
      <c r="R3839" s="5" t="str">
        <f t="shared" si="584"/>
        <v/>
      </c>
      <c r="S3839" s="5" t="str">
        <f t="shared" si="578"/>
        <v/>
      </c>
      <c r="T3839" s="5" t="str">
        <f t="shared" si="583"/>
        <v/>
      </c>
      <c r="U3839" s="5" t="str">
        <f t="shared" si="583"/>
        <v/>
      </c>
    </row>
    <row r="3840" spans="7:21" x14ac:dyDescent="0.2">
      <c r="G3840" s="8"/>
      <c r="H3840" s="5"/>
      <c r="J3840" s="10" t="str">
        <f t="shared" si="576"/>
        <v/>
      </c>
      <c r="K3840" s="10" t="str">
        <f t="shared" si="577"/>
        <v/>
      </c>
      <c r="L3840" s="11" t="str">
        <f t="shared" si="579"/>
        <v/>
      </c>
      <c r="M3840" s="9" t="str">
        <f>IF(G3840&lt;&gt;"",J3840/MAX(J$3:J3840)-1,"")</f>
        <v/>
      </c>
      <c r="N3840" s="9" t="str">
        <f>IF(G3840&lt;&gt;"",K3840/MAX(K$3:K3840)-1,"")</f>
        <v/>
      </c>
      <c r="O3840" s="16" t="str">
        <f t="shared" si="575"/>
        <v/>
      </c>
      <c r="P3840" s="16" t="str">
        <f t="shared" si="575"/>
        <v/>
      </c>
      <c r="Q3840" s="16" t="str">
        <f t="shared" si="575"/>
        <v/>
      </c>
      <c r="R3840" s="5" t="str">
        <f t="shared" si="584"/>
        <v/>
      </c>
      <c r="S3840" s="5" t="str">
        <f t="shared" si="578"/>
        <v/>
      </c>
      <c r="T3840" s="5" t="str">
        <f t="shared" si="583"/>
        <v/>
      </c>
      <c r="U3840" s="5" t="str">
        <f t="shared" si="583"/>
        <v/>
      </c>
    </row>
    <row r="3841" spans="7:21" x14ac:dyDescent="0.2">
      <c r="G3841" s="8"/>
      <c r="H3841" s="5"/>
      <c r="J3841" s="10" t="str">
        <f t="shared" si="576"/>
        <v/>
      </c>
      <c r="K3841" s="10" t="str">
        <f t="shared" si="577"/>
        <v/>
      </c>
      <c r="L3841" s="11" t="str">
        <f t="shared" si="579"/>
        <v/>
      </c>
      <c r="M3841" s="9" t="str">
        <f>IF(G3841&lt;&gt;"",J3841/MAX(J$3:J3841)-1,"")</f>
        <v/>
      </c>
      <c r="N3841" s="9" t="str">
        <f>IF(G3841&lt;&gt;"",K3841/MAX(K$3:K3841)-1,"")</f>
        <v/>
      </c>
      <c r="O3841" s="16" t="str">
        <f t="shared" si="575"/>
        <v/>
      </c>
      <c r="P3841" s="16" t="str">
        <f t="shared" si="575"/>
        <v/>
      </c>
      <c r="Q3841" s="16" t="str">
        <f t="shared" si="575"/>
        <v/>
      </c>
      <c r="R3841" s="5" t="str">
        <f t="shared" si="584"/>
        <v/>
      </c>
      <c r="S3841" s="5" t="str">
        <f t="shared" si="578"/>
        <v/>
      </c>
      <c r="T3841" s="5" t="str">
        <f t="shared" si="583"/>
        <v/>
      </c>
      <c r="U3841" s="5" t="str">
        <f t="shared" si="583"/>
        <v/>
      </c>
    </row>
    <row r="3842" spans="7:21" x14ac:dyDescent="0.2">
      <c r="G3842" s="8"/>
      <c r="H3842" s="5"/>
      <c r="J3842" s="10" t="str">
        <f t="shared" si="576"/>
        <v/>
      </c>
      <c r="K3842" s="10" t="str">
        <f t="shared" si="577"/>
        <v/>
      </c>
      <c r="L3842" s="11" t="str">
        <f t="shared" si="579"/>
        <v/>
      </c>
      <c r="M3842" s="9" t="str">
        <f>IF(G3842&lt;&gt;"",J3842/MAX(J$3:J3842)-1,"")</f>
        <v/>
      </c>
      <c r="N3842" s="9" t="str">
        <f>IF(G3842&lt;&gt;"",K3842/MAX(K$3:K3842)-1,"")</f>
        <v/>
      </c>
      <c r="O3842" s="16" t="str">
        <f t="shared" ref="O3842:Q3905" si="585">IF($G3842&lt;&gt;"",J3842/J3841-1,"")</f>
        <v/>
      </c>
      <c r="P3842" s="16" t="str">
        <f t="shared" si="585"/>
        <v/>
      </c>
      <c r="Q3842" s="16" t="str">
        <f t="shared" si="585"/>
        <v/>
      </c>
      <c r="R3842" s="5" t="str">
        <f t="shared" si="584"/>
        <v/>
      </c>
      <c r="S3842" s="5" t="str">
        <f t="shared" si="578"/>
        <v/>
      </c>
      <c r="T3842" s="5" t="str">
        <f t="shared" si="583"/>
        <v/>
      </c>
      <c r="U3842" s="5" t="str">
        <f t="shared" si="583"/>
        <v/>
      </c>
    </row>
    <row r="3843" spans="7:21" x14ac:dyDescent="0.2">
      <c r="G3843" s="8"/>
      <c r="H3843" s="5"/>
      <c r="J3843" s="10" t="str">
        <f t="shared" si="576"/>
        <v/>
      </c>
      <c r="K3843" s="10" t="str">
        <f t="shared" si="577"/>
        <v/>
      </c>
      <c r="L3843" s="11" t="str">
        <f t="shared" si="579"/>
        <v/>
      </c>
      <c r="M3843" s="9" t="str">
        <f>IF(G3843&lt;&gt;"",J3843/MAX(J$3:J3843)-1,"")</f>
        <v/>
      </c>
      <c r="N3843" s="9" t="str">
        <f>IF(G3843&lt;&gt;"",K3843/MAX(K$3:K3843)-1,"")</f>
        <v/>
      </c>
      <c r="O3843" s="16" t="str">
        <f t="shared" si="585"/>
        <v/>
      </c>
      <c r="P3843" s="16" t="str">
        <f t="shared" si="585"/>
        <v/>
      </c>
      <c r="Q3843" s="16" t="str">
        <f t="shared" si="585"/>
        <v/>
      </c>
      <c r="R3843" s="5" t="str">
        <f t="shared" si="584"/>
        <v/>
      </c>
      <c r="S3843" s="5" t="str">
        <f t="shared" si="578"/>
        <v/>
      </c>
      <c r="T3843" s="5" t="str">
        <f t="shared" si="583"/>
        <v/>
      </c>
      <c r="U3843" s="5" t="str">
        <f t="shared" si="583"/>
        <v/>
      </c>
    </row>
    <row r="3844" spans="7:21" x14ac:dyDescent="0.2">
      <c r="G3844" s="8"/>
      <c r="H3844" s="5"/>
      <c r="J3844" s="10" t="str">
        <f t="shared" ref="J3844:J3907" si="586">IF(G3844&lt;&gt;"",1+H3844,"")</f>
        <v/>
      </c>
      <c r="K3844" s="10" t="str">
        <f t="shared" ref="K3844:K3907" si="587">IF(G3844&lt;&gt;"",1+I3844,"")</f>
        <v/>
      </c>
      <c r="L3844" s="11" t="str">
        <f t="shared" si="579"/>
        <v/>
      </c>
      <c r="M3844" s="9" t="str">
        <f>IF(G3844&lt;&gt;"",J3844/MAX(J$3:J3844)-1,"")</f>
        <v/>
      </c>
      <c r="N3844" s="9" t="str">
        <f>IF(G3844&lt;&gt;"",K3844/MAX(K$3:K3844)-1,"")</f>
        <v/>
      </c>
      <c r="O3844" s="16" t="str">
        <f t="shared" si="585"/>
        <v/>
      </c>
      <c r="P3844" s="16" t="str">
        <f t="shared" si="585"/>
        <v/>
      </c>
      <c r="Q3844" s="16" t="str">
        <f t="shared" si="585"/>
        <v/>
      </c>
      <c r="R3844" s="5" t="str">
        <f t="shared" si="584"/>
        <v/>
      </c>
      <c r="S3844" s="5" t="str">
        <f t="shared" ref="S3844:S3907" si="588">IF(R3844&lt;&gt;"",B$12,"")</f>
        <v/>
      </c>
      <c r="T3844" s="5" t="str">
        <f t="shared" si="583"/>
        <v/>
      </c>
      <c r="U3844" s="5" t="str">
        <f t="shared" si="583"/>
        <v/>
      </c>
    </row>
    <row r="3845" spans="7:21" x14ac:dyDescent="0.2">
      <c r="G3845" s="8"/>
      <c r="H3845" s="5"/>
      <c r="J3845" s="10" t="str">
        <f t="shared" si="586"/>
        <v/>
      </c>
      <c r="K3845" s="10" t="str">
        <f t="shared" si="587"/>
        <v/>
      </c>
      <c r="L3845" s="11" t="str">
        <f t="shared" ref="L3845:L3908" si="589">IF(G3845&lt;&gt;"",J3845/K3845,"")</f>
        <v/>
      </c>
      <c r="M3845" s="9" t="str">
        <f>IF(G3845&lt;&gt;"",J3845/MAX(J$3:J3845)-1,"")</f>
        <v/>
      </c>
      <c r="N3845" s="9" t="str">
        <f>IF(G3845&lt;&gt;"",K3845/MAX(K$3:K3845)-1,"")</f>
        <v/>
      </c>
      <c r="O3845" s="16" t="str">
        <f t="shared" si="585"/>
        <v/>
      </c>
      <c r="P3845" s="16" t="str">
        <f t="shared" si="585"/>
        <v/>
      </c>
      <c r="Q3845" s="16" t="str">
        <f t="shared" si="585"/>
        <v/>
      </c>
      <c r="R3845" s="5" t="str">
        <f t="shared" si="584"/>
        <v/>
      </c>
      <c r="S3845" s="5" t="str">
        <f t="shared" si="588"/>
        <v/>
      </c>
      <c r="T3845" s="5" t="str">
        <f t="shared" si="583"/>
        <v/>
      </c>
      <c r="U3845" s="5" t="str">
        <f t="shared" si="583"/>
        <v/>
      </c>
    </row>
    <row r="3846" spans="7:21" x14ac:dyDescent="0.2">
      <c r="G3846" s="8"/>
      <c r="H3846" s="5"/>
      <c r="J3846" s="10" t="str">
        <f t="shared" si="586"/>
        <v/>
      </c>
      <c r="K3846" s="10" t="str">
        <f t="shared" si="587"/>
        <v/>
      </c>
      <c r="L3846" s="11" t="str">
        <f t="shared" si="589"/>
        <v/>
      </c>
      <c r="M3846" s="9" t="str">
        <f>IF(G3846&lt;&gt;"",J3846/MAX(J$3:J3846)-1,"")</f>
        <v/>
      </c>
      <c r="N3846" s="9" t="str">
        <f>IF(G3846&lt;&gt;"",K3846/MAX(K$3:K3846)-1,"")</f>
        <v/>
      </c>
      <c r="O3846" s="16" t="str">
        <f t="shared" si="585"/>
        <v/>
      </c>
      <c r="P3846" s="16" t="str">
        <f t="shared" si="585"/>
        <v/>
      </c>
      <c r="Q3846" s="16" t="str">
        <f t="shared" si="585"/>
        <v/>
      </c>
      <c r="R3846" s="5" t="str">
        <f t="shared" si="584"/>
        <v/>
      </c>
      <c r="S3846" s="5" t="str">
        <f t="shared" si="588"/>
        <v/>
      </c>
      <c r="T3846" s="5" t="str">
        <f t="shared" si="583"/>
        <v/>
      </c>
      <c r="U3846" s="5" t="str">
        <f t="shared" si="583"/>
        <v/>
      </c>
    </row>
    <row r="3847" spans="7:21" x14ac:dyDescent="0.2">
      <c r="G3847" s="8"/>
      <c r="H3847" s="5"/>
      <c r="J3847" s="10" t="str">
        <f t="shared" si="586"/>
        <v/>
      </c>
      <c r="K3847" s="10" t="str">
        <f t="shared" si="587"/>
        <v/>
      </c>
      <c r="L3847" s="11" t="str">
        <f t="shared" si="589"/>
        <v/>
      </c>
      <c r="M3847" s="9" t="str">
        <f>IF(G3847&lt;&gt;"",J3847/MAX(J$3:J3847)-1,"")</f>
        <v/>
      </c>
      <c r="N3847" s="9" t="str">
        <f>IF(G3847&lt;&gt;"",K3847/MAX(K$3:K3847)-1,"")</f>
        <v/>
      </c>
      <c r="O3847" s="16" t="str">
        <f t="shared" si="585"/>
        <v/>
      </c>
      <c r="P3847" s="16" t="str">
        <f t="shared" si="585"/>
        <v/>
      </c>
      <c r="Q3847" s="16" t="str">
        <f t="shared" si="585"/>
        <v/>
      </c>
      <c r="R3847" s="5" t="str">
        <f t="shared" si="584"/>
        <v/>
      </c>
      <c r="S3847" s="5" t="str">
        <f t="shared" si="588"/>
        <v/>
      </c>
      <c r="T3847" s="5" t="str">
        <f t="shared" si="583"/>
        <v/>
      </c>
      <c r="U3847" s="5" t="str">
        <f t="shared" si="583"/>
        <v/>
      </c>
    </row>
    <row r="3848" spans="7:21" x14ac:dyDescent="0.2">
      <c r="G3848" s="8"/>
      <c r="H3848" s="5"/>
      <c r="J3848" s="10" t="str">
        <f t="shared" si="586"/>
        <v/>
      </c>
      <c r="K3848" s="10" t="str">
        <f t="shared" si="587"/>
        <v/>
      </c>
      <c r="L3848" s="11" t="str">
        <f t="shared" si="589"/>
        <v/>
      </c>
      <c r="M3848" s="9" t="str">
        <f>IF(G3848&lt;&gt;"",J3848/MAX(J$3:J3848)-1,"")</f>
        <v/>
      </c>
      <c r="N3848" s="9" t="str">
        <f>IF(G3848&lt;&gt;"",K3848/MAX(K$3:K3848)-1,"")</f>
        <v/>
      </c>
      <c r="O3848" s="16" t="str">
        <f t="shared" si="585"/>
        <v/>
      </c>
      <c r="P3848" s="16" t="str">
        <f t="shared" si="585"/>
        <v/>
      </c>
      <c r="Q3848" s="16" t="str">
        <f t="shared" si="585"/>
        <v/>
      </c>
      <c r="R3848" s="5" t="str">
        <f t="shared" si="584"/>
        <v/>
      </c>
      <c r="S3848" s="5" t="str">
        <f t="shared" si="588"/>
        <v/>
      </c>
      <c r="T3848" s="5" t="str">
        <f t="shared" ref="T3848:U3863" si="590">IF($G3848&lt;&gt;"",_xlfn.STDEV.S(O3604:O3848),"")</f>
        <v/>
      </c>
      <c r="U3848" s="5" t="str">
        <f t="shared" si="590"/>
        <v/>
      </c>
    </row>
    <row r="3849" spans="7:21" x14ac:dyDescent="0.2">
      <c r="G3849" s="8"/>
      <c r="H3849" s="5"/>
      <c r="J3849" s="10" t="str">
        <f t="shared" si="586"/>
        <v/>
      </c>
      <c r="K3849" s="10" t="str">
        <f t="shared" si="587"/>
        <v/>
      </c>
      <c r="L3849" s="11" t="str">
        <f t="shared" si="589"/>
        <v/>
      </c>
      <c r="M3849" s="9" t="str">
        <f>IF(G3849&lt;&gt;"",J3849/MAX(J$3:J3849)-1,"")</f>
        <v/>
      </c>
      <c r="N3849" s="9" t="str">
        <f>IF(G3849&lt;&gt;"",K3849/MAX(K$3:K3849)-1,"")</f>
        <v/>
      </c>
      <c r="O3849" s="16" t="str">
        <f t="shared" si="585"/>
        <v/>
      </c>
      <c r="P3849" s="16" t="str">
        <f t="shared" si="585"/>
        <v/>
      </c>
      <c r="Q3849" s="16" t="str">
        <f t="shared" si="585"/>
        <v/>
      </c>
      <c r="R3849" s="5" t="str">
        <f t="shared" si="584"/>
        <v/>
      </c>
      <c r="S3849" s="5" t="str">
        <f t="shared" si="588"/>
        <v/>
      </c>
      <c r="T3849" s="5" t="str">
        <f t="shared" si="590"/>
        <v/>
      </c>
      <c r="U3849" s="5" t="str">
        <f t="shared" si="590"/>
        <v/>
      </c>
    </row>
    <row r="3850" spans="7:21" x14ac:dyDescent="0.2">
      <c r="G3850" s="8"/>
      <c r="H3850" s="5"/>
      <c r="J3850" s="10" t="str">
        <f t="shared" si="586"/>
        <v/>
      </c>
      <c r="K3850" s="10" t="str">
        <f t="shared" si="587"/>
        <v/>
      </c>
      <c r="L3850" s="11" t="str">
        <f t="shared" si="589"/>
        <v/>
      </c>
      <c r="M3850" s="9" t="str">
        <f>IF(G3850&lt;&gt;"",J3850/MAX(J$3:J3850)-1,"")</f>
        <v/>
      </c>
      <c r="N3850" s="9" t="str">
        <f>IF(G3850&lt;&gt;"",K3850/MAX(K$3:K3850)-1,"")</f>
        <v/>
      </c>
      <c r="O3850" s="16" t="str">
        <f t="shared" si="585"/>
        <v/>
      </c>
      <c r="P3850" s="16" t="str">
        <f t="shared" si="585"/>
        <v/>
      </c>
      <c r="Q3850" s="16" t="str">
        <f t="shared" si="585"/>
        <v/>
      </c>
      <c r="R3850" s="5" t="str">
        <f t="shared" si="584"/>
        <v/>
      </c>
      <c r="S3850" s="5" t="str">
        <f t="shared" si="588"/>
        <v/>
      </c>
      <c r="T3850" s="5" t="str">
        <f t="shared" si="590"/>
        <v/>
      </c>
      <c r="U3850" s="5" t="str">
        <f t="shared" si="590"/>
        <v/>
      </c>
    </row>
    <row r="3851" spans="7:21" x14ac:dyDescent="0.2">
      <c r="G3851" s="8"/>
      <c r="H3851" s="5"/>
      <c r="J3851" s="10" t="str">
        <f t="shared" si="586"/>
        <v/>
      </c>
      <c r="K3851" s="10" t="str">
        <f t="shared" si="587"/>
        <v/>
      </c>
      <c r="L3851" s="11" t="str">
        <f t="shared" si="589"/>
        <v/>
      </c>
      <c r="M3851" s="9" t="str">
        <f>IF(G3851&lt;&gt;"",J3851/MAX(J$3:J3851)-1,"")</f>
        <v/>
      </c>
      <c r="N3851" s="9" t="str">
        <f>IF(G3851&lt;&gt;"",K3851/MAX(K$3:K3851)-1,"")</f>
        <v/>
      </c>
      <c r="O3851" s="16" t="str">
        <f t="shared" si="585"/>
        <v/>
      </c>
      <c r="P3851" s="16" t="str">
        <f t="shared" si="585"/>
        <v/>
      </c>
      <c r="Q3851" s="16" t="str">
        <f t="shared" si="585"/>
        <v/>
      </c>
      <c r="R3851" s="5" t="str">
        <f t="shared" si="584"/>
        <v/>
      </c>
      <c r="S3851" s="5" t="str">
        <f t="shared" si="588"/>
        <v/>
      </c>
      <c r="T3851" s="5" t="str">
        <f t="shared" si="590"/>
        <v/>
      </c>
      <c r="U3851" s="5" t="str">
        <f t="shared" si="590"/>
        <v/>
      </c>
    </row>
    <row r="3852" spans="7:21" x14ac:dyDescent="0.2">
      <c r="G3852" s="8"/>
      <c r="H3852" s="5"/>
      <c r="J3852" s="10" t="str">
        <f t="shared" si="586"/>
        <v/>
      </c>
      <c r="K3852" s="10" t="str">
        <f t="shared" si="587"/>
        <v/>
      </c>
      <c r="L3852" s="11" t="str">
        <f t="shared" si="589"/>
        <v/>
      </c>
      <c r="M3852" s="9" t="str">
        <f>IF(G3852&lt;&gt;"",J3852/MAX(J$3:J3852)-1,"")</f>
        <v/>
      </c>
      <c r="N3852" s="9" t="str">
        <f>IF(G3852&lt;&gt;"",K3852/MAX(K$3:K3852)-1,"")</f>
        <v/>
      </c>
      <c r="O3852" s="16" t="str">
        <f t="shared" si="585"/>
        <v/>
      </c>
      <c r="P3852" s="16" t="str">
        <f t="shared" si="585"/>
        <v/>
      </c>
      <c r="Q3852" s="16" t="str">
        <f t="shared" si="585"/>
        <v/>
      </c>
      <c r="R3852" s="5" t="str">
        <f t="shared" si="584"/>
        <v/>
      </c>
      <c r="S3852" s="5" t="str">
        <f t="shared" si="588"/>
        <v/>
      </c>
      <c r="T3852" s="5" t="str">
        <f t="shared" si="590"/>
        <v/>
      </c>
      <c r="U3852" s="5" t="str">
        <f t="shared" si="590"/>
        <v/>
      </c>
    </row>
    <row r="3853" spans="7:21" x14ac:dyDescent="0.2">
      <c r="G3853" s="8"/>
      <c r="H3853" s="5"/>
      <c r="J3853" s="10" t="str">
        <f t="shared" si="586"/>
        <v/>
      </c>
      <c r="K3853" s="10" t="str">
        <f t="shared" si="587"/>
        <v/>
      </c>
      <c r="L3853" s="11" t="str">
        <f t="shared" si="589"/>
        <v/>
      </c>
      <c r="M3853" s="9" t="str">
        <f>IF(G3853&lt;&gt;"",J3853/MAX(J$3:J3853)-1,"")</f>
        <v/>
      </c>
      <c r="N3853" s="9" t="str">
        <f>IF(G3853&lt;&gt;"",K3853/MAX(K$3:K3853)-1,"")</f>
        <v/>
      </c>
      <c r="O3853" s="16" t="str">
        <f t="shared" si="585"/>
        <v/>
      </c>
      <c r="P3853" s="16" t="str">
        <f t="shared" si="585"/>
        <v/>
      </c>
      <c r="Q3853" s="16" t="str">
        <f t="shared" si="585"/>
        <v/>
      </c>
      <c r="R3853" s="5" t="str">
        <f t="shared" si="584"/>
        <v/>
      </c>
      <c r="S3853" s="5" t="str">
        <f t="shared" si="588"/>
        <v/>
      </c>
      <c r="T3853" s="5" t="str">
        <f t="shared" si="590"/>
        <v/>
      </c>
      <c r="U3853" s="5" t="str">
        <f t="shared" si="590"/>
        <v/>
      </c>
    </row>
    <row r="3854" spans="7:21" x14ac:dyDescent="0.2">
      <c r="G3854" s="8"/>
      <c r="H3854" s="5"/>
      <c r="J3854" s="10" t="str">
        <f t="shared" si="586"/>
        <v/>
      </c>
      <c r="K3854" s="10" t="str">
        <f t="shared" si="587"/>
        <v/>
      </c>
      <c r="L3854" s="11" t="str">
        <f t="shared" si="589"/>
        <v/>
      </c>
      <c r="M3854" s="9" t="str">
        <f>IF(G3854&lt;&gt;"",J3854/MAX(J$3:J3854)-1,"")</f>
        <v/>
      </c>
      <c r="N3854" s="9" t="str">
        <f>IF(G3854&lt;&gt;"",K3854/MAX(K$3:K3854)-1,"")</f>
        <v/>
      </c>
      <c r="O3854" s="16" t="str">
        <f t="shared" si="585"/>
        <v/>
      </c>
      <c r="P3854" s="16" t="str">
        <f t="shared" si="585"/>
        <v/>
      </c>
      <c r="Q3854" s="16" t="str">
        <f t="shared" si="585"/>
        <v/>
      </c>
      <c r="R3854" s="5" t="str">
        <f t="shared" si="584"/>
        <v/>
      </c>
      <c r="S3854" s="5" t="str">
        <f t="shared" si="588"/>
        <v/>
      </c>
      <c r="T3854" s="5" t="str">
        <f t="shared" si="590"/>
        <v/>
      </c>
      <c r="U3854" s="5" t="str">
        <f t="shared" si="590"/>
        <v/>
      </c>
    </row>
    <row r="3855" spans="7:21" x14ac:dyDescent="0.2">
      <c r="G3855" s="8"/>
      <c r="H3855" s="5"/>
      <c r="J3855" s="10" t="str">
        <f t="shared" si="586"/>
        <v/>
      </c>
      <c r="K3855" s="10" t="str">
        <f t="shared" si="587"/>
        <v/>
      </c>
      <c r="L3855" s="11" t="str">
        <f t="shared" si="589"/>
        <v/>
      </c>
      <c r="M3855" s="9" t="str">
        <f>IF(G3855&lt;&gt;"",J3855/MAX(J$3:J3855)-1,"")</f>
        <v/>
      </c>
      <c r="N3855" s="9" t="str">
        <f>IF(G3855&lt;&gt;"",K3855/MAX(K$3:K3855)-1,"")</f>
        <v/>
      </c>
      <c r="O3855" s="16" t="str">
        <f t="shared" si="585"/>
        <v/>
      </c>
      <c r="P3855" s="16" t="str">
        <f t="shared" si="585"/>
        <v/>
      </c>
      <c r="Q3855" s="16" t="str">
        <f t="shared" si="585"/>
        <v/>
      </c>
      <c r="R3855" s="5" t="str">
        <f t="shared" si="584"/>
        <v/>
      </c>
      <c r="S3855" s="5" t="str">
        <f t="shared" si="588"/>
        <v/>
      </c>
      <c r="T3855" s="5" t="str">
        <f t="shared" si="590"/>
        <v/>
      </c>
      <c r="U3855" s="5" t="str">
        <f t="shared" si="590"/>
        <v/>
      </c>
    </row>
    <row r="3856" spans="7:21" x14ac:dyDescent="0.2">
      <c r="G3856" s="8"/>
      <c r="H3856" s="5"/>
      <c r="J3856" s="10" t="str">
        <f t="shared" si="586"/>
        <v/>
      </c>
      <c r="K3856" s="10" t="str">
        <f t="shared" si="587"/>
        <v/>
      </c>
      <c r="L3856" s="11" t="str">
        <f t="shared" si="589"/>
        <v/>
      </c>
      <c r="M3856" s="9" t="str">
        <f>IF(G3856&lt;&gt;"",J3856/MAX(J$3:J3856)-1,"")</f>
        <v/>
      </c>
      <c r="N3856" s="9" t="str">
        <f>IF(G3856&lt;&gt;"",K3856/MAX(K$3:K3856)-1,"")</f>
        <v/>
      </c>
      <c r="O3856" s="16" t="str">
        <f t="shared" si="585"/>
        <v/>
      </c>
      <c r="P3856" s="16" t="str">
        <f t="shared" si="585"/>
        <v/>
      </c>
      <c r="Q3856" s="16" t="str">
        <f t="shared" si="585"/>
        <v/>
      </c>
      <c r="R3856" s="5" t="str">
        <f t="shared" si="584"/>
        <v/>
      </c>
      <c r="S3856" s="5" t="str">
        <f t="shared" si="588"/>
        <v/>
      </c>
      <c r="T3856" s="5" t="str">
        <f t="shared" si="590"/>
        <v/>
      </c>
      <c r="U3856" s="5" t="str">
        <f t="shared" si="590"/>
        <v/>
      </c>
    </row>
    <row r="3857" spans="7:21" x14ac:dyDescent="0.2">
      <c r="G3857" s="8"/>
      <c r="H3857" s="5"/>
      <c r="J3857" s="10" t="str">
        <f t="shared" si="586"/>
        <v/>
      </c>
      <c r="K3857" s="10" t="str">
        <f t="shared" si="587"/>
        <v/>
      </c>
      <c r="L3857" s="11" t="str">
        <f t="shared" si="589"/>
        <v/>
      </c>
      <c r="M3857" s="9" t="str">
        <f>IF(G3857&lt;&gt;"",J3857/MAX(J$3:J3857)-1,"")</f>
        <v/>
      </c>
      <c r="N3857" s="9" t="str">
        <f>IF(G3857&lt;&gt;"",K3857/MAX(K$3:K3857)-1,"")</f>
        <v/>
      </c>
      <c r="O3857" s="16" t="str">
        <f t="shared" si="585"/>
        <v/>
      </c>
      <c r="P3857" s="16" t="str">
        <f t="shared" si="585"/>
        <v/>
      </c>
      <c r="Q3857" s="16" t="str">
        <f t="shared" si="585"/>
        <v/>
      </c>
      <c r="R3857" s="5" t="str">
        <f t="shared" si="584"/>
        <v/>
      </c>
      <c r="S3857" s="5" t="str">
        <f t="shared" si="588"/>
        <v/>
      </c>
      <c r="T3857" s="5" t="str">
        <f t="shared" si="590"/>
        <v/>
      </c>
      <c r="U3857" s="5" t="str">
        <f t="shared" si="590"/>
        <v/>
      </c>
    </row>
    <row r="3858" spans="7:21" x14ac:dyDescent="0.2">
      <c r="G3858" s="8"/>
      <c r="H3858" s="5"/>
      <c r="J3858" s="10" t="str">
        <f t="shared" si="586"/>
        <v/>
      </c>
      <c r="K3858" s="10" t="str">
        <f t="shared" si="587"/>
        <v/>
      </c>
      <c r="L3858" s="11" t="str">
        <f t="shared" si="589"/>
        <v/>
      </c>
      <c r="M3858" s="9" t="str">
        <f>IF(G3858&lt;&gt;"",J3858/MAX(J$3:J3858)-1,"")</f>
        <v/>
      </c>
      <c r="N3858" s="9" t="str">
        <f>IF(G3858&lt;&gt;"",K3858/MAX(K$3:K3858)-1,"")</f>
        <v/>
      </c>
      <c r="O3858" s="16" t="str">
        <f t="shared" si="585"/>
        <v/>
      </c>
      <c r="P3858" s="16" t="str">
        <f t="shared" si="585"/>
        <v/>
      </c>
      <c r="Q3858" s="16" t="str">
        <f t="shared" si="585"/>
        <v/>
      </c>
      <c r="R3858" s="5" t="str">
        <f t="shared" si="584"/>
        <v/>
      </c>
      <c r="S3858" s="5" t="str">
        <f t="shared" si="588"/>
        <v/>
      </c>
      <c r="T3858" s="5" t="str">
        <f t="shared" si="590"/>
        <v/>
      </c>
      <c r="U3858" s="5" t="str">
        <f t="shared" si="590"/>
        <v/>
      </c>
    </row>
    <row r="3859" spans="7:21" x14ac:dyDescent="0.2">
      <c r="G3859" s="8"/>
      <c r="H3859" s="5"/>
      <c r="J3859" s="10" t="str">
        <f t="shared" si="586"/>
        <v/>
      </c>
      <c r="K3859" s="10" t="str">
        <f t="shared" si="587"/>
        <v/>
      </c>
      <c r="L3859" s="11" t="str">
        <f t="shared" si="589"/>
        <v/>
      </c>
      <c r="M3859" s="9" t="str">
        <f>IF(G3859&lt;&gt;"",J3859/MAX(J$3:J3859)-1,"")</f>
        <v/>
      </c>
      <c r="N3859" s="9" t="str">
        <f>IF(G3859&lt;&gt;"",K3859/MAX(K$3:K3859)-1,"")</f>
        <v/>
      </c>
      <c r="O3859" s="16" t="str">
        <f t="shared" si="585"/>
        <v/>
      </c>
      <c r="P3859" s="16" t="str">
        <f t="shared" si="585"/>
        <v/>
      </c>
      <c r="Q3859" s="16" t="str">
        <f t="shared" si="585"/>
        <v/>
      </c>
      <c r="R3859" s="5" t="str">
        <f t="shared" si="584"/>
        <v/>
      </c>
      <c r="S3859" s="5" t="str">
        <f t="shared" si="588"/>
        <v/>
      </c>
      <c r="T3859" s="5" t="str">
        <f t="shared" si="590"/>
        <v/>
      </c>
      <c r="U3859" s="5" t="str">
        <f t="shared" si="590"/>
        <v/>
      </c>
    </row>
    <row r="3860" spans="7:21" x14ac:dyDescent="0.2">
      <c r="G3860" s="8"/>
      <c r="H3860" s="5"/>
      <c r="J3860" s="10" t="str">
        <f t="shared" si="586"/>
        <v/>
      </c>
      <c r="K3860" s="10" t="str">
        <f t="shared" si="587"/>
        <v/>
      </c>
      <c r="L3860" s="11" t="str">
        <f t="shared" si="589"/>
        <v/>
      </c>
      <c r="M3860" s="9" t="str">
        <f>IF(G3860&lt;&gt;"",J3860/MAX(J$3:J3860)-1,"")</f>
        <v/>
      </c>
      <c r="N3860" s="9" t="str">
        <f>IF(G3860&lt;&gt;"",K3860/MAX(K$3:K3860)-1,"")</f>
        <v/>
      </c>
      <c r="O3860" s="16" t="str">
        <f t="shared" si="585"/>
        <v/>
      </c>
      <c r="P3860" s="16" t="str">
        <f t="shared" si="585"/>
        <v/>
      </c>
      <c r="Q3860" s="16" t="str">
        <f t="shared" si="585"/>
        <v/>
      </c>
      <c r="R3860" s="5" t="str">
        <f t="shared" si="584"/>
        <v/>
      </c>
      <c r="S3860" s="5" t="str">
        <f t="shared" si="588"/>
        <v/>
      </c>
      <c r="T3860" s="5" t="str">
        <f t="shared" si="590"/>
        <v/>
      </c>
      <c r="U3860" s="5" t="str">
        <f t="shared" si="590"/>
        <v/>
      </c>
    </row>
    <row r="3861" spans="7:21" x14ac:dyDescent="0.2">
      <c r="G3861" s="8"/>
      <c r="H3861" s="5"/>
      <c r="J3861" s="10" t="str">
        <f t="shared" si="586"/>
        <v/>
      </c>
      <c r="K3861" s="10" t="str">
        <f t="shared" si="587"/>
        <v/>
      </c>
      <c r="L3861" s="11" t="str">
        <f t="shared" si="589"/>
        <v/>
      </c>
      <c r="M3861" s="9" t="str">
        <f>IF(G3861&lt;&gt;"",J3861/MAX(J$3:J3861)-1,"")</f>
        <v/>
      </c>
      <c r="N3861" s="9" t="str">
        <f>IF(G3861&lt;&gt;"",K3861/MAX(K$3:K3861)-1,"")</f>
        <v/>
      </c>
      <c r="O3861" s="16" t="str">
        <f t="shared" si="585"/>
        <v/>
      </c>
      <c r="P3861" s="16" t="str">
        <f t="shared" si="585"/>
        <v/>
      </c>
      <c r="Q3861" s="16" t="str">
        <f t="shared" si="585"/>
        <v/>
      </c>
      <c r="R3861" s="5" t="str">
        <f t="shared" si="584"/>
        <v/>
      </c>
      <c r="S3861" s="5" t="str">
        <f t="shared" si="588"/>
        <v/>
      </c>
      <c r="T3861" s="5" t="str">
        <f t="shared" si="590"/>
        <v/>
      </c>
      <c r="U3861" s="5" t="str">
        <f t="shared" si="590"/>
        <v/>
      </c>
    </row>
    <row r="3862" spans="7:21" x14ac:dyDescent="0.2">
      <c r="G3862" s="8"/>
      <c r="H3862" s="5"/>
      <c r="J3862" s="10" t="str">
        <f t="shared" si="586"/>
        <v/>
      </c>
      <c r="K3862" s="10" t="str">
        <f t="shared" si="587"/>
        <v/>
      </c>
      <c r="L3862" s="11" t="str">
        <f t="shared" si="589"/>
        <v/>
      </c>
      <c r="M3862" s="9" t="str">
        <f>IF(G3862&lt;&gt;"",J3862/MAX(J$3:J3862)-1,"")</f>
        <v/>
      </c>
      <c r="N3862" s="9" t="str">
        <f>IF(G3862&lt;&gt;"",K3862/MAX(K$3:K3862)-1,"")</f>
        <v/>
      </c>
      <c r="O3862" s="16" t="str">
        <f t="shared" si="585"/>
        <v/>
      </c>
      <c r="P3862" s="16" t="str">
        <f t="shared" si="585"/>
        <v/>
      </c>
      <c r="Q3862" s="16" t="str">
        <f t="shared" si="585"/>
        <v/>
      </c>
      <c r="R3862" s="5" t="str">
        <f t="shared" si="584"/>
        <v/>
      </c>
      <c r="S3862" s="5" t="str">
        <f t="shared" si="588"/>
        <v/>
      </c>
      <c r="T3862" s="5" t="str">
        <f t="shared" si="590"/>
        <v/>
      </c>
      <c r="U3862" s="5" t="str">
        <f t="shared" si="590"/>
        <v/>
      </c>
    </row>
    <row r="3863" spans="7:21" x14ac:dyDescent="0.2">
      <c r="G3863" s="8"/>
      <c r="H3863" s="5"/>
      <c r="J3863" s="10" t="str">
        <f t="shared" si="586"/>
        <v/>
      </c>
      <c r="K3863" s="10" t="str">
        <f t="shared" si="587"/>
        <v/>
      </c>
      <c r="L3863" s="11" t="str">
        <f t="shared" si="589"/>
        <v/>
      </c>
      <c r="M3863" s="9" t="str">
        <f>IF(G3863&lt;&gt;"",J3863/MAX(J$3:J3863)-1,"")</f>
        <v/>
      </c>
      <c r="N3863" s="9" t="str">
        <f>IF(G3863&lt;&gt;"",K3863/MAX(K$3:K3863)-1,"")</f>
        <v/>
      </c>
      <c r="O3863" s="16" t="str">
        <f t="shared" si="585"/>
        <v/>
      </c>
      <c r="P3863" s="16" t="str">
        <f t="shared" si="585"/>
        <v/>
      </c>
      <c r="Q3863" s="16" t="str">
        <f t="shared" si="585"/>
        <v/>
      </c>
      <c r="R3863" s="5" t="str">
        <f t="shared" si="584"/>
        <v/>
      </c>
      <c r="S3863" s="5" t="str">
        <f t="shared" si="588"/>
        <v/>
      </c>
      <c r="T3863" s="5" t="str">
        <f t="shared" si="590"/>
        <v/>
      </c>
      <c r="U3863" s="5" t="str">
        <f t="shared" si="590"/>
        <v/>
      </c>
    </row>
    <row r="3864" spans="7:21" x14ac:dyDescent="0.2">
      <c r="G3864" s="8"/>
      <c r="H3864" s="5"/>
      <c r="J3864" s="10" t="str">
        <f t="shared" si="586"/>
        <v/>
      </c>
      <c r="K3864" s="10" t="str">
        <f t="shared" si="587"/>
        <v/>
      </c>
      <c r="L3864" s="11" t="str">
        <f t="shared" si="589"/>
        <v/>
      </c>
      <c r="M3864" s="9" t="str">
        <f>IF(G3864&lt;&gt;"",J3864/MAX(J$3:J3864)-1,"")</f>
        <v/>
      </c>
      <c r="N3864" s="9" t="str">
        <f>IF(G3864&lt;&gt;"",K3864/MAX(K$3:K3864)-1,"")</f>
        <v/>
      </c>
      <c r="O3864" s="16" t="str">
        <f t="shared" si="585"/>
        <v/>
      </c>
      <c r="P3864" s="16" t="str">
        <f t="shared" si="585"/>
        <v/>
      </c>
      <c r="Q3864" s="16" t="str">
        <f t="shared" si="585"/>
        <v/>
      </c>
      <c r="R3864" s="5" t="str">
        <f t="shared" si="584"/>
        <v/>
      </c>
      <c r="S3864" s="5" t="str">
        <f t="shared" si="588"/>
        <v/>
      </c>
      <c r="T3864" s="5" t="str">
        <f t="shared" ref="T3864:U3879" si="591">IF($G3864&lt;&gt;"",_xlfn.STDEV.S(O3620:O3864),"")</f>
        <v/>
      </c>
      <c r="U3864" s="5" t="str">
        <f t="shared" si="591"/>
        <v/>
      </c>
    </row>
    <row r="3865" spans="7:21" x14ac:dyDescent="0.2">
      <c r="G3865" s="8"/>
      <c r="H3865" s="5"/>
      <c r="J3865" s="10" t="str">
        <f t="shared" si="586"/>
        <v/>
      </c>
      <c r="K3865" s="10" t="str">
        <f t="shared" si="587"/>
        <v/>
      </c>
      <c r="L3865" s="11" t="str">
        <f t="shared" si="589"/>
        <v/>
      </c>
      <c r="M3865" s="9" t="str">
        <f>IF(G3865&lt;&gt;"",J3865/MAX(J$3:J3865)-1,"")</f>
        <v/>
      </c>
      <c r="N3865" s="9" t="str">
        <f>IF(G3865&lt;&gt;"",K3865/MAX(K$3:K3865)-1,"")</f>
        <v/>
      </c>
      <c r="O3865" s="16" t="str">
        <f t="shared" si="585"/>
        <v/>
      </c>
      <c r="P3865" s="16" t="str">
        <f t="shared" si="585"/>
        <v/>
      </c>
      <c r="Q3865" s="16" t="str">
        <f t="shared" si="585"/>
        <v/>
      </c>
      <c r="R3865" s="5" t="str">
        <f t="shared" si="584"/>
        <v/>
      </c>
      <c r="S3865" s="5" t="str">
        <f t="shared" si="588"/>
        <v/>
      </c>
      <c r="T3865" s="5" t="str">
        <f t="shared" si="591"/>
        <v/>
      </c>
      <c r="U3865" s="5" t="str">
        <f t="shared" si="591"/>
        <v/>
      </c>
    </row>
    <row r="3866" spans="7:21" x14ac:dyDescent="0.2">
      <c r="G3866" s="8"/>
      <c r="H3866" s="5"/>
      <c r="J3866" s="10" t="str">
        <f t="shared" si="586"/>
        <v/>
      </c>
      <c r="K3866" s="10" t="str">
        <f t="shared" si="587"/>
        <v/>
      </c>
      <c r="L3866" s="11" t="str">
        <f t="shared" si="589"/>
        <v/>
      </c>
      <c r="M3866" s="9" t="str">
        <f>IF(G3866&lt;&gt;"",J3866/MAX(J$3:J3866)-1,"")</f>
        <v/>
      </c>
      <c r="N3866" s="9" t="str">
        <f>IF(G3866&lt;&gt;"",K3866/MAX(K$3:K3866)-1,"")</f>
        <v/>
      </c>
      <c r="O3866" s="16" t="str">
        <f t="shared" si="585"/>
        <v/>
      </c>
      <c r="P3866" s="16" t="str">
        <f t="shared" si="585"/>
        <v/>
      </c>
      <c r="Q3866" s="16" t="str">
        <f t="shared" si="585"/>
        <v/>
      </c>
      <c r="R3866" s="5" t="str">
        <f t="shared" si="584"/>
        <v/>
      </c>
      <c r="S3866" s="5" t="str">
        <f t="shared" si="588"/>
        <v/>
      </c>
      <c r="T3866" s="5" t="str">
        <f t="shared" si="591"/>
        <v/>
      </c>
      <c r="U3866" s="5" t="str">
        <f t="shared" si="591"/>
        <v/>
      </c>
    </row>
    <row r="3867" spans="7:21" x14ac:dyDescent="0.2">
      <c r="G3867" s="8"/>
      <c r="H3867" s="5"/>
      <c r="J3867" s="10" t="str">
        <f t="shared" si="586"/>
        <v/>
      </c>
      <c r="K3867" s="10" t="str">
        <f t="shared" si="587"/>
        <v/>
      </c>
      <c r="L3867" s="11" t="str">
        <f t="shared" si="589"/>
        <v/>
      </c>
      <c r="M3867" s="9" t="str">
        <f>IF(G3867&lt;&gt;"",J3867/MAX(J$3:J3867)-1,"")</f>
        <v/>
      </c>
      <c r="N3867" s="9" t="str">
        <f>IF(G3867&lt;&gt;"",K3867/MAX(K$3:K3867)-1,"")</f>
        <v/>
      </c>
      <c r="O3867" s="16" t="str">
        <f t="shared" si="585"/>
        <v/>
      </c>
      <c r="P3867" s="16" t="str">
        <f t="shared" si="585"/>
        <v/>
      </c>
      <c r="Q3867" s="16" t="str">
        <f t="shared" si="585"/>
        <v/>
      </c>
      <c r="R3867" s="5" t="str">
        <f t="shared" si="584"/>
        <v/>
      </c>
      <c r="S3867" s="5" t="str">
        <f t="shared" si="588"/>
        <v/>
      </c>
      <c r="T3867" s="5" t="str">
        <f t="shared" si="591"/>
        <v/>
      </c>
      <c r="U3867" s="5" t="str">
        <f t="shared" si="591"/>
        <v/>
      </c>
    </row>
    <row r="3868" spans="7:21" x14ac:dyDescent="0.2">
      <c r="G3868" s="8"/>
      <c r="H3868" s="5"/>
      <c r="J3868" s="10" t="str">
        <f t="shared" si="586"/>
        <v/>
      </c>
      <c r="K3868" s="10" t="str">
        <f t="shared" si="587"/>
        <v/>
      </c>
      <c r="L3868" s="11" t="str">
        <f t="shared" si="589"/>
        <v/>
      </c>
      <c r="M3868" s="9" t="str">
        <f>IF(G3868&lt;&gt;"",J3868/MAX(J$3:J3868)-1,"")</f>
        <v/>
      </c>
      <c r="N3868" s="9" t="str">
        <f>IF(G3868&lt;&gt;"",K3868/MAX(K$3:K3868)-1,"")</f>
        <v/>
      </c>
      <c r="O3868" s="16" t="str">
        <f t="shared" si="585"/>
        <v/>
      </c>
      <c r="P3868" s="16" t="str">
        <f t="shared" si="585"/>
        <v/>
      </c>
      <c r="Q3868" s="16" t="str">
        <f t="shared" si="585"/>
        <v/>
      </c>
      <c r="R3868" s="5" t="str">
        <f t="shared" si="584"/>
        <v/>
      </c>
      <c r="S3868" s="5" t="str">
        <f t="shared" si="588"/>
        <v/>
      </c>
      <c r="T3868" s="5" t="str">
        <f t="shared" si="591"/>
        <v/>
      </c>
      <c r="U3868" s="5" t="str">
        <f t="shared" si="591"/>
        <v/>
      </c>
    </row>
    <row r="3869" spans="7:21" x14ac:dyDescent="0.2">
      <c r="G3869" s="8"/>
      <c r="H3869" s="5"/>
      <c r="J3869" s="10" t="str">
        <f t="shared" si="586"/>
        <v/>
      </c>
      <c r="K3869" s="10" t="str">
        <f t="shared" si="587"/>
        <v/>
      </c>
      <c r="L3869" s="11" t="str">
        <f t="shared" si="589"/>
        <v/>
      </c>
      <c r="M3869" s="9" t="str">
        <f>IF(G3869&lt;&gt;"",J3869/MAX(J$3:J3869)-1,"")</f>
        <v/>
      </c>
      <c r="N3869" s="9" t="str">
        <f>IF(G3869&lt;&gt;"",K3869/MAX(K$3:K3869)-1,"")</f>
        <v/>
      </c>
      <c r="O3869" s="16" t="str">
        <f t="shared" si="585"/>
        <v/>
      </c>
      <c r="P3869" s="16" t="str">
        <f t="shared" si="585"/>
        <v/>
      </c>
      <c r="Q3869" s="16" t="str">
        <f t="shared" si="585"/>
        <v/>
      </c>
      <c r="R3869" s="5" t="str">
        <f t="shared" si="584"/>
        <v/>
      </c>
      <c r="S3869" s="5" t="str">
        <f t="shared" si="588"/>
        <v/>
      </c>
      <c r="T3869" s="5" t="str">
        <f t="shared" si="591"/>
        <v/>
      </c>
      <c r="U3869" s="5" t="str">
        <f t="shared" si="591"/>
        <v/>
      </c>
    </row>
    <row r="3870" spans="7:21" x14ac:dyDescent="0.2">
      <c r="G3870" s="8"/>
      <c r="H3870" s="5"/>
      <c r="J3870" s="10" t="str">
        <f t="shared" si="586"/>
        <v/>
      </c>
      <c r="K3870" s="10" t="str">
        <f t="shared" si="587"/>
        <v/>
      </c>
      <c r="L3870" s="11" t="str">
        <f t="shared" si="589"/>
        <v/>
      </c>
      <c r="M3870" s="9" t="str">
        <f>IF(G3870&lt;&gt;"",J3870/MAX(J$3:J3870)-1,"")</f>
        <v/>
      </c>
      <c r="N3870" s="9" t="str">
        <f>IF(G3870&lt;&gt;"",K3870/MAX(K$3:K3870)-1,"")</f>
        <v/>
      </c>
      <c r="O3870" s="16" t="str">
        <f t="shared" si="585"/>
        <v/>
      </c>
      <c r="P3870" s="16" t="str">
        <f t="shared" si="585"/>
        <v/>
      </c>
      <c r="Q3870" s="16" t="str">
        <f t="shared" si="585"/>
        <v/>
      </c>
      <c r="R3870" s="5" t="str">
        <f t="shared" si="584"/>
        <v/>
      </c>
      <c r="S3870" s="5" t="str">
        <f t="shared" si="588"/>
        <v/>
      </c>
      <c r="T3870" s="5" t="str">
        <f t="shared" si="591"/>
        <v/>
      </c>
      <c r="U3870" s="5" t="str">
        <f t="shared" si="591"/>
        <v/>
      </c>
    </row>
    <row r="3871" spans="7:21" x14ac:dyDescent="0.2">
      <c r="G3871" s="8"/>
      <c r="H3871" s="5"/>
      <c r="J3871" s="10" t="str">
        <f t="shared" si="586"/>
        <v/>
      </c>
      <c r="K3871" s="10" t="str">
        <f t="shared" si="587"/>
        <v/>
      </c>
      <c r="L3871" s="11" t="str">
        <f t="shared" si="589"/>
        <v/>
      </c>
      <c r="M3871" s="9" t="str">
        <f>IF(G3871&lt;&gt;"",J3871/MAX(J$3:J3871)-1,"")</f>
        <v/>
      </c>
      <c r="N3871" s="9" t="str">
        <f>IF(G3871&lt;&gt;"",K3871/MAX(K$3:K3871)-1,"")</f>
        <v/>
      </c>
      <c r="O3871" s="16" t="str">
        <f t="shared" si="585"/>
        <v/>
      </c>
      <c r="P3871" s="16" t="str">
        <f t="shared" si="585"/>
        <v/>
      </c>
      <c r="Q3871" s="16" t="str">
        <f t="shared" si="585"/>
        <v/>
      </c>
      <c r="R3871" s="5" t="str">
        <f t="shared" si="584"/>
        <v/>
      </c>
      <c r="S3871" s="5" t="str">
        <f t="shared" si="588"/>
        <v/>
      </c>
      <c r="T3871" s="5" t="str">
        <f t="shared" si="591"/>
        <v/>
      </c>
      <c r="U3871" s="5" t="str">
        <f t="shared" si="591"/>
        <v/>
      </c>
    </row>
    <row r="3872" spans="7:21" x14ac:dyDescent="0.2">
      <c r="G3872" s="8"/>
      <c r="H3872" s="5"/>
      <c r="J3872" s="10" t="str">
        <f t="shared" si="586"/>
        <v/>
      </c>
      <c r="K3872" s="10" t="str">
        <f t="shared" si="587"/>
        <v/>
      </c>
      <c r="L3872" s="11" t="str">
        <f t="shared" si="589"/>
        <v/>
      </c>
      <c r="M3872" s="9" t="str">
        <f>IF(G3872&lt;&gt;"",J3872/MAX(J$3:J3872)-1,"")</f>
        <v/>
      </c>
      <c r="N3872" s="9" t="str">
        <f>IF(G3872&lt;&gt;"",K3872/MAX(K$3:K3872)-1,"")</f>
        <v/>
      </c>
      <c r="O3872" s="16" t="str">
        <f t="shared" si="585"/>
        <v/>
      </c>
      <c r="P3872" s="16" t="str">
        <f t="shared" si="585"/>
        <v/>
      </c>
      <c r="Q3872" s="16" t="str">
        <f t="shared" si="585"/>
        <v/>
      </c>
      <c r="R3872" s="5" t="str">
        <f t="shared" si="584"/>
        <v/>
      </c>
      <c r="S3872" s="5" t="str">
        <f t="shared" si="588"/>
        <v/>
      </c>
      <c r="T3872" s="5" t="str">
        <f t="shared" si="591"/>
        <v/>
      </c>
      <c r="U3872" s="5" t="str">
        <f t="shared" si="591"/>
        <v/>
      </c>
    </row>
    <row r="3873" spans="7:21" x14ac:dyDescent="0.2">
      <c r="G3873" s="8"/>
      <c r="H3873" s="5"/>
      <c r="J3873" s="10" t="str">
        <f t="shared" si="586"/>
        <v/>
      </c>
      <c r="K3873" s="10" t="str">
        <f t="shared" si="587"/>
        <v/>
      </c>
      <c r="L3873" s="11" t="str">
        <f t="shared" si="589"/>
        <v/>
      </c>
      <c r="M3873" s="9" t="str">
        <f>IF(G3873&lt;&gt;"",J3873/MAX(J$3:J3873)-1,"")</f>
        <v/>
      </c>
      <c r="N3873" s="9" t="str">
        <f>IF(G3873&lt;&gt;"",K3873/MAX(K$3:K3873)-1,"")</f>
        <v/>
      </c>
      <c r="O3873" s="16" t="str">
        <f t="shared" si="585"/>
        <v/>
      </c>
      <c r="P3873" s="16" t="str">
        <f t="shared" si="585"/>
        <v/>
      </c>
      <c r="Q3873" s="16" t="str">
        <f t="shared" si="585"/>
        <v/>
      </c>
      <c r="R3873" s="5" t="str">
        <f t="shared" si="584"/>
        <v/>
      </c>
      <c r="S3873" s="5" t="str">
        <f t="shared" si="588"/>
        <v/>
      </c>
      <c r="T3873" s="5" t="str">
        <f t="shared" si="591"/>
        <v/>
      </c>
      <c r="U3873" s="5" t="str">
        <f t="shared" si="591"/>
        <v/>
      </c>
    </row>
    <row r="3874" spans="7:21" x14ac:dyDescent="0.2">
      <c r="G3874" s="8"/>
      <c r="H3874" s="5"/>
      <c r="J3874" s="10" t="str">
        <f t="shared" si="586"/>
        <v/>
      </c>
      <c r="K3874" s="10" t="str">
        <f t="shared" si="587"/>
        <v/>
      </c>
      <c r="L3874" s="11" t="str">
        <f t="shared" si="589"/>
        <v/>
      </c>
      <c r="M3874" s="9" t="str">
        <f>IF(G3874&lt;&gt;"",J3874/MAX(J$3:J3874)-1,"")</f>
        <v/>
      </c>
      <c r="N3874" s="9" t="str">
        <f>IF(G3874&lt;&gt;"",K3874/MAX(K$3:K3874)-1,"")</f>
        <v/>
      </c>
      <c r="O3874" s="16" t="str">
        <f t="shared" si="585"/>
        <v/>
      </c>
      <c r="P3874" s="16" t="str">
        <f t="shared" si="585"/>
        <v/>
      </c>
      <c r="Q3874" s="16" t="str">
        <f t="shared" si="585"/>
        <v/>
      </c>
      <c r="R3874" s="5" t="str">
        <f t="shared" si="584"/>
        <v/>
      </c>
      <c r="S3874" s="5" t="str">
        <f t="shared" si="588"/>
        <v/>
      </c>
      <c r="T3874" s="5" t="str">
        <f t="shared" si="591"/>
        <v/>
      </c>
      <c r="U3874" s="5" t="str">
        <f t="shared" si="591"/>
        <v/>
      </c>
    </row>
    <row r="3875" spans="7:21" x14ac:dyDescent="0.2">
      <c r="G3875" s="8"/>
      <c r="H3875" s="5"/>
      <c r="J3875" s="10" t="str">
        <f t="shared" si="586"/>
        <v/>
      </c>
      <c r="K3875" s="10" t="str">
        <f t="shared" si="587"/>
        <v/>
      </c>
      <c r="L3875" s="11" t="str">
        <f t="shared" si="589"/>
        <v/>
      </c>
      <c r="M3875" s="9" t="str">
        <f>IF(G3875&lt;&gt;"",J3875/MAX(J$3:J3875)-1,"")</f>
        <v/>
      </c>
      <c r="N3875" s="9" t="str">
        <f>IF(G3875&lt;&gt;"",K3875/MAX(K$3:K3875)-1,"")</f>
        <v/>
      </c>
      <c r="O3875" s="16" t="str">
        <f t="shared" si="585"/>
        <v/>
      </c>
      <c r="P3875" s="16" t="str">
        <f t="shared" si="585"/>
        <v/>
      </c>
      <c r="Q3875" s="16" t="str">
        <f t="shared" si="585"/>
        <v/>
      </c>
      <c r="R3875" s="5" t="str">
        <f t="shared" si="584"/>
        <v/>
      </c>
      <c r="S3875" s="5" t="str">
        <f t="shared" si="588"/>
        <v/>
      </c>
      <c r="T3875" s="5" t="str">
        <f t="shared" si="591"/>
        <v/>
      </c>
      <c r="U3875" s="5" t="str">
        <f t="shared" si="591"/>
        <v/>
      </c>
    </row>
    <row r="3876" spans="7:21" x14ac:dyDescent="0.2">
      <c r="G3876" s="8"/>
      <c r="H3876" s="5"/>
      <c r="J3876" s="10" t="str">
        <f t="shared" si="586"/>
        <v/>
      </c>
      <c r="K3876" s="10" t="str">
        <f t="shared" si="587"/>
        <v/>
      </c>
      <c r="L3876" s="11" t="str">
        <f t="shared" si="589"/>
        <v/>
      </c>
      <c r="M3876" s="9" t="str">
        <f>IF(G3876&lt;&gt;"",J3876/MAX(J$3:J3876)-1,"")</f>
        <v/>
      </c>
      <c r="N3876" s="9" t="str">
        <f>IF(G3876&lt;&gt;"",K3876/MAX(K$3:K3876)-1,"")</f>
        <v/>
      </c>
      <c r="O3876" s="16" t="str">
        <f t="shared" si="585"/>
        <v/>
      </c>
      <c r="P3876" s="16" t="str">
        <f t="shared" si="585"/>
        <v/>
      </c>
      <c r="Q3876" s="16" t="str">
        <f t="shared" si="585"/>
        <v/>
      </c>
      <c r="R3876" s="5" t="str">
        <f t="shared" si="584"/>
        <v/>
      </c>
      <c r="S3876" s="5" t="str">
        <f t="shared" si="588"/>
        <v/>
      </c>
      <c r="T3876" s="5" t="str">
        <f t="shared" si="591"/>
        <v/>
      </c>
      <c r="U3876" s="5" t="str">
        <f t="shared" si="591"/>
        <v/>
      </c>
    </row>
    <row r="3877" spans="7:21" x14ac:dyDescent="0.2">
      <c r="G3877" s="8"/>
      <c r="H3877" s="5"/>
      <c r="J3877" s="10" t="str">
        <f t="shared" si="586"/>
        <v/>
      </c>
      <c r="K3877" s="10" t="str">
        <f t="shared" si="587"/>
        <v/>
      </c>
      <c r="L3877" s="11" t="str">
        <f t="shared" si="589"/>
        <v/>
      </c>
      <c r="M3877" s="9" t="str">
        <f>IF(G3877&lt;&gt;"",J3877/MAX(J$3:J3877)-1,"")</f>
        <v/>
      </c>
      <c r="N3877" s="9" t="str">
        <f>IF(G3877&lt;&gt;"",K3877/MAX(K$3:K3877)-1,"")</f>
        <v/>
      </c>
      <c r="O3877" s="16" t="str">
        <f t="shared" si="585"/>
        <v/>
      </c>
      <c r="P3877" s="16" t="str">
        <f t="shared" si="585"/>
        <v/>
      </c>
      <c r="Q3877" s="16" t="str">
        <f t="shared" si="585"/>
        <v/>
      </c>
      <c r="R3877" s="5" t="str">
        <f t="shared" si="584"/>
        <v/>
      </c>
      <c r="S3877" s="5" t="str">
        <f t="shared" si="588"/>
        <v/>
      </c>
      <c r="T3877" s="5" t="str">
        <f t="shared" si="591"/>
        <v/>
      </c>
      <c r="U3877" s="5" t="str">
        <f t="shared" si="591"/>
        <v/>
      </c>
    </row>
    <row r="3878" spans="7:21" x14ac:dyDescent="0.2">
      <c r="G3878" s="8"/>
      <c r="H3878" s="5"/>
      <c r="J3878" s="10" t="str">
        <f t="shared" si="586"/>
        <v/>
      </c>
      <c r="K3878" s="10" t="str">
        <f t="shared" si="587"/>
        <v/>
      </c>
      <c r="L3878" s="11" t="str">
        <f t="shared" si="589"/>
        <v/>
      </c>
      <c r="M3878" s="9" t="str">
        <f>IF(G3878&lt;&gt;"",J3878/MAX(J$3:J3878)-1,"")</f>
        <v/>
      </c>
      <c r="N3878" s="9" t="str">
        <f>IF(G3878&lt;&gt;"",K3878/MAX(K$3:K3878)-1,"")</f>
        <v/>
      </c>
      <c r="O3878" s="16" t="str">
        <f t="shared" si="585"/>
        <v/>
      </c>
      <c r="P3878" s="16" t="str">
        <f t="shared" si="585"/>
        <v/>
      </c>
      <c r="Q3878" s="16" t="str">
        <f t="shared" si="585"/>
        <v/>
      </c>
      <c r="R3878" s="5" t="str">
        <f t="shared" si="584"/>
        <v/>
      </c>
      <c r="S3878" s="5" t="str">
        <f t="shared" si="588"/>
        <v/>
      </c>
      <c r="T3878" s="5" t="str">
        <f t="shared" si="591"/>
        <v/>
      </c>
      <c r="U3878" s="5" t="str">
        <f t="shared" si="591"/>
        <v/>
      </c>
    </row>
    <row r="3879" spans="7:21" x14ac:dyDescent="0.2">
      <c r="G3879" s="8"/>
      <c r="H3879" s="5"/>
      <c r="J3879" s="10" t="str">
        <f t="shared" si="586"/>
        <v/>
      </c>
      <c r="K3879" s="10" t="str">
        <f t="shared" si="587"/>
        <v/>
      </c>
      <c r="L3879" s="11" t="str">
        <f t="shared" si="589"/>
        <v/>
      </c>
      <c r="M3879" s="9" t="str">
        <f>IF(G3879&lt;&gt;"",J3879/MAX(J$3:J3879)-1,"")</f>
        <v/>
      </c>
      <c r="N3879" s="9" t="str">
        <f>IF(G3879&lt;&gt;"",K3879/MAX(K$3:K3879)-1,"")</f>
        <v/>
      </c>
      <c r="O3879" s="16" t="str">
        <f t="shared" si="585"/>
        <v/>
      </c>
      <c r="P3879" s="16" t="str">
        <f t="shared" si="585"/>
        <v/>
      </c>
      <c r="Q3879" s="16" t="str">
        <f t="shared" si="585"/>
        <v/>
      </c>
      <c r="R3879" s="5" t="str">
        <f t="shared" si="584"/>
        <v/>
      </c>
      <c r="S3879" s="5" t="str">
        <f t="shared" si="588"/>
        <v/>
      </c>
      <c r="T3879" s="5" t="str">
        <f t="shared" si="591"/>
        <v/>
      </c>
      <c r="U3879" s="5" t="str">
        <f t="shared" si="591"/>
        <v/>
      </c>
    </row>
    <row r="3880" spans="7:21" x14ac:dyDescent="0.2">
      <c r="G3880" s="8"/>
      <c r="H3880" s="5"/>
      <c r="J3880" s="10" t="str">
        <f t="shared" si="586"/>
        <v/>
      </c>
      <c r="K3880" s="10" t="str">
        <f t="shared" si="587"/>
        <v/>
      </c>
      <c r="L3880" s="11" t="str">
        <f t="shared" si="589"/>
        <v/>
      </c>
      <c r="M3880" s="9" t="str">
        <f>IF(G3880&lt;&gt;"",J3880/MAX(J$3:J3880)-1,"")</f>
        <v/>
      </c>
      <c r="N3880" s="9" t="str">
        <f>IF(G3880&lt;&gt;"",K3880/MAX(K$3:K3880)-1,"")</f>
        <v/>
      </c>
      <c r="O3880" s="16" t="str">
        <f t="shared" si="585"/>
        <v/>
      </c>
      <c r="P3880" s="16" t="str">
        <f t="shared" si="585"/>
        <v/>
      </c>
      <c r="Q3880" s="16" t="str">
        <f t="shared" si="585"/>
        <v/>
      </c>
      <c r="R3880" s="5" t="str">
        <f t="shared" si="584"/>
        <v/>
      </c>
      <c r="S3880" s="5" t="str">
        <f t="shared" si="588"/>
        <v/>
      </c>
      <c r="T3880" s="5" t="str">
        <f t="shared" ref="T3880:U3895" si="592">IF($G3880&lt;&gt;"",_xlfn.STDEV.S(O3636:O3880),"")</f>
        <v/>
      </c>
      <c r="U3880" s="5" t="str">
        <f t="shared" si="592"/>
        <v/>
      </c>
    </row>
    <row r="3881" spans="7:21" x14ac:dyDescent="0.2">
      <c r="G3881" s="8"/>
      <c r="H3881" s="5"/>
      <c r="J3881" s="10" t="str">
        <f t="shared" si="586"/>
        <v/>
      </c>
      <c r="K3881" s="10" t="str">
        <f t="shared" si="587"/>
        <v/>
      </c>
      <c r="L3881" s="11" t="str">
        <f t="shared" si="589"/>
        <v/>
      </c>
      <c r="M3881" s="9" t="str">
        <f>IF(G3881&lt;&gt;"",J3881/MAX(J$3:J3881)-1,"")</f>
        <v/>
      </c>
      <c r="N3881" s="9" t="str">
        <f>IF(G3881&lt;&gt;"",K3881/MAX(K$3:K3881)-1,"")</f>
        <v/>
      </c>
      <c r="O3881" s="16" t="str">
        <f t="shared" si="585"/>
        <v/>
      </c>
      <c r="P3881" s="16" t="str">
        <f t="shared" si="585"/>
        <v/>
      </c>
      <c r="Q3881" s="16" t="str">
        <f t="shared" si="585"/>
        <v/>
      </c>
      <c r="R3881" s="5" t="str">
        <f t="shared" si="584"/>
        <v/>
      </c>
      <c r="S3881" s="5" t="str">
        <f t="shared" si="588"/>
        <v/>
      </c>
      <c r="T3881" s="5" t="str">
        <f t="shared" si="592"/>
        <v/>
      </c>
      <c r="U3881" s="5" t="str">
        <f t="shared" si="592"/>
        <v/>
      </c>
    </row>
    <row r="3882" spans="7:21" x14ac:dyDescent="0.2">
      <c r="G3882" s="8"/>
      <c r="H3882" s="5"/>
      <c r="J3882" s="10" t="str">
        <f t="shared" si="586"/>
        <v/>
      </c>
      <c r="K3882" s="10" t="str">
        <f t="shared" si="587"/>
        <v/>
      </c>
      <c r="L3882" s="11" t="str">
        <f t="shared" si="589"/>
        <v/>
      </c>
      <c r="M3882" s="9" t="str">
        <f>IF(G3882&lt;&gt;"",J3882/MAX(J$3:J3882)-1,"")</f>
        <v/>
      </c>
      <c r="N3882" s="9" t="str">
        <f>IF(G3882&lt;&gt;"",K3882/MAX(K$3:K3882)-1,"")</f>
        <v/>
      </c>
      <c r="O3882" s="16" t="str">
        <f t="shared" si="585"/>
        <v/>
      </c>
      <c r="P3882" s="16" t="str">
        <f t="shared" si="585"/>
        <v/>
      </c>
      <c r="Q3882" s="16" t="str">
        <f t="shared" si="585"/>
        <v/>
      </c>
      <c r="R3882" s="5" t="str">
        <f t="shared" si="584"/>
        <v/>
      </c>
      <c r="S3882" s="5" t="str">
        <f t="shared" si="588"/>
        <v/>
      </c>
      <c r="T3882" s="5" t="str">
        <f t="shared" si="592"/>
        <v/>
      </c>
      <c r="U3882" s="5" t="str">
        <f t="shared" si="592"/>
        <v/>
      </c>
    </row>
    <row r="3883" spans="7:21" x14ac:dyDescent="0.2">
      <c r="G3883" s="8"/>
      <c r="H3883" s="5"/>
      <c r="J3883" s="10" t="str">
        <f t="shared" si="586"/>
        <v/>
      </c>
      <c r="K3883" s="10" t="str">
        <f t="shared" si="587"/>
        <v/>
      </c>
      <c r="L3883" s="11" t="str">
        <f t="shared" si="589"/>
        <v/>
      </c>
      <c r="M3883" s="9" t="str">
        <f>IF(G3883&lt;&gt;"",J3883/MAX(J$3:J3883)-1,"")</f>
        <v/>
      </c>
      <c r="N3883" s="9" t="str">
        <f>IF(G3883&lt;&gt;"",K3883/MAX(K$3:K3883)-1,"")</f>
        <v/>
      </c>
      <c r="O3883" s="16" t="str">
        <f t="shared" si="585"/>
        <v/>
      </c>
      <c r="P3883" s="16" t="str">
        <f t="shared" si="585"/>
        <v/>
      </c>
      <c r="Q3883" s="16" t="str">
        <f t="shared" si="585"/>
        <v/>
      </c>
      <c r="R3883" s="5" t="str">
        <f t="shared" si="584"/>
        <v/>
      </c>
      <c r="S3883" s="5" t="str">
        <f t="shared" si="588"/>
        <v/>
      </c>
      <c r="T3883" s="5" t="str">
        <f t="shared" si="592"/>
        <v/>
      </c>
      <c r="U3883" s="5" t="str">
        <f t="shared" si="592"/>
        <v/>
      </c>
    </row>
    <row r="3884" spans="7:21" x14ac:dyDescent="0.2">
      <c r="G3884" s="8"/>
      <c r="H3884" s="5"/>
      <c r="J3884" s="10" t="str">
        <f t="shared" si="586"/>
        <v/>
      </c>
      <c r="K3884" s="10" t="str">
        <f t="shared" si="587"/>
        <v/>
      </c>
      <c r="L3884" s="11" t="str">
        <f t="shared" si="589"/>
        <v/>
      </c>
      <c r="M3884" s="9" t="str">
        <f>IF(G3884&lt;&gt;"",J3884/MAX(J$3:J3884)-1,"")</f>
        <v/>
      </c>
      <c r="N3884" s="9" t="str">
        <f>IF(G3884&lt;&gt;"",K3884/MAX(K$3:K3884)-1,"")</f>
        <v/>
      </c>
      <c r="O3884" s="16" t="str">
        <f t="shared" si="585"/>
        <v/>
      </c>
      <c r="P3884" s="16" t="str">
        <f t="shared" si="585"/>
        <v/>
      </c>
      <c r="Q3884" s="16" t="str">
        <f t="shared" si="585"/>
        <v/>
      </c>
      <c r="R3884" s="5" t="str">
        <f t="shared" si="584"/>
        <v/>
      </c>
      <c r="S3884" s="5" t="str">
        <f t="shared" si="588"/>
        <v/>
      </c>
      <c r="T3884" s="5" t="str">
        <f t="shared" si="592"/>
        <v/>
      </c>
      <c r="U3884" s="5" t="str">
        <f t="shared" si="592"/>
        <v/>
      </c>
    </row>
    <row r="3885" spans="7:21" x14ac:dyDescent="0.2">
      <c r="G3885" s="8"/>
      <c r="H3885" s="5"/>
      <c r="J3885" s="10" t="str">
        <f t="shared" si="586"/>
        <v/>
      </c>
      <c r="K3885" s="10" t="str">
        <f t="shared" si="587"/>
        <v/>
      </c>
      <c r="L3885" s="11" t="str">
        <f t="shared" si="589"/>
        <v/>
      </c>
      <c r="M3885" s="9" t="str">
        <f>IF(G3885&lt;&gt;"",J3885/MAX(J$3:J3885)-1,"")</f>
        <v/>
      </c>
      <c r="N3885" s="9" t="str">
        <f>IF(G3885&lt;&gt;"",K3885/MAX(K$3:K3885)-1,"")</f>
        <v/>
      </c>
      <c r="O3885" s="16" t="str">
        <f t="shared" si="585"/>
        <v/>
      </c>
      <c r="P3885" s="16" t="str">
        <f t="shared" si="585"/>
        <v/>
      </c>
      <c r="Q3885" s="16" t="str">
        <f t="shared" si="585"/>
        <v/>
      </c>
      <c r="R3885" s="5" t="str">
        <f t="shared" si="584"/>
        <v/>
      </c>
      <c r="S3885" s="5" t="str">
        <f t="shared" si="588"/>
        <v/>
      </c>
      <c r="T3885" s="5" t="str">
        <f t="shared" si="592"/>
        <v/>
      </c>
      <c r="U3885" s="5" t="str">
        <f t="shared" si="592"/>
        <v/>
      </c>
    </row>
    <row r="3886" spans="7:21" x14ac:dyDescent="0.2">
      <c r="G3886" s="8"/>
      <c r="H3886" s="5"/>
      <c r="J3886" s="10" t="str">
        <f t="shared" si="586"/>
        <v/>
      </c>
      <c r="K3886" s="10" t="str">
        <f t="shared" si="587"/>
        <v/>
      </c>
      <c r="L3886" s="11" t="str">
        <f t="shared" si="589"/>
        <v/>
      </c>
      <c r="M3886" s="9" t="str">
        <f>IF(G3886&lt;&gt;"",J3886/MAX(J$3:J3886)-1,"")</f>
        <v/>
      </c>
      <c r="N3886" s="9" t="str">
        <f>IF(G3886&lt;&gt;"",K3886/MAX(K$3:K3886)-1,"")</f>
        <v/>
      </c>
      <c r="O3886" s="16" t="str">
        <f t="shared" si="585"/>
        <v/>
      </c>
      <c r="P3886" s="16" t="str">
        <f t="shared" si="585"/>
        <v/>
      </c>
      <c r="Q3886" s="16" t="str">
        <f t="shared" si="585"/>
        <v/>
      </c>
      <c r="R3886" s="5" t="str">
        <f t="shared" si="584"/>
        <v/>
      </c>
      <c r="S3886" s="5" t="str">
        <f t="shared" si="588"/>
        <v/>
      </c>
      <c r="T3886" s="5" t="str">
        <f t="shared" si="592"/>
        <v/>
      </c>
      <c r="U3886" s="5" t="str">
        <f t="shared" si="592"/>
        <v/>
      </c>
    </row>
    <row r="3887" spans="7:21" x14ac:dyDescent="0.2">
      <c r="G3887" s="8"/>
      <c r="H3887" s="5"/>
      <c r="J3887" s="10" t="str">
        <f t="shared" si="586"/>
        <v/>
      </c>
      <c r="K3887" s="10" t="str">
        <f t="shared" si="587"/>
        <v/>
      </c>
      <c r="L3887" s="11" t="str">
        <f t="shared" si="589"/>
        <v/>
      </c>
      <c r="M3887" s="9" t="str">
        <f>IF(G3887&lt;&gt;"",J3887/MAX(J$3:J3887)-1,"")</f>
        <v/>
      </c>
      <c r="N3887" s="9" t="str">
        <f>IF(G3887&lt;&gt;"",K3887/MAX(K$3:K3887)-1,"")</f>
        <v/>
      </c>
      <c r="O3887" s="16" t="str">
        <f t="shared" si="585"/>
        <v/>
      </c>
      <c r="P3887" s="16" t="str">
        <f t="shared" si="585"/>
        <v/>
      </c>
      <c r="Q3887" s="16" t="str">
        <f t="shared" si="585"/>
        <v/>
      </c>
      <c r="R3887" s="5" t="str">
        <f t="shared" si="584"/>
        <v/>
      </c>
      <c r="S3887" s="5" t="str">
        <f t="shared" si="588"/>
        <v/>
      </c>
      <c r="T3887" s="5" t="str">
        <f t="shared" si="592"/>
        <v/>
      </c>
      <c r="U3887" s="5" t="str">
        <f t="shared" si="592"/>
        <v/>
      </c>
    </row>
    <row r="3888" spans="7:21" x14ac:dyDescent="0.2">
      <c r="G3888" s="8"/>
      <c r="H3888" s="5"/>
      <c r="J3888" s="10" t="str">
        <f t="shared" si="586"/>
        <v/>
      </c>
      <c r="K3888" s="10" t="str">
        <f t="shared" si="587"/>
        <v/>
      </c>
      <c r="L3888" s="11" t="str">
        <f t="shared" si="589"/>
        <v/>
      </c>
      <c r="M3888" s="9" t="str">
        <f>IF(G3888&lt;&gt;"",J3888/MAX(J$3:J3888)-1,"")</f>
        <v/>
      </c>
      <c r="N3888" s="9" t="str">
        <f>IF(G3888&lt;&gt;"",K3888/MAX(K$3:K3888)-1,"")</f>
        <v/>
      </c>
      <c r="O3888" s="16" t="str">
        <f t="shared" si="585"/>
        <v/>
      </c>
      <c r="P3888" s="16" t="str">
        <f t="shared" si="585"/>
        <v/>
      </c>
      <c r="Q3888" s="16" t="str">
        <f t="shared" si="585"/>
        <v/>
      </c>
      <c r="R3888" s="5" t="str">
        <f t="shared" si="584"/>
        <v/>
      </c>
      <c r="S3888" s="5" t="str">
        <f t="shared" si="588"/>
        <v/>
      </c>
      <c r="T3888" s="5" t="str">
        <f t="shared" si="592"/>
        <v/>
      </c>
      <c r="U3888" s="5" t="str">
        <f t="shared" si="592"/>
        <v/>
      </c>
    </row>
    <row r="3889" spans="7:21" x14ac:dyDescent="0.2">
      <c r="G3889" s="8"/>
      <c r="H3889" s="5"/>
      <c r="J3889" s="10" t="str">
        <f t="shared" si="586"/>
        <v/>
      </c>
      <c r="K3889" s="10" t="str">
        <f t="shared" si="587"/>
        <v/>
      </c>
      <c r="L3889" s="11" t="str">
        <f t="shared" si="589"/>
        <v/>
      </c>
      <c r="M3889" s="9" t="str">
        <f>IF(G3889&lt;&gt;"",J3889/MAX(J$3:J3889)-1,"")</f>
        <v/>
      </c>
      <c r="N3889" s="9" t="str">
        <f>IF(G3889&lt;&gt;"",K3889/MAX(K$3:K3889)-1,"")</f>
        <v/>
      </c>
      <c r="O3889" s="16" t="str">
        <f t="shared" si="585"/>
        <v/>
      </c>
      <c r="P3889" s="16" t="str">
        <f t="shared" si="585"/>
        <v/>
      </c>
      <c r="Q3889" s="16" t="str">
        <f t="shared" si="585"/>
        <v/>
      </c>
      <c r="R3889" s="5" t="str">
        <f t="shared" si="584"/>
        <v/>
      </c>
      <c r="S3889" s="5" t="str">
        <f t="shared" si="588"/>
        <v/>
      </c>
      <c r="T3889" s="5" t="str">
        <f t="shared" si="592"/>
        <v/>
      </c>
      <c r="U3889" s="5" t="str">
        <f t="shared" si="592"/>
        <v/>
      </c>
    </row>
    <row r="3890" spans="7:21" x14ac:dyDescent="0.2">
      <c r="G3890" s="8"/>
      <c r="H3890" s="5"/>
      <c r="J3890" s="10" t="str">
        <f t="shared" si="586"/>
        <v/>
      </c>
      <c r="K3890" s="10" t="str">
        <f t="shared" si="587"/>
        <v/>
      </c>
      <c r="L3890" s="11" t="str">
        <f t="shared" si="589"/>
        <v/>
      </c>
      <c r="M3890" s="9" t="str">
        <f>IF(G3890&lt;&gt;"",J3890/MAX(J$3:J3890)-1,"")</f>
        <v/>
      </c>
      <c r="N3890" s="9" t="str">
        <f>IF(G3890&lt;&gt;"",K3890/MAX(K$3:K3890)-1,"")</f>
        <v/>
      </c>
      <c r="O3890" s="16" t="str">
        <f t="shared" si="585"/>
        <v/>
      </c>
      <c r="P3890" s="16" t="str">
        <f t="shared" si="585"/>
        <v/>
      </c>
      <c r="Q3890" s="16" t="str">
        <f t="shared" si="585"/>
        <v/>
      </c>
      <c r="R3890" s="5" t="str">
        <f t="shared" si="584"/>
        <v/>
      </c>
      <c r="S3890" s="5" t="str">
        <f t="shared" si="588"/>
        <v/>
      </c>
      <c r="T3890" s="5" t="str">
        <f t="shared" si="592"/>
        <v/>
      </c>
      <c r="U3890" s="5" t="str">
        <f t="shared" si="592"/>
        <v/>
      </c>
    </row>
    <row r="3891" spans="7:21" x14ac:dyDescent="0.2">
      <c r="G3891" s="8"/>
      <c r="J3891" s="10" t="str">
        <f t="shared" si="586"/>
        <v/>
      </c>
      <c r="K3891" s="10" t="str">
        <f t="shared" si="587"/>
        <v/>
      </c>
      <c r="L3891" s="11" t="str">
        <f t="shared" si="589"/>
        <v/>
      </c>
      <c r="M3891" s="9" t="str">
        <f>IF(G3891&lt;&gt;"",J3891/MAX(J$3:J3891)-1,"")</f>
        <v/>
      </c>
      <c r="N3891" s="9" t="str">
        <f>IF(G3891&lt;&gt;"",K3891/MAX(K$3:K3891)-1,"")</f>
        <v/>
      </c>
      <c r="O3891" s="16" t="str">
        <f t="shared" si="585"/>
        <v/>
      </c>
      <c r="P3891" s="16" t="str">
        <f t="shared" si="585"/>
        <v/>
      </c>
      <c r="Q3891" s="16" t="str">
        <f t="shared" si="585"/>
        <v/>
      </c>
      <c r="R3891" s="5" t="str">
        <f t="shared" si="584"/>
        <v/>
      </c>
      <c r="S3891" s="5" t="str">
        <f t="shared" si="588"/>
        <v/>
      </c>
      <c r="T3891" s="5" t="str">
        <f t="shared" si="592"/>
        <v/>
      </c>
      <c r="U3891" s="5" t="str">
        <f t="shared" si="592"/>
        <v/>
      </c>
    </row>
    <row r="3892" spans="7:21" x14ac:dyDescent="0.2">
      <c r="G3892" s="8"/>
      <c r="J3892" s="10" t="str">
        <f t="shared" si="586"/>
        <v/>
      </c>
      <c r="K3892" s="10" t="str">
        <f t="shared" si="587"/>
        <v/>
      </c>
      <c r="L3892" s="11" t="str">
        <f t="shared" si="589"/>
        <v/>
      </c>
      <c r="M3892" s="9" t="str">
        <f>IF(G3892&lt;&gt;"",J3892/MAX(J$3:J3892)-1,"")</f>
        <v/>
      </c>
      <c r="N3892" s="9" t="str">
        <f>IF(G3892&lt;&gt;"",K3892/MAX(K$3:K3892)-1,"")</f>
        <v/>
      </c>
      <c r="O3892" s="16" t="str">
        <f t="shared" si="585"/>
        <v/>
      </c>
      <c r="P3892" s="16" t="str">
        <f t="shared" si="585"/>
        <v/>
      </c>
      <c r="Q3892" s="16" t="str">
        <f t="shared" si="585"/>
        <v/>
      </c>
      <c r="R3892" s="5" t="str">
        <f t="shared" si="584"/>
        <v/>
      </c>
      <c r="S3892" s="5" t="str">
        <f t="shared" si="588"/>
        <v/>
      </c>
      <c r="T3892" s="5" t="str">
        <f t="shared" si="592"/>
        <v/>
      </c>
      <c r="U3892" s="5" t="str">
        <f t="shared" si="592"/>
        <v/>
      </c>
    </row>
    <row r="3893" spans="7:21" x14ac:dyDescent="0.2">
      <c r="G3893" s="8"/>
      <c r="J3893" s="10" t="str">
        <f t="shared" si="586"/>
        <v/>
      </c>
      <c r="K3893" s="10" t="str">
        <f t="shared" si="587"/>
        <v/>
      </c>
      <c r="L3893" s="11" t="str">
        <f t="shared" si="589"/>
        <v/>
      </c>
      <c r="M3893" s="9" t="str">
        <f>IF(G3893&lt;&gt;"",J3893/MAX(J$3:J3893)-1,"")</f>
        <v/>
      </c>
      <c r="N3893" s="9" t="str">
        <f>IF(G3893&lt;&gt;"",K3893/MAX(K$3:K3893)-1,"")</f>
        <v/>
      </c>
      <c r="O3893" s="16" t="str">
        <f t="shared" si="585"/>
        <v/>
      </c>
      <c r="P3893" s="16" t="str">
        <f t="shared" si="585"/>
        <v/>
      </c>
      <c r="Q3893" s="16" t="str">
        <f t="shared" si="585"/>
        <v/>
      </c>
      <c r="R3893" s="5" t="str">
        <f t="shared" si="584"/>
        <v/>
      </c>
      <c r="S3893" s="5" t="str">
        <f t="shared" si="588"/>
        <v/>
      </c>
      <c r="T3893" s="5" t="str">
        <f t="shared" si="592"/>
        <v/>
      </c>
      <c r="U3893" s="5" t="str">
        <f t="shared" si="592"/>
        <v/>
      </c>
    </row>
    <row r="3894" spans="7:21" x14ac:dyDescent="0.2">
      <c r="G3894" s="8"/>
      <c r="J3894" s="10" t="str">
        <f t="shared" si="586"/>
        <v/>
      </c>
      <c r="K3894" s="10" t="str">
        <f t="shared" si="587"/>
        <v/>
      </c>
      <c r="L3894" s="11" t="str">
        <f t="shared" si="589"/>
        <v/>
      </c>
      <c r="M3894" s="9" t="str">
        <f>IF(G3894&lt;&gt;"",J3894/MAX(J$3:J3894)-1,"")</f>
        <v/>
      </c>
      <c r="N3894" s="9" t="str">
        <f>IF(G3894&lt;&gt;"",K3894/MAX(K$3:K3894)-1,"")</f>
        <v/>
      </c>
      <c r="O3894" s="16" t="str">
        <f t="shared" si="585"/>
        <v/>
      </c>
      <c r="P3894" s="16" t="str">
        <f t="shared" si="585"/>
        <v/>
      </c>
      <c r="Q3894" s="16" t="str">
        <f t="shared" si="585"/>
        <v/>
      </c>
      <c r="R3894" s="5" t="str">
        <f t="shared" si="584"/>
        <v/>
      </c>
      <c r="S3894" s="5" t="str">
        <f t="shared" si="588"/>
        <v/>
      </c>
      <c r="T3894" s="5" t="str">
        <f t="shared" si="592"/>
        <v/>
      </c>
      <c r="U3894" s="5" t="str">
        <f t="shared" si="592"/>
        <v/>
      </c>
    </row>
    <row r="3895" spans="7:21" x14ac:dyDescent="0.2">
      <c r="G3895" s="8"/>
      <c r="J3895" s="10" t="str">
        <f t="shared" si="586"/>
        <v/>
      </c>
      <c r="K3895" s="10" t="str">
        <f t="shared" si="587"/>
        <v/>
      </c>
      <c r="L3895" s="11" t="str">
        <f t="shared" si="589"/>
        <v/>
      </c>
      <c r="M3895" s="9" t="str">
        <f>IF(G3895&lt;&gt;"",J3895/MAX(J$3:J3895)-1,"")</f>
        <v/>
      </c>
      <c r="N3895" s="9" t="str">
        <f>IF(G3895&lt;&gt;"",K3895/MAX(K$3:K3895)-1,"")</f>
        <v/>
      </c>
      <c r="O3895" s="16" t="str">
        <f t="shared" si="585"/>
        <v/>
      </c>
      <c r="P3895" s="16" t="str">
        <f t="shared" si="585"/>
        <v/>
      </c>
      <c r="Q3895" s="16" t="str">
        <f t="shared" si="585"/>
        <v/>
      </c>
      <c r="R3895" s="5" t="str">
        <f t="shared" si="584"/>
        <v/>
      </c>
      <c r="S3895" s="5" t="str">
        <f t="shared" si="588"/>
        <v/>
      </c>
      <c r="T3895" s="5" t="str">
        <f t="shared" si="592"/>
        <v/>
      </c>
      <c r="U3895" s="5" t="str">
        <f t="shared" si="592"/>
        <v/>
      </c>
    </row>
    <row r="3896" spans="7:21" x14ac:dyDescent="0.2">
      <c r="G3896" s="8"/>
      <c r="J3896" s="10" t="str">
        <f t="shared" si="586"/>
        <v/>
      </c>
      <c r="K3896" s="10" t="str">
        <f t="shared" si="587"/>
        <v/>
      </c>
      <c r="L3896" s="11" t="str">
        <f t="shared" si="589"/>
        <v/>
      </c>
      <c r="M3896" s="9" t="str">
        <f>IF(G3896&lt;&gt;"",J3896/MAX(J$3:J3896)-1,"")</f>
        <v/>
      </c>
      <c r="N3896" s="9" t="str">
        <f>IF(G3896&lt;&gt;"",K3896/MAX(K$3:K3896)-1,"")</f>
        <v/>
      </c>
      <c r="O3896" s="16" t="str">
        <f t="shared" si="585"/>
        <v/>
      </c>
      <c r="P3896" s="16" t="str">
        <f t="shared" si="585"/>
        <v/>
      </c>
      <c r="Q3896" s="16" t="str">
        <f t="shared" si="585"/>
        <v/>
      </c>
      <c r="R3896" s="5" t="str">
        <f t="shared" si="584"/>
        <v/>
      </c>
      <c r="S3896" s="5" t="str">
        <f t="shared" si="588"/>
        <v/>
      </c>
      <c r="T3896" s="5" t="str">
        <f t="shared" ref="T3896:U3911" si="593">IF($G3896&lt;&gt;"",_xlfn.STDEV.S(O3652:O3896),"")</f>
        <v/>
      </c>
      <c r="U3896" s="5" t="str">
        <f t="shared" si="593"/>
        <v/>
      </c>
    </row>
    <row r="3897" spans="7:21" x14ac:dyDescent="0.2">
      <c r="G3897" s="8"/>
      <c r="J3897" s="10" t="str">
        <f t="shared" si="586"/>
        <v/>
      </c>
      <c r="K3897" s="10" t="str">
        <f t="shared" si="587"/>
        <v/>
      </c>
      <c r="L3897" s="11" t="str">
        <f t="shared" si="589"/>
        <v/>
      </c>
      <c r="M3897" s="9" t="str">
        <f>IF(G3897&lt;&gt;"",J3897/MAX(J$3:J3897)-1,"")</f>
        <v/>
      </c>
      <c r="N3897" s="9" t="str">
        <f>IF(G3897&lt;&gt;"",K3897/MAX(K$3:K3897)-1,"")</f>
        <v/>
      </c>
      <c r="O3897" s="16" t="str">
        <f t="shared" si="585"/>
        <v/>
      </c>
      <c r="P3897" s="16" t="str">
        <f t="shared" si="585"/>
        <v/>
      </c>
      <c r="Q3897" s="16" t="str">
        <f t="shared" si="585"/>
        <v/>
      </c>
      <c r="R3897" s="5" t="str">
        <f t="shared" si="584"/>
        <v/>
      </c>
      <c r="S3897" s="5" t="str">
        <f t="shared" si="588"/>
        <v/>
      </c>
      <c r="T3897" s="5" t="str">
        <f t="shared" si="593"/>
        <v/>
      </c>
      <c r="U3897" s="5" t="str">
        <f t="shared" si="593"/>
        <v/>
      </c>
    </row>
    <row r="3898" spans="7:21" x14ac:dyDescent="0.2">
      <c r="G3898" s="8"/>
      <c r="J3898" s="10" t="str">
        <f t="shared" si="586"/>
        <v/>
      </c>
      <c r="K3898" s="10" t="str">
        <f t="shared" si="587"/>
        <v/>
      </c>
      <c r="L3898" s="11" t="str">
        <f t="shared" si="589"/>
        <v/>
      </c>
      <c r="M3898" s="9" t="str">
        <f>IF(G3898&lt;&gt;"",J3898/MAX(J$3:J3898)-1,"")</f>
        <v/>
      </c>
      <c r="N3898" s="9" t="str">
        <f>IF(G3898&lt;&gt;"",K3898/MAX(K$3:K3898)-1,"")</f>
        <v/>
      </c>
      <c r="O3898" s="16" t="str">
        <f t="shared" si="585"/>
        <v/>
      </c>
      <c r="P3898" s="16" t="str">
        <f t="shared" si="585"/>
        <v/>
      </c>
      <c r="Q3898" s="16" t="str">
        <f t="shared" si="585"/>
        <v/>
      </c>
      <c r="R3898" s="5" t="str">
        <f t="shared" si="584"/>
        <v/>
      </c>
      <c r="S3898" s="5" t="str">
        <f t="shared" si="588"/>
        <v/>
      </c>
      <c r="T3898" s="5" t="str">
        <f t="shared" si="593"/>
        <v/>
      </c>
      <c r="U3898" s="5" t="str">
        <f t="shared" si="593"/>
        <v/>
      </c>
    </row>
    <row r="3899" spans="7:21" x14ac:dyDescent="0.2">
      <c r="G3899" s="8"/>
      <c r="J3899" s="10" t="str">
        <f t="shared" si="586"/>
        <v/>
      </c>
      <c r="K3899" s="10" t="str">
        <f t="shared" si="587"/>
        <v/>
      </c>
      <c r="L3899" s="11" t="str">
        <f t="shared" si="589"/>
        <v/>
      </c>
      <c r="M3899" s="9" t="str">
        <f>IF(G3899&lt;&gt;"",J3899/MAX(J$3:J3899)-1,"")</f>
        <v/>
      </c>
      <c r="N3899" s="9" t="str">
        <f>IF(G3899&lt;&gt;"",K3899/MAX(K$3:K3899)-1,"")</f>
        <v/>
      </c>
      <c r="O3899" s="16" t="str">
        <f t="shared" si="585"/>
        <v/>
      </c>
      <c r="P3899" s="16" t="str">
        <f t="shared" si="585"/>
        <v/>
      </c>
      <c r="Q3899" s="16" t="str">
        <f t="shared" si="585"/>
        <v/>
      </c>
      <c r="R3899" s="5" t="str">
        <f t="shared" si="584"/>
        <v/>
      </c>
      <c r="S3899" s="5" t="str">
        <f t="shared" si="588"/>
        <v/>
      </c>
      <c r="T3899" s="5" t="str">
        <f t="shared" si="593"/>
        <v/>
      </c>
      <c r="U3899" s="5" t="str">
        <f t="shared" si="593"/>
        <v/>
      </c>
    </row>
    <row r="3900" spans="7:21" x14ac:dyDescent="0.2">
      <c r="G3900" s="8"/>
      <c r="J3900" s="10" t="str">
        <f t="shared" si="586"/>
        <v/>
      </c>
      <c r="K3900" s="10" t="str">
        <f t="shared" si="587"/>
        <v/>
      </c>
      <c r="L3900" s="11" t="str">
        <f t="shared" si="589"/>
        <v/>
      </c>
      <c r="M3900" s="9" t="str">
        <f>IF(G3900&lt;&gt;"",J3900/MAX(J$3:J3900)-1,"")</f>
        <v/>
      </c>
      <c r="N3900" s="9" t="str">
        <f>IF(G3900&lt;&gt;"",K3900/MAX(K$3:K3900)-1,"")</f>
        <v/>
      </c>
      <c r="O3900" s="16" t="str">
        <f t="shared" si="585"/>
        <v/>
      </c>
      <c r="P3900" s="16" t="str">
        <f t="shared" si="585"/>
        <v/>
      </c>
      <c r="Q3900" s="16" t="str">
        <f t="shared" si="585"/>
        <v/>
      </c>
      <c r="R3900" s="5" t="str">
        <f t="shared" si="584"/>
        <v/>
      </c>
      <c r="S3900" s="5" t="str">
        <f t="shared" si="588"/>
        <v/>
      </c>
      <c r="T3900" s="5" t="str">
        <f t="shared" si="593"/>
        <v/>
      </c>
      <c r="U3900" s="5" t="str">
        <f t="shared" si="593"/>
        <v/>
      </c>
    </row>
    <row r="3901" spans="7:21" x14ac:dyDescent="0.2">
      <c r="G3901" s="8"/>
      <c r="J3901" s="10" t="str">
        <f t="shared" si="586"/>
        <v/>
      </c>
      <c r="K3901" s="10" t="str">
        <f t="shared" si="587"/>
        <v/>
      </c>
      <c r="L3901" s="11" t="str">
        <f t="shared" si="589"/>
        <v/>
      </c>
      <c r="M3901" s="9" t="str">
        <f>IF(G3901&lt;&gt;"",J3901/MAX(J$3:J3901)-1,"")</f>
        <v/>
      </c>
      <c r="N3901" s="9" t="str">
        <f>IF(G3901&lt;&gt;"",K3901/MAX(K$3:K3901)-1,"")</f>
        <v/>
      </c>
      <c r="O3901" s="16" t="str">
        <f t="shared" si="585"/>
        <v/>
      </c>
      <c r="P3901" s="16" t="str">
        <f t="shared" si="585"/>
        <v/>
      </c>
      <c r="Q3901" s="16" t="str">
        <f t="shared" si="585"/>
        <v/>
      </c>
      <c r="R3901" s="5" t="str">
        <f t="shared" ref="R3901:R3964" si="594">IF(G3901&lt;&gt;"",_xlfn.STDEV.S(Q3780:Q3901)*SQRT($B$5),"")</f>
        <v/>
      </c>
      <c r="S3901" s="5" t="str">
        <f t="shared" si="588"/>
        <v/>
      </c>
      <c r="T3901" s="5" t="str">
        <f t="shared" si="593"/>
        <v/>
      </c>
      <c r="U3901" s="5" t="str">
        <f t="shared" si="593"/>
        <v/>
      </c>
    </row>
    <row r="3902" spans="7:21" x14ac:dyDescent="0.2">
      <c r="G3902" s="8"/>
      <c r="J3902" s="10" t="str">
        <f t="shared" si="586"/>
        <v/>
      </c>
      <c r="K3902" s="10" t="str">
        <f t="shared" si="587"/>
        <v/>
      </c>
      <c r="L3902" s="11" t="str">
        <f t="shared" si="589"/>
        <v/>
      </c>
      <c r="M3902" s="9" t="str">
        <f>IF(G3902&lt;&gt;"",J3902/MAX(J$3:J3902)-1,"")</f>
        <v/>
      </c>
      <c r="N3902" s="9" t="str">
        <f>IF(G3902&lt;&gt;"",K3902/MAX(K$3:K3902)-1,"")</f>
        <v/>
      </c>
      <c r="O3902" s="16" t="str">
        <f t="shared" si="585"/>
        <v/>
      </c>
      <c r="P3902" s="16" t="str">
        <f t="shared" si="585"/>
        <v/>
      </c>
      <c r="Q3902" s="16" t="str">
        <f t="shared" si="585"/>
        <v/>
      </c>
      <c r="R3902" s="5" t="str">
        <f t="shared" si="594"/>
        <v/>
      </c>
      <c r="S3902" s="5" t="str">
        <f t="shared" si="588"/>
        <v/>
      </c>
      <c r="T3902" s="5" t="str">
        <f t="shared" si="593"/>
        <v/>
      </c>
      <c r="U3902" s="5" t="str">
        <f t="shared" si="593"/>
        <v/>
      </c>
    </row>
    <row r="3903" spans="7:21" x14ac:dyDescent="0.2">
      <c r="G3903" s="8"/>
      <c r="J3903" s="10" t="str">
        <f t="shared" si="586"/>
        <v/>
      </c>
      <c r="K3903" s="10" t="str">
        <f t="shared" si="587"/>
        <v/>
      </c>
      <c r="L3903" s="11" t="str">
        <f t="shared" si="589"/>
        <v/>
      </c>
      <c r="M3903" s="9" t="str">
        <f>IF(G3903&lt;&gt;"",J3903/MAX(J$3:J3903)-1,"")</f>
        <v/>
      </c>
      <c r="N3903" s="9" t="str">
        <f>IF(G3903&lt;&gt;"",K3903/MAX(K$3:K3903)-1,"")</f>
        <v/>
      </c>
      <c r="O3903" s="16" t="str">
        <f t="shared" si="585"/>
        <v/>
      </c>
      <c r="P3903" s="16" t="str">
        <f t="shared" si="585"/>
        <v/>
      </c>
      <c r="Q3903" s="16" t="str">
        <f t="shared" si="585"/>
        <v/>
      </c>
      <c r="R3903" s="5" t="str">
        <f t="shared" si="594"/>
        <v/>
      </c>
      <c r="S3903" s="5" t="str">
        <f t="shared" si="588"/>
        <v/>
      </c>
      <c r="T3903" s="5" t="str">
        <f t="shared" si="593"/>
        <v/>
      </c>
      <c r="U3903" s="5" t="str">
        <f t="shared" si="593"/>
        <v/>
      </c>
    </row>
    <row r="3904" spans="7:21" x14ac:dyDescent="0.2">
      <c r="G3904" s="8"/>
      <c r="J3904" s="10" t="str">
        <f t="shared" si="586"/>
        <v/>
      </c>
      <c r="K3904" s="10" t="str">
        <f t="shared" si="587"/>
        <v/>
      </c>
      <c r="L3904" s="11" t="str">
        <f t="shared" si="589"/>
        <v/>
      </c>
      <c r="M3904" s="9" t="str">
        <f>IF(G3904&lt;&gt;"",J3904/MAX(J$3:J3904)-1,"")</f>
        <v/>
      </c>
      <c r="N3904" s="9" t="str">
        <f>IF(G3904&lt;&gt;"",K3904/MAX(K$3:K3904)-1,"")</f>
        <v/>
      </c>
      <c r="O3904" s="16" t="str">
        <f t="shared" si="585"/>
        <v/>
      </c>
      <c r="P3904" s="16" t="str">
        <f t="shared" si="585"/>
        <v/>
      </c>
      <c r="Q3904" s="16" t="str">
        <f t="shared" si="585"/>
        <v/>
      </c>
      <c r="R3904" s="5" t="str">
        <f t="shared" si="594"/>
        <v/>
      </c>
      <c r="S3904" s="5" t="str">
        <f t="shared" si="588"/>
        <v/>
      </c>
      <c r="T3904" s="5" t="str">
        <f t="shared" si="593"/>
        <v/>
      </c>
      <c r="U3904" s="5" t="str">
        <f t="shared" si="593"/>
        <v/>
      </c>
    </row>
    <row r="3905" spans="7:21" x14ac:dyDescent="0.2">
      <c r="G3905" s="8"/>
      <c r="J3905" s="10" t="str">
        <f t="shared" si="586"/>
        <v/>
      </c>
      <c r="K3905" s="10" t="str">
        <f t="shared" si="587"/>
        <v/>
      </c>
      <c r="L3905" s="11" t="str">
        <f t="shared" si="589"/>
        <v/>
      </c>
      <c r="M3905" s="9" t="str">
        <f>IF(G3905&lt;&gt;"",J3905/MAX(J$3:J3905)-1,"")</f>
        <v/>
      </c>
      <c r="N3905" s="9" t="str">
        <f>IF(G3905&lt;&gt;"",K3905/MAX(K$3:K3905)-1,"")</f>
        <v/>
      </c>
      <c r="O3905" s="16" t="str">
        <f t="shared" si="585"/>
        <v/>
      </c>
      <c r="P3905" s="16" t="str">
        <f t="shared" si="585"/>
        <v/>
      </c>
      <c r="Q3905" s="16" t="str">
        <f t="shared" si="585"/>
        <v/>
      </c>
      <c r="R3905" s="5" t="str">
        <f t="shared" si="594"/>
        <v/>
      </c>
      <c r="S3905" s="5" t="str">
        <f t="shared" si="588"/>
        <v/>
      </c>
      <c r="T3905" s="5" t="str">
        <f t="shared" si="593"/>
        <v/>
      </c>
      <c r="U3905" s="5" t="str">
        <f t="shared" si="593"/>
        <v/>
      </c>
    </row>
    <row r="3906" spans="7:21" x14ac:dyDescent="0.2">
      <c r="G3906" s="8"/>
      <c r="J3906" s="10" t="str">
        <f t="shared" si="586"/>
        <v/>
      </c>
      <c r="K3906" s="10" t="str">
        <f t="shared" si="587"/>
        <v/>
      </c>
      <c r="L3906" s="11" t="str">
        <f t="shared" si="589"/>
        <v/>
      </c>
      <c r="M3906" s="9" t="str">
        <f>IF(G3906&lt;&gt;"",J3906/MAX(J$3:J3906)-1,"")</f>
        <v/>
      </c>
      <c r="N3906" s="9" t="str">
        <f>IF(G3906&lt;&gt;"",K3906/MAX(K$3:K3906)-1,"")</f>
        <v/>
      </c>
      <c r="O3906" s="16" t="str">
        <f t="shared" ref="O3906:Q3969" si="595">IF($G3906&lt;&gt;"",J3906/J3905-1,"")</f>
        <v/>
      </c>
      <c r="P3906" s="16" t="str">
        <f t="shared" si="595"/>
        <v/>
      </c>
      <c r="Q3906" s="16" t="str">
        <f t="shared" si="595"/>
        <v/>
      </c>
      <c r="R3906" s="5" t="str">
        <f t="shared" si="594"/>
        <v/>
      </c>
      <c r="S3906" s="5" t="str">
        <f t="shared" si="588"/>
        <v/>
      </c>
      <c r="T3906" s="5" t="str">
        <f t="shared" si="593"/>
        <v/>
      </c>
      <c r="U3906" s="5" t="str">
        <f t="shared" si="593"/>
        <v/>
      </c>
    </row>
    <row r="3907" spans="7:21" x14ac:dyDescent="0.2">
      <c r="G3907" s="8"/>
      <c r="J3907" s="10" t="str">
        <f t="shared" si="586"/>
        <v/>
      </c>
      <c r="K3907" s="10" t="str">
        <f t="shared" si="587"/>
        <v/>
      </c>
      <c r="L3907" s="11" t="str">
        <f t="shared" si="589"/>
        <v/>
      </c>
      <c r="M3907" s="9" t="str">
        <f>IF(G3907&lt;&gt;"",J3907/MAX(J$3:J3907)-1,"")</f>
        <v/>
      </c>
      <c r="N3907" s="9" t="str">
        <f>IF(G3907&lt;&gt;"",K3907/MAX(K$3:K3907)-1,"")</f>
        <v/>
      </c>
      <c r="O3907" s="16" t="str">
        <f t="shared" si="595"/>
        <v/>
      </c>
      <c r="P3907" s="16" t="str">
        <f t="shared" si="595"/>
        <v/>
      </c>
      <c r="Q3907" s="16" t="str">
        <f t="shared" si="595"/>
        <v/>
      </c>
      <c r="R3907" s="5" t="str">
        <f t="shared" si="594"/>
        <v/>
      </c>
      <c r="S3907" s="5" t="str">
        <f t="shared" si="588"/>
        <v/>
      </c>
      <c r="T3907" s="5" t="str">
        <f t="shared" si="593"/>
        <v/>
      </c>
      <c r="U3907" s="5" t="str">
        <f t="shared" si="593"/>
        <v/>
      </c>
    </row>
    <row r="3908" spans="7:21" x14ac:dyDescent="0.2">
      <c r="G3908" s="8"/>
      <c r="J3908" s="10" t="str">
        <f t="shared" ref="J3908:J3971" si="596">IF(G3908&lt;&gt;"",1+H3908,"")</f>
        <v/>
      </c>
      <c r="K3908" s="10" t="str">
        <f t="shared" ref="K3908:K3971" si="597">IF(G3908&lt;&gt;"",1+I3908,"")</f>
        <v/>
      </c>
      <c r="L3908" s="11" t="str">
        <f t="shared" si="589"/>
        <v/>
      </c>
      <c r="M3908" s="9" t="str">
        <f>IF(G3908&lt;&gt;"",J3908/MAX(J$3:J3908)-1,"")</f>
        <v/>
      </c>
      <c r="N3908" s="9" t="str">
        <f>IF(G3908&lt;&gt;"",K3908/MAX(K$3:K3908)-1,"")</f>
        <v/>
      </c>
      <c r="O3908" s="16" t="str">
        <f t="shared" si="595"/>
        <v/>
      </c>
      <c r="P3908" s="16" t="str">
        <f t="shared" si="595"/>
        <v/>
      </c>
      <c r="Q3908" s="16" t="str">
        <f t="shared" si="595"/>
        <v/>
      </c>
      <c r="R3908" s="5" t="str">
        <f t="shared" si="594"/>
        <v/>
      </c>
      <c r="S3908" s="5" t="str">
        <f t="shared" ref="S3908:S3971" si="598">IF(R3908&lt;&gt;"",B$12,"")</f>
        <v/>
      </c>
      <c r="T3908" s="5" t="str">
        <f t="shared" si="593"/>
        <v/>
      </c>
      <c r="U3908" s="5" t="str">
        <f t="shared" si="593"/>
        <v/>
      </c>
    </row>
    <row r="3909" spans="7:21" x14ac:dyDescent="0.2">
      <c r="G3909" s="8"/>
      <c r="J3909" s="10" t="str">
        <f t="shared" si="596"/>
        <v/>
      </c>
      <c r="K3909" s="10" t="str">
        <f t="shared" si="597"/>
        <v/>
      </c>
      <c r="L3909" s="11" t="str">
        <f t="shared" ref="L3909:L3972" si="599">IF(G3909&lt;&gt;"",J3909/K3909,"")</f>
        <v/>
      </c>
      <c r="M3909" s="9" t="str">
        <f>IF(G3909&lt;&gt;"",J3909/MAX(J$3:J3909)-1,"")</f>
        <v/>
      </c>
      <c r="N3909" s="9" t="str">
        <f>IF(G3909&lt;&gt;"",K3909/MAX(K$3:K3909)-1,"")</f>
        <v/>
      </c>
      <c r="O3909" s="16" t="str">
        <f t="shared" si="595"/>
        <v/>
      </c>
      <c r="P3909" s="16" t="str">
        <f t="shared" si="595"/>
        <v/>
      </c>
      <c r="Q3909" s="16" t="str">
        <f t="shared" si="595"/>
        <v/>
      </c>
      <c r="R3909" s="5" t="str">
        <f t="shared" si="594"/>
        <v/>
      </c>
      <c r="S3909" s="5" t="str">
        <f t="shared" si="598"/>
        <v/>
      </c>
      <c r="T3909" s="5" t="str">
        <f t="shared" si="593"/>
        <v/>
      </c>
      <c r="U3909" s="5" t="str">
        <f t="shared" si="593"/>
        <v/>
      </c>
    </row>
    <row r="3910" spans="7:21" x14ac:dyDescent="0.2">
      <c r="G3910" s="8"/>
      <c r="J3910" s="10" t="str">
        <f t="shared" si="596"/>
        <v/>
      </c>
      <c r="K3910" s="10" t="str">
        <f t="shared" si="597"/>
        <v/>
      </c>
      <c r="L3910" s="11" t="str">
        <f t="shared" si="599"/>
        <v/>
      </c>
      <c r="M3910" s="9" t="str">
        <f>IF(G3910&lt;&gt;"",J3910/MAX(J$3:J3910)-1,"")</f>
        <v/>
      </c>
      <c r="N3910" s="9" t="str">
        <f>IF(G3910&lt;&gt;"",K3910/MAX(K$3:K3910)-1,"")</f>
        <v/>
      </c>
      <c r="O3910" s="16" t="str">
        <f t="shared" si="595"/>
        <v/>
      </c>
      <c r="P3910" s="16" t="str">
        <f t="shared" si="595"/>
        <v/>
      </c>
      <c r="Q3910" s="16" t="str">
        <f t="shared" si="595"/>
        <v/>
      </c>
      <c r="R3910" s="5" t="str">
        <f t="shared" si="594"/>
        <v/>
      </c>
      <c r="S3910" s="5" t="str">
        <f t="shared" si="598"/>
        <v/>
      </c>
      <c r="T3910" s="5" t="str">
        <f t="shared" si="593"/>
        <v/>
      </c>
      <c r="U3910" s="5" t="str">
        <f t="shared" si="593"/>
        <v/>
      </c>
    </row>
    <row r="3911" spans="7:21" x14ac:dyDescent="0.2">
      <c r="G3911" s="8"/>
      <c r="J3911" s="10" t="str">
        <f t="shared" si="596"/>
        <v/>
      </c>
      <c r="K3911" s="10" t="str">
        <f t="shared" si="597"/>
        <v/>
      </c>
      <c r="L3911" s="11" t="str">
        <f t="shared" si="599"/>
        <v/>
      </c>
      <c r="M3911" s="9" t="str">
        <f>IF(G3911&lt;&gt;"",J3911/MAX(J$3:J3911)-1,"")</f>
        <v/>
      </c>
      <c r="N3911" s="9" t="str">
        <f>IF(G3911&lt;&gt;"",K3911/MAX(K$3:K3911)-1,"")</f>
        <v/>
      </c>
      <c r="O3911" s="16" t="str">
        <f t="shared" si="595"/>
        <v/>
      </c>
      <c r="P3911" s="16" t="str">
        <f t="shared" si="595"/>
        <v/>
      </c>
      <c r="Q3911" s="16" t="str">
        <f t="shared" si="595"/>
        <v/>
      </c>
      <c r="R3911" s="5" t="str">
        <f t="shared" si="594"/>
        <v/>
      </c>
      <c r="S3911" s="5" t="str">
        <f t="shared" si="598"/>
        <v/>
      </c>
      <c r="T3911" s="5" t="str">
        <f t="shared" si="593"/>
        <v/>
      </c>
      <c r="U3911" s="5" t="str">
        <f t="shared" si="593"/>
        <v/>
      </c>
    </row>
    <row r="3912" spans="7:21" x14ac:dyDescent="0.2">
      <c r="G3912" s="8"/>
      <c r="J3912" s="10" t="str">
        <f t="shared" si="596"/>
        <v/>
      </c>
      <c r="K3912" s="10" t="str">
        <f t="shared" si="597"/>
        <v/>
      </c>
      <c r="L3912" s="11" t="str">
        <f t="shared" si="599"/>
        <v/>
      </c>
      <c r="M3912" s="9" t="str">
        <f>IF(G3912&lt;&gt;"",J3912/MAX(J$3:J3912)-1,"")</f>
        <v/>
      </c>
      <c r="N3912" s="9" t="str">
        <f>IF(G3912&lt;&gt;"",K3912/MAX(K$3:K3912)-1,"")</f>
        <v/>
      </c>
      <c r="O3912" s="16" t="str">
        <f t="shared" si="595"/>
        <v/>
      </c>
      <c r="P3912" s="16" t="str">
        <f t="shared" si="595"/>
        <v/>
      </c>
      <c r="Q3912" s="16" t="str">
        <f t="shared" si="595"/>
        <v/>
      </c>
      <c r="R3912" s="5" t="str">
        <f t="shared" si="594"/>
        <v/>
      </c>
      <c r="S3912" s="5" t="str">
        <f t="shared" si="598"/>
        <v/>
      </c>
      <c r="T3912" s="5" t="str">
        <f t="shared" ref="T3912:U3927" si="600">IF($G3912&lt;&gt;"",_xlfn.STDEV.S(O3668:O3912),"")</f>
        <v/>
      </c>
      <c r="U3912" s="5" t="str">
        <f t="shared" si="600"/>
        <v/>
      </c>
    </row>
    <row r="3913" spans="7:21" x14ac:dyDescent="0.2">
      <c r="G3913" s="8"/>
      <c r="J3913" s="10" t="str">
        <f t="shared" si="596"/>
        <v/>
      </c>
      <c r="K3913" s="10" t="str">
        <f t="shared" si="597"/>
        <v/>
      </c>
      <c r="L3913" s="11" t="str">
        <f t="shared" si="599"/>
        <v/>
      </c>
      <c r="M3913" s="9" t="str">
        <f>IF(G3913&lt;&gt;"",J3913/MAX(J$3:J3913)-1,"")</f>
        <v/>
      </c>
      <c r="N3913" s="9" t="str">
        <f>IF(G3913&lt;&gt;"",K3913/MAX(K$3:K3913)-1,"")</f>
        <v/>
      </c>
      <c r="O3913" s="16" t="str">
        <f t="shared" si="595"/>
        <v/>
      </c>
      <c r="P3913" s="16" t="str">
        <f t="shared" si="595"/>
        <v/>
      </c>
      <c r="Q3913" s="16" t="str">
        <f t="shared" si="595"/>
        <v/>
      </c>
      <c r="R3913" s="5" t="str">
        <f t="shared" si="594"/>
        <v/>
      </c>
      <c r="S3913" s="5" t="str">
        <f t="shared" si="598"/>
        <v/>
      </c>
      <c r="T3913" s="5" t="str">
        <f t="shared" si="600"/>
        <v/>
      </c>
      <c r="U3913" s="5" t="str">
        <f t="shared" si="600"/>
        <v/>
      </c>
    </row>
    <row r="3914" spans="7:21" x14ac:dyDescent="0.2">
      <c r="G3914" s="8"/>
      <c r="J3914" s="10" t="str">
        <f t="shared" si="596"/>
        <v/>
      </c>
      <c r="K3914" s="10" t="str">
        <f t="shared" si="597"/>
        <v/>
      </c>
      <c r="L3914" s="11" t="str">
        <f t="shared" si="599"/>
        <v/>
      </c>
      <c r="M3914" s="9" t="str">
        <f>IF(G3914&lt;&gt;"",J3914/MAX(J$3:J3914)-1,"")</f>
        <v/>
      </c>
      <c r="N3914" s="9" t="str">
        <f>IF(G3914&lt;&gt;"",K3914/MAX(K$3:K3914)-1,"")</f>
        <v/>
      </c>
      <c r="O3914" s="16" t="str">
        <f t="shared" si="595"/>
        <v/>
      </c>
      <c r="P3914" s="16" t="str">
        <f t="shared" si="595"/>
        <v/>
      </c>
      <c r="Q3914" s="16" t="str">
        <f t="shared" si="595"/>
        <v/>
      </c>
      <c r="R3914" s="5" t="str">
        <f t="shared" si="594"/>
        <v/>
      </c>
      <c r="S3914" s="5" t="str">
        <f t="shared" si="598"/>
        <v/>
      </c>
      <c r="T3914" s="5" t="str">
        <f t="shared" si="600"/>
        <v/>
      </c>
      <c r="U3914" s="5" t="str">
        <f t="shared" si="600"/>
        <v/>
      </c>
    </row>
    <row r="3915" spans="7:21" x14ac:dyDescent="0.2">
      <c r="G3915" s="8"/>
      <c r="J3915" s="10" t="str">
        <f t="shared" si="596"/>
        <v/>
      </c>
      <c r="K3915" s="10" t="str">
        <f t="shared" si="597"/>
        <v/>
      </c>
      <c r="L3915" s="11" t="str">
        <f t="shared" si="599"/>
        <v/>
      </c>
      <c r="M3915" s="9" t="str">
        <f>IF(G3915&lt;&gt;"",J3915/MAX(J$3:J3915)-1,"")</f>
        <v/>
      </c>
      <c r="N3915" s="9" t="str">
        <f>IF(G3915&lt;&gt;"",K3915/MAX(K$3:K3915)-1,"")</f>
        <v/>
      </c>
      <c r="O3915" s="16" t="str">
        <f t="shared" si="595"/>
        <v/>
      </c>
      <c r="P3915" s="16" t="str">
        <f t="shared" si="595"/>
        <v/>
      </c>
      <c r="Q3915" s="16" t="str">
        <f t="shared" si="595"/>
        <v/>
      </c>
      <c r="R3915" s="5" t="str">
        <f t="shared" si="594"/>
        <v/>
      </c>
      <c r="S3915" s="5" t="str">
        <f t="shared" si="598"/>
        <v/>
      </c>
      <c r="T3915" s="5" t="str">
        <f t="shared" si="600"/>
        <v/>
      </c>
      <c r="U3915" s="5" t="str">
        <f t="shared" si="600"/>
        <v/>
      </c>
    </row>
    <row r="3916" spans="7:21" x14ac:dyDescent="0.2">
      <c r="G3916" s="8"/>
      <c r="J3916" s="10" t="str">
        <f t="shared" si="596"/>
        <v/>
      </c>
      <c r="K3916" s="10" t="str">
        <f t="shared" si="597"/>
        <v/>
      </c>
      <c r="L3916" s="11" t="str">
        <f t="shared" si="599"/>
        <v/>
      </c>
      <c r="M3916" s="9" t="str">
        <f>IF(G3916&lt;&gt;"",J3916/MAX(J$3:J3916)-1,"")</f>
        <v/>
      </c>
      <c r="N3916" s="9" t="str">
        <f>IF(G3916&lt;&gt;"",K3916/MAX(K$3:K3916)-1,"")</f>
        <v/>
      </c>
      <c r="O3916" s="16" t="str">
        <f t="shared" si="595"/>
        <v/>
      </c>
      <c r="P3916" s="16" t="str">
        <f t="shared" si="595"/>
        <v/>
      </c>
      <c r="Q3916" s="16" t="str">
        <f t="shared" si="595"/>
        <v/>
      </c>
      <c r="R3916" s="5" t="str">
        <f t="shared" si="594"/>
        <v/>
      </c>
      <c r="S3916" s="5" t="str">
        <f t="shared" si="598"/>
        <v/>
      </c>
      <c r="T3916" s="5" t="str">
        <f t="shared" si="600"/>
        <v/>
      </c>
      <c r="U3916" s="5" t="str">
        <f t="shared" si="600"/>
        <v/>
      </c>
    </row>
    <row r="3917" spans="7:21" x14ac:dyDescent="0.2">
      <c r="G3917" s="8"/>
      <c r="J3917" s="10" t="str">
        <f t="shared" si="596"/>
        <v/>
      </c>
      <c r="K3917" s="10" t="str">
        <f t="shared" si="597"/>
        <v/>
      </c>
      <c r="L3917" s="11" t="str">
        <f t="shared" si="599"/>
        <v/>
      </c>
      <c r="M3917" s="9" t="str">
        <f>IF(G3917&lt;&gt;"",J3917/MAX(J$3:J3917)-1,"")</f>
        <v/>
      </c>
      <c r="N3917" s="9" t="str">
        <f>IF(G3917&lt;&gt;"",K3917/MAX(K$3:K3917)-1,"")</f>
        <v/>
      </c>
      <c r="O3917" s="16" t="str">
        <f t="shared" si="595"/>
        <v/>
      </c>
      <c r="P3917" s="16" t="str">
        <f t="shared" si="595"/>
        <v/>
      </c>
      <c r="Q3917" s="16" t="str">
        <f t="shared" si="595"/>
        <v/>
      </c>
      <c r="R3917" s="5" t="str">
        <f t="shared" si="594"/>
        <v/>
      </c>
      <c r="S3917" s="5" t="str">
        <f t="shared" si="598"/>
        <v/>
      </c>
      <c r="T3917" s="5" t="str">
        <f t="shared" si="600"/>
        <v/>
      </c>
      <c r="U3917" s="5" t="str">
        <f t="shared" si="600"/>
        <v/>
      </c>
    </row>
    <row r="3918" spans="7:21" x14ac:dyDescent="0.2">
      <c r="G3918" s="8"/>
      <c r="J3918" s="10" t="str">
        <f t="shared" si="596"/>
        <v/>
      </c>
      <c r="K3918" s="10" t="str">
        <f t="shared" si="597"/>
        <v/>
      </c>
      <c r="L3918" s="11" t="str">
        <f t="shared" si="599"/>
        <v/>
      </c>
      <c r="M3918" s="9" t="str">
        <f>IF(G3918&lt;&gt;"",J3918/MAX(J$3:J3918)-1,"")</f>
        <v/>
      </c>
      <c r="N3918" s="9" t="str">
        <f>IF(G3918&lt;&gt;"",K3918/MAX(K$3:K3918)-1,"")</f>
        <v/>
      </c>
      <c r="O3918" s="16" t="str">
        <f t="shared" si="595"/>
        <v/>
      </c>
      <c r="P3918" s="16" t="str">
        <f t="shared" si="595"/>
        <v/>
      </c>
      <c r="Q3918" s="16" t="str">
        <f t="shared" si="595"/>
        <v/>
      </c>
      <c r="R3918" s="5" t="str">
        <f t="shared" si="594"/>
        <v/>
      </c>
      <c r="S3918" s="5" t="str">
        <f t="shared" si="598"/>
        <v/>
      </c>
      <c r="T3918" s="5" t="str">
        <f t="shared" si="600"/>
        <v/>
      </c>
      <c r="U3918" s="5" t="str">
        <f t="shared" si="600"/>
        <v/>
      </c>
    </row>
    <row r="3919" spans="7:21" x14ac:dyDescent="0.2">
      <c r="G3919" s="8"/>
      <c r="J3919" s="10" t="str">
        <f t="shared" si="596"/>
        <v/>
      </c>
      <c r="K3919" s="10" t="str">
        <f t="shared" si="597"/>
        <v/>
      </c>
      <c r="L3919" s="11" t="str">
        <f t="shared" si="599"/>
        <v/>
      </c>
      <c r="M3919" s="9" t="str">
        <f>IF(G3919&lt;&gt;"",J3919/MAX(J$3:J3919)-1,"")</f>
        <v/>
      </c>
      <c r="N3919" s="9" t="str">
        <f>IF(G3919&lt;&gt;"",K3919/MAX(K$3:K3919)-1,"")</f>
        <v/>
      </c>
      <c r="O3919" s="16" t="str">
        <f t="shared" si="595"/>
        <v/>
      </c>
      <c r="P3919" s="16" t="str">
        <f t="shared" si="595"/>
        <v/>
      </c>
      <c r="Q3919" s="16" t="str">
        <f t="shared" si="595"/>
        <v/>
      </c>
      <c r="R3919" s="5" t="str">
        <f t="shared" si="594"/>
        <v/>
      </c>
      <c r="S3919" s="5" t="str">
        <f t="shared" si="598"/>
        <v/>
      </c>
      <c r="T3919" s="5" t="str">
        <f t="shared" si="600"/>
        <v/>
      </c>
      <c r="U3919" s="5" t="str">
        <f t="shared" si="600"/>
        <v/>
      </c>
    </row>
    <row r="3920" spans="7:21" x14ac:dyDescent="0.2">
      <c r="G3920" s="8"/>
      <c r="J3920" s="10" t="str">
        <f t="shared" si="596"/>
        <v/>
      </c>
      <c r="K3920" s="10" t="str">
        <f t="shared" si="597"/>
        <v/>
      </c>
      <c r="L3920" s="11" t="str">
        <f t="shared" si="599"/>
        <v/>
      </c>
      <c r="M3920" s="9" t="str">
        <f>IF(G3920&lt;&gt;"",J3920/MAX(J$3:J3920)-1,"")</f>
        <v/>
      </c>
      <c r="N3920" s="9" t="str">
        <f>IF(G3920&lt;&gt;"",K3920/MAX(K$3:K3920)-1,"")</f>
        <v/>
      </c>
      <c r="O3920" s="16" t="str">
        <f t="shared" si="595"/>
        <v/>
      </c>
      <c r="P3920" s="16" t="str">
        <f t="shared" si="595"/>
        <v/>
      </c>
      <c r="Q3920" s="16" t="str">
        <f t="shared" si="595"/>
        <v/>
      </c>
      <c r="R3920" s="5" t="str">
        <f t="shared" si="594"/>
        <v/>
      </c>
      <c r="S3920" s="5" t="str">
        <f t="shared" si="598"/>
        <v/>
      </c>
      <c r="T3920" s="5" t="str">
        <f t="shared" si="600"/>
        <v/>
      </c>
      <c r="U3920" s="5" t="str">
        <f t="shared" si="600"/>
        <v/>
      </c>
    </row>
    <row r="3921" spans="7:21" x14ac:dyDescent="0.2">
      <c r="G3921" s="8"/>
      <c r="J3921" s="10" t="str">
        <f t="shared" si="596"/>
        <v/>
      </c>
      <c r="K3921" s="10" t="str">
        <f t="shared" si="597"/>
        <v/>
      </c>
      <c r="L3921" s="11" t="str">
        <f t="shared" si="599"/>
        <v/>
      </c>
      <c r="M3921" s="9" t="str">
        <f>IF(G3921&lt;&gt;"",J3921/MAX(J$3:J3921)-1,"")</f>
        <v/>
      </c>
      <c r="N3921" s="9" t="str">
        <f>IF(G3921&lt;&gt;"",K3921/MAX(K$3:K3921)-1,"")</f>
        <v/>
      </c>
      <c r="O3921" s="16" t="str">
        <f t="shared" si="595"/>
        <v/>
      </c>
      <c r="P3921" s="16" t="str">
        <f t="shared" si="595"/>
        <v/>
      </c>
      <c r="Q3921" s="16" t="str">
        <f t="shared" si="595"/>
        <v/>
      </c>
      <c r="R3921" s="5" t="str">
        <f t="shared" si="594"/>
        <v/>
      </c>
      <c r="S3921" s="5" t="str">
        <f t="shared" si="598"/>
        <v/>
      </c>
      <c r="T3921" s="5" t="str">
        <f t="shared" si="600"/>
        <v/>
      </c>
      <c r="U3921" s="5" t="str">
        <f t="shared" si="600"/>
        <v/>
      </c>
    </row>
    <row r="3922" spans="7:21" x14ac:dyDescent="0.2">
      <c r="G3922" s="8"/>
      <c r="J3922" s="10" t="str">
        <f t="shared" si="596"/>
        <v/>
      </c>
      <c r="K3922" s="10" t="str">
        <f t="shared" si="597"/>
        <v/>
      </c>
      <c r="L3922" s="11" t="str">
        <f t="shared" si="599"/>
        <v/>
      </c>
      <c r="M3922" s="9" t="str">
        <f>IF(G3922&lt;&gt;"",J3922/MAX(J$3:J3922)-1,"")</f>
        <v/>
      </c>
      <c r="N3922" s="9" t="str">
        <f>IF(G3922&lt;&gt;"",K3922/MAX(K$3:K3922)-1,"")</f>
        <v/>
      </c>
      <c r="O3922" s="16" t="str">
        <f t="shared" si="595"/>
        <v/>
      </c>
      <c r="P3922" s="16" t="str">
        <f t="shared" si="595"/>
        <v/>
      </c>
      <c r="Q3922" s="16" t="str">
        <f t="shared" si="595"/>
        <v/>
      </c>
      <c r="R3922" s="5" t="str">
        <f t="shared" si="594"/>
        <v/>
      </c>
      <c r="S3922" s="5" t="str">
        <f t="shared" si="598"/>
        <v/>
      </c>
      <c r="T3922" s="5" t="str">
        <f t="shared" si="600"/>
        <v/>
      </c>
      <c r="U3922" s="5" t="str">
        <f t="shared" si="600"/>
        <v/>
      </c>
    </row>
    <row r="3923" spans="7:21" x14ac:dyDescent="0.2">
      <c r="G3923" s="8"/>
      <c r="J3923" s="10" t="str">
        <f t="shared" si="596"/>
        <v/>
      </c>
      <c r="K3923" s="10" t="str">
        <f t="shared" si="597"/>
        <v/>
      </c>
      <c r="L3923" s="11" t="str">
        <f t="shared" si="599"/>
        <v/>
      </c>
      <c r="M3923" s="9" t="str">
        <f>IF(G3923&lt;&gt;"",J3923/MAX(J$3:J3923)-1,"")</f>
        <v/>
      </c>
      <c r="N3923" s="9" t="str">
        <f>IF(G3923&lt;&gt;"",K3923/MAX(K$3:K3923)-1,"")</f>
        <v/>
      </c>
      <c r="O3923" s="16" t="str">
        <f t="shared" si="595"/>
        <v/>
      </c>
      <c r="P3923" s="16" t="str">
        <f t="shared" si="595"/>
        <v/>
      </c>
      <c r="Q3923" s="16" t="str">
        <f t="shared" si="595"/>
        <v/>
      </c>
      <c r="R3923" s="5" t="str">
        <f t="shared" si="594"/>
        <v/>
      </c>
      <c r="S3923" s="5" t="str">
        <f t="shared" si="598"/>
        <v/>
      </c>
      <c r="T3923" s="5" t="str">
        <f t="shared" si="600"/>
        <v/>
      </c>
      <c r="U3923" s="5" t="str">
        <f t="shared" si="600"/>
        <v/>
      </c>
    </row>
    <row r="3924" spans="7:21" x14ac:dyDescent="0.2">
      <c r="G3924" s="8"/>
      <c r="J3924" s="10" t="str">
        <f t="shared" si="596"/>
        <v/>
      </c>
      <c r="K3924" s="10" t="str">
        <f t="shared" si="597"/>
        <v/>
      </c>
      <c r="L3924" s="11" t="str">
        <f t="shared" si="599"/>
        <v/>
      </c>
      <c r="M3924" s="9" t="str">
        <f>IF(G3924&lt;&gt;"",J3924/MAX(J$3:J3924)-1,"")</f>
        <v/>
      </c>
      <c r="N3924" s="9" t="str">
        <f>IF(G3924&lt;&gt;"",K3924/MAX(K$3:K3924)-1,"")</f>
        <v/>
      </c>
      <c r="O3924" s="16" t="str">
        <f t="shared" si="595"/>
        <v/>
      </c>
      <c r="P3924" s="16" t="str">
        <f t="shared" si="595"/>
        <v/>
      </c>
      <c r="Q3924" s="16" t="str">
        <f t="shared" si="595"/>
        <v/>
      </c>
      <c r="R3924" s="5" t="str">
        <f t="shared" si="594"/>
        <v/>
      </c>
      <c r="S3924" s="5" t="str">
        <f t="shared" si="598"/>
        <v/>
      </c>
      <c r="T3924" s="5" t="str">
        <f t="shared" si="600"/>
        <v/>
      </c>
      <c r="U3924" s="5" t="str">
        <f t="shared" si="600"/>
        <v/>
      </c>
    </row>
    <row r="3925" spans="7:21" x14ac:dyDescent="0.2">
      <c r="G3925" s="8"/>
      <c r="J3925" s="10" t="str">
        <f t="shared" si="596"/>
        <v/>
      </c>
      <c r="K3925" s="10" t="str">
        <f t="shared" si="597"/>
        <v/>
      </c>
      <c r="L3925" s="11" t="str">
        <f t="shared" si="599"/>
        <v/>
      </c>
      <c r="M3925" s="9" t="str">
        <f>IF(G3925&lt;&gt;"",J3925/MAX(J$3:J3925)-1,"")</f>
        <v/>
      </c>
      <c r="N3925" s="9" t="str">
        <f>IF(G3925&lt;&gt;"",K3925/MAX(K$3:K3925)-1,"")</f>
        <v/>
      </c>
      <c r="O3925" s="16" t="str">
        <f t="shared" si="595"/>
        <v/>
      </c>
      <c r="P3925" s="16" t="str">
        <f t="shared" si="595"/>
        <v/>
      </c>
      <c r="Q3925" s="16" t="str">
        <f t="shared" si="595"/>
        <v/>
      </c>
      <c r="R3925" s="5" t="str">
        <f t="shared" si="594"/>
        <v/>
      </c>
      <c r="S3925" s="5" t="str">
        <f t="shared" si="598"/>
        <v/>
      </c>
      <c r="T3925" s="5" t="str">
        <f t="shared" si="600"/>
        <v/>
      </c>
      <c r="U3925" s="5" t="str">
        <f t="shared" si="600"/>
        <v/>
      </c>
    </row>
    <row r="3926" spans="7:21" x14ac:dyDescent="0.2">
      <c r="G3926" s="8"/>
      <c r="J3926" s="10" t="str">
        <f t="shared" si="596"/>
        <v/>
      </c>
      <c r="K3926" s="10" t="str">
        <f t="shared" si="597"/>
        <v/>
      </c>
      <c r="L3926" s="11" t="str">
        <f t="shared" si="599"/>
        <v/>
      </c>
      <c r="M3926" s="9" t="str">
        <f>IF(G3926&lt;&gt;"",J3926/MAX(J$3:J3926)-1,"")</f>
        <v/>
      </c>
      <c r="N3926" s="9" t="str">
        <f>IF(G3926&lt;&gt;"",K3926/MAX(K$3:K3926)-1,"")</f>
        <v/>
      </c>
      <c r="O3926" s="16" t="str">
        <f t="shared" si="595"/>
        <v/>
      </c>
      <c r="P3926" s="16" t="str">
        <f t="shared" si="595"/>
        <v/>
      </c>
      <c r="Q3926" s="16" t="str">
        <f t="shared" si="595"/>
        <v/>
      </c>
      <c r="R3926" s="5" t="str">
        <f t="shared" si="594"/>
        <v/>
      </c>
      <c r="S3926" s="5" t="str">
        <f t="shared" si="598"/>
        <v/>
      </c>
      <c r="T3926" s="5" t="str">
        <f t="shared" si="600"/>
        <v/>
      </c>
      <c r="U3926" s="5" t="str">
        <f t="shared" si="600"/>
        <v/>
      </c>
    </row>
    <row r="3927" spans="7:21" x14ac:dyDescent="0.2">
      <c r="G3927" s="8"/>
      <c r="J3927" s="10" t="str">
        <f t="shared" si="596"/>
        <v/>
      </c>
      <c r="K3927" s="10" t="str">
        <f t="shared" si="597"/>
        <v/>
      </c>
      <c r="L3927" s="11" t="str">
        <f t="shared" si="599"/>
        <v/>
      </c>
      <c r="M3927" s="9" t="str">
        <f>IF(G3927&lt;&gt;"",J3927/MAX(J$3:J3927)-1,"")</f>
        <v/>
      </c>
      <c r="N3927" s="9" t="str">
        <f>IF(G3927&lt;&gt;"",K3927/MAX(K$3:K3927)-1,"")</f>
        <v/>
      </c>
      <c r="O3927" s="16" t="str">
        <f t="shared" si="595"/>
        <v/>
      </c>
      <c r="P3927" s="16" t="str">
        <f t="shared" si="595"/>
        <v/>
      </c>
      <c r="Q3927" s="16" t="str">
        <f t="shared" si="595"/>
        <v/>
      </c>
      <c r="R3927" s="5" t="str">
        <f t="shared" si="594"/>
        <v/>
      </c>
      <c r="S3927" s="5" t="str">
        <f t="shared" si="598"/>
        <v/>
      </c>
      <c r="T3927" s="5" t="str">
        <f t="shared" si="600"/>
        <v/>
      </c>
      <c r="U3927" s="5" t="str">
        <f t="shared" si="600"/>
        <v/>
      </c>
    </row>
    <row r="3928" spans="7:21" x14ac:dyDescent="0.2">
      <c r="G3928" s="8"/>
      <c r="J3928" s="10" t="str">
        <f t="shared" si="596"/>
        <v/>
      </c>
      <c r="K3928" s="10" t="str">
        <f t="shared" si="597"/>
        <v/>
      </c>
      <c r="L3928" s="11" t="str">
        <f t="shared" si="599"/>
        <v/>
      </c>
      <c r="M3928" s="9" t="str">
        <f>IF(G3928&lt;&gt;"",J3928/MAX(J$3:J3928)-1,"")</f>
        <v/>
      </c>
      <c r="N3928" s="9" t="str">
        <f>IF(G3928&lt;&gt;"",K3928/MAX(K$3:K3928)-1,"")</f>
        <v/>
      </c>
      <c r="O3928" s="16" t="str">
        <f t="shared" si="595"/>
        <v/>
      </c>
      <c r="P3928" s="16" t="str">
        <f t="shared" si="595"/>
        <v/>
      </c>
      <c r="Q3928" s="16" t="str">
        <f t="shared" si="595"/>
        <v/>
      </c>
      <c r="R3928" s="5" t="str">
        <f t="shared" si="594"/>
        <v/>
      </c>
      <c r="S3928" s="5" t="str">
        <f t="shared" si="598"/>
        <v/>
      </c>
      <c r="T3928" s="5" t="str">
        <f t="shared" ref="T3928:U3943" si="601">IF($G3928&lt;&gt;"",_xlfn.STDEV.S(O3684:O3928),"")</f>
        <v/>
      </c>
      <c r="U3928" s="5" t="str">
        <f t="shared" si="601"/>
        <v/>
      </c>
    </row>
    <row r="3929" spans="7:21" x14ac:dyDescent="0.2">
      <c r="G3929" s="8"/>
      <c r="J3929" s="10" t="str">
        <f t="shared" si="596"/>
        <v/>
      </c>
      <c r="K3929" s="10" t="str">
        <f t="shared" si="597"/>
        <v/>
      </c>
      <c r="L3929" s="11" t="str">
        <f t="shared" si="599"/>
        <v/>
      </c>
      <c r="M3929" s="9" t="str">
        <f>IF(G3929&lt;&gt;"",J3929/MAX(J$3:J3929)-1,"")</f>
        <v/>
      </c>
      <c r="N3929" s="9" t="str">
        <f>IF(G3929&lt;&gt;"",K3929/MAX(K$3:K3929)-1,"")</f>
        <v/>
      </c>
      <c r="O3929" s="16" t="str">
        <f t="shared" si="595"/>
        <v/>
      </c>
      <c r="P3929" s="16" t="str">
        <f t="shared" si="595"/>
        <v/>
      </c>
      <c r="Q3929" s="16" t="str">
        <f t="shared" si="595"/>
        <v/>
      </c>
      <c r="R3929" s="5" t="str">
        <f t="shared" si="594"/>
        <v/>
      </c>
      <c r="S3929" s="5" t="str">
        <f t="shared" si="598"/>
        <v/>
      </c>
      <c r="T3929" s="5" t="str">
        <f t="shared" si="601"/>
        <v/>
      </c>
      <c r="U3929" s="5" t="str">
        <f t="shared" si="601"/>
        <v/>
      </c>
    </row>
    <row r="3930" spans="7:21" x14ac:dyDescent="0.2">
      <c r="G3930" s="8"/>
      <c r="J3930" s="10" t="str">
        <f t="shared" si="596"/>
        <v/>
      </c>
      <c r="K3930" s="10" t="str">
        <f t="shared" si="597"/>
        <v/>
      </c>
      <c r="L3930" s="11" t="str">
        <f t="shared" si="599"/>
        <v/>
      </c>
      <c r="M3930" s="9" t="str">
        <f>IF(G3930&lt;&gt;"",J3930/MAX(J$3:J3930)-1,"")</f>
        <v/>
      </c>
      <c r="N3930" s="9" t="str">
        <f>IF(G3930&lt;&gt;"",K3930/MAX(K$3:K3930)-1,"")</f>
        <v/>
      </c>
      <c r="O3930" s="16" t="str">
        <f t="shared" si="595"/>
        <v/>
      </c>
      <c r="P3930" s="16" t="str">
        <f t="shared" si="595"/>
        <v/>
      </c>
      <c r="Q3930" s="16" t="str">
        <f t="shared" si="595"/>
        <v/>
      </c>
      <c r="R3930" s="5" t="str">
        <f t="shared" si="594"/>
        <v/>
      </c>
      <c r="S3930" s="5" t="str">
        <f t="shared" si="598"/>
        <v/>
      </c>
      <c r="T3930" s="5" t="str">
        <f t="shared" si="601"/>
        <v/>
      </c>
      <c r="U3930" s="5" t="str">
        <f t="shared" si="601"/>
        <v/>
      </c>
    </row>
    <row r="3931" spans="7:21" x14ac:dyDescent="0.2">
      <c r="G3931" s="8"/>
      <c r="J3931" s="10" t="str">
        <f t="shared" si="596"/>
        <v/>
      </c>
      <c r="K3931" s="10" t="str">
        <f t="shared" si="597"/>
        <v/>
      </c>
      <c r="L3931" s="11" t="str">
        <f t="shared" si="599"/>
        <v/>
      </c>
      <c r="M3931" s="9" t="str">
        <f>IF(G3931&lt;&gt;"",J3931/MAX(J$3:J3931)-1,"")</f>
        <v/>
      </c>
      <c r="N3931" s="9" t="str">
        <f>IF(G3931&lt;&gt;"",K3931/MAX(K$3:K3931)-1,"")</f>
        <v/>
      </c>
      <c r="O3931" s="16" t="str">
        <f t="shared" si="595"/>
        <v/>
      </c>
      <c r="P3931" s="16" t="str">
        <f t="shared" si="595"/>
        <v/>
      </c>
      <c r="Q3931" s="16" t="str">
        <f t="shared" si="595"/>
        <v/>
      </c>
      <c r="R3931" s="5" t="str">
        <f t="shared" si="594"/>
        <v/>
      </c>
      <c r="S3931" s="5" t="str">
        <f t="shared" si="598"/>
        <v/>
      </c>
      <c r="T3931" s="5" t="str">
        <f t="shared" si="601"/>
        <v/>
      </c>
      <c r="U3931" s="5" t="str">
        <f t="shared" si="601"/>
        <v/>
      </c>
    </row>
    <row r="3932" spans="7:21" x14ac:dyDescent="0.2">
      <c r="G3932" s="8"/>
      <c r="J3932" s="10" t="str">
        <f t="shared" si="596"/>
        <v/>
      </c>
      <c r="K3932" s="10" t="str">
        <f t="shared" si="597"/>
        <v/>
      </c>
      <c r="L3932" s="11" t="str">
        <f t="shared" si="599"/>
        <v/>
      </c>
      <c r="M3932" s="9" t="str">
        <f>IF(G3932&lt;&gt;"",J3932/MAX(J$3:J3932)-1,"")</f>
        <v/>
      </c>
      <c r="N3932" s="9" t="str">
        <f>IF(G3932&lt;&gt;"",K3932/MAX(K$3:K3932)-1,"")</f>
        <v/>
      </c>
      <c r="O3932" s="16" t="str">
        <f t="shared" si="595"/>
        <v/>
      </c>
      <c r="P3932" s="16" t="str">
        <f t="shared" si="595"/>
        <v/>
      </c>
      <c r="Q3932" s="16" t="str">
        <f t="shared" si="595"/>
        <v/>
      </c>
      <c r="R3932" s="5" t="str">
        <f t="shared" si="594"/>
        <v/>
      </c>
      <c r="S3932" s="5" t="str">
        <f t="shared" si="598"/>
        <v/>
      </c>
      <c r="T3932" s="5" t="str">
        <f t="shared" si="601"/>
        <v/>
      </c>
      <c r="U3932" s="5" t="str">
        <f t="shared" si="601"/>
        <v/>
      </c>
    </row>
    <row r="3933" spans="7:21" x14ac:dyDescent="0.2">
      <c r="G3933" s="8"/>
      <c r="J3933" s="10" t="str">
        <f t="shared" si="596"/>
        <v/>
      </c>
      <c r="K3933" s="10" t="str">
        <f t="shared" si="597"/>
        <v/>
      </c>
      <c r="L3933" s="11" t="str">
        <f t="shared" si="599"/>
        <v/>
      </c>
      <c r="M3933" s="9" t="str">
        <f>IF(G3933&lt;&gt;"",J3933/MAX(J$3:J3933)-1,"")</f>
        <v/>
      </c>
      <c r="N3933" s="9" t="str">
        <f>IF(G3933&lt;&gt;"",K3933/MAX(K$3:K3933)-1,"")</f>
        <v/>
      </c>
      <c r="O3933" s="16" t="str">
        <f t="shared" si="595"/>
        <v/>
      </c>
      <c r="P3933" s="16" t="str">
        <f t="shared" si="595"/>
        <v/>
      </c>
      <c r="Q3933" s="16" t="str">
        <f t="shared" si="595"/>
        <v/>
      </c>
      <c r="R3933" s="5" t="str">
        <f t="shared" si="594"/>
        <v/>
      </c>
      <c r="S3933" s="5" t="str">
        <f t="shared" si="598"/>
        <v/>
      </c>
      <c r="T3933" s="5" t="str">
        <f t="shared" si="601"/>
        <v/>
      </c>
      <c r="U3933" s="5" t="str">
        <f t="shared" si="601"/>
        <v/>
      </c>
    </row>
    <row r="3934" spans="7:21" x14ac:dyDescent="0.2">
      <c r="G3934" s="8"/>
      <c r="J3934" s="10" t="str">
        <f t="shared" si="596"/>
        <v/>
      </c>
      <c r="K3934" s="10" t="str">
        <f t="shared" si="597"/>
        <v/>
      </c>
      <c r="L3934" s="11" t="str">
        <f t="shared" si="599"/>
        <v/>
      </c>
      <c r="M3934" s="9" t="str">
        <f>IF(G3934&lt;&gt;"",J3934/MAX(J$3:J3934)-1,"")</f>
        <v/>
      </c>
      <c r="N3934" s="9" t="str">
        <f>IF(G3934&lt;&gt;"",K3934/MAX(K$3:K3934)-1,"")</f>
        <v/>
      </c>
      <c r="O3934" s="16" t="str">
        <f t="shared" si="595"/>
        <v/>
      </c>
      <c r="P3934" s="16" t="str">
        <f t="shared" si="595"/>
        <v/>
      </c>
      <c r="Q3934" s="16" t="str">
        <f t="shared" si="595"/>
        <v/>
      </c>
      <c r="R3934" s="5" t="str">
        <f t="shared" si="594"/>
        <v/>
      </c>
      <c r="S3934" s="5" t="str">
        <f t="shared" si="598"/>
        <v/>
      </c>
      <c r="T3934" s="5" t="str">
        <f t="shared" si="601"/>
        <v/>
      </c>
      <c r="U3934" s="5" t="str">
        <f t="shared" si="601"/>
        <v/>
      </c>
    </row>
    <row r="3935" spans="7:21" x14ac:dyDescent="0.2">
      <c r="G3935" s="8"/>
      <c r="J3935" s="10" t="str">
        <f t="shared" si="596"/>
        <v/>
      </c>
      <c r="K3935" s="10" t="str">
        <f t="shared" si="597"/>
        <v/>
      </c>
      <c r="L3935" s="11" t="str">
        <f t="shared" si="599"/>
        <v/>
      </c>
      <c r="M3935" s="9" t="str">
        <f>IF(G3935&lt;&gt;"",J3935/MAX(J$3:J3935)-1,"")</f>
        <v/>
      </c>
      <c r="N3935" s="9" t="str">
        <f>IF(G3935&lt;&gt;"",K3935/MAX(K$3:K3935)-1,"")</f>
        <v/>
      </c>
      <c r="O3935" s="16" t="str">
        <f t="shared" si="595"/>
        <v/>
      </c>
      <c r="P3935" s="16" t="str">
        <f t="shared" si="595"/>
        <v/>
      </c>
      <c r="Q3935" s="16" t="str">
        <f t="shared" si="595"/>
        <v/>
      </c>
      <c r="R3935" s="5" t="str">
        <f t="shared" si="594"/>
        <v/>
      </c>
      <c r="S3935" s="5" t="str">
        <f t="shared" si="598"/>
        <v/>
      </c>
      <c r="T3935" s="5" t="str">
        <f t="shared" si="601"/>
        <v/>
      </c>
      <c r="U3935" s="5" t="str">
        <f t="shared" si="601"/>
        <v/>
      </c>
    </row>
    <row r="3936" spans="7:21" x14ac:dyDescent="0.2">
      <c r="G3936" s="8"/>
      <c r="J3936" s="10" t="str">
        <f t="shared" si="596"/>
        <v/>
      </c>
      <c r="K3936" s="10" t="str">
        <f t="shared" si="597"/>
        <v/>
      </c>
      <c r="L3936" s="11" t="str">
        <f t="shared" si="599"/>
        <v/>
      </c>
      <c r="M3936" s="9" t="str">
        <f>IF(G3936&lt;&gt;"",J3936/MAX(J$3:J3936)-1,"")</f>
        <v/>
      </c>
      <c r="N3936" s="9" t="str">
        <f>IF(G3936&lt;&gt;"",K3936/MAX(K$3:K3936)-1,"")</f>
        <v/>
      </c>
      <c r="O3936" s="16" t="str">
        <f t="shared" si="595"/>
        <v/>
      </c>
      <c r="P3936" s="16" t="str">
        <f t="shared" si="595"/>
        <v/>
      </c>
      <c r="Q3936" s="16" t="str">
        <f t="shared" si="595"/>
        <v/>
      </c>
      <c r="R3936" s="5" t="str">
        <f t="shared" si="594"/>
        <v/>
      </c>
      <c r="S3936" s="5" t="str">
        <f t="shared" si="598"/>
        <v/>
      </c>
      <c r="T3936" s="5" t="str">
        <f t="shared" si="601"/>
        <v/>
      </c>
      <c r="U3936" s="5" t="str">
        <f t="shared" si="601"/>
        <v/>
      </c>
    </row>
    <row r="3937" spans="7:21" x14ac:dyDescent="0.2">
      <c r="G3937" s="8"/>
      <c r="J3937" s="10" t="str">
        <f t="shared" si="596"/>
        <v/>
      </c>
      <c r="K3937" s="10" t="str">
        <f t="shared" si="597"/>
        <v/>
      </c>
      <c r="L3937" s="11" t="str">
        <f t="shared" si="599"/>
        <v/>
      </c>
      <c r="M3937" s="9" t="str">
        <f>IF(G3937&lt;&gt;"",J3937/MAX(J$3:J3937)-1,"")</f>
        <v/>
      </c>
      <c r="N3937" s="9" t="str">
        <f>IF(G3937&lt;&gt;"",K3937/MAX(K$3:K3937)-1,"")</f>
        <v/>
      </c>
      <c r="O3937" s="16" t="str">
        <f t="shared" si="595"/>
        <v/>
      </c>
      <c r="P3937" s="16" t="str">
        <f t="shared" si="595"/>
        <v/>
      </c>
      <c r="Q3937" s="16" t="str">
        <f t="shared" si="595"/>
        <v/>
      </c>
      <c r="R3937" s="5" t="str">
        <f t="shared" si="594"/>
        <v/>
      </c>
      <c r="S3937" s="5" t="str">
        <f t="shared" si="598"/>
        <v/>
      </c>
      <c r="T3937" s="5" t="str">
        <f t="shared" si="601"/>
        <v/>
      </c>
      <c r="U3937" s="5" t="str">
        <f t="shared" si="601"/>
        <v/>
      </c>
    </row>
    <row r="3938" spans="7:21" x14ac:dyDescent="0.2">
      <c r="G3938" s="8"/>
      <c r="J3938" s="10" t="str">
        <f t="shared" si="596"/>
        <v/>
      </c>
      <c r="K3938" s="10" t="str">
        <f t="shared" si="597"/>
        <v/>
      </c>
      <c r="L3938" s="11" t="str">
        <f t="shared" si="599"/>
        <v/>
      </c>
      <c r="M3938" s="9" t="str">
        <f>IF(G3938&lt;&gt;"",J3938/MAX(J$3:J3938)-1,"")</f>
        <v/>
      </c>
      <c r="N3938" s="9" t="str">
        <f>IF(G3938&lt;&gt;"",K3938/MAX(K$3:K3938)-1,"")</f>
        <v/>
      </c>
      <c r="O3938" s="16" t="str">
        <f t="shared" si="595"/>
        <v/>
      </c>
      <c r="P3938" s="16" t="str">
        <f t="shared" si="595"/>
        <v/>
      </c>
      <c r="Q3938" s="16" t="str">
        <f t="shared" si="595"/>
        <v/>
      </c>
      <c r="R3938" s="5" t="str">
        <f t="shared" si="594"/>
        <v/>
      </c>
      <c r="S3938" s="5" t="str">
        <f t="shared" si="598"/>
        <v/>
      </c>
      <c r="T3938" s="5" t="str">
        <f t="shared" si="601"/>
        <v/>
      </c>
      <c r="U3938" s="5" t="str">
        <f t="shared" si="601"/>
        <v/>
      </c>
    </row>
    <row r="3939" spans="7:21" x14ac:dyDescent="0.2">
      <c r="G3939" s="8"/>
      <c r="J3939" s="10" t="str">
        <f t="shared" si="596"/>
        <v/>
      </c>
      <c r="K3939" s="10" t="str">
        <f t="shared" si="597"/>
        <v/>
      </c>
      <c r="L3939" s="11" t="str">
        <f t="shared" si="599"/>
        <v/>
      </c>
      <c r="M3939" s="9" t="str">
        <f>IF(G3939&lt;&gt;"",J3939/MAX(J$3:J3939)-1,"")</f>
        <v/>
      </c>
      <c r="N3939" s="9" t="str">
        <f>IF(G3939&lt;&gt;"",K3939/MAX(K$3:K3939)-1,"")</f>
        <v/>
      </c>
      <c r="O3939" s="16" t="str">
        <f t="shared" si="595"/>
        <v/>
      </c>
      <c r="P3939" s="16" t="str">
        <f t="shared" si="595"/>
        <v/>
      </c>
      <c r="Q3939" s="16" t="str">
        <f t="shared" si="595"/>
        <v/>
      </c>
      <c r="R3939" s="5" t="str">
        <f t="shared" si="594"/>
        <v/>
      </c>
      <c r="S3939" s="5" t="str">
        <f t="shared" si="598"/>
        <v/>
      </c>
      <c r="T3939" s="5" t="str">
        <f t="shared" si="601"/>
        <v/>
      </c>
      <c r="U3939" s="5" t="str">
        <f t="shared" si="601"/>
        <v/>
      </c>
    </row>
    <row r="3940" spans="7:21" x14ac:dyDescent="0.2">
      <c r="G3940" s="8"/>
      <c r="J3940" s="10" t="str">
        <f t="shared" si="596"/>
        <v/>
      </c>
      <c r="K3940" s="10" t="str">
        <f t="shared" si="597"/>
        <v/>
      </c>
      <c r="L3940" s="11" t="str">
        <f t="shared" si="599"/>
        <v/>
      </c>
      <c r="M3940" s="9" t="str">
        <f>IF(G3940&lt;&gt;"",J3940/MAX(J$3:J3940)-1,"")</f>
        <v/>
      </c>
      <c r="N3940" s="9" t="str">
        <f>IF(G3940&lt;&gt;"",K3940/MAX(K$3:K3940)-1,"")</f>
        <v/>
      </c>
      <c r="O3940" s="16" t="str">
        <f t="shared" si="595"/>
        <v/>
      </c>
      <c r="P3940" s="16" t="str">
        <f t="shared" si="595"/>
        <v/>
      </c>
      <c r="Q3940" s="16" t="str">
        <f t="shared" si="595"/>
        <v/>
      </c>
      <c r="R3940" s="5" t="str">
        <f t="shared" si="594"/>
        <v/>
      </c>
      <c r="S3940" s="5" t="str">
        <f t="shared" si="598"/>
        <v/>
      </c>
      <c r="T3940" s="5" t="str">
        <f t="shared" si="601"/>
        <v/>
      </c>
      <c r="U3940" s="5" t="str">
        <f t="shared" si="601"/>
        <v/>
      </c>
    </row>
    <row r="3941" spans="7:21" x14ac:dyDescent="0.2">
      <c r="G3941" s="8"/>
      <c r="J3941" s="10" t="str">
        <f t="shared" si="596"/>
        <v/>
      </c>
      <c r="K3941" s="10" t="str">
        <f t="shared" si="597"/>
        <v/>
      </c>
      <c r="L3941" s="11" t="str">
        <f t="shared" si="599"/>
        <v/>
      </c>
      <c r="M3941" s="9" t="str">
        <f>IF(G3941&lt;&gt;"",J3941/MAX(J$3:J3941)-1,"")</f>
        <v/>
      </c>
      <c r="N3941" s="9" t="str">
        <f>IF(G3941&lt;&gt;"",K3941/MAX(K$3:K3941)-1,"")</f>
        <v/>
      </c>
      <c r="O3941" s="16" t="str">
        <f t="shared" si="595"/>
        <v/>
      </c>
      <c r="P3941" s="16" t="str">
        <f t="shared" si="595"/>
        <v/>
      </c>
      <c r="Q3941" s="16" t="str">
        <f t="shared" si="595"/>
        <v/>
      </c>
      <c r="R3941" s="5" t="str">
        <f t="shared" si="594"/>
        <v/>
      </c>
      <c r="S3941" s="5" t="str">
        <f t="shared" si="598"/>
        <v/>
      </c>
      <c r="T3941" s="5" t="str">
        <f t="shared" si="601"/>
        <v/>
      </c>
      <c r="U3941" s="5" t="str">
        <f t="shared" si="601"/>
        <v/>
      </c>
    </row>
    <row r="3942" spans="7:21" x14ac:dyDescent="0.2">
      <c r="J3942" s="10" t="str">
        <f t="shared" si="596"/>
        <v/>
      </c>
      <c r="K3942" s="10" t="str">
        <f t="shared" si="597"/>
        <v/>
      </c>
      <c r="L3942" s="11" t="str">
        <f t="shared" si="599"/>
        <v/>
      </c>
      <c r="M3942" s="9" t="str">
        <f>IF(G3942&lt;&gt;"",J3942/MAX(J$3:J3942)-1,"")</f>
        <v/>
      </c>
      <c r="N3942" s="9" t="str">
        <f>IF(G3942&lt;&gt;"",K3942/MAX(K$3:K3942)-1,"")</f>
        <v/>
      </c>
      <c r="O3942" s="16" t="str">
        <f t="shared" si="595"/>
        <v/>
      </c>
      <c r="P3942" s="16" t="str">
        <f t="shared" si="595"/>
        <v/>
      </c>
      <c r="Q3942" s="16" t="str">
        <f t="shared" si="595"/>
        <v/>
      </c>
      <c r="R3942" s="5" t="str">
        <f t="shared" si="594"/>
        <v/>
      </c>
      <c r="S3942" s="5" t="str">
        <f t="shared" si="598"/>
        <v/>
      </c>
      <c r="T3942" s="5" t="str">
        <f t="shared" si="601"/>
        <v/>
      </c>
      <c r="U3942" s="5" t="str">
        <f t="shared" si="601"/>
        <v/>
      </c>
    </row>
    <row r="3943" spans="7:21" x14ac:dyDescent="0.2">
      <c r="J3943" s="10" t="str">
        <f t="shared" si="596"/>
        <v/>
      </c>
      <c r="K3943" s="10" t="str">
        <f t="shared" si="597"/>
        <v/>
      </c>
      <c r="L3943" s="11" t="str">
        <f t="shared" si="599"/>
        <v/>
      </c>
      <c r="M3943" s="9" t="str">
        <f>IF(G3943&lt;&gt;"",J3943/MAX(J$3:J3943)-1,"")</f>
        <v/>
      </c>
      <c r="N3943" s="9" t="str">
        <f>IF(G3943&lt;&gt;"",K3943/MAX(K$3:K3943)-1,"")</f>
        <v/>
      </c>
      <c r="O3943" s="16" t="str">
        <f t="shared" si="595"/>
        <v/>
      </c>
      <c r="P3943" s="16" t="str">
        <f t="shared" si="595"/>
        <v/>
      </c>
      <c r="Q3943" s="16" t="str">
        <f t="shared" si="595"/>
        <v/>
      </c>
      <c r="R3943" s="5" t="str">
        <f t="shared" si="594"/>
        <v/>
      </c>
      <c r="S3943" s="5" t="str">
        <f t="shared" si="598"/>
        <v/>
      </c>
      <c r="T3943" s="5" t="str">
        <f t="shared" si="601"/>
        <v/>
      </c>
      <c r="U3943" s="5" t="str">
        <f t="shared" si="601"/>
        <v/>
      </c>
    </row>
    <row r="3944" spans="7:21" x14ac:dyDescent="0.2">
      <c r="J3944" s="10" t="str">
        <f t="shared" si="596"/>
        <v/>
      </c>
      <c r="K3944" s="10" t="str">
        <f t="shared" si="597"/>
        <v/>
      </c>
      <c r="L3944" s="11" t="str">
        <f t="shared" si="599"/>
        <v/>
      </c>
      <c r="M3944" s="9" t="str">
        <f>IF(G3944&lt;&gt;"",J3944/MAX(J$3:J3944)-1,"")</f>
        <v/>
      </c>
      <c r="N3944" s="9" t="str">
        <f>IF(G3944&lt;&gt;"",K3944/MAX(K$3:K3944)-1,"")</f>
        <v/>
      </c>
      <c r="O3944" s="16" t="str">
        <f t="shared" si="595"/>
        <v/>
      </c>
      <c r="P3944" s="16" t="str">
        <f t="shared" si="595"/>
        <v/>
      </c>
      <c r="Q3944" s="16" t="str">
        <f t="shared" si="595"/>
        <v/>
      </c>
      <c r="R3944" s="5" t="str">
        <f t="shared" si="594"/>
        <v/>
      </c>
      <c r="S3944" s="5" t="str">
        <f t="shared" si="598"/>
        <v/>
      </c>
      <c r="T3944" s="5" t="str">
        <f t="shared" ref="T3944:U3959" si="602">IF($G3944&lt;&gt;"",_xlfn.STDEV.S(O3700:O3944),"")</f>
        <v/>
      </c>
      <c r="U3944" s="5" t="str">
        <f t="shared" si="602"/>
        <v/>
      </c>
    </row>
    <row r="3945" spans="7:21" x14ac:dyDescent="0.2">
      <c r="J3945" s="10" t="str">
        <f t="shared" si="596"/>
        <v/>
      </c>
      <c r="K3945" s="10" t="str">
        <f t="shared" si="597"/>
        <v/>
      </c>
      <c r="L3945" s="11" t="str">
        <f t="shared" si="599"/>
        <v/>
      </c>
      <c r="M3945" s="9" t="str">
        <f>IF(G3945&lt;&gt;"",J3945/MAX(J$3:J3945)-1,"")</f>
        <v/>
      </c>
      <c r="N3945" s="9" t="str">
        <f>IF(G3945&lt;&gt;"",K3945/MAX(K$3:K3945)-1,"")</f>
        <v/>
      </c>
      <c r="O3945" s="16" t="str">
        <f t="shared" si="595"/>
        <v/>
      </c>
      <c r="P3945" s="16" t="str">
        <f t="shared" si="595"/>
        <v/>
      </c>
      <c r="Q3945" s="16" t="str">
        <f t="shared" si="595"/>
        <v/>
      </c>
      <c r="R3945" s="5" t="str">
        <f t="shared" si="594"/>
        <v/>
      </c>
      <c r="S3945" s="5" t="str">
        <f t="shared" si="598"/>
        <v/>
      </c>
      <c r="T3945" s="5" t="str">
        <f t="shared" si="602"/>
        <v/>
      </c>
      <c r="U3945" s="5" t="str">
        <f t="shared" si="602"/>
        <v/>
      </c>
    </row>
    <row r="3946" spans="7:21" x14ac:dyDescent="0.2">
      <c r="J3946" s="10" t="str">
        <f t="shared" si="596"/>
        <v/>
      </c>
      <c r="K3946" s="10" t="str">
        <f t="shared" si="597"/>
        <v/>
      </c>
      <c r="L3946" s="11" t="str">
        <f t="shared" si="599"/>
        <v/>
      </c>
      <c r="M3946" s="9" t="str">
        <f>IF(G3946&lt;&gt;"",J3946/MAX(J$3:J3946)-1,"")</f>
        <v/>
      </c>
      <c r="N3946" s="9" t="str">
        <f>IF(G3946&lt;&gt;"",K3946/MAX(K$3:K3946)-1,"")</f>
        <v/>
      </c>
      <c r="O3946" s="16" t="str">
        <f t="shared" si="595"/>
        <v/>
      </c>
      <c r="P3946" s="16" t="str">
        <f t="shared" si="595"/>
        <v/>
      </c>
      <c r="Q3946" s="16" t="str">
        <f t="shared" si="595"/>
        <v/>
      </c>
      <c r="R3946" s="5" t="str">
        <f t="shared" si="594"/>
        <v/>
      </c>
      <c r="S3946" s="5" t="str">
        <f t="shared" si="598"/>
        <v/>
      </c>
      <c r="T3946" s="5" t="str">
        <f t="shared" si="602"/>
        <v/>
      </c>
      <c r="U3946" s="5" t="str">
        <f t="shared" si="602"/>
        <v/>
      </c>
    </row>
    <row r="3947" spans="7:21" x14ac:dyDescent="0.2">
      <c r="J3947" s="10" t="str">
        <f t="shared" si="596"/>
        <v/>
      </c>
      <c r="K3947" s="10" t="str">
        <f t="shared" si="597"/>
        <v/>
      </c>
      <c r="L3947" s="11" t="str">
        <f t="shared" si="599"/>
        <v/>
      </c>
      <c r="M3947" s="9" t="str">
        <f>IF(G3947&lt;&gt;"",J3947/MAX(J$3:J3947)-1,"")</f>
        <v/>
      </c>
      <c r="N3947" s="9" t="str">
        <f>IF(G3947&lt;&gt;"",K3947/MAX(K$3:K3947)-1,"")</f>
        <v/>
      </c>
      <c r="O3947" s="16" t="str">
        <f t="shared" si="595"/>
        <v/>
      </c>
      <c r="P3947" s="16" t="str">
        <f t="shared" si="595"/>
        <v/>
      </c>
      <c r="Q3947" s="16" t="str">
        <f t="shared" si="595"/>
        <v/>
      </c>
      <c r="R3947" s="5" t="str">
        <f t="shared" si="594"/>
        <v/>
      </c>
      <c r="S3947" s="5" t="str">
        <f t="shared" si="598"/>
        <v/>
      </c>
      <c r="T3947" s="5" t="str">
        <f t="shared" si="602"/>
        <v/>
      </c>
      <c r="U3947" s="5" t="str">
        <f t="shared" si="602"/>
        <v/>
      </c>
    </row>
    <row r="3948" spans="7:21" x14ac:dyDescent="0.2">
      <c r="J3948" s="10" t="str">
        <f t="shared" si="596"/>
        <v/>
      </c>
      <c r="K3948" s="10" t="str">
        <f t="shared" si="597"/>
        <v/>
      </c>
      <c r="L3948" s="11" t="str">
        <f t="shared" si="599"/>
        <v/>
      </c>
      <c r="M3948" s="9" t="str">
        <f>IF(G3948&lt;&gt;"",J3948/MAX(J$3:J3948)-1,"")</f>
        <v/>
      </c>
      <c r="N3948" s="9" t="str">
        <f>IF(G3948&lt;&gt;"",K3948/MAX(K$3:K3948)-1,"")</f>
        <v/>
      </c>
      <c r="O3948" s="16" t="str">
        <f t="shared" si="595"/>
        <v/>
      </c>
      <c r="P3948" s="16" t="str">
        <f t="shared" si="595"/>
        <v/>
      </c>
      <c r="Q3948" s="16" t="str">
        <f t="shared" si="595"/>
        <v/>
      </c>
      <c r="R3948" s="5" t="str">
        <f t="shared" si="594"/>
        <v/>
      </c>
      <c r="S3948" s="5" t="str">
        <f t="shared" si="598"/>
        <v/>
      </c>
      <c r="T3948" s="5" t="str">
        <f t="shared" si="602"/>
        <v/>
      </c>
      <c r="U3948" s="5" t="str">
        <f t="shared" si="602"/>
        <v/>
      </c>
    </row>
    <row r="3949" spans="7:21" x14ac:dyDescent="0.2">
      <c r="J3949" s="10" t="str">
        <f t="shared" si="596"/>
        <v/>
      </c>
      <c r="K3949" s="10" t="str">
        <f t="shared" si="597"/>
        <v/>
      </c>
      <c r="L3949" s="11" t="str">
        <f t="shared" si="599"/>
        <v/>
      </c>
      <c r="M3949" s="9" t="str">
        <f>IF(G3949&lt;&gt;"",J3949/MAX(J$3:J3949)-1,"")</f>
        <v/>
      </c>
      <c r="N3949" s="9" t="str">
        <f>IF(G3949&lt;&gt;"",K3949/MAX(K$3:K3949)-1,"")</f>
        <v/>
      </c>
      <c r="O3949" s="16" t="str">
        <f t="shared" si="595"/>
        <v/>
      </c>
      <c r="P3949" s="16" t="str">
        <f t="shared" si="595"/>
        <v/>
      </c>
      <c r="Q3949" s="16" t="str">
        <f t="shared" si="595"/>
        <v/>
      </c>
      <c r="R3949" s="5" t="str">
        <f t="shared" si="594"/>
        <v/>
      </c>
      <c r="S3949" s="5" t="str">
        <f t="shared" si="598"/>
        <v/>
      </c>
      <c r="T3949" s="5" t="str">
        <f t="shared" si="602"/>
        <v/>
      </c>
      <c r="U3949" s="5" t="str">
        <f t="shared" si="602"/>
        <v/>
      </c>
    </row>
    <row r="3950" spans="7:21" x14ac:dyDescent="0.2">
      <c r="J3950" s="10" t="str">
        <f t="shared" si="596"/>
        <v/>
      </c>
      <c r="K3950" s="10" t="str">
        <f t="shared" si="597"/>
        <v/>
      </c>
      <c r="L3950" s="11" t="str">
        <f t="shared" si="599"/>
        <v/>
      </c>
      <c r="M3950" s="9" t="str">
        <f>IF(G3950&lt;&gt;"",J3950/MAX(J$3:J3950)-1,"")</f>
        <v/>
      </c>
      <c r="N3950" s="9" t="str">
        <f>IF(G3950&lt;&gt;"",K3950/MAX(K$3:K3950)-1,"")</f>
        <v/>
      </c>
      <c r="O3950" s="16" t="str">
        <f t="shared" si="595"/>
        <v/>
      </c>
      <c r="P3950" s="16" t="str">
        <f t="shared" si="595"/>
        <v/>
      </c>
      <c r="Q3950" s="16" t="str">
        <f t="shared" si="595"/>
        <v/>
      </c>
      <c r="R3950" s="5" t="str">
        <f t="shared" si="594"/>
        <v/>
      </c>
      <c r="S3950" s="5" t="str">
        <f t="shared" si="598"/>
        <v/>
      </c>
      <c r="T3950" s="5" t="str">
        <f t="shared" si="602"/>
        <v/>
      </c>
      <c r="U3950" s="5" t="str">
        <f t="shared" si="602"/>
        <v/>
      </c>
    </row>
    <row r="3951" spans="7:21" x14ac:dyDescent="0.2">
      <c r="J3951" s="10" t="str">
        <f t="shared" si="596"/>
        <v/>
      </c>
      <c r="K3951" s="10" t="str">
        <f t="shared" si="597"/>
        <v/>
      </c>
      <c r="L3951" s="11" t="str">
        <f t="shared" si="599"/>
        <v/>
      </c>
      <c r="M3951" s="9" t="str">
        <f>IF(G3951&lt;&gt;"",J3951/MAX(J$3:J3951)-1,"")</f>
        <v/>
      </c>
      <c r="N3951" s="9" t="str">
        <f>IF(G3951&lt;&gt;"",K3951/MAX(K$3:K3951)-1,"")</f>
        <v/>
      </c>
      <c r="O3951" s="16" t="str">
        <f t="shared" si="595"/>
        <v/>
      </c>
      <c r="P3951" s="16" t="str">
        <f t="shared" si="595"/>
        <v/>
      </c>
      <c r="Q3951" s="16" t="str">
        <f t="shared" si="595"/>
        <v/>
      </c>
      <c r="R3951" s="5" t="str">
        <f t="shared" si="594"/>
        <v/>
      </c>
      <c r="S3951" s="5" t="str">
        <f t="shared" si="598"/>
        <v/>
      </c>
      <c r="T3951" s="5" t="str">
        <f t="shared" si="602"/>
        <v/>
      </c>
      <c r="U3951" s="5" t="str">
        <f t="shared" si="602"/>
        <v/>
      </c>
    </row>
    <row r="3952" spans="7:21" x14ac:dyDescent="0.2">
      <c r="J3952" s="10" t="str">
        <f t="shared" si="596"/>
        <v/>
      </c>
      <c r="K3952" s="10" t="str">
        <f t="shared" si="597"/>
        <v/>
      </c>
      <c r="L3952" s="11" t="str">
        <f t="shared" si="599"/>
        <v/>
      </c>
      <c r="M3952" s="9" t="str">
        <f>IF(G3952&lt;&gt;"",J3952/MAX(J$3:J3952)-1,"")</f>
        <v/>
      </c>
      <c r="N3952" s="9" t="str">
        <f>IF(G3952&lt;&gt;"",K3952/MAX(K$3:K3952)-1,"")</f>
        <v/>
      </c>
      <c r="O3952" s="16" t="str">
        <f t="shared" si="595"/>
        <v/>
      </c>
      <c r="P3952" s="16" t="str">
        <f t="shared" si="595"/>
        <v/>
      </c>
      <c r="Q3952" s="16" t="str">
        <f t="shared" si="595"/>
        <v/>
      </c>
      <c r="R3952" s="5" t="str">
        <f t="shared" si="594"/>
        <v/>
      </c>
      <c r="S3952" s="5" t="str">
        <f t="shared" si="598"/>
        <v/>
      </c>
      <c r="T3952" s="5" t="str">
        <f t="shared" si="602"/>
        <v/>
      </c>
      <c r="U3952" s="5" t="str">
        <f t="shared" si="602"/>
        <v/>
      </c>
    </row>
    <row r="3953" spans="10:21" x14ac:dyDescent="0.2">
      <c r="J3953" s="10" t="str">
        <f t="shared" si="596"/>
        <v/>
      </c>
      <c r="K3953" s="10" t="str">
        <f t="shared" si="597"/>
        <v/>
      </c>
      <c r="L3953" s="11" t="str">
        <f t="shared" si="599"/>
        <v/>
      </c>
      <c r="M3953" s="9" t="str">
        <f>IF(G3953&lt;&gt;"",J3953/MAX(J$3:J3953)-1,"")</f>
        <v/>
      </c>
      <c r="N3953" s="9" t="str">
        <f>IF(G3953&lt;&gt;"",K3953/MAX(K$3:K3953)-1,"")</f>
        <v/>
      </c>
      <c r="O3953" s="16" t="str">
        <f t="shared" si="595"/>
        <v/>
      </c>
      <c r="P3953" s="16" t="str">
        <f t="shared" si="595"/>
        <v/>
      </c>
      <c r="Q3953" s="16" t="str">
        <f t="shared" si="595"/>
        <v/>
      </c>
      <c r="R3953" s="5" t="str">
        <f t="shared" si="594"/>
        <v/>
      </c>
      <c r="S3953" s="5" t="str">
        <f t="shared" si="598"/>
        <v/>
      </c>
      <c r="T3953" s="5" t="str">
        <f t="shared" si="602"/>
        <v/>
      </c>
      <c r="U3953" s="5" t="str">
        <f t="shared" si="602"/>
        <v/>
      </c>
    </row>
    <row r="3954" spans="10:21" x14ac:dyDescent="0.2">
      <c r="J3954" s="10" t="str">
        <f t="shared" si="596"/>
        <v/>
      </c>
      <c r="K3954" s="10" t="str">
        <f t="shared" si="597"/>
        <v/>
      </c>
      <c r="L3954" s="11" t="str">
        <f t="shared" si="599"/>
        <v/>
      </c>
      <c r="M3954" s="9" t="str">
        <f>IF(G3954&lt;&gt;"",J3954/MAX(J$3:J3954)-1,"")</f>
        <v/>
      </c>
      <c r="N3954" s="9" t="str">
        <f>IF(G3954&lt;&gt;"",K3954/MAX(K$3:K3954)-1,"")</f>
        <v/>
      </c>
      <c r="O3954" s="16" t="str">
        <f t="shared" si="595"/>
        <v/>
      </c>
      <c r="P3954" s="16" t="str">
        <f t="shared" si="595"/>
        <v/>
      </c>
      <c r="Q3954" s="16" t="str">
        <f t="shared" si="595"/>
        <v/>
      </c>
      <c r="R3954" s="5" t="str">
        <f t="shared" si="594"/>
        <v/>
      </c>
      <c r="S3954" s="5" t="str">
        <f t="shared" si="598"/>
        <v/>
      </c>
      <c r="T3954" s="5" t="str">
        <f t="shared" si="602"/>
        <v/>
      </c>
      <c r="U3954" s="5" t="str">
        <f t="shared" si="602"/>
        <v/>
      </c>
    </row>
    <row r="3955" spans="10:21" x14ac:dyDescent="0.2">
      <c r="J3955" s="10" t="str">
        <f t="shared" si="596"/>
        <v/>
      </c>
      <c r="K3955" s="10" t="str">
        <f t="shared" si="597"/>
        <v/>
      </c>
      <c r="L3955" s="11" t="str">
        <f t="shared" si="599"/>
        <v/>
      </c>
      <c r="M3955" s="9" t="str">
        <f>IF(G3955&lt;&gt;"",J3955/MAX(J$3:J3955)-1,"")</f>
        <v/>
      </c>
      <c r="N3955" s="9" t="str">
        <f>IF(G3955&lt;&gt;"",K3955/MAX(K$3:K3955)-1,"")</f>
        <v/>
      </c>
      <c r="O3955" s="16" t="str">
        <f t="shared" si="595"/>
        <v/>
      </c>
      <c r="P3955" s="16" t="str">
        <f t="shared" si="595"/>
        <v/>
      </c>
      <c r="Q3955" s="16" t="str">
        <f t="shared" si="595"/>
        <v/>
      </c>
      <c r="R3955" s="5" t="str">
        <f t="shared" si="594"/>
        <v/>
      </c>
      <c r="S3955" s="5" t="str">
        <f t="shared" si="598"/>
        <v/>
      </c>
      <c r="T3955" s="5" t="str">
        <f t="shared" si="602"/>
        <v/>
      </c>
      <c r="U3955" s="5" t="str">
        <f t="shared" si="602"/>
        <v/>
      </c>
    </row>
    <row r="3956" spans="10:21" x14ac:dyDescent="0.2">
      <c r="J3956" s="10" t="str">
        <f t="shared" si="596"/>
        <v/>
      </c>
      <c r="K3956" s="10" t="str">
        <f t="shared" si="597"/>
        <v/>
      </c>
      <c r="L3956" s="11" t="str">
        <f t="shared" si="599"/>
        <v/>
      </c>
      <c r="M3956" s="9" t="str">
        <f>IF(G3956&lt;&gt;"",J3956/MAX(J$3:J3956)-1,"")</f>
        <v/>
      </c>
      <c r="N3956" s="9" t="str">
        <f>IF(G3956&lt;&gt;"",K3956/MAX(K$3:K3956)-1,"")</f>
        <v/>
      </c>
      <c r="O3956" s="16" t="str">
        <f t="shared" si="595"/>
        <v/>
      </c>
      <c r="P3956" s="16" t="str">
        <f t="shared" si="595"/>
        <v/>
      </c>
      <c r="Q3956" s="16" t="str">
        <f t="shared" si="595"/>
        <v/>
      </c>
      <c r="R3956" s="5" t="str">
        <f t="shared" si="594"/>
        <v/>
      </c>
      <c r="S3956" s="5" t="str">
        <f t="shared" si="598"/>
        <v/>
      </c>
      <c r="T3956" s="5" t="str">
        <f t="shared" si="602"/>
        <v/>
      </c>
      <c r="U3956" s="5" t="str">
        <f t="shared" si="602"/>
        <v/>
      </c>
    </row>
    <row r="3957" spans="10:21" x14ac:dyDescent="0.2">
      <c r="J3957" s="10" t="str">
        <f t="shared" si="596"/>
        <v/>
      </c>
      <c r="K3957" s="10" t="str">
        <f t="shared" si="597"/>
        <v/>
      </c>
      <c r="L3957" s="11" t="str">
        <f t="shared" si="599"/>
        <v/>
      </c>
      <c r="M3957" s="9" t="str">
        <f>IF(G3957&lt;&gt;"",J3957/MAX(J$3:J3957)-1,"")</f>
        <v/>
      </c>
      <c r="N3957" s="9" t="str">
        <f>IF(G3957&lt;&gt;"",K3957/MAX(K$3:K3957)-1,"")</f>
        <v/>
      </c>
      <c r="O3957" s="16" t="str">
        <f t="shared" si="595"/>
        <v/>
      </c>
      <c r="P3957" s="16" t="str">
        <f t="shared" si="595"/>
        <v/>
      </c>
      <c r="Q3957" s="16" t="str">
        <f t="shared" si="595"/>
        <v/>
      </c>
      <c r="R3957" s="5" t="str">
        <f t="shared" si="594"/>
        <v/>
      </c>
      <c r="S3957" s="5" t="str">
        <f t="shared" si="598"/>
        <v/>
      </c>
      <c r="T3957" s="5" t="str">
        <f t="shared" si="602"/>
        <v/>
      </c>
      <c r="U3957" s="5" t="str">
        <f t="shared" si="602"/>
        <v/>
      </c>
    </row>
    <row r="3958" spans="10:21" x14ac:dyDescent="0.2">
      <c r="J3958" s="10" t="str">
        <f t="shared" si="596"/>
        <v/>
      </c>
      <c r="K3958" s="10" t="str">
        <f t="shared" si="597"/>
        <v/>
      </c>
      <c r="L3958" s="11" t="str">
        <f t="shared" si="599"/>
        <v/>
      </c>
      <c r="M3958" s="9" t="str">
        <f>IF(G3958&lt;&gt;"",J3958/MAX(J$3:J3958)-1,"")</f>
        <v/>
      </c>
      <c r="N3958" s="9" t="str">
        <f>IF(G3958&lt;&gt;"",K3958/MAX(K$3:K3958)-1,"")</f>
        <v/>
      </c>
      <c r="O3958" s="16" t="str">
        <f t="shared" si="595"/>
        <v/>
      </c>
      <c r="P3958" s="16" t="str">
        <f t="shared" si="595"/>
        <v/>
      </c>
      <c r="Q3958" s="16" t="str">
        <f t="shared" si="595"/>
        <v/>
      </c>
      <c r="R3958" s="5" t="str">
        <f t="shared" si="594"/>
        <v/>
      </c>
      <c r="S3958" s="5" t="str">
        <f t="shared" si="598"/>
        <v/>
      </c>
      <c r="T3958" s="5" t="str">
        <f t="shared" si="602"/>
        <v/>
      </c>
      <c r="U3958" s="5" t="str">
        <f t="shared" si="602"/>
        <v/>
      </c>
    </row>
    <row r="3959" spans="10:21" x14ac:dyDescent="0.2">
      <c r="J3959" s="10" t="str">
        <f t="shared" si="596"/>
        <v/>
      </c>
      <c r="K3959" s="10" t="str">
        <f t="shared" si="597"/>
        <v/>
      </c>
      <c r="L3959" s="11" t="str">
        <f t="shared" si="599"/>
        <v/>
      </c>
      <c r="M3959" s="9" t="str">
        <f>IF(G3959&lt;&gt;"",J3959/MAX(J$3:J3959)-1,"")</f>
        <v/>
      </c>
      <c r="N3959" s="9" t="str">
        <f>IF(G3959&lt;&gt;"",K3959/MAX(K$3:K3959)-1,"")</f>
        <v/>
      </c>
      <c r="O3959" s="16" t="str">
        <f t="shared" si="595"/>
        <v/>
      </c>
      <c r="P3959" s="16" t="str">
        <f t="shared" si="595"/>
        <v/>
      </c>
      <c r="Q3959" s="16" t="str">
        <f t="shared" si="595"/>
        <v/>
      </c>
      <c r="R3959" s="5" t="str">
        <f t="shared" si="594"/>
        <v/>
      </c>
      <c r="S3959" s="5" t="str">
        <f t="shared" si="598"/>
        <v/>
      </c>
      <c r="T3959" s="5" t="str">
        <f t="shared" si="602"/>
        <v/>
      </c>
      <c r="U3959" s="5" t="str">
        <f t="shared" si="602"/>
        <v/>
      </c>
    </row>
    <row r="3960" spans="10:21" x14ac:dyDescent="0.2">
      <c r="J3960" s="10" t="str">
        <f t="shared" si="596"/>
        <v/>
      </c>
      <c r="K3960" s="10" t="str">
        <f t="shared" si="597"/>
        <v/>
      </c>
      <c r="L3960" s="11" t="str">
        <f t="shared" si="599"/>
        <v/>
      </c>
      <c r="M3960" s="9" t="str">
        <f>IF(G3960&lt;&gt;"",J3960/MAX(J$3:J3960)-1,"")</f>
        <v/>
      </c>
      <c r="N3960" s="9" t="str">
        <f>IF(G3960&lt;&gt;"",K3960/MAX(K$3:K3960)-1,"")</f>
        <v/>
      </c>
      <c r="O3960" s="16" t="str">
        <f t="shared" si="595"/>
        <v/>
      </c>
      <c r="P3960" s="16" t="str">
        <f t="shared" si="595"/>
        <v/>
      </c>
      <c r="Q3960" s="16" t="str">
        <f t="shared" si="595"/>
        <v/>
      </c>
      <c r="R3960" s="5" t="str">
        <f t="shared" si="594"/>
        <v/>
      </c>
      <c r="S3960" s="5" t="str">
        <f t="shared" si="598"/>
        <v/>
      </c>
      <c r="T3960" s="5" t="str">
        <f t="shared" ref="T3960:U3975" si="603">IF($G3960&lt;&gt;"",_xlfn.STDEV.S(O3716:O3960),"")</f>
        <v/>
      </c>
      <c r="U3960" s="5" t="str">
        <f t="shared" si="603"/>
        <v/>
      </c>
    </row>
    <row r="3961" spans="10:21" x14ac:dyDescent="0.2">
      <c r="J3961" s="10" t="str">
        <f t="shared" si="596"/>
        <v/>
      </c>
      <c r="K3961" s="10" t="str">
        <f t="shared" si="597"/>
        <v/>
      </c>
      <c r="L3961" s="11" t="str">
        <f t="shared" si="599"/>
        <v/>
      </c>
      <c r="M3961" s="9" t="str">
        <f>IF(G3961&lt;&gt;"",J3961/MAX(J$3:J3961)-1,"")</f>
        <v/>
      </c>
      <c r="N3961" s="9" t="str">
        <f>IF(G3961&lt;&gt;"",K3961/MAX(K$3:K3961)-1,"")</f>
        <v/>
      </c>
      <c r="O3961" s="16" t="str">
        <f t="shared" si="595"/>
        <v/>
      </c>
      <c r="P3961" s="16" t="str">
        <f t="shared" si="595"/>
        <v/>
      </c>
      <c r="Q3961" s="16" t="str">
        <f t="shared" si="595"/>
        <v/>
      </c>
      <c r="R3961" s="5" t="str">
        <f t="shared" si="594"/>
        <v/>
      </c>
      <c r="S3961" s="5" t="str">
        <f t="shared" si="598"/>
        <v/>
      </c>
      <c r="T3961" s="5" t="str">
        <f t="shared" si="603"/>
        <v/>
      </c>
      <c r="U3961" s="5" t="str">
        <f t="shared" si="603"/>
        <v/>
      </c>
    </row>
    <row r="3962" spans="10:21" x14ac:dyDescent="0.2">
      <c r="J3962" s="10" t="str">
        <f t="shared" si="596"/>
        <v/>
      </c>
      <c r="K3962" s="10" t="str">
        <f t="shared" si="597"/>
        <v/>
      </c>
      <c r="L3962" s="11" t="str">
        <f t="shared" si="599"/>
        <v/>
      </c>
      <c r="M3962" s="9" t="str">
        <f>IF(G3962&lt;&gt;"",J3962/MAX(J$3:J3962)-1,"")</f>
        <v/>
      </c>
      <c r="N3962" s="9" t="str">
        <f>IF(G3962&lt;&gt;"",K3962/MAX(K$3:K3962)-1,"")</f>
        <v/>
      </c>
      <c r="O3962" s="16" t="str">
        <f t="shared" si="595"/>
        <v/>
      </c>
      <c r="P3962" s="16" t="str">
        <f t="shared" si="595"/>
        <v/>
      </c>
      <c r="Q3962" s="16" t="str">
        <f t="shared" si="595"/>
        <v/>
      </c>
      <c r="R3962" s="5" t="str">
        <f t="shared" si="594"/>
        <v/>
      </c>
      <c r="S3962" s="5" t="str">
        <f t="shared" si="598"/>
        <v/>
      </c>
      <c r="T3962" s="5" t="str">
        <f t="shared" si="603"/>
        <v/>
      </c>
      <c r="U3962" s="5" t="str">
        <f t="shared" si="603"/>
        <v/>
      </c>
    </row>
    <row r="3963" spans="10:21" x14ac:dyDescent="0.2">
      <c r="J3963" s="10" t="str">
        <f t="shared" si="596"/>
        <v/>
      </c>
      <c r="K3963" s="10" t="str">
        <f t="shared" si="597"/>
        <v/>
      </c>
      <c r="L3963" s="11" t="str">
        <f t="shared" si="599"/>
        <v/>
      </c>
      <c r="M3963" s="9" t="str">
        <f>IF(G3963&lt;&gt;"",J3963/MAX(J$3:J3963)-1,"")</f>
        <v/>
      </c>
      <c r="N3963" s="9" t="str">
        <f>IF(G3963&lt;&gt;"",K3963/MAX(K$3:K3963)-1,"")</f>
        <v/>
      </c>
      <c r="O3963" s="16" t="str">
        <f t="shared" si="595"/>
        <v/>
      </c>
      <c r="P3963" s="16" t="str">
        <f t="shared" si="595"/>
        <v/>
      </c>
      <c r="Q3963" s="16" t="str">
        <f t="shared" si="595"/>
        <v/>
      </c>
      <c r="R3963" s="5" t="str">
        <f t="shared" si="594"/>
        <v/>
      </c>
      <c r="S3963" s="5" t="str">
        <f t="shared" si="598"/>
        <v/>
      </c>
      <c r="T3963" s="5" t="str">
        <f t="shared" si="603"/>
        <v/>
      </c>
      <c r="U3963" s="5" t="str">
        <f t="shared" si="603"/>
        <v/>
      </c>
    </row>
    <row r="3964" spans="10:21" x14ac:dyDescent="0.2">
      <c r="J3964" s="10" t="str">
        <f t="shared" si="596"/>
        <v/>
      </c>
      <c r="K3964" s="10" t="str">
        <f t="shared" si="597"/>
        <v/>
      </c>
      <c r="L3964" s="11" t="str">
        <f t="shared" si="599"/>
        <v/>
      </c>
      <c r="M3964" s="9" t="str">
        <f>IF(G3964&lt;&gt;"",J3964/MAX(J$3:J3964)-1,"")</f>
        <v/>
      </c>
      <c r="N3964" s="9" t="str">
        <f>IF(G3964&lt;&gt;"",K3964/MAX(K$3:K3964)-1,"")</f>
        <v/>
      </c>
      <c r="O3964" s="16" t="str">
        <f t="shared" si="595"/>
        <v/>
      </c>
      <c r="P3964" s="16" t="str">
        <f t="shared" si="595"/>
        <v/>
      </c>
      <c r="Q3964" s="16" t="str">
        <f t="shared" si="595"/>
        <v/>
      </c>
      <c r="R3964" s="5" t="str">
        <f t="shared" si="594"/>
        <v/>
      </c>
      <c r="S3964" s="5" t="str">
        <f t="shared" si="598"/>
        <v/>
      </c>
      <c r="T3964" s="5" t="str">
        <f t="shared" si="603"/>
        <v/>
      </c>
      <c r="U3964" s="5" t="str">
        <f t="shared" si="603"/>
        <v/>
      </c>
    </row>
    <row r="3965" spans="10:21" x14ac:dyDescent="0.2">
      <c r="J3965" s="10" t="str">
        <f t="shared" si="596"/>
        <v/>
      </c>
      <c r="K3965" s="10" t="str">
        <f t="shared" si="597"/>
        <v/>
      </c>
      <c r="L3965" s="11" t="str">
        <f t="shared" si="599"/>
        <v/>
      </c>
      <c r="M3965" s="9" t="str">
        <f>IF(G3965&lt;&gt;"",J3965/MAX(J$3:J3965)-1,"")</f>
        <v/>
      </c>
      <c r="N3965" s="9" t="str">
        <f>IF(G3965&lt;&gt;"",K3965/MAX(K$3:K3965)-1,"")</f>
        <v/>
      </c>
      <c r="O3965" s="16" t="str">
        <f t="shared" si="595"/>
        <v/>
      </c>
      <c r="P3965" s="16" t="str">
        <f t="shared" si="595"/>
        <v/>
      </c>
      <c r="Q3965" s="16" t="str">
        <f t="shared" si="595"/>
        <v/>
      </c>
      <c r="R3965" s="5" t="str">
        <f t="shared" ref="R3965:R4000" si="604">IF(G3965&lt;&gt;"",_xlfn.STDEV.S(Q3844:Q3965)*SQRT($B$5),"")</f>
        <v/>
      </c>
      <c r="S3965" s="5" t="str">
        <f t="shared" si="598"/>
        <v/>
      </c>
      <c r="T3965" s="5" t="str">
        <f t="shared" si="603"/>
        <v/>
      </c>
      <c r="U3965" s="5" t="str">
        <f t="shared" si="603"/>
        <v/>
      </c>
    </row>
    <row r="3966" spans="10:21" x14ac:dyDescent="0.2">
      <c r="J3966" s="10" t="str">
        <f t="shared" si="596"/>
        <v/>
      </c>
      <c r="K3966" s="10" t="str">
        <f t="shared" si="597"/>
        <v/>
      </c>
      <c r="L3966" s="11" t="str">
        <f t="shared" si="599"/>
        <v/>
      </c>
      <c r="M3966" s="9" t="str">
        <f>IF(G3966&lt;&gt;"",J3966/MAX(J$3:J3966)-1,"")</f>
        <v/>
      </c>
      <c r="N3966" s="9" t="str">
        <f>IF(G3966&lt;&gt;"",K3966/MAX(K$3:K3966)-1,"")</f>
        <v/>
      </c>
      <c r="O3966" s="16" t="str">
        <f t="shared" si="595"/>
        <v/>
      </c>
      <c r="P3966" s="16" t="str">
        <f t="shared" si="595"/>
        <v/>
      </c>
      <c r="Q3966" s="16" t="str">
        <f t="shared" si="595"/>
        <v/>
      </c>
      <c r="R3966" s="5" t="str">
        <f t="shared" si="604"/>
        <v/>
      </c>
      <c r="S3966" s="5" t="str">
        <f t="shared" si="598"/>
        <v/>
      </c>
      <c r="T3966" s="5" t="str">
        <f t="shared" si="603"/>
        <v/>
      </c>
      <c r="U3966" s="5" t="str">
        <f t="shared" si="603"/>
        <v/>
      </c>
    </row>
    <row r="3967" spans="10:21" x14ac:dyDescent="0.2">
      <c r="J3967" s="10" t="str">
        <f t="shared" si="596"/>
        <v/>
      </c>
      <c r="K3967" s="10" t="str">
        <f t="shared" si="597"/>
        <v/>
      </c>
      <c r="L3967" s="11" t="str">
        <f t="shared" si="599"/>
        <v/>
      </c>
      <c r="M3967" s="9" t="str">
        <f>IF(G3967&lt;&gt;"",J3967/MAX(J$3:J3967)-1,"")</f>
        <v/>
      </c>
      <c r="N3967" s="9" t="str">
        <f>IF(G3967&lt;&gt;"",K3967/MAX(K$3:K3967)-1,"")</f>
        <v/>
      </c>
      <c r="O3967" s="16" t="str">
        <f t="shared" si="595"/>
        <v/>
      </c>
      <c r="P3967" s="16" t="str">
        <f t="shared" si="595"/>
        <v/>
      </c>
      <c r="Q3967" s="16" t="str">
        <f t="shared" si="595"/>
        <v/>
      </c>
      <c r="R3967" s="5" t="str">
        <f t="shared" si="604"/>
        <v/>
      </c>
      <c r="S3967" s="5" t="str">
        <f t="shared" si="598"/>
        <v/>
      </c>
      <c r="T3967" s="5" t="str">
        <f t="shared" si="603"/>
        <v/>
      </c>
      <c r="U3967" s="5" t="str">
        <f t="shared" si="603"/>
        <v/>
      </c>
    </row>
    <row r="3968" spans="10:21" x14ac:dyDescent="0.2">
      <c r="J3968" s="10" t="str">
        <f t="shared" si="596"/>
        <v/>
      </c>
      <c r="K3968" s="10" t="str">
        <f t="shared" si="597"/>
        <v/>
      </c>
      <c r="L3968" s="11" t="str">
        <f t="shared" si="599"/>
        <v/>
      </c>
      <c r="M3968" s="9" t="str">
        <f>IF(G3968&lt;&gt;"",J3968/MAX(J$3:J3968)-1,"")</f>
        <v/>
      </c>
      <c r="N3968" s="9" t="str">
        <f>IF(G3968&lt;&gt;"",K3968/MAX(K$3:K3968)-1,"")</f>
        <v/>
      </c>
      <c r="O3968" s="16" t="str">
        <f t="shared" si="595"/>
        <v/>
      </c>
      <c r="P3968" s="16" t="str">
        <f t="shared" si="595"/>
        <v/>
      </c>
      <c r="Q3968" s="16" t="str">
        <f t="shared" si="595"/>
        <v/>
      </c>
      <c r="R3968" s="5" t="str">
        <f t="shared" si="604"/>
        <v/>
      </c>
      <c r="S3968" s="5" t="str">
        <f t="shared" si="598"/>
        <v/>
      </c>
      <c r="T3968" s="5" t="str">
        <f t="shared" si="603"/>
        <v/>
      </c>
      <c r="U3968" s="5" t="str">
        <f t="shared" si="603"/>
        <v/>
      </c>
    </row>
    <row r="3969" spans="10:21" x14ac:dyDescent="0.2">
      <c r="J3969" s="10" t="str">
        <f t="shared" si="596"/>
        <v/>
      </c>
      <c r="K3969" s="10" t="str">
        <f t="shared" si="597"/>
        <v/>
      </c>
      <c r="L3969" s="11" t="str">
        <f t="shared" si="599"/>
        <v/>
      </c>
      <c r="M3969" s="9" t="str">
        <f>IF(G3969&lt;&gt;"",J3969/MAX(J$3:J3969)-1,"")</f>
        <v/>
      </c>
      <c r="N3969" s="9" t="str">
        <f>IF(G3969&lt;&gt;"",K3969/MAX(K$3:K3969)-1,"")</f>
        <v/>
      </c>
      <c r="O3969" s="16" t="str">
        <f t="shared" si="595"/>
        <v/>
      </c>
      <c r="P3969" s="16" t="str">
        <f t="shared" si="595"/>
        <v/>
      </c>
      <c r="Q3969" s="16" t="str">
        <f t="shared" si="595"/>
        <v/>
      </c>
      <c r="R3969" s="5" t="str">
        <f t="shared" si="604"/>
        <v/>
      </c>
      <c r="S3969" s="5" t="str">
        <f t="shared" si="598"/>
        <v/>
      </c>
      <c r="T3969" s="5" t="str">
        <f t="shared" si="603"/>
        <v/>
      </c>
      <c r="U3969" s="5" t="str">
        <f t="shared" si="603"/>
        <v/>
      </c>
    </row>
    <row r="3970" spans="10:21" x14ac:dyDescent="0.2">
      <c r="J3970" s="10" t="str">
        <f t="shared" si="596"/>
        <v/>
      </c>
      <c r="K3970" s="10" t="str">
        <f t="shared" si="597"/>
        <v/>
      </c>
      <c r="L3970" s="11" t="str">
        <f t="shared" si="599"/>
        <v/>
      </c>
      <c r="M3970" s="9" t="str">
        <f>IF(G3970&lt;&gt;"",J3970/MAX(J$3:J3970)-1,"")</f>
        <v/>
      </c>
      <c r="N3970" s="9" t="str">
        <f>IF(G3970&lt;&gt;"",K3970/MAX(K$3:K3970)-1,"")</f>
        <v/>
      </c>
      <c r="O3970" s="16" t="str">
        <f t="shared" ref="O3970:Q4000" si="605">IF($G3970&lt;&gt;"",J3970/J3969-1,"")</f>
        <v/>
      </c>
      <c r="P3970" s="16" t="str">
        <f t="shared" si="605"/>
        <v/>
      </c>
      <c r="Q3970" s="16" t="str">
        <f t="shared" si="605"/>
        <v/>
      </c>
      <c r="R3970" s="5" t="str">
        <f t="shared" si="604"/>
        <v/>
      </c>
      <c r="S3970" s="5" t="str">
        <f t="shared" si="598"/>
        <v/>
      </c>
      <c r="T3970" s="5" t="str">
        <f t="shared" si="603"/>
        <v/>
      </c>
      <c r="U3970" s="5" t="str">
        <f t="shared" si="603"/>
        <v/>
      </c>
    </row>
    <row r="3971" spans="10:21" x14ac:dyDescent="0.2">
      <c r="J3971" s="10" t="str">
        <f t="shared" si="596"/>
        <v/>
      </c>
      <c r="K3971" s="10" t="str">
        <f t="shared" si="597"/>
        <v/>
      </c>
      <c r="L3971" s="11" t="str">
        <f t="shared" si="599"/>
        <v/>
      </c>
      <c r="M3971" s="9" t="str">
        <f>IF(G3971&lt;&gt;"",J3971/MAX(J$3:J3971)-1,"")</f>
        <v/>
      </c>
      <c r="N3971" s="9" t="str">
        <f>IF(G3971&lt;&gt;"",K3971/MAX(K$3:K3971)-1,"")</f>
        <v/>
      </c>
      <c r="O3971" s="16" t="str">
        <f t="shared" si="605"/>
        <v/>
      </c>
      <c r="P3971" s="16" t="str">
        <f t="shared" si="605"/>
        <v/>
      </c>
      <c r="Q3971" s="16" t="str">
        <f t="shared" si="605"/>
        <v/>
      </c>
      <c r="R3971" s="5" t="str">
        <f t="shared" si="604"/>
        <v/>
      </c>
      <c r="S3971" s="5" t="str">
        <f t="shared" si="598"/>
        <v/>
      </c>
      <c r="T3971" s="5" t="str">
        <f t="shared" si="603"/>
        <v/>
      </c>
      <c r="U3971" s="5" t="str">
        <f t="shared" si="603"/>
        <v/>
      </c>
    </row>
    <row r="3972" spans="10:21" x14ac:dyDescent="0.2">
      <c r="J3972" s="10" t="str">
        <f t="shared" ref="J3972:J4000" si="606">IF(G3972&lt;&gt;"",1+H3972,"")</f>
        <v/>
      </c>
      <c r="K3972" s="10" t="str">
        <f t="shared" ref="K3972:K4000" si="607">IF(G3972&lt;&gt;"",1+I3972,"")</f>
        <v/>
      </c>
      <c r="L3972" s="11" t="str">
        <f t="shared" si="599"/>
        <v/>
      </c>
      <c r="M3972" s="9" t="str">
        <f>IF(G3972&lt;&gt;"",J3972/MAX(J$3:J3972)-1,"")</f>
        <v/>
      </c>
      <c r="N3972" s="9" t="str">
        <f>IF(G3972&lt;&gt;"",K3972/MAX(K$3:K3972)-1,"")</f>
        <v/>
      </c>
      <c r="O3972" s="16" t="str">
        <f t="shared" si="605"/>
        <v/>
      </c>
      <c r="P3972" s="16" t="str">
        <f t="shared" si="605"/>
        <v/>
      </c>
      <c r="Q3972" s="16" t="str">
        <f t="shared" si="605"/>
        <v/>
      </c>
      <c r="R3972" s="5" t="str">
        <f t="shared" si="604"/>
        <v/>
      </c>
      <c r="S3972" s="5" t="str">
        <f t="shared" ref="S3972:S4000" si="608">IF(R3972&lt;&gt;"",B$12,"")</f>
        <v/>
      </c>
      <c r="T3972" s="5" t="str">
        <f t="shared" si="603"/>
        <v/>
      </c>
      <c r="U3972" s="5" t="str">
        <f t="shared" si="603"/>
        <v/>
      </c>
    </row>
    <row r="3973" spans="10:21" x14ac:dyDescent="0.2">
      <c r="J3973" s="10" t="str">
        <f t="shared" si="606"/>
        <v/>
      </c>
      <c r="K3973" s="10" t="str">
        <f t="shared" si="607"/>
        <v/>
      </c>
      <c r="L3973" s="11" t="str">
        <f t="shared" ref="L3973:L4000" si="609">IF(G3973&lt;&gt;"",J3973/K3973,"")</f>
        <v/>
      </c>
      <c r="M3973" s="9" t="str">
        <f>IF(G3973&lt;&gt;"",J3973/MAX(J$3:J3973)-1,"")</f>
        <v/>
      </c>
      <c r="N3973" s="9" t="str">
        <f>IF(G3973&lt;&gt;"",K3973/MAX(K$3:K3973)-1,"")</f>
        <v/>
      </c>
      <c r="O3973" s="16" t="str">
        <f t="shared" si="605"/>
        <v/>
      </c>
      <c r="P3973" s="16" t="str">
        <f t="shared" si="605"/>
        <v/>
      </c>
      <c r="Q3973" s="16" t="str">
        <f t="shared" si="605"/>
        <v/>
      </c>
      <c r="R3973" s="5" t="str">
        <f t="shared" si="604"/>
        <v/>
      </c>
      <c r="S3973" s="5" t="str">
        <f t="shared" si="608"/>
        <v/>
      </c>
      <c r="T3973" s="5" t="str">
        <f t="shared" si="603"/>
        <v/>
      </c>
      <c r="U3973" s="5" t="str">
        <f t="shared" si="603"/>
        <v/>
      </c>
    </row>
    <row r="3974" spans="10:21" x14ac:dyDescent="0.2">
      <c r="J3974" s="10" t="str">
        <f t="shared" si="606"/>
        <v/>
      </c>
      <c r="K3974" s="10" t="str">
        <f t="shared" si="607"/>
        <v/>
      </c>
      <c r="L3974" s="11" t="str">
        <f t="shared" si="609"/>
        <v/>
      </c>
      <c r="M3974" s="9" t="str">
        <f>IF(G3974&lt;&gt;"",J3974/MAX(J$3:J3974)-1,"")</f>
        <v/>
      </c>
      <c r="N3974" s="9" t="str">
        <f>IF(G3974&lt;&gt;"",K3974/MAX(K$3:K3974)-1,"")</f>
        <v/>
      </c>
      <c r="O3974" s="16" t="str">
        <f t="shared" si="605"/>
        <v/>
      </c>
      <c r="P3974" s="16" t="str">
        <f t="shared" si="605"/>
        <v/>
      </c>
      <c r="Q3974" s="16" t="str">
        <f t="shared" si="605"/>
        <v/>
      </c>
      <c r="R3974" s="5" t="str">
        <f t="shared" si="604"/>
        <v/>
      </c>
      <c r="S3974" s="5" t="str">
        <f t="shared" si="608"/>
        <v/>
      </c>
      <c r="T3974" s="5" t="str">
        <f t="shared" si="603"/>
        <v/>
      </c>
      <c r="U3974" s="5" t="str">
        <f t="shared" si="603"/>
        <v/>
      </c>
    </row>
    <row r="3975" spans="10:21" x14ac:dyDescent="0.2">
      <c r="J3975" s="10" t="str">
        <f t="shared" si="606"/>
        <v/>
      </c>
      <c r="K3975" s="10" t="str">
        <f t="shared" si="607"/>
        <v/>
      </c>
      <c r="L3975" s="11" t="str">
        <f t="shared" si="609"/>
        <v/>
      </c>
      <c r="M3975" s="9" t="str">
        <f>IF(G3975&lt;&gt;"",J3975/MAX(J$3:J3975)-1,"")</f>
        <v/>
      </c>
      <c r="N3975" s="9" t="str">
        <f>IF(G3975&lt;&gt;"",K3975/MAX(K$3:K3975)-1,"")</f>
        <v/>
      </c>
      <c r="O3975" s="16" t="str">
        <f t="shared" si="605"/>
        <v/>
      </c>
      <c r="P3975" s="16" t="str">
        <f t="shared" si="605"/>
        <v/>
      </c>
      <c r="Q3975" s="16" t="str">
        <f t="shared" si="605"/>
        <v/>
      </c>
      <c r="R3975" s="5" t="str">
        <f t="shared" si="604"/>
        <v/>
      </c>
      <c r="S3975" s="5" t="str">
        <f t="shared" si="608"/>
        <v/>
      </c>
      <c r="T3975" s="5" t="str">
        <f t="shared" si="603"/>
        <v/>
      </c>
      <c r="U3975" s="5" t="str">
        <f t="shared" si="603"/>
        <v/>
      </c>
    </row>
    <row r="3976" spans="10:21" x14ac:dyDescent="0.2">
      <c r="J3976" s="10" t="str">
        <f t="shared" si="606"/>
        <v/>
      </c>
      <c r="K3976" s="10" t="str">
        <f t="shared" si="607"/>
        <v/>
      </c>
      <c r="L3976" s="11" t="str">
        <f t="shared" si="609"/>
        <v/>
      </c>
      <c r="M3976" s="9" t="str">
        <f>IF(G3976&lt;&gt;"",J3976/MAX(J$3:J3976)-1,"")</f>
        <v/>
      </c>
      <c r="N3976" s="9" t="str">
        <f>IF(G3976&lt;&gt;"",K3976/MAX(K$3:K3976)-1,"")</f>
        <v/>
      </c>
      <c r="O3976" s="16" t="str">
        <f t="shared" si="605"/>
        <v/>
      </c>
      <c r="P3976" s="16" t="str">
        <f t="shared" si="605"/>
        <v/>
      </c>
      <c r="Q3976" s="16" t="str">
        <f t="shared" si="605"/>
        <v/>
      </c>
      <c r="R3976" s="5" t="str">
        <f t="shared" si="604"/>
        <v/>
      </c>
      <c r="S3976" s="5" t="str">
        <f t="shared" si="608"/>
        <v/>
      </c>
      <c r="T3976" s="5" t="str">
        <f t="shared" ref="T3976:U3991" si="610">IF($G3976&lt;&gt;"",_xlfn.STDEV.S(O3732:O3976),"")</f>
        <v/>
      </c>
      <c r="U3976" s="5" t="str">
        <f t="shared" si="610"/>
        <v/>
      </c>
    </row>
    <row r="3977" spans="10:21" x14ac:dyDescent="0.2">
      <c r="J3977" s="10" t="str">
        <f t="shared" si="606"/>
        <v/>
      </c>
      <c r="K3977" s="10" t="str">
        <f t="shared" si="607"/>
        <v/>
      </c>
      <c r="L3977" s="11" t="str">
        <f t="shared" si="609"/>
        <v/>
      </c>
      <c r="M3977" s="9" t="str">
        <f>IF(G3977&lt;&gt;"",J3977/MAX(J$3:J3977)-1,"")</f>
        <v/>
      </c>
      <c r="N3977" s="9" t="str">
        <f>IF(G3977&lt;&gt;"",K3977/MAX(K$3:K3977)-1,"")</f>
        <v/>
      </c>
      <c r="O3977" s="16" t="str">
        <f t="shared" si="605"/>
        <v/>
      </c>
      <c r="P3977" s="16" t="str">
        <f t="shared" si="605"/>
        <v/>
      </c>
      <c r="Q3977" s="16" t="str">
        <f t="shared" si="605"/>
        <v/>
      </c>
      <c r="R3977" s="5" t="str">
        <f t="shared" si="604"/>
        <v/>
      </c>
      <c r="S3977" s="5" t="str">
        <f t="shared" si="608"/>
        <v/>
      </c>
      <c r="T3977" s="5" t="str">
        <f t="shared" si="610"/>
        <v/>
      </c>
      <c r="U3977" s="5" t="str">
        <f t="shared" si="610"/>
        <v/>
      </c>
    </row>
    <row r="3978" spans="10:21" x14ac:dyDescent="0.2">
      <c r="J3978" s="10" t="str">
        <f t="shared" si="606"/>
        <v/>
      </c>
      <c r="K3978" s="10" t="str">
        <f t="shared" si="607"/>
        <v/>
      </c>
      <c r="L3978" s="11" t="str">
        <f t="shared" si="609"/>
        <v/>
      </c>
      <c r="M3978" s="9" t="str">
        <f>IF(G3978&lt;&gt;"",J3978/MAX(J$3:J3978)-1,"")</f>
        <v/>
      </c>
      <c r="N3978" s="9" t="str">
        <f>IF(G3978&lt;&gt;"",K3978/MAX(K$3:K3978)-1,"")</f>
        <v/>
      </c>
      <c r="O3978" s="16" t="str">
        <f t="shared" si="605"/>
        <v/>
      </c>
      <c r="P3978" s="16" t="str">
        <f t="shared" si="605"/>
        <v/>
      </c>
      <c r="Q3978" s="16" t="str">
        <f t="shared" si="605"/>
        <v/>
      </c>
      <c r="R3978" s="5" t="str">
        <f t="shared" si="604"/>
        <v/>
      </c>
      <c r="S3978" s="5" t="str">
        <f t="shared" si="608"/>
        <v/>
      </c>
      <c r="T3978" s="5" t="str">
        <f t="shared" si="610"/>
        <v/>
      </c>
      <c r="U3978" s="5" t="str">
        <f t="shared" si="610"/>
        <v/>
      </c>
    </row>
    <row r="3979" spans="10:21" x14ac:dyDescent="0.2">
      <c r="J3979" s="10" t="str">
        <f t="shared" si="606"/>
        <v/>
      </c>
      <c r="K3979" s="10" t="str">
        <f t="shared" si="607"/>
        <v/>
      </c>
      <c r="L3979" s="11" t="str">
        <f t="shared" si="609"/>
        <v/>
      </c>
      <c r="M3979" s="9" t="str">
        <f>IF(G3979&lt;&gt;"",J3979/MAX(J$3:J3979)-1,"")</f>
        <v/>
      </c>
      <c r="N3979" s="9" t="str">
        <f>IF(G3979&lt;&gt;"",K3979/MAX(K$3:K3979)-1,"")</f>
        <v/>
      </c>
      <c r="O3979" s="16" t="str">
        <f t="shared" si="605"/>
        <v/>
      </c>
      <c r="P3979" s="16" t="str">
        <f t="shared" si="605"/>
        <v/>
      </c>
      <c r="Q3979" s="16" t="str">
        <f t="shared" si="605"/>
        <v/>
      </c>
      <c r="R3979" s="5" t="str">
        <f t="shared" si="604"/>
        <v/>
      </c>
      <c r="S3979" s="5" t="str">
        <f t="shared" si="608"/>
        <v/>
      </c>
      <c r="T3979" s="5" t="str">
        <f t="shared" si="610"/>
        <v/>
      </c>
      <c r="U3979" s="5" t="str">
        <f t="shared" si="610"/>
        <v/>
      </c>
    </row>
    <row r="3980" spans="10:21" x14ac:dyDescent="0.2">
      <c r="J3980" s="10" t="str">
        <f t="shared" si="606"/>
        <v/>
      </c>
      <c r="K3980" s="10" t="str">
        <f t="shared" si="607"/>
        <v/>
      </c>
      <c r="L3980" s="11" t="str">
        <f t="shared" si="609"/>
        <v/>
      </c>
      <c r="M3980" s="9" t="str">
        <f>IF(G3980&lt;&gt;"",J3980/MAX(J$3:J3980)-1,"")</f>
        <v/>
      </c>
      <c r="N3980" s="9" t="str">
        <f>IF(G3980&lt;&gt;"",K3980/MAX(K$3:K3980)-1,"")</f>
        <v/>
      </c>
      <c r="O3980" s="16" t="str">
        <f t="shared" si="605"/>
        <v/>
      </c>
      <c r="P3980" s="16" t="str">
        <f t="shared" si="605"/>
        <v/>
      </c>
      <c r="Q3980" s="16" t="str">
        <f t="shared" si="605"/>
        <v/>
      </c>
      <c r="R3980" s="5" t="str">
        <f t="shared" si="604"/>
        <v/>
      </c>
      <c r="S3980" s="5" t="str">
        <f t="shared" si="608"/>
        <v/>
      </c>
      <c r="T3980" s="5" t="str">
        <f t="shared" si="610"/>
        <v/>
      </c>
      <c r="U3980" s="5" t="str">
        <f t="shared" si="610"/>
        <v/>
      </c>
    </row>
    <row r="3981" spans="10:21" x14ac:dyDescent="0.2">
      <c r="J3981" s="10" t="str">
        <f t="shared" si="606"/>
        <v/>
      </c>
      <c r="K3981" s="10" t="str">
        <f t="shared" si="607"/>
        <v/>
      </c>
      <c r="L3981" s="11" t="str">
        <f t="shared" si="609"/>
        <v/>
      </c>
      <c r="M3981" s="9" t="str">
        <f>IF(G3981&lt;&gt;"",J3981/MAX(J$3:J3981)-1,"")</f>
        <v/>
      </c>
      <c r="N3981" s="9" t="str">
        <f>IF(G3981&lt;&gt;"",K3981/MAX(K$3:K3981)-1,"")</f>
        <v/>
      </c>
      <c r="O3981" s="16" t="str">
        <f t="shared" si="605"/>
        <v/>
      </c>
      <c r="P3981" s="16" t="str">
        <f t="shared" si="605"/>
        <v/>
      </c>
      <c r="Q3981" s="16" t="str">
        <f t="shared" si="605"/>
        <v/>
      </c>
      <c r="R3981" s="5" t="str">
        <f t="shared" si="604"/>
        <v/>
      </c>
      <c r="S3981" s="5" t="str">
        <f t="shared" si="608"/>
        <v/>
      </c>
      <c r="T3981" s="5" t="str">
        <f t="shared" si="610"/>
        <v/>
      </c>
      <c r="U3981" s="5" t="str">
        <f t="shared" si="610"/>
        <v/>
      </c>
    </row>
    <row r="3982" spans="10:21" x14ac:dyDescent="0.2">
      <c r="J3982" s="10" t="str">
        <f t="shared" si="606"/>
        <v/>
      </c>
      <c r="K3982" s="10" t="str">
        <f t="shared" si="607"/>
        <v/>
      </c>
      <c r="L3982" s="11" t="str">
        <f t="shared" si="609"/>
        <v/>
      </c>
      <c r="M3982" s="9" t="str">
        <f>IF(G3982&lt;&gt;"",J3982/MAX(J$3:J3982)-1,"")</f>
        <v/>
      </c>
      <c r="N3982" s="9" t="str">
        <f>IF(G3982&lt;&gt;"",K3982/MAX(K$3:K3982)-1,"")</f>
        <v/>
      </c>
      <c r="O3982" s="16" t="str">
        <f t="shared" si="605"/>
        <v/>
      </c>
      <c r="P3982" s="16" t="str">
        <f t="shared" si="605"/>
        <v/>
      </c>
      <c r="Q3982" s="16" t="str">
        <f t="shared" si="605"/>
        <v/>
      </c>
      <c r="R3982" s="5" t="str">
        <f t="shared" si="604"/>
        <v/>
      </c>
      <c r="S3982" s="5" t="str">
        <f t="shared" si="608"/>
        <v/>
      </c>
      <c r="T3982" s="5" t="str">
        <f t="shared" si="610"/>
        <v/>
      </c>
      <c r="U3982" s="5" t="str">
        <f t="shared" si="610"/>
        <v/>
      </c>
    </row>
    <row r="3983" spans="10:21" x14ac:dyDescent="0.2">
      <c r="J3983" s="10" t="str">
        <f t="shared" si="606"/>
        <v/>
      </c>
      <c r="K3983" s="10" t="str">
        <f t="shared" si="607"/>
        <v/>
      </c>
      <c r="L3983" s="11" t="str">
        <f t="shared" si="609"/>
        <v/>
      </c>
      <c r="M3983" s="9" t="str">
        <f>IF(G3983&lt;&gt;"",J3983/MAX(J$3:J3983)-1,"")</f>
        <v/>
      </c>
      <c r="N3983" s="9" t="str">
        <f>IF(G3983&lt;&gt;"",K3983/MAX(K$3:K3983)-1,"")</f>
        <v/>
      </c>
      <c r="O3983" s="16" t="str">
        <f t="shared" si="605"/>
        <v/>
      </c>
      <c r="P3983" s="16" t="str">
        <f t="shared" si="605"/>
        <v/>
      </c>
      <c r="Q3983" s="16" t="str">
        <f t="shared" si="605"/>
        <v/>
      </c>
      <c r="R3983" s="5" t="str">
        <f t="shared" si="604"/>
        <v/>
      </c>
      <c r="S3983" s="5" t="str">
        <f t="shared" si="608"/>
        <v/>
      </c>
      <c r="T3983" s="5" t="str">
        <f t="shared" si="610"/>
        <v/>
      </c>
      <c r="U3983" s="5" t="str">
        <f t="shared" si="610"/>
        <v/>
      </c>
    </row>
    <row r="3984" spans="10:21" x14ac:dyDescent="0.2">
      <c r="J3984" s="10" t="str">
        <f t="shared" si="606"/>
        <v/>
      </c>
      <c r="K3984" s="10" t="str">
        <f t="shared" si="607"/>
        <v/>
      </c>
      <c r="L3984" s="11" t="str">
        <f t="shared" si="609"/>
        <v/>
      </c>
      <c r="M3984" s="9" t="str">
        <f>IF(G3984&lt;&gt;"",J3984/MAX(J$3:J3984)-1,"")</f>
        <v/>
      </c>
      <c r="N3984" s="9" t="str">
        <f>IF(G3984&lt;&gt;"",K3984/MAX(K$3:K3984)-1,"")</f>
        <v/>
      </c>
      <c r="O3984" s="16" t="str">
        <f t="shared" si="605"/>
        <v/>
      </c>
      <c r="P3984" s="16" t="str">
        <f t="shared" si="605"/>
        <v/>
      </c>
      <c r="Q3984" s="16" t="str">
        <f t="shared" si="605"/>
        <v/>
      </c>
      <c r="R3984" s="5" t="str">
        <f t="shared" si="604"/>
        <v/>
      </c>
      <c r="S3984" s="5" t="str">
        <f t="shared" si="608"/>
        <v/>
      </c>
      <c r="T3984" s="5" t="str">
        <f t="shared" si="610"/>
        <v/>
      </c>
      <c r="U3984" s="5" t="str">
        <f t="shared" si="610"/>
        <v/>
      </c>
    </row>
    <row r="3985" spans="10:21" x14ac:dyDescent="0.2">
      <c r="J3985" s="10" t="str">
        <f t="shared" si="606"/>
        <v/>
      </c>
      <c r="K3985" s="10" t="str">
        <f t="shared" si="607"/>
        <v/>
      </c>
      <c r="L3985" s="11" t="str">
        <f t="shared" si="609"/>
        <v/>
      </c>
      <c r="M3985" s="9" t="str">
        <f>IF(G3985&lt;&gt;"",J3985/MAX(J$3:J3985)-1,"")</f>
        <v/>
      </c>
      <c r="N3985" s="9" t="str">
        <f>IF(G3985&lt;&gt;"",K3985/MAX(K$3:K3985)-1,"")</f>
        <v/>
      </c>
      <c r="O3985" s="16" t="str">
        <f t="shared" si="605"/>
        <v/>
      </c>
      <c r="P3985" s="16" t="str">
        <f t="shared" si="605"/>
        <v/>
      </c>
      <c r="Q3985" s="16" t="str">
        <f t="shared" si="605"/>
        <v/>
      </c>
      <c r="R3985" s="5" t="str">
        <f t="shared" si="604"/>
        <v/>
      </c>
      <c r="S3985" s="5" t="str">
        <f t="shared" si="608"/>
        <v/>
      </c>
      <c r="T3985" s="5" t="str">
        <f t="shared" si="610"/>
        <v/>
      </c>
      <c r="U3985" s="5" t="str">
        <f t="shared" si="610"/>
        <v/>
      </c>
    </row>
    <row r="3986" spans="10:21" x14ac:dyDescent="0.2">
      <c r="J3986" s="10" t="str">
        <f t="shared" si="606"/>
        <v/>
      </c>
      <c r="K3986" s="10" t="str">
        <f t="shared" si="607"/>
        <v/>
      </c>
      <c r="L3986" s="11" t="str">
        <f t="shared" si="609"/>
        <v/>
      </c>
      <c r="M3986" s="9" t="str">
        <f>IF(G3986&lt;&gt;"",J3986/MAX(J$3:J3986)-1,"")</f>
        <v/>
      </c>
      <c r="N3986" s="9" t="str">
        <f>IF(G3986&lt;&gt;"",K3986/MAX(K$3:K3986)-1,"")</f>
        <v/>
      </c>
      <c r="O3986" s="16" t="str">
        <f t="shared" si="605"/>
        <v/>
      </c>
      <c r="P3986" s="16" t="str">
        <f t="shared" si="605"/>
        <v/>
      </c>
      <c r="Q3986" s="16" t="str">
        <f t="shared" si="605"/>
        <v/>
      </c>
      <c r="R3986" s="5" t="str">
        <f t="shared" si="604"/>
        <v/>
      </c>
      <c r="S3986" s="5" t="str">
        <f t="shared" si="608"/>
        <v/>
      </c>
      <c r="T3986" s="5" t="str">
        <f t="shared" si="610"/>
        <v/>
      </c>
      <c r="U3986" s="5" t="str">
        <f t="shared" si="610"/>
        <v/>
      </c>
    </row>
    <row r="3987" spans="10:21" x14ac:dyDescent="0.2">
      <c r="J3987" s="10" t="str">
        <f t="shared" si="606"/>
        <v/>
      </c>
      <c r="K3987" s="10" t="str">
        <f t="shared" si="607"/>
        <v/>
      </c>
      <c r="L3987" s="11" t="str">
        <f t="shared" si="609"/>
        <v/>
      </c>
      <c r="M3987" s="9" t="str">
        <f>IF(G3987&lt;&gt;"",J3987/MAX(J$3:J3987)-1,"")</f>
        <v/>
      </c>
      <c r="N3987" s="9" t="str">
        <f>IF(G3987&lt;&gt;"",K3987/MAX(K$3:K3987)-1,"")</f>
        <v/>
      </c>
      <c r="O3987" s="16" t="str">
        <f t="shared" si="605"/>
        <v/>
      </c>
      <c r="P3987" s="16" t="str">
        <f t="shared" si="605"/>
        <v/>
      </c>
      <c r="Q3987" s="16" t="str">
        <f t="shared" si="605"/>
        <v/>
      </c>
      <c r="R3987" s="5" t="str">
        <f t="shared" si="604"/>
        <v/>
      </c>
      <c r="S3987" s="5" t="str">
        <f t="shared" si="608"/>
        <v/>
      </c>
      <c r="T3987" s="5" t="str">
        <f t="shared" si="610"/>
        <v/>
      </c>
      <c r="U3987" s="5" t="str">
        <f t="shared" si="610"/>
        <v/>
      </c>
    </row>
    <row r="3988" spans="10:21" x14ac:dyDescent="0.2">
      <c r="J3988" s="10" t="str">
        <f t="shared" si="606"/>
        <v/>
      </c>
      <c r="K3988" s="10" t="str">
        <f t="shared" si="607"/>
        <v/>
      </c>
      <c r="L3988" s="11" t="str">
        <f t="shared" si="609"/>
        <v/>
      </c>
      <c r="M3988" s="9" t="str">
        <f>IF(G3988&lt;&gt;"",J3988/MAX(J$3:J3988)-1,"")</f>
        <v/>
      </c>
      <c r="N3988" s="9" t="str">
        <f>IF(G3988&lt;&gt;"",K3988/MAX(K$3:K3988)-1,"")</f>
        <v/>
      </c>
      <c r="O3988" s="16" t="str">
        <f t="shared" si="605"/>
        <v/>
      </c>
      <c r="P3988" s="16" t="str">
        <f t="shared" si="605"/>
        <v/>
      </c>
      <c r="Q3988" s="16" t="str">
        <f t="shared" si="605"/>
        <v/>
      </c>
      <c r="R3988" s="5" t="str">
        <f t="shared" si="604"/>
        <v/>
      </c>
      <c r="S3988" s="5" t="str">
        <f t="shared" si="608"/>
        <v/>
      </c>
      <c r="T3988" s="5" t="str">
        <f t="shared" si="610"/>
        <v/>
      </c>
      <c r="U3988" s="5" t="str">
        <f t="shared" si="610"/>
        <v/>
      </c>
    </row>
    <row r="3989" spans="10:21" x14ac:dyDescent="0.2">
      <c r="J3989" s="10" t="str">
        <f t="shared" si="606"/>
        <v/>
      </c>
      <c r="K3989" s="10" t="str">
        <f t="shared" si="607"/>
        <v/>
      </c>
      <c r="L3989" s="11" t="str">
        <f t="shared" si="609"/>
        <v/>
      </c>
      <c r="M3989" s="9" t="str">
        <f>IF(G3989&lt;&gt;"",J3989/MAX(J$3:J3989)-1,"")</f>
        <v/>
      </c>
      <c r="N3989" s="9" t="str">
        <f>IF(G3989&lt;&gt;"",K3989/MAX(K$3:K3989)-1,"")</f>
        <v/>
      </c>
      <c r="O3989" s="16" t="str">
        <f t="shared" si="605"/>
        <v/>
      </c>
      <c r="P3989" s="16" t="str">
        <f t="shared" si="605"/>
        <v/>
      </c>
      <c r="Q3989" s="16" t="str">
        <f t="shared" si="605"/>
        <v/>
      </c>
      <c r="R3989" s="5" t="str">
        <f t="shared" si="604"/>
        <v/>
      </c>
      <c r="S3989" s="5" t="str">
        <f t="shared" si="608"/>
        <v/>
      </c>
      <c r="T3989" s="5" t="str">
        <f t="shared" si="610"/>
        <v/>
      </c>
      <c r="U3989" s="5" t="str">
        <f t="shared" si="610"/>
        <v/>
      </c>
    </row>
    <row r="3990" spans="10:21" x14ac:dyDescent="0.2">
      <c r="J3990" s="10" t="str">
        <f t="shared" si="606"/>
        <v/>
      </c>
      <c r="K3990" s="10" t="str">
        <f t="shared" si="607"/>
        <v/>
      </c>
      <c r="L3990" s="11" t="str">
        <f t="shared" si="609"/>
        <v/>
      </c>
      <c r="M3990" s="9" t="str">
        <f>IF(G3990&lt;&gt;"",J3990/MAX(J$3:J3990)-1,"")</f>
        <v/>
      </c>
      <c r="N3990" s="9" t="str">
        <f>IF(G3990&lt;&gt;"",K3990/MAX(K$3:K3990)-1,"")</f>
        <v/>
      </c>
      <c r="O3990" s="16" t="str">
        <f t="shared" si="605"/>
        <v/>
      </c>
      <c r="P3990" s="16" t="str">
        <f t="shared" si="605"/>
        <v/>
      </c>
      <c r="Q3990" s="16" t="str">
        <f t="shared" si="605"/>
        <v/>
      </c>
      <c r="R3990" s="5" t="str">
        <f t="shared" si="604"/>
        <v/>
      </c>
      <c r="S3990" s="5" t="str">
        <f t="shared" si="608"/>
        <v/>
      </c>
      <c r="T3990" s="5" t="str">
        <f t="shared" si="610"/>
        <v/>
      </c>
      <c r="U3990" s="5" t="str">
        <f t="shared" si="610"/>
        <v/>
      </c>
    </row>
    <row r="3991" spans="10:21" x14ac:dyDescent="0.2">
      <c r="J3991" s="10" t="str">
        <f t="shared" si="606"/>
        <v/>
      </c>
      <c r="K3991" s="10" t="str">
        <f t="shared" si="607"/>
        <v/>
      </c>
      <c r="L3991" s="11" t="str">
        <f t="shared" si="609"/>
        <v/>
      </c>
      <c r="M3991" s="9" t="str">
        <f>IF(G3991&lt;&gt;"",J3991/MAX(J$3:J3991)-1,"")</f>
        <v/>
      </c>
      <c r="N3991" s="9" t="str">
        <f>IF(G3991&lt;&gt;"",K3991/MAX(K$3:K3991)-1,"")</f>
        <v/>
      </c>
      <c r="O3991" s="16" t="str">
        <f t="shared" si="605"/>
        <v/>
      </c>
      <c r="P3991" s="16" t="str">
        <f t="shared" si="605"/>
        <v/>
      </c>
      <c r="Q3991" s="16" t="str">
        <f t="shared" si="605"/>
        <v/>
      </c>
      <c r="R3991" s="5" t="str">
        <f t="shared" si="604"/>
        <v/>
      </c>
      <c r="S3991" s="5" t="str">
        <f t="shared" si="608"/>
        <v/>
      </c>
      <c r="T3991" s="5" t="str">
        <f t="shared" si="610"/>
        <v/>
      </c>
      <c r="U3991" s="5" t="str">
        <f t="shared" si="610"/>
        <v/>
      </c>
    </row>
    <row r="3992" spans="10:21" x14ac:dyDescent="0.2">
      <c r="J3992" s="10" t="str">
        <f t="shared" si="606"/>
        <v/>
      </c>
      <c r="K3992" s="10" t="str">
        <f t="shared" si="607"/>
        <v/>
      </c>
      <c r="L3992" s="11" t="str">
        <f t="shared" si="609"/>
        <v/>
      </c>
      <c r="M3992" s="9" t="str">
        <f>IF(G3992&lt;&gt;"",J3992/MAX(J$3:J3992)-1,"")</f>
        <v/>
      </c>
      <c r="N3992" s="9" t="str">
        <f>IF(G3992&lt;&gt;"",K3992/MAX(K$3:K3992)-1,"")</f>
        <v/>
      </c>
      <c r="O3992" s="16" t="str">
        <f t="shared" si="605"/>
        <v/>
      </c>
      <c r="P3992" s="16" t="str">
        <f t="shared" si="605"/>
        <v/>
      </c>
      <c r="Q3992" s="16" t="str">
        <f t="shared" si="605"/>
        <v/>
      </c>
      <c r="R3992" s="5" t="str">
        <f t="shared" si="604"/>
        <v/>
      </c>
      <c r="S3992" s="5" t="str">
        <f t="shared" si="608"/>
        <v/>
      </c>
      <c r="T3992" s="5" t="str">
        <f t="shared" ref="T3992:U4000" si="611">IF($G3992&lt;&gt;"",_xlfn.STDEV.S(O3748:O3992),"")</f>
        <v/>
      </c>
      <c r="U3992" s="5" t="str">
        <f t="shared" si="611"/>
        <v/>
      </c>
    </row>
    <row r="3993" spans="10:21" x14ac:dyDescent="0.2">
      <c r="J3993" s="10" t="str">
        <f t="shared" si="606"/>
        <v/>
      </c>
      <c r="K3993" s="10" t="str">
        <f t="shared" si="607"/>
        <v/>
      </c>
      <c r="L3993" s="11" t="str">
        <f t="shared" si="609"/>
        <v/>
      </c>
      <c r="M3993" s="9" t="str">
        <f>IF(G3993&lt;&gt;"",J3993/MAX(J$3:J3993)-1,"")</f>
        <v/>
      </c>
      <c r="N3993" s="9" t="str">
        <f>IF(G3993&lt;&gt;"",K3993/MAX(K$3:K3993)-1,"")</f>
        <v/>
      </c>
      <c r="O3993" s="16" t="str">
        <f t="shared" si="605"/>
        <v/>
      </c>
      <c r="P3993" s="16" t="str">
        <f t="shared" si="605"/>
        <v/>
      </c>
      <c r="Q3993" s="16" t="str">
        <f t="shared" si="605"/>
        <v/>
      </c>
      <c r="R3993" s="5" t="str">
        <f t="shared" si="604"/>
        <v/>
      </c>
      <c r="S3993" s="5" t="str">
        <f t="shared" si="608"/>
        <v/>
      </c>
      <c r="T3993" s="5" t="str">
        <f t="shared" si="611"/>
        <v/>
      </c>
      <c r="U3993" s="5" t="str">
        <f t="shared" si="611"/>
        <v/>
      </c>
    </row>
    <row r="3994" spans="10:21" x14ac:dyDescent="0.2">
      <c r="J3994" s="10" t="str">
        <f t="shared" si="606"/>
        <v/>
      </c>
      <c r="K3994" s="10" t="str">
        <f t="shared" si="607"/>
        <v/>
      </c>
      <c r="L3994" s="11" t="str">
        <f t="shared" si="609"/>
        <v/>
      </c>
      <c r="M3994" s="9" t="str">
        <f>IF(G3994&lt;&gt;"",J3994/MAX(J$3:J3994)-1,"")</f>
        <v/>
      </c>
      <c r="N3994" s="9" t="str">
        <f>IF(G3994&lt;&gt;"",K3994/MAX(K$3:K3994)-1,"")</f>
        <v/>
      </c>
      <c r="O3994" s="16" t="str">
        <f t="shared" si="605"/>
        <v/>
      </c>
      <c r="P3994" s="16" t="str">
        <f t="shared" si="605"/>
        <v/>
      </c>
      <c r="Q3994" s="16" t="str">
        <f t="shared" si="605"/>
        <v/>
      </c>
      <c r="R3994" s="5" t="str">
        <f t="shared" si="604"/>
        <v/>
      </c>
      <c r="S3994" s="5" t="str">
        <f t="shared" si="608"/>
        <v/>
      </c>
      <c r="T3994" s="5" t="str">
        <f t="shared" si="611"/>
        <v/>
      </c>
      <c r="U3994" s="5" t="str">
        <f t="shared" si="611"/>
        <v/>
      </c>
    </row>
    <row r="3995" spans="10:21" x14ac:dyDescent="0.2">
      <c r="J3995" s="10" t="str">
        <f t="shared" si="606"/>
        <v/>
      </c>
      <c r="K3995" s="10" t="str">
        <f t="shared" si="607"/>
        <v/>
      </c>
      <c r="L3995" s="11" t="str">
        <f t="shared" si="609"/>
        <v/>
      </c>
      <c r="M3995" s="9" t="str">
        <f>IF(G3995&lt;&gt;"",J3995/MAX(J$3:J3995)-1,"")</f>
        <v/>
      </c>
      <c r="N3995" s="9" t="str">
        <f>IF(G3995&lt;&gt;"",K3995/MAX(K$3:K3995)-1,"")</f>
        <v/>
      </c>
      <c r="O3995" s="16" t="str">
        <f t="shared" si="605"/>
        <v/>
      </c>
      <c r="P3995" s="16" t="str">
        <f t="shared" si="605"/>
        <v/>
      </c>
      <c r="Q3995" s="16" t="str">
        <f t="shared" si="605"/>
        <v/>
      </c>
      <c r="R3995" s="5" t="str">
        <f t="shared" si="604"/>
        <v/>
      </c>
      <c r="S3995" s="5" t="str">
        <f t="shared" si="608"/>
        <v/>
      </c>
      <c r="T3995" s="5" t="str">
        <f t="shared" si="611"/>
        <v/>
      </c>
      <c r="U3995" s="5" t="str">
        <f t="shared" si="611"/>
        <v/>
      </c>
    </row>
    <row r="3996" spans="10:21" x14ac:dyDescent="0.2">
      <c r="J3996" s="10" t="str">
        <f t="shared" si="606"/>
        <v/>
      </c>
      <c r="K3996" s="10" t="str">
        <f t="shared" si="607"/>
        <v/>
      </c>
      <c r="L3996" s="11" t="str">
        <f t="shared" si="609"/>
        <v/>
      </c>
      <c r="M3996" s="9" t="str">
        <f>IF(G3996&lt;&gt;"",J3996/MAX(J$3:J3996)-1,"")</f>
        <v/>
      </c>
      <c r="N3996" s="9" t="str">
        <f>IF(G3996&lt;&gt;"",K3996/MAX(K$3:K3996)-1,"")</f>
        <v/>
      </c>
      <c r="O3996" s="16" t="str">
        <f t="shared" si="605"/>
        <v/>
      </c>
      <c r="P3996" s="16" t="str">
        <f t="shared" si="605"/>
        <v/>
      </c>
      <c r="Q3996" s="16" t="str">
        <f t="shared" si="605"/>
        <v/>
      </c>
      <c r="R3996" s="5" t="str">
        <f t="shared" si="604"/>
        <v/>
      </c>
      <c r="S3996" s="5" t="str">
        <f t="shared" si="608"/>
        <v/>
      </c>
      <c r="T3996" s="5" t="str">
        <f t="shared" si="611"/>
        <v/>
      </c>
      <c r="U3996" s="5" t="str">
        <f t="shared" si="611"/>
        <v/>
      </c>
    </row>
    <row r="3997" spans="10:21" x14ac:dyDescent="0.2">
      <c r="J3997" s="10" t="str">
        <f t="shared" si="606"/>
        <v/>
      </c>
      <c r="K3997" s="10" t="str">
        <f t="shared" si="607"/>
        <v/>
      </c>
      <c r="L3997" s="11" t="str">
        <f t="shared" si="609"/>
        <v/>
      </c>
      <c r="M3997" s="9" t="str">
        <f>IF(G3997&lt;&gt;"",J3997/MAX(J$3:J3997)-1,"")</f>
        <v/>
      </c>
      <c r="N3997" s="9" t="str">
        <f>IF(G3997&lt;&gt;"",K3997/MAX(K$3:K3997)-1,"")</f>
        <v/>
      </c>
      <c r="O3997" s="16" t="str">
        <f t="shared" si="605"/>
        <v/>
      </c>
      <c r="P3997" s="16" t="str">
        <f t="shared" si="605"/>
        <v/>
      </c>
      <c r="Q3997" s="16" t="str">
        <f t="shared" si="605"/>
        <v/>
      </c>
      <c r="R3997" s="5" t="str">
        <f t="shared" si="604"/>
        <v/>
      </c>
      <c r="S3997" s="5" t="str">
        <f t="shared" si="608"/>
        <v/>
      </c>
      <c r="T3997" s="5" t="str">
        <f t="shared" si="611"/>
        <v/>
      </c>
      <c r="U3997" s="5" t="str">
        <f t="shared" si="611"/>
        <v/>
      </c>
    </row>
    <row r="3998" spans="10:21" x14ac:dyDescent="0.2">
      <c r="J3998" s="10" t="str">
        <f t="shared" si="606"/>
        <v/>
      </c>
      <c r="K3998" s="10" t="str">
        <f t="shared" si="607"/>
        <v/>
      </c>
      <c r="L3998" s="11" t="str">
        <f t="shared" si="609"/>
        <v/>
      </c>
      <c r="M3998" s="9" t="str">
        <f>IF(G3998&lt;&gt;"",J3998/MAX(J$3:J3998)-1,"")</f>
        <v/>
      </c>
      <c r="N3998" s="9" t="str">
        <f>IF(G3998&lt;&gt;"",K3998/MAX(K$3:K3998)-1,"")</f>
        <v/>
      </c>
      <c r="O3998" s="16" t="str">
        <f t="shared" si="605"/>
        <v/>
      </c>
      <c r="P3998" s="16" t="str">
        <f t="shared" si="605"/>
        <v/>
      </c>
      <c r="Q3998" s="16" t="str">
        <f t="shared" si="605"/>
        <v/>
      </c>
      <c r="R3998" s="5" t="str">
        <f t="shared" si="604"/>
        <v/>
      </c>
      <c r="S3998" s="5" t="str">
        <f t="shared" si="608"/>
        <v/>
      </c>
      <c r="T3998" s="5" t="str">
        <f t="shared" si="611"/>
        <v/>
      </c>
      <c r="U3998" s="5" t="str">
        <f t="shared" si="611"/>
        <v/>
      </c>
    </row>
    <row r="3999" spans="10:21" x14ac:dyDescent="0.2">
      <c r="J3999" s="10" t="str">
        <f t="shared" si="606"/>
        <v/>
      </c>
      <c r="K3999" s="10" t="str">
        <f t="shared" si="607"/>
        <v/>
      </c>
      <c r="L3999" s="11" t="str">
        <f t="shared" si="609"/>
        <v/>
      </c>
      <c r="M3999" s="9" t="str">
        <f>IF(G3999&lt;&gt;"",J3999/MAX(J$3:J3999)-1,"")</f>
        <v/>
      </c>
      <c r="N3999" s="9" t="str">
        <f>IF(G3999&lt;&gt;"",K3999/MAX(K$3:K3999)-1,"")</f>
        <v/>
      </c>
      <c r="O3999" s="16" t="str">
        <f t="shared" si="605"/>
        <v/>
      </c>
      <c r="P3999" s="16" t="str">
        <f t="shared" si="605"/>
        <v/>
      </c>
      <c r="Q3999" s="16" t="str">
        <f t="shared" si="605"/>
        <v/>
      </c>
      <c r="R3999" s="5" t="str">
        <f t="shared" si="604"/>
        <v/>
      </c>
      <c r="S3999" s="5" t="str">
        <f t="shared" si="608"/>
        <v/>
      </c>
      <c r="T3999" s="5" t="str">
        <f t="shared" si="611"/>
        <v/>
      </c>
      <c r="U3999" s="5" t="str">
        <f t="shared" si="611"/>
        <v/>
      </c>
    </row>
    <row r="4000" spans="10:21" x14ac:dyDescent="0.2">
      <c r="J4000" s="10" t="str">
        <f t="shared" si="606"/>
        <v/>
      </c>
      <c r="K4000" s="10" t="str">
        <f t="shared" si="607"/>
        <v/>
      </c>
      <c r="L4000" s="11" t="str">
        <f t="shared" si="609"/>
        <v/>
      </c>
      <c r="M4000" s="9" t="str">
        <f>IF(G4000&lt;&gt;"",J4000/MAX(J$3:J4000)-1,"")</f>
        <v/>
      </c>
      <c r="N4000" s="9" t="str">
        <f>IF(G4000&lt;&gt;"",K4000/MAX(K$3:K4000)-1,"")</f>
        <v/>
      </c>
      <c r="O4000" s="16" t="str">
        <f t="shared" si="605"/>
        <v/>
      </c>
      <c r="P4000" s="16" t="str">
        <f t="shared" si="605"/>
        <v/>
      </c>
      <c r="Q4000" s="16" t="str">
        <f t="shared" si="605"/>
        <v/>
      </c>
      <c r="R4000" s="5" t="str">
        <f t="shared" si="604"/>
        <v/>
      </c>
      <c r="S4000" s="5" t="str">
        <f t="shared" si="608"/>
        <v/>
      </c>
      <c r="T4000" s="5" t="str">
        <f t="shared" si="611"/>
        <v/>
      </c>
      <c r="U4000" s="5" t="str">
        <f t="shared" si="611"/>
        <v/>
      </c>
    </row>
  </sheetData>
  <phoneticPr fontId="3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A7022-0F5B-4396-B443-42321EAF8BC8}">
  <dimension ref="A1:B11"/>
  <sheetViews>
    <sheetView workbookViewId="0">
      <selection sqref="A1:B11"/>
    </sheetView>
  </sheetViews>
  <sheetFormatPr defaultRowHeight="14.25" x14ac:dyDescent="0.2"/>
  <cols>
    <col min="1" max="1" width="11.375" bestFit="1" customWidth="1"/>
    <col min="2" max="2" width="12" customWidth="1"/>
  </cols>
  <sheetData>
    <row r="1" spans="1:2" x14ac:dyDescent="0.2">
      <c r="A1" s="18"/>
      <c r="B1" s="19" t="s">
        <v>46</v>
      </c>
    </row>
    <row r="2" spans="1:2" x14ac:dyDescent="0.2">
      <c r="A2" s="22" t="s">
        <v>47</v>
      </c>
      <c r="B2" s="23">
        <v>0.11880151999999999</v>
      </c>
    </row>
    <row r="3" spans="1:2" x14ac:dyDescent="0.2">
      <c r="A3" s="22" t="s">
        <v>48</v>
      </c>
      <c r="B3" s="23">
        <v>9.0635928184514603E-2</v>
      </c>
    </row>
    <row r="4" spans="1:2" x14ac:dyDescent="0.2">
      <c r="A4" s="22" t="s">
        <v>49</v>
      </c>
      <c r="B4" s="23">
        <v>-3.4109375885473692E-2</v>
      </c>
    </row>
    <row r="5" spans="1:2" x14ac:dyDescent="0.2">
      <c r="A5" s="22" t="s">
        <v>50</v>
      </c>
      <c r="B5" s="23">
        <v>4.3036041972118411E-2</v>
      </c>
    </row>
    <row r="6" spans="1:2" x14ac:dyDescent="0.2">
      <c r="A6" s="28" t="s">
        <v>51</v>
      </c>
      <c r="B6" s="29">
        <v>-1.2955943016430001E-2</v>
      </c>
    </row>
    <row r="7" spans="1:2" x14ac:dyDescent="0.2">
      <c r="A7" s="1" t="s">
        <v>41</v>
      </c>
      <c r="B7" s="33">
        <v>6.4693295661690797E-2</v>
      </c>
    </row>
    <row r="8" spans="1:2" x14ac:dyDescent="0.2">
      <c r="A8" s="1" t="s">
        <v>35</v>
      </c>
      <c r="B8" s="33">
        <v>3.386433580948367E-3</v>
      </c>
    </row>
    <row r="9" spans="1:2" x14ac:dyDescent="0.2">
      <c r="A9" s="1" t="s">
        <v>37</v>
      </c>
      <c r="B9" s="33">
        <v>3.1289566857311213E-2</v>
      </c>
    </row>
    <row r="10" spans="1:2" x14ac:dyDescent="0.2">
      <c r="A10" s="1" t="s">
        <v>39</v>
      </c>
      <c r="B10" s="33">
        <v>5.8107310188474592E-2</v>
      </c>
    </row>
    <row r="11" spans="1:2" x14ac:dyDescent="0.2">
      <c r="A11" s="1" t="s">
        <v>44</v>
      </c>
      <c r="B11" s="33">
        <v>0.10750308364155226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策略组合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崔文韬</dc:creator>
  <cp:lastModifiedBy>崔文韬</cp:lastModifiedBy>
  <dcterms:created xsi:type="dcterms:W3CDTF">2025-03-28T09:45:27Z</dcterms:created>
  <dcterms:modified xsi:type="dcterms:W3CDTF">2026-04-03T09:38:05Z</dcterms:modified>
</cp:coreProperties>
</file>